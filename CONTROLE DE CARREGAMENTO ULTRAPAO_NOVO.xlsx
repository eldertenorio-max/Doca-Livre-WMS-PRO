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 Isidoro\Desktop\CONTROLE DE CARREGAMENTO\"/>
    </mc:Choice>
  </mc:AlternateContent>
  <xr:revisionPtr revIDLastSave="0" documentId="13_ncr:1_{1C2AB7E4-AA1B-4AA4-8D06-7E4C7AEA43B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INEL" sheetId="1" r:id="rId1"/>
    <sheet name="BASE" sheetId="2" r:id="rId2"/>
    <sheet name="CONFERENCIA" sheetId="3" r:id="rId3"/>
    <sheet name="EXTRATO" sheetId="4" r:id="rId4"/>
    <sheet name="COLABORADORES" sheetId="8" r:id="rId5"/>
    <sheet name="ROMANEIO POR ITEM" sheetId="5" r:id="rId6"/>
    <sheet name="TODAS AS PLACAS" sheetId="9" r:id="rId7"/>
    <sheet name="DIVERGÊNCIAS" sheetId="6" r:id="rId8"/>
  </sheets>
  <definedNames>
    <definedName name="_xlnm._FilterDatabase" localSheetId="1" hidden="1">BASE!$A$1:$A$845</definedName>
    <definedName name="_xlnm._FilterDatabase" localSheetId="5" hidden="1">'ROMANEIO POR ITEM'!$O$1:$O$864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00" i="4" l="1"/>
  <c r="A999" i="4"/>
  <c r="D999" i="4" s="1"/>
  <c r="A998" i="4"/>
  <c r="B998" i="4" s="1"/>
  <c r="A997" i="4"/>
  <c r="F997" i="4" s="1"/>
  <c r="A996" i="4"/>
  <c r="E996" i="4" s="1"/>
  <c r="A995" i="4"/>
  <c r="A994" i="4"/>
  <c r="A993" i="4"/>
  <c r="E993" i="4" s="1"/>
  <c r="A992" i="4"/>
  <c r="E992" i="4" s="1"/>
  <c r="A991" i="4"/>
  <c r="A990" i="4"/>
  <c r="E990" i="4" s="1"/>
  <c r="A989" i="4"/>
  <c r="A988" i="4"/>
  <c r="E988" i="4" s="1"/>
  <c r="A987" i="4"/>
  <c r="E987" i="4" s="1"/>
  <c r="A986" i="4"/>
  <c r="A985" i="4"/>
  <c r="E985" i="4" s="1"/>
  <c r="A984" i="4"/>
  <c r="E984" i="4" s="1"/>
  <c r="A983" i="4"/>
  <c r="C983" i="4" s="1"/>
  <c r="A982" i="4"/>
  <c r="E982" i="4" s="1"/>
  <c r="A981" i="4"/>
  <c r="A980" i="4"/>
  <c r="A979" i="4"/>
  <c r="E979" i="4" s="1"/>
  <c r="A978" i="4"/>
  <c r="A977" i="4"/>
  <c r="C977" i="4" s="1"/>
  <c r="A976" i="4"/>
  <c r="E976" i="4" s="1"/>
  <c r="A975" i="4"/>
  <c r="A974" i="4"/>
  <c r="E974" i="4" s="1"/>
  <c r="A973" i="4"/>
  <c r="A972" i="4"/>
  <c r="A971" i="4"/>
  <c r="A970" i="4"/>
  <c r="A969" i="4"/>
  <c r="E969" i="4" s="1"/>
  <c r="A968" i="4"/>
  <c r="E968" i="4" s="1"/>
  <c r="A967" i="4"/>
  <c r="C967" i="4" s="1"/>
  <c r="A966" i="4"/>
  <c r="E966" i="4" s="1"/>
  <c r="A965" i="4"/>
  <c r="A964" i="4"/>
  <c r="C964" i="4" s="1"/>
  <c r="A963" i="4"/>
  <c r="A962" i="4"/>
  <c r="A961" i="4"/>
  <c r="E961" i="4" s="1"/>
  <c r="A960" i="4"/>
  <c r="E960" i="4" s="1"/>
  <c r="A959" i="4"/>
  <c r="A958" i="4"/>
  <c r="E958" i="4" s="1"/>
  <c r="A957" i="4"/>
  <c r="A956" i="4"/>
  <c r="A955" i="4"/>
  <c r="E955" i="4" s="1"/>
  <c r="A954" i="4"/>
  <c r="A953" i="4"/>
  <c r="E953" i="4" s="1"/>
  <c r="A952" i="4"/>
  <c r="E952" i="4" s="1"/>
  <c r="A951" i="4"/>
  <c r="C951" i="4" s="1"/>
  <c r="A950" i="4"/>
  <c r="E950" i="4" s="1"/>
  <c r="A949" i="4"/>
  <c r="A948" i="4"/>
  <c r="A947" i="4"/>
  <c r="E947" i="4" s="1"/>
  <c r="A946" i="4"/>
  <c r="A945" i="4"/>
  <c r="C945" i="4" s="1"/>
  <c r="A944" i="4"/>
  <c r="C944" i="4" s="1"/>
  <c r="A943" i="4"/>
  <c r="C943" i="4" s="1"/>
  <c r="A942" i="4"/>
  <c r="E942" i="4" s="1"/>
  <c r="A941" i="4"/>
  <c r="A940" i="4"/>
  <c r="E940" i="4" s="1"/>
  <c r="A939" i="4"/>
  <c r="E939" i="4" s="1"/>
  <c r="A938" i="4"/>
  <c r="A937" i="4"/>
  <c r="E937" i="4" s="1"/>
  <c r="A936" i="4"/>
  <c r="C936" i="4" s="1"/>
  <c r="A935" i="4"/>
  <c r="A934" i="4"/>
  <c r="E934" i="4" s="1"/>
  <c r="A933" i="4"/>
  <c r="A932" i="4"/>
  <c r="E932" i="4" s="1"/>
  <c r="A931" i="4"/>
  <c r="E931" i="4" s="1"/>
  <c r="A930" i="4"/>
  <c r="A929" i="4"/>
  <c r="C929" i="4" s="1"/>
  <c r="A928" i="4"/>
  <c r="C928" i="4" s="1"/>
  <c r="A927" i="4"/>
  <c r="A926" i="4"/>
  <c r="E926" i="4" s="1"/>
  <c r="A925" i="4"/>
  <c r="E925" i="4" s="1"/>
  <c r="A924" i="4"/>
  <c r="A923" i="4"/>
  <c r="E923" i="4" s="1"/>
  <c r="A922" i="4"/>
  <c r="A921" i="4"/>
  <c r="A920" i="4"/>
  <c r="E920" i="4" s="1"/>
  <c r="A919" i="4"/>
  <c r="A918" i="4"/>
  <c r="E918" i="4" s="1"/>
  <c r="A917" i="4"/>
  <c r="E917" i="4" s="1"/>
  <c r="A916" i="4"/>
  <c r="C916" i="4" s="1"/>
  <c r="A915" i="4"/>
  <c r="A914" i="4"/>
  <c r="A913" i="4"/>
  <c r="E913" i="4" s="1"/>
  <c r="A912" i="4"/>
  <c r="E912" i="4" s="1"/>
  <c r="A911" i="4"/>
  <c r="A910" i="4"/>
  <c r="E910" i="4" s="1"/>
  <c r="A909" i="4"/>
  <c r="E909" i="4" s="1"/>
  <c r="A908" i="4"/>
  <c r="E908" i="4" s="1"/>
  <c r="A907" i="4"/>
  <c r="E907" i="4" s="1"/>
  <c r="A906" i="4"/>
  <c r="A905" i="4"/>
  <c r="E905" i="4" s="1"/>
  <c r="A904" i="4"/>
  <c r="E904" i="4" s="1"/>
  <c r="A903" i="4"/>
  <c r="C903" i="4" s="1"/>
  <c r="A902" i="4"/>
  <c r="E902" i="4" s="1"/>
  <c r="A901" i="4"/>
  <c r="E901" i="4" s="1"/>
  <c r="A900" i="4"/>
  <c r="E900" i="4" s="1"/>
  <c r="A899" i="4"/>
  <c r="E899" i="4" s="1"/>
  <c r="A898" i="4"/>
  <c r="A897" i="4"/>
  <c r="C897" i="4" s="1"/>
  <c r="A896" i="4"/>
  <c r="E896" i="4" s="1"/>
  <c r="A895" i="4"/>
  <c r="A894" i="4"/>
  <c r="E894" i="4" s="1"/>
  <c r="A893" i="4"/>
  <c r="E893" i="4" s="1"/>
  <c r="A892" i="4"/>
  <c r="A891" i="4"/>
  <c r="A890" i="4"/>
  <c r="A889" i="4"/>
  <c r="E889" i="4" s="1"/>
  <c r="A888" i="4"/>
  <c r="E888" i="4" s="1"/>
  <c r="A887" i="4"/>
  <c r="A886" i="4"/>
  <c r="F886" i="4" s="1"/>
  <c r="A885" i="4"/>
  <c r="C885" i="4" s="1"/>
  <c r="A884" i="4"/>
  <c r="E884" i="4" s="1"/>
  <c r="A883" i="4"/>
  <c r="A882" i="4"/>
  <c r="E882" i="4" s="1"/>
  <c r="A881" i="4"/>
  <c r="C881" i="4" s="1"/>
  <c r="A880" i="4"/>
  <c r="A879" i="4"/>
  <c r="A878" i="4"/>
  <c r="F878" i="4" s="1"/>
  <c r="A877" i="4"/>
  <c r="F877" i="4" s="1"/>
  <c r="A876" i="4"/>
  <c r="F876" i="4" s="1"/>
  <c r="A875" i="4"/>
  <c r="A874" i="4"/>
  <c r="F874" i="4" s="1"/>
  <c r="A873" i="4"/>
  <c r="A872" i="4"/>
  <c r="A871" i="4"/>
  <c r="B871" i="4" s="1"/>
  <c r="A870" i="4"/>
  <c r="B870" i="4" s="1"/>
  <c r="A869" i="4"/>
  <c r="F869" i="4" s="1"/>
  <c r="A868" i="4"/>
  <c r="F868" i="4" s="1"/>
  <c r="A867" i="4"/>
  <c r="A866" i="4"/>
  <c r="B866" i="4" s="1"/>
  <c r="A865" i="4"/>
  <c r="F865" i="4" s="1"/>
  <c r="A864" i="4"/>
  <c r="F864" i="4" s="1"/>
  <c r="A863" i="4"/>
  <c r="A862" i="4"/>
  <c r="B862" i="4" s="1"/>
  <c r="A861" i="4"/>
  <c r="F861" i="4" s="1"/>
  <c r="A860" i="4"/>
  <c r="F860" i="4" s="1"/>
  <c r="A859" i="4"/>
  <c r="B859" i="4" s="1"/>
  <c r="A858" i="4"/>
  <c r="B858" i="4" s="1"/>
  <c r="A857" i="4"/>
  <c r="B857" i="4" s="1"/>
  <c r="A856" i="4"/>
  <c r="F856" i="4" s="1"/>
  <c r="A855" i="4"/>
  <c r="A854" i="4"/>
  <c r="A853" i="4"/>
  <c r="B853" i="4" s="1"/>
  <c r="A852" i="4"/>
  <c r="F852" i="4" s="1"/>
  <c r="A851" i="4"/>
  <c r="B851" i="4" s="1"/>
  <c r="A850" i="4"/>
  <c r="B850" i="4" s="1"/>
  <c r="A849" i="4"/>
  <c r="C849" i="4" s="1"/>
  <c r="A848" i="4"/>
  <c r="F848" i="4" s="1"/>
  <c r="A847" i="4"/>
  <c r="A846" i="4"/>
  <c r="A845" i="4"/>
  <c r="C845" i="4" s="1"/>
  <c r="A844" i="4"/>
  <c r="F844" i="4" s="1"/>
  <c r="A843" i="4"/>
  <c r="B843" i="4" s="1"/>
  <c r="A842" i="4"/>
  <c r="B842" i="4" s="1"/>
  <c r="A841" i="4"/>
  <c r="D841" i="4" s="1"/>
  <c r="A840" i="4"/>
  <c r="A839" i="4"/>
  <c r="A838" i="4"/>
  <c r="C838" i="4" s="1"/>
  <c r="A837" i="4"/>
  <c r="C837" i="4" s="1"/>
  <c r="A836" i="4"/>
  <c r="F836" i="4" s="1"/>
  <c r="A835" i="4"/>
  <c r="A834" i="4"/>
  <c r="C834" i="4" s="1"/>
  <c r="A833" i="4"/>
  <c r="B833" i="4" s="1"/>
  <c r="A832" i="4"/>
  <c r="F832" i="4" s="1"/>
  <c r="A831" i="4"/>
  <c r="A830" i="4"/>
  <c r="C830" i="4" s="1"/>
  <c r="A829" i="4"/>
  <c r="A828" i="4"/>
  <c r="F828" i="4" s="1"/>
  <c r="A827" i="4"/>
  <c r="A826" i="4"/>
  <c r="C826" i="4" s="1"/>
  <c r="A825" i="4"/>
  <c r="A824" i="4"/>
  <c r="F824" i="4" s="1"/>
  <c r="A823" i="4"/>
  <c r="A822" i="4"/>
  <c r="C822" i="4" s="1"/>
  <c r="A821" i="4"/>
  <c r="D821" i="4" s="1"/>
  <c r="A820" i="4"/>
  <c r="F820" i="4" s="1"/>
  <c r="A819" i="4"/>
  <c r="A818" i="4"/>
  <c r="A817" i="4"/>
  <c r="F817" i="4" s="1"/>
  <c r="A816" i="4"/>
  <c r="F816" i="4" s="1"/>
  <c r="A815" i="4"/>
  <c r="A814" i="4"/>
  <c r="C814" i="4" s="1"/>
  <c r="A813" i="4"/>
  <c r="E813" i="4" s="1"/>
  <c r="A812" i="4"/>
  <c r="F812" i="4" s="1"/>
  <c r="A811" i="4"/>
  <c r="A810" i="4"/>
  <c r="C810" i="4" s="1"/>
  <c r="A809" i="4"/>
  <c r="D809" i="4" s="1"/>
  <c r="A808" i="4"/>
  <c r="A807" i="4"/>
  <c r="A806" i="4"/>
  <c r="C806" i="4" s="1"/>
  <c r="A805" i="4"/>
  <c r="A804" i="4"/>
  <c r="F804" i="4" s="1"/>
  <c r="A803" i="4"/>
  <c r="B803" i="4" s="1"/>
  <c r="A802" i="4"/>
  <c r="C802" i="4" s="1"/>
  <c r="A801" i="4"/>
  <c r="E801" i="4" s="1"/>
  <c r="A800" i="4"/>
  <c r="F800" i="4" s="1"/>
  <c r="A799" i="4"/>
  <c r="A798" i="4"/>
  <c r="C798" i="4" s="1"/>
  <c r="A797" i="4"/>
  <c r="B797" i="4" s="1"/>
  <c r="A796" i="4"/>
  <c r="F796" i="4" s="1"/>
  <c r="A795" i="4"/>
  <c r="A794" i="4"/>
  <c r="C794" i="4" s="1"/>
  <c r="A793" i="4"/>
  <c r="A792" i="4"/>
  <c r="F792" i="4" s="1"/>
  <c r="A791" i="4"/>
  <c r="F791" i="4" s="1"/>
  <c r="A790" i="4"/>
  <c r="C790" i="4" s="1"/>
  <c r="A789" i="4"/>
  <c r="E789" i="4" s="1"/>
  <c r="A788" i="4"/>
  <c r="F788" i="4" s="1"/>
  <c r="A787" i="4"/>
  <c r="A786" i="4"/>
  <c r="C786" i="4" s="1"/>
  <c r="A785" i="4"/>
  <c r="F785" i="4" s="1"/>
  <c r="A784" i="4"/>
  <c r="A783" i="4"/>
  <c r="F783" i="4" s="1"/>
  <c r="A782" i="4"/>
  <c r="C782" i="4" s="1"/>
  <c r="A781" i="4"/>
  <c r="A780" i="4"/>
  <c r="A779" i="4"/>
  <c r="A778" i="4"/>
  <c r="C778" i="4" s="1"/>
  <c r="A777" i="4"/>
  <c r="E777" i="4" s="1"/>
  <c r="A776" i="4"/>
  <c r="F776" i="4" s="1"/>
  <c r="A775" i="4"/>
  <c r="A774" i="4"/>
  <c r="C774" i="4" s="1"/>
  <c r="A773" i="4"/>
  <c r="B773" i="4" s="1"/>
  <c r="A772" i="4"/>
  <c r="F772" i="4" s="1"/>
  <c r="A771" i="4"/>
  <c r="B771" i="4" s="1"/>
  <c r="A770" i="4"/>
  <c r="C770" i="4" s="1"/>
  <c r="A769" i="4"/>
  <c r="B769" i="4" s="1"/>
  <c r="A768" i="4"/>
  <c r="F768" i="4" s="1"/>
  <c r="A767" i="4"/>
  <c r="A766" i="4"/>
  <c r="C766" i="4" s="1"/>
  <c r="A765" i="4"/>
  <c r="F765" i="4" s="1"/>
  <c r="A764" i="4"/>
  <c r="F764" i="4" s="1"/>
  <c r="A763" i="4"/>
  <c r="A762" i="4"/>
  <c r="C762" i="4" s="1"/>
  <c r="A761" i="4"/>
  <c r="C761" i="4" s="1"/>
  <c r="A760" i="4"/>
  <c r="F760" i="4" s="1"/>
  <c r="A759" i="4"/>
  <c r="F759" i="4" s="1"/>
  <c r="A758" i="4"/>
  <c r="C758" i="4" s="1"/>
  <c r="A757" i="4"/>
  <c r="C757" i="4" s="1"/>
  <c r="A756" i="4"/>
  <c r="F756" i="4" s="1"/>
  <c r="A755" i="4"/>
  <c r="F755" i="4" s="1"/>
  <c r="A754" i="4"/>
  <c r="C754" i="4" s="1"/>
  <c r="A753" i="4"/>
  <c r="E753" i="4" s="1"/>
  <c r="A752" i="4"/>
  <c r="F752" i="4" s="1"/>
  <c r="A751" i="4"/>
  <c r="F751" i="4" s="1"/>
  <c r="A750" i="4"/>
  <c r="C750" i="4" s="1"/>
  <c r="A749" i="4"/>
  <c r="E749" i="4" s="1"/>
  <c r="A748" i="4"/>
  <c r="F748" i="4" s="1"/>
  <c r="A747" i="4"/>
  <c r="A746" i="4"/>
  <c r="C746" i="4" s="1"/>
  <c r="A745" i="4"/>
  <c r="C745" i="4" s="1"/>
  <c r="A744" i="4"/>
  <c r="F744" i="4" s="1"/>
  <c r="A743" i="4"/>
  <c r="A742" i="4"/>
  <c r="C742" i="4" s="1"/>
  <c r="A741" i="4"/>
  <c r="A740" i="4"/>
  <c r="F740" i="4" s="1"/>
  <c r="A739" i="4"/>
  <c r="B739" i="4" s="1"/>
  <c r="A738" i="4"/>
  <c r="A737" i="4"/>
  <c r="F737" i="4" s="1"/>
  <c r="A736" i="4"/>
  <c r="F736" i="4" s="1"/>
  <c r="A735" i="4"/>
  <c r="A734" i="4"/>
  <c r="E734" i="4" s="1"/>
  <c r="A733" i="4"/>
  <c r="C733" i="4" s="1"/>
  <c r="A732" i="4"/>
  <c r="F732" i="4" s="1"/>
  <c r="A731" i="4"/>
  <c r="F731" i="4" s="1"/>
  <c r="A730" i="4"/>
  <c r="C730" i="4" s="1"/>
  <c r="A729" i="4"/>
  <c r="F729" i="4" s="1"/>
  <c r="A728" i="4"/>
  <c r="F728" i="4" s="1"/>
  <c r="A727" i="4"/>
  <c r="F727" i="4" s="1"/>
  <c r="A726" i="4"/>
  <c r="C726" i="4" s="1"/>
  <c r="A725" i="4"/>
  <c r="F725" i="4" s="1"/>
  <c r="A724" i="4"/>
  <c r="F724" i="4" s="1"/>
  <c r="A723" i="4"/>
  <c r="A722" i="4"/>
  <c r="C722" i="4" s="1"/>
  <c r="A721" i="4"/>
  <c r="C721" i="4" s="1"/>
  <c r="A720" i="4"/>
  <c r="A719" i="4"/>
  <c r="F719" i="4" s="1"/>
  <c r="A718" i="4"/>
  <c r="C718" i="4" s="1"/>
  <c r="A717" i="4"/>
  <c r="A716" i="4"/>
  <c r="A715" i="4"/>
  <c r="A714" i="4"/>
  <c r="A713" i="4"/>
  <c r="F713" i="4" s="1"/>
  <c r="A712" i="4"/>
  <c r="F712" i="4" s="1"/>
  <c r="A711" i="4"/>
  <c r="A710" i="4"/>
  <c r="A709" i="4"/>
  <c r="A708" i="4"/>
  <c r="F708" i="4" s="1"/>
  <c r="A707" i="4"/>
  <c r="B707" i="4" s="1"/>
  <c r="A706" i="4"/>
  <c r="A705" i="4"/>
  <c r="A704" i="4"/>
  <c r="F704" i="4" s="1"/>
  <c r="A703" i="4"/>
  <c r="A702" i="4"/>
  <c r="C702" i="4" s="1"/>
  <c r="A701" i="4"/>
  <c r="C701" i="4" s="1"/>
  <c r="A700" i="4"/>
  <c r="F700" i="4" s="1"/>
  <c r="A699" i="4"/>
  <c r="A698" i="4"/>
  <c r="E698" i="4" s="1"/>
  <c r="A697" i="4"/>
  <c r="C697" i="4" s="1"/>
  <c r="A696" i="4"/>
  <c r="F696" i="4" s="1"/>
  <c r="A695" i="4"/>
  <c r="F695" i="4" s="1"/>
  <c r="A694" i="4"/>
  <c r="E694" i="4" s="1"/>
  <c r="A693" i="4"/>
  <c r="C693" i="4" s="1"/>
  <c r="A692" i="4"/>
  <c r="A691" i="4"/>
  <c r="F691" i="4" s="1"/>
  <c r="A690" i="4"/>
  <c r="A689" i="4"/>
  <c r="E689" i="4" s="1"/>
  <c r="A688" i="4"/>
  <c r="D688" i="4" s="1"/>
  <c r="A687" i="4"/>
  <c r="F687" i="4" s="1"/>
  <c r="A686" i="4"/>
  <c r="C686" i="4" s="1"/>
  <c r="A685" i="4"/>
  <c r="E685" i="4" s="1"/>
  <c r="A684" i="4"/>
  <c r="A683" i="4"/>
  <c r="A682" i="4"/>
  <c r="D682" i="4" s="1"/>
  <c r="A681" i="4"/>
  <c r="A680" i="4"/>
  <c r="D680" i="4" s="1"/>
  <c r="A679" i="4"/>
  <c r="A678" i="4"/>
  <c r="A677" i="4"/>
  <c r="D677" i="4" s="1"/>
  <c r="A676" i="4"/>
  <c r="D676" i="4" s="1"/>
  <c r="A675" i="4"/>
  <c r="B675" i="4" s="1"/>
  <c r="A674" i="4"/>
  <c r="C674" i="4" s="1"/>
  <c r="A673" i="4"/>
  <c r="B673" i="4" s="1"/>
  <c r="A672" i="4"/>
  <c r="D672" i="4" s="1"/>
  <c r="A671" i="4"/>
  <c r="F671" i="4" s="1"/>
  <c r="A670" i="4"/>
  <c r="C670" i="4" s="1"/>
  <c r="A669" i="4"/>
  <c r="E669" i="4" s="1"/>
  <c r="A668" i="4"/>
  <c r="A667" i="4"/>
  <c r="F667" i="4" s="1"/>
  <c r="A666" i="4"/>
  <c r="C666" i="4" s="1"/>
  <c r="A665" i="4"/>
  <c r="B665" i="4" s="1"/>
  <c r="A664" i="4"/>
  <c r="B664" i="4" s="1"/>
  <c r="A663" i="4"/>
  <c r="A662" i="4"/>
  <c r="A661" i="4"/>
  <c r="D661" i="4" s="1"/>
  <c r="A660" i="4"/>
  <c r="C660" i="4" s="1"/>
  <c r="A659" i="4"/>
  <c r="F659" i="4" s="1"/>
  <c r="A658" i="4"/>
  <c r="C658" i="4" s="1"/>
  <c r="A657" i="4"/>
  <c r="B657" i="4" s="1"/>
  <c r="A656" i="4"/>
  <c r="B656" i="4" s="1"/>
  <c r="A655" i="4"/>
  <c r="F655" i="4" s="1"/>
  <c r="A654" i="4"/>
  <c r="A653" i="4"/>
  <c r="B653" i="4" s="1"/>
  <c r="A652" i="4"/>
  <c r="A651" i="4"/>
  <c r="A650" i="4"/>
  <c r="C650" i="4" s="1"/>
  <c r="A649" i="4"/>
  <c r="A648" i="4"/>
  <c r="B648" i="4" s="1"/>
  <c r="A647" i="4"/>
  <c r="A646" i="4"/>
  <c r="C646" i="4" s="1"/>
  <c r="A645" i="4"/>
  <c r="A644" i="4"/>
  <c r="F644" i="4" s="1"/>
  <c r="A643" i="4"/>
  <c r="F643" i="4" s="1"/>
  <c r="A642" i="4"/>
  <c r="F642" i="4" s="1"/>
  <c r="A641" i="4"/>
  <c r="E641" i="4" s="1"/>
  <c r="A640" i="4"/>
  <c r="A639" i="4"/>
  <c r="F639" i="4" s="1"/>
  <c r="A638" i="4"/>
  <c r="E638" i="4" s="1"/>
  <c r="A637" i="4"/>
  <c r="F637" i="4" s="1"/>
  <c r="A636" i="4"/>
  <c r="F636" i="4" s="1"/>
  <c r="A635" i="4"/>
  <c r="B635" i="4" s="1"/>
  <c r="A634" i="4"/>
  <c r="D634" i="4" s="1"/>
  <c r="A633" i="4"/>
  <c r="E633" i="4" s="1"/>
  <c r="A632" i="4"/>
  <c r="A631" i="4"/>
  <c r="A630" i="4"/>
  <c r="A629" i="4"/>
  <c r="A628" i="4"/>
  <c r="A627" i="4"/>
  <c r="F627" i="4" s="1"/>
  <c r="A626" i="4"/>
  <c r="F626" i="4" s="1"/>
  <c r="A625" i="4"/>
  <c r="B625" i="4" s="1"/>
  <c r="A624" i="4"/>
  <c r="A623" i="4"/>
  <c r="D623" i="4" s="1"/>
  <c r="A622" i="4"/>
  <c r="A621" i="4"/>
  <c r="B621" i="4" s="1"/>
  <c r="A620" i="4"/>
  <c r="F620" i="4" s="1"/>
  <c r="A619" i="4"/>
  <c r="F619" i="4" s="1"/>
  <c r="A618" i="4"/>
  <c r="B618" i="4" s="1"/>
  <c r="A617" i="4"/>
  <c r="F617" i="4" s="1"/>
  <c r="A616" i="4"/>
  <c r="A615" i="4"/>
  <c r="A614" i="4"/>
  <c r="D614" i="4" s="1"/>
  <c r="A613" i="4"/>
  <c r="E613" i="4" s="1"/>
  <c r="A612" i="4"/>
  <c r="A611" i="4"/>
  <c r="A610" i="4"/>
  <c r="B610" i="4" s="1"/>
  <c r="A609" i="4"/>
  <c r="E609" i="4" s="1"/>
  <c r="A608" i="4"/>
  <c r="A607" i="4"/>
  <c r="D607" i="4" s="1"/>
  <c r="A606" i="4"/>
  <c r="A605" i="4"/>
  <c r="A604" i="4"/>
  <c r="F604" i="4" s="1"/>
  <c r="A603" i="4"/>
  <c r="F603" i="4" s="1"/>
  <c r="A602" i="4"/>
  <c r="B602" i="4" s="1"/>
  <c r="A601" i="4"/>
  <c r="C601" i="4" s="1"/>
  <c r="A600" i="4"/>
  <c r="E600" i="4" s="1"/>
  <c r="A599" i="4"/>
  <c r="D599" i="4" s="1"/>
  <c r="A598" i="4"/>
  <c r="A597" i="4"/>
  <c r="A596" i="4"/>
  <c r="F596" i="4" s="1"/>
  <c r="A595" i="4"/>
  <c r="A594" i="4"/>
  <c r="B594" i="4" s="1"/>
  <c r="A593" i="4"/>
  <c r="E593" i="4" s="1"/>
  <c r="A592" i="4"/>
  <c r="F592" i="4" s="1"/>
  <c r="A591" i="4"/>
  <c r="D591" i="4" s="1"/>
  <c r="A590" i="4"/>
  <c r="A589" i="4"/>
  <c r="B589" i="4" s="1"/>
  <c r="A588" i="4"/>
  <c r="A587" i="4"/>
  <c r="A586" i="4"/>
  <c r="B586" i="4" s="1"/>
  <c r="A585" i="4"/>
  <c r="F585" i="4" s="1"/>
  <c r="A584" i="4"/>
  <c r="E584" i="4" s="1"/>
  <c r="A583" i="4"/>
  <c r="D583" i="4" s="1"/>
  <c r="A582" i="4"/>
  <c r="A581" i="4"/>
  <c r="E581" i="4" s="1"/>
  <c r="A580" i="4"/>
  <c r="F580" i="4" s="1"/>
  <c r="A579" i="4"/>
  <c r="C579" i="4" s="1"/>
  <c r="A578" i="4"/>
  <c r="B578" i="4" s="1"/>
  <c r="A577" i="4"/>
  <c r="B577" i="4" s="1"/>
  <c r="A576" i="4"/>
  <c r="A575" i="4"/>
  <c r="A574" i="4"/>
  <c r="F574" i="4" s="1"/>
  <c r="A573" i="4"/>
  <c r="A572" i="4"/>
  <c r="A571" i="4"/>
  <c r="A570" i="4"/>
  <c r="B570" i="4" s="1"/>
  <c r="A569" i="4"/>
  <c r="D569" i="4" s="1"/>
  <c r="A568" i="4"/>
  <c r="A567" i="4"/>
  <c r="D567" i="4" s="1"/>
  <c r="A566" i="4"/>
  <c r="A565" i="4"/>
  <c r="C565" i="4" s="1"/>
  <c r="A564" i="4"/>
  <c r="F564" i="4" s="1"/>
  <c r="A563" i="4"/>
  <c r="D563" i="4" s="1"/>
  <c r="A562" i="4"/>
  <c r="B562" i="4" s="1"/>
  <c r="A561" i="4"/>
  <c r="E561" i="4" s="1"/>
  <c r="A560" i="4"/>
  <c r="F560" i="4" s="1"/>
  <c r="A559" i="4"/>
  <c r="D559" i="4" s="1"/>
  <c r="A558" i="4"/>
  <c r="F558" i="4" s="1"/>
  <c r="A557" i="4"/>
  <c r="A556" i="4"/>
  <c r="A555" i="4"/>
  <c r="A554" i="4"/>
  <c r="B554" i="4" s="1"/>
  <c r="A553" i="4"/>
  <c r="A552" i="4"/>
  <c r="A551" i="4"/>
  <c r="D551" i="4" s="1"/>
  <c r="A550" i="4"/>
  <c r="A549" i="4"/>
  <c r="A548" i="4"/>
  <c r="F548" i="4" s="1"/>
  <c r="A547" i="4"/>
  <c r="A546" i="4"/>
  <c r="A545" i="4"/>
  <c r="E545" i="4" s="1"/>
  <c r="A544" i="4"/>
  <c r="A543" i="4"/>
  <c r="D543" i="4" s="1"/>
  <c r="A542" i="4"/>
  <c r="A541" i="4"/>
  <c r="A540" i="4"/>
  <c r="F540" i="4" s="1"/>
  <c r="A539" i="4"/>
  <c r="A538" i="4"/>
  <c r="B538" i="4" s="1"/>
  <c r="A537" i="4"/>
  <c r="A536" i="4"/>
  <c r="A535" i="4"/>
  <c r="A534" i="4"/>
  <c r="A533" i="4"/>
  <c r="C533" i="4" s="1"/>
  <c r="A532" i="4"/>
  <c r="F532" i="4" s="1"/>
  <c r="A531" i="4"/>
  <c r="A530" i="4"/>
  <c r="B530" i="4" s="1"/>
  <c r="A529" i="4"/>
  <c r="F529" i="4" s="1"/>
  <c r="A528" i="4"/>
  <c r="F528" i="4" s="1"/>
  <c r="A527" i="4"/>
  <c r="A526" i="4"/>
  <c r="F526" i="4" s="1"/>
  <c r="A525" i="4"/>
  <c r="B525" i="4" s="1"/>
  <c r="A524" i="4"/>
  <c r="F524" i="4" s="1"/>
  <c r="A523" i="4"/>
  <c r="A522" i="4"/>
  <c r="A521" i="4"/>
  <c r="F521" i="4" s="1"/>
  <c r="A520" i="4"/>
  <c r="E520" i="4" s="1"/>
  <c r="A519" i="4"/>
  <c r="D519" i="4" s="1"/>
  <c r="A518" i="4"/>
  <c r="A517" i="4"/>
  <c r="A516" i="4"/>
  <c r="F516" i="4" s="1"/>
  <c r="A515" i="4"/>
  <c r="C515" i="4" s="1"/>
  <c r="A514" i="4"/>
  <c r="F514" i="4" s="1"/>
  <c r="A513" i="4"/>
  <c r="E513" i="4" s="1"/>
  <c r="A512" i="4"/>
  <c r="A511" i="4"/>
  <c r="A510" i="4"/>
  <c r="A509" i="4"/>
  <c r="A508" i="4"/>
  <c r="F508" i="4" s="1"/>
  <c r="A507" i="4"/>
  <c r="A506" i="4"/>
  <c r="A505" i="4"/>
  <c r="A504" i="4"/>
  <c r="C504" i="4" s="1"/>
  <c r="A503" i="4"/>
  <c r="D503" i="4" s="1"/>
  <c r="A502" i="4"/>
  <c r="B502" i="4" s="1"/>
  <c r="A501" i="4"/>
  <c r="C501" i="4" s="1"/>
  <c r="A500" i="4"/>
  <c r="F500" i="4" s="1"/>
  <c r="A499" i="4"/>
  <c r="A498" i="4"/>
  <c r="B498" i="4" s="1"/>
  <c r="A497" i="4"/>
  <c r="F497" i="4" s="1"/>
  <c r="A496" i="4"/>
  <c r="F496" i="4" s="1"/>
  <c r="A495" i="4"/>
  <c r="C495" i="4" s="1"/>
  <c r="A494" i="4"/>
  <c r="F494" i="4" s="1"/>
  <c r="A493" i="4"/>
  <c r="B493" i="4" s="1"/>
  <c r="A492" i="4"/>
  <c r="F492" i="4" s="1"/>
  <c r="A491" i="4"/>
  <c r="A490" i="4"/>
  <c r="A489" i="4"/>
  <c r="F489" i="4" s="1"/>
  <c r="A488" i="4"/>
  <c r="E488" i="4" s="1"/>
  <c r="A487" i="4"/>
  <c r="D487" i="4" s="1"/>
  <c r="A486" i="4"/>
  <c r="A485" i="4"/>
  <c r="A484" i="4"/>
  <c r="F484" i="4" s="1"/>
  <c r="A483" i="4"/>
  <c r="C483" i="4" s="1"/>
  <c r="A482" i="4"/>
  <c r="A481" i="4"/>
  <c r="F481" i="4" s="1"/>
  <c r="A480" i="4"/>
  <c r="C480" i="4" s="1"/>
  <c r="A479" i="4"/>
  <c r="E479" i="4" s="1"/>
  <c r="A478" i="4"/>
  <c r="F478" i="4" s="1"/>
  <c r="A477" i="4"/>
  <c r="E477" i="4" s="1"/>
  <c r="A476" i="4"/>
  <c r="F476" i="4" s="1"/>
  <c r="A475" i="4"/>
  <c r="A474" i="4"/>
  <c r="E474" i="4" s="1"/>
  <c r="A473" i="4"/>
  <c r="A472" i="4"/>
  <c r="F472" i="4" s="1"/>
  <c r="A471" i="4"/>
  <c r="A470" i="4"/>
  <c r="C470" i="4" s="1"/>
  <c r="A469" i="4"/>
  <c r="D469" i="4" s="1"/>
  <c r="A468" i="4"/>
  <c r="F468" i="4" s="1"/>
  <c r="A467" i="4"/>
  <c r="F467" i="4" s="1"/>
  <c r="A466" i="4"/>
  <c r="C466" i="4" s="1"/>
  <c r="A465" i="4"/>
  <c r="B465" i="4" s="1"/>
  <c r="A464" i="4"/>
  <c r="A463" i="4"/>
  <c r="B463" i="4" s="1"/>
  <c r="A462" i="4"/>
  <c r="C462" i="4" s="1"/>
  <c r="A461" i="4"/>
  <c r="E461" i="4" s="1"/>
  <c r="A460" i="4"/>
  <c r="F460" i="4" s="1"/>
  <c r="A459" i="4"/>
  <c r="A458" i="4"/>
  <c r="A457" i="4"/>
  <c r="B457" i="4" s="1"/>
  <c r="A456" i="4"/>
  <c r="A455" i="4"/>
  <c r="A454" i="4"/>
  <c r="C454" i="4" s="1"/>
  <c r="A453" i="4"/>
  <c r="C453" i="4" s="1"/>
  <c r="A452" i="4"/>
  <c r="B452" i="4" s="1"/>
  <c r="A451" i="4"/>
  <c r="E451" i="4" s="1"/>
  <c r="A450" i="4"/>
  <c r="E450" i="4" s="1"/>
  <c r="A449" i="4"/>
  <c r="E449" i="4" s="1"/>
  <c r="A448" i="4"/>
  <c r="A447" i="4"/>
  <c r="E447" i="4" s="1"/>
  <c r="A446" i="4"/>
  <c r="D446" i="4" s="1"/>
  <c r="A445" i="4"/>
  <c r="E445" i="4" s="1"/>
  <c r="A444" i="4"/>
  <c r="F444" i="4" s="1"/>
  <c r="A443" i="4"/>
  <c r="A442" i="4"/>
  <c r="A441" i="4"/>
  <c r="C441" i="4" s="1"/>
  <c r="A440" i="4"/>
  <c r="F440" i="4" s="1"/>
  <c r="A439" i="4"/>
  <c r="E439" i="4" s="1"/>
  <c r="A438" i="4"/>
  <c r="C438" i="4" s="1"/>
  <c r="A437" i="4"/>
  <c r="A436" i="4"/>
  <c r="A435" i="4"/>
  <c r="F435" i="4" s="1"/>
  <c r="A434" i="4"/>
  <c r="C434" i="4" s="1"/>
  <c r="A433" i="4"/>
  <c r="E433" i="4" s="1"/>
  <c r="A432" i="4"/>
  <c r="A431" i="4"/>
  <c r="A430" i="4"/>
  <c r="C430" i="4" s="1"/>
  <c r="A429" i="4"/>
  <c r="E429" i="4" s="1"/>
  <c r="A428" i="4"/>
  <c r="F428" i="4" s="1"/>
  <c r="A427" i="4"/>
  <c r="E427" i="4" s="1"/>
  <c r="A426" i="4"/>
  <c r="A425" i="4"/>
  <c r="B425" i="4" s="1"/>
  <c r="A424" i="4"/>
  <c r="C424" i="4" s="1"/>
  <c r="A423" i="4"/>
  <c r="E423" i="4" s="1"/>
  <c r="A422" i="4"/>
  <c r="C422" i="4" s="1"/>
  <c r="A421" i="4"/>
  <c r="C421" i="4" s="1"/>
  <c r="A420" i="4"/>
  <c r="A419" i="4"/>
  <c r="E419" i="4" s="1"/>
  <c r="A418" i="4"/>
  <c r="F418" i="4" s="1"/>
  <c r="A417" i="4"/>
  <c r="A416" i="4"/>
  <c r="C416" i="4" s="1"/>
  <c r="A415" i="4"/>
  <c r="A414" i="4"/>
  <c r="F414" i="4" s="1"/>
  <c r="A413" i="4"/>
  <c r="F413" i="4" s="1"/>
  <c r="A412" i="4"/>
  <c r="A411" i="4"/>
  <c r="B411" i="4" s="1"/>
  <c r="A410" i="4"/>
  <c r="A409" i="4"/>
  <c r="E409" i="4" s="1"/>
  <c r="A408" i="4"/>
  <c r="F408" i="4" s="1"/>
  <c r="A407" i="4"/>
  <c r="A406" i="4"/>
  <c r="D406" i="4" s="1"/>
  <c r="A405" i="4"/>
  <c r="B405" i="4" s="1"/>
  <c r="A404" i="4"/>
  <c r="C404" i="4" s="1"/>
  <c r="A403" i="4"/>
  <c r="E403" i="4" s="1"/>
  <c r="A402" i="4"/>
  <c r="A401" i="4"/>
  <c r="F401" i="4" s="1"/>
  <c r="A400" i="4"/>
  <c r="F400" i="4" s="1"/>
  <c r="A399" i="4"/>
  <c r="E399" i="4" s="1"/>
  <c r="A398" i="4"/>
  <c r="F398" i="4" s="1"/>
  <c r="A397" i="4"/>
  <c r="B397" i="4" s="1"/>
  <c r="A396" i="4"/>
  <c r="F396" i="4" s="1"/>
  <c r="A395" i="4"/>
  <c r="A394" i="4"/>
  <c r="C394" i="4" s="1"/>
  <c r="A393" i="4"/>
  <c r="A392" i="4"/>
  <c r="F392" i="4" s="1"/>
  <c r="A391" i="4"/>
  <c r="F391" i="4" s="1"/>
  <c r="A390" i="4"/>
  <c r="F390" i="4" s="1"/>
  <c r="A389" i="4"/>
  <c r="B389" i="4" s="1"/>
  <c r="A388" i="4"/>
  <c r="F388" i="4" s="1"/>
  <c r="A387" i="4"/>
  <c r="A386" i="4"/>
  <c r="C386" i="4" s="1"/>
  <c r="A385" i="4"/>
  <c r="A384" i="4"/>
  <c r="F384" i="4" s="1"/>
  <c r="A383" i="4"/>
  <c r="B383" i="4" s="1"/>
  <c r="A382" i="4"/>
  <c r="C382" i="4" s="1"/>
  <c r="A381" i="4"/>
  <c r="F381" i="4" s="1"/>
  <c r="A380" i="4"/>
  <c r="F380" i="4" s="1"/>
  <c r="A379" i="4"/>
  <c r="A378" i="4"/>
  <c r="A377" i="4"/>
  <c r="A376" i="4"/>
  <c r="A375" i="4"/>
  <c r="F375" i="4" s="1"/>
  <c r="A374" i="4"/>
  <c r="C374" i="4" s="1"/>
  <c r="A373" i="4"/>
  <c r="F373" i="4" s="1"/>
  <c r="A372" i="4"/>
  <c r="D372" i="4" s="1"/>
  <c r="A371" i="4"/>
  <c r="F371" i="4" s="1"/>
  <c r="A370" i="4"/>
  <c r="C370" i="4" s="1"/>
  <c r="A369" i="4"/>
  <c r="F369" i="4" s="1"/>
  <c r="A368" i="4"/>
  <c r="D368" i="4" s="1"/>
  <c r="A367" i="4"/>
  <c r="A366" i="4"/>
  <c r="D366" i="4" s="1"/>
  <c r="A365" i="4"/>
  <c r="B365" i="4" s="1"/>
  <c r="A364" i="4"/>
  <c r="D364" i="4" s="1"/>
  <c r="A363" i="4"/>
  <c r="A362" i="4"/>
  <c r="A361" i="4"/>
  <c r="F361" i="4" s="1"/>
  <c r="A360" i="4"/>
  <c r="F360" i="4" s="1"/>
  <c r="A359" i="4"/>
  <c r="F359" i="4" s="1"/>
  <c r="A358" i="4"/>
  <c r="D358" i="4" s="1"/>
  <c r="A357" i="4"/>
  <c r="B357" i="4" s="1"/>
  <c r="A356" i="4"/>
  <c r="D356" i="4" s="1"/>
  <c r="A355" i="4"/>
  <c r="A354" i="4"/>
  <c r="A353" i="4"/>
  <c r="A352" i="4"/>
  <c r="B352" i="4" s="1"/>
  <c r="A351" i="4"/>
  <c r="B351" i="4" s="1"/>
  <c r="A350" i="4"/>
  <c r="A349" i="4"/>
  <c r="A348" i="4"/>
  <c r="F348" i="4" s="1"/>
  <c r="A347" i="4"/>
  <c r="A346" i="4"/>
  <c r="A345" i="4"/>
  <c r="A344" i="4"/>
  <c r="A343" i="4"/>
  <c r="F343" i="4" s="1"/>
  <c r="A342" i="4"/>
  <c r="A341" i="4"/>
  <c r="F341" i="4" s="1"/>
  <c r="A340" i="4"/>
  <c r="F340" i="4" s="1"/>
  <c r="A339" i="4"/>
  <c r="F339" i="4" s="1"/>
  <c r="A338" i="4"/>
  <c r="A337" i="4"/>
  <c r="B337" i="4" s="1"/>
  <c r="A336" i="4"/>
  <c r="A335" i="4"/>
  <c r="A334" i="4"/>
  <c r="C334" i="4" s="1"/>
  <c r="A333" i="4"/>
  <c r="C333" i="4" s="1"/>
  <c r="A332" i="4"/>
  <c r="B332" i="4" s="1"/>
  <c r="A331" i="4"/>
  <c r="B331" i="4" s="1"/>
  <c r="A330" i="4"/>
  <c r="D330" i="4" s="1"/>
  <c r="A329" i="4"/>
  <c r="B329" i="4" s="1"/>
  <c r="A328" i="4"/>
  <c r="B328" i="4" s="1"/>
  <c r="A327" i="4"/>
  <c r="F327" i="4" s="1"/>
  <c r="A326" i="4"/>
  <c r="A325" i="4"/>
  <c r="F325" i="4" s="1"/>
  <c r="A324" i="4"/>
  <c r="A323" i="4"/>
  <c r="A322" i="4"/>
  <c r="F322" i="4" s="1"/>
  <c r="A321" i="4"/>
  <c r="E321" i="4" s="1"/>
  <c r="A320" i="4"/>
  <c r="B320" i="4" s="1"/>
  <c r="A319" i="4"/>
  <c r="B319" i="4" s="1"/>
  <c r="A318" i="4"/>
  <c r="E318" i="4" s="1"/>
  <c r="A317" i="4"/>
  <c r="D317" i="4" s="1"/>
  <c r="A316" i="4"/>
  <c r="B316" i="4" s="1"/>
  <c r="A315" i="4"/>
  <c r="A314" i="4"/>
  <c r="C314" i="4" s="1"/>
  <c r="A313" i="4"/>
  <c r="B313" i="4" s="1"/>
  <c r="A312" i="4"/>
  <c r="A311" i="4"/>
  <c r="B311" i="4" s="1"/>
  <c r="A310" i="4"/>
  <c r="C310" i="4" s="1"/>
  <c r="A309" i="4"/>
  <c r="F309" i="4" s="1"/>
  <c r="A308" i="4"/>
  <c r="A307" i="4"/>
  <c r="F307" i="4" s="1"/>
  <c r="A306" i="4"/>
  <c r="C306" i="4" s="1"/>
  <c r="A305" i="4"/>
  <c r="F305" i="4" s="1"/>
  <c r="A304" i="4"/>
  <c r="B304" i="4" s="1"/>
  <c r="A303" i="4"/>
  <c r="A302" i="4"/>
  <c r="C302" i="4" s="1"/>
  <c r="A301" i="4"/>
  <c r="E301" i="4" s="1"/>
  <c r="A300" i="4"/>
  <c r="A299" i="4"/>
  <c r="B299" i="4" s="1"/>
  <c r="A298" i="4"/>
  <c r="C298" i="4" s="1"/>
  <c r="A297" i="4"/>
  <c r="E297" i="4" s="1"/>
  <c r="A296" i="4"/>
  <c r="A295" i="4"/>
  <c r="B295" i="4" s="1"/>
  <c r="A294" i="4"/>
  <c r="C294" i="4" s="1"/>
  <c r="A293" i="4"/>
  <c r="E293" i="4" s="1"/>
  <c r="A292" i="4"/>
  <c r="B292" i="4" s="1"/>
  <c r="A291" i="4"/>
  <c r="A290" i="4"/>
  <c r="C290" i="4" s="1"/>
  <c r="A289" i="4"/>
  <c r="D289" i="4" s="1"/>
  <c r="A288" i="4"/>
  <c r="A287" i="4"/>
  <c r="B287" i="4" s="1"/>
  <c r="A286" i="4"/>
  <c r="C286" i="4" s="1"/>
  <c r="A285" i="4"/>
  <c r="E285" i="4" s="1"/>
  <c r="A284" i="4"/>
  <c r="A283" i="4"/>
  <c r="A282" i="4"/>
  <c r="C282" i="4" s="1"/>
  <c r="A281" i="4"/>
  <c r="D281" i="4" s="1"/>
  <c r="A280" i="4"/>
  <c r="F280" i="4" s="1"/>
  <c r="A279" i="4"/>
  <c r="B279" i="4" s="1"/>
  <c r="A278" i="4"/>
  <c r="C278" i="4" s="1"/>
  <c r="A277" i="4"/>
  <c r="E277" i="4" s="1"/>
  <c r="A276" i="4"/>
  <c r="A275" i="4"/>
  <c r="F275" i="4" s="1"/>
  <c r="A274" i="4"/>
  <c r="C274" i="4" s="1"/>
  <c r="A273" i="4"/>
  <c r="D273" i="4" s="1"/>
  <c r="A272" i="4"/>
  <c r="A271" i="4"/>
  <c r="A270" i="4"/>
  <c r="C270" i="4" s="1"/>
  <c r="A269" i="4"/>
  <c r="D269" i="4" s="1"/>
  <c r="A268" i="4"/>
  <c r="F268" i="4" s="1"/>
  <c r="A267" i="4"/>
  <c r="B267" i="4" s="1"/>
  <c r="A266" i="4"/>
  <c r="C266" i="4" s="1"/>
  <c r="A265" i="4"/>
  <c r="D265" i="4" s="1"/>
  <c r="A264" i="4"/>
  <c r="C264" i="4" s="1"/>
  <c r="A263" i="4"/>
  <c r="F263" i="4" s="1"/>
  <c r="A262" i="4"/>
  <c r="C262" i="4" s="1"/>
  <c r="A261" i="4"/>
  <c r="D261" i="4" s="1"/>
  <c r="A260" i="4"/>
  <c r="D260" i="4" s="1"/>
  <c r="A259" i="4"/>
  <c r="A258" i="4"/>
  <c r="D258" i="4" s="1"/>
  <c r="A257" i="4"/>
  <c r="C257" i="4" s="1"/>
  <c r="A256" i="4"/>
  <c r="B256" i="4" s="1"/>
  <c r="A255" i="4"/>
  <c r="B255" i="4" s="1"/>
  <c r="A254" i="4"/>
  <c r="C254" i="4" s="1"/>
  <c r="A253" i="4"/>
  <c r="D253" i="4" s="1"/>
  <c r="A252" i="4"/>
  <c r="A251" i="4"/>
  <c r="A250" i="4"/>
  <c r="C250" i="4" s="1"/>
  <c r="A249" i="4"/>
  <c r="A248" i="4"/>
  <c r="D248" i="4" s="1"/>
  <c r="A247" i="4"/>
  <c r="A246" i="4"/>
  <c r="D246" i="4" s="1"/>
  <c r="A245" i="4"/>
  <c r="E245" i="4" s="1"/>
  <c r="A244" i="4"/>
  <c r="B244" i="4" s="1"/>
  <c r="A243" i="4"/>
  <c r="F243" i="4" s="1"/>
  <c r="A242" i="4"/>
  <c r="C242" i="4" s="1"/>
  <c r="A241" i="4"/>
  <c r="F241" i="4" s="1"/>
  <c r="A240" i="4"/>
  <c r="A239" i="4"/>
  <c r="A238" i="4"/>
  <c r="C238" i="4" s="1"/>
  <c r="A237" i="4"/>
  <c r="A236" i="4"/>
  <c r="A235" i="4"/>
  <c r="B235" i="4" s="1"/>
  <c r="A234" i="4"/>
  <c r="C234" i="4" s="1"/>
  <c r="A233" i="4"/>
  <c r="F233" i="4" s="1"/>
  <c r="A232" i="4"/>
  <c r="D232" i="4" s="1"/>
  <c r="A231" i="4"/>
  <c r="F231" i="4" s="1"/>
  <c r="A230" i="4"/>
  <c r="F230" i="4" s="1"/>
  <c r="A229" i="4"/>
  <c r="F229" i="4" s="1"/>
  <c r="A228" i="4"/>
  <c r="D228" i="4" s="1"/>
  <c r="A227" i="4"/>
  <c r="A226" i="4"/>
  <c r="C226" i="4" s="1"/>
  <c r="A225" i="4"/>
  <c r="F225" i="4" s="1"/>
  <c r="A224" i="4"/>
  <c r="B224" i="4" s="1"/>
  <c r="A223" i="4"/>
  <c r="B223" i="4" s="1"/>
  <c r="A222" i="4"/>
  <c r="C222" i="4" s="1"/>
  <c r="A221" i="4"/>
  <c r="F221" i="4" s="1"/>
  <c r="A220" i="4"/>
  <c r="C220" i="4" s="1"/>
  <c r="A219" i="4"/>
  <c r="A218" i="4"/>
  <c r="C218" i="4" s="1"/>
  <c r="A217" i="4"/>
  <c r="F217" i="4" s="1"/>
  <c r="A216" i="4"/>
  <c r="D216" i="4" s="1"/>
  <c r="A215" i="4"/>
  <c r="F215" i="4" s="1"/>
  <c r="A214" i="4"/>
  <c r="C214" i="4" s="1"/>
  <c r="A213" i="4"/>
  <c r="E213" i="4" s="1"/>
  <c r="A212" i="4"/>
  <c r="B212" i="4" s="1"/>
  <c r="A211" i="4"/>
  <c r="F211" i="4" s="1"/>
  <c r="A210" i="4"/>
  <c r="C210" i="4" s="1"/>
  <c r="A209" i="4"/>
  <c r="C209" i="4" s="1"/>
  <c r="A208" i="4"/>
  <c r="A207" i="4"/>
  <c r="A206" i="4"/>
  <c r="C206" i="4" s="1"/>
  <c r="A205" i="4"/>
  <c r="F205" i="4" s="1"/>
  <c r="A204" i="4"/>
  <c r="C204" i="4" s="1"/>
  <c r="A203" i="4"/>
  <c r="B203" i="4" s="1"/>
  <c r="A202" i="4"/>
  <c r="C202" i="4" s="1"/>
  <c r="A201" i="4"/>
  <c r="F201" i="4" s="1"/>
  <c r="A200" i="4"/>
  <c r="D200" i="4" s="1"/>
  <c r="A199" i="4"/>
  <c r="B199" i="4" s="1"/>
  <c r="A198" i="4"/>
  <c r="C198" i="4" s="1"/>
  <c r="A197" i="4"/>
  <c r="F197" i="4" s="1"/>
  <c r="A196" i="4"/>
  <c r="D196" i="4" s="1"/>
  <c r="A195" i="4"/>
  <c r="A194" i="4"/>
  <c r="C194" i="4" s="1"/>
  <c r="A193" i="4"/>
  <c r="B193" i="4" s="1"/>
  <c r="A192" i="4"/>
  <c r="B192" i="4" s="1"/>
  <c r="A191" i="4"/>
  <c r="B191" i="4" s="1"/>
  <c r="A190" i="4"/>
  <c r="C190" i="4" s="1"/>
  <c r="A189" i="4"/>
  <c r="F189" i="4" s="1"/>
  <c r="A188" i="4"/>
  <c r="C188" i="4" s="1"/>
  <c r="A187" i="4"/>
  <c r="A186" i="4"/>
  <c r="C186" i="4" s="1"/>
  <c r="A185" i="4"/>
  <c r="F185" i="4" s="1"/>
  <c r="A184" i="4"/>
  <c r="D184" i="4" s="1"/>
  <c r="A183" i="4"/>
  <c r="F183" i="4" s="1"/>
  <c r="A182" i="4"/>
  <c r="C182" i="4" s="1"/>
  <c r="A181" i="4"/>
  <c r="F181" i="4" s="1"/>
  <c r="A180" i="4"/>
  <c r="B180" i="4" s="1"/>
  <c r="A179" i="4"/>
  <c r="F179" i="4" s="1"/>
  <c r="A178" i="4"/>
  <c r="C178" i="4" s="1"/>
  <c r="A177" i="4"/>
  <c r="D177" i="4" s="1"/>
  <c r="A176" i="4"/>
  <c r="A175" i="4"/>
  <c r="A174" i="4"/>
  <c r="C174" i="4" s="1"/>
  <c r="A173" i="4"/>
  <c r="F173" i="4" s="1"/>
  <c r="A172" i="4"/>
  <c r="D172" i="4" s="1"/>
  <c r="A171" i="4"/>
  <c r="B171" i="4" s="1"/>
  <c r="A170" i="4"/>
  <c r="C170" i="4" s="1"/>
  <c r="A169" i="4"/>
  <c r="F169" i="4" s="1"/>
  <c r="A168" i="4"/>
  <c r="D168" i="4" s="1"/>
  <c r="A167" i="4"/>
  <c r="F167" i="4" s="1"/>
  <c r="A166" i="4"/>
  <c r="C166" i="4" s="1"/>
  <c r="A165" i="4"/>
  <c r="F165" i="4" s="1"/>
  <c r="A164" i="4"/>
  <c r="D164" i="4" s="1"/>
  <c r="A163" i="4"/>
  <c r="A162" i="4"/>
  <c r="C162" i="4" s="1"/>
  <c r="A161" i="4"/>
  <c r="B161" i="4" s="1"/>
  <c r="A160" i="4"/>
  <c r="B160" i="4" s="1"/>
  <c r="A159" i="4"/>
  <c r="B159" i="4" s="1"/>
  <c r="A158" i="4"/>
  <c r="C158" i="4" s="1"/>
  <c r="A157" i="4"/>
  <c r="C157" i="4" s="1"/>
  <c r="A156" i="4"/>
  <c r="C156" i="4" s="1"/>
  <c r="A155" i="4"/>
  <c r="A154" i="4"/>
  <c r="C154" i="4" s="1"/>
  <c r="A153" i="4"/>
  <c r="F153" i="4" s="1"/>
  <c r="A152" i="4"/>
  <c r="D152" i="4" s="1"/>
  <c r="A151" i="4"/>
  <c r="F151" i="4" s="1"/>
  <c r="A150" i="4"/>
  <c r="C150" i="4" s="1"/>
  <c r="A149" i="4"/>
  <c r="F149" i="4" s="1"/>
  <c r="A148" i="4"/>
  <c r="B148" i="4" s="1"/>
  <c r="A147" i="4"/>
  <c r="F147" i="4" s="1"/>
  <c r="A146" i="4"/>
  <c r="C146" i="4" s="1"/>
  <c r="A145" i="4"/>
  <c r="C145" i="4" s="1"/>
  <c r="A144" i="4"/>
  <c r="A143" i="4"/>
  <c r="A142" i="4"/>
  <c r="C142" i="4" s="1"/>
  <c r="A141" i="4"/>
  <c r="F141" i="4" s="1"/>
  <c r="A140" i="4"/>
  <c r="C140" i="4" s="1"/>
  <c r="A139" i="4"/>
  <c r="B139" i="4" s="1"/>
  <c r="A138" i="4"/>
  <c r="C138" i="4" s="1"/>
  <c r="A137" i="4"/>
  <c r="F137" i="4" s="1"/>
  <c r="A136" i="4"/>
  <c r="D136" i="4" s="1"/>
  <c r="A135" i="4"/>
  <c r="F135" i="4" s="1"/>
  <c r="A134" i="4"/>
  <c r="C134" i="4" s="1"/>
  <c r="A133" i="4"/>
  <c r="F133" i="4" s="1"/>
  <c r="A132" i="4"/>
  <c r="D132" i="4" s="1"/>
  <c r="A131" i="4"/>
  <c r="A130" i="4"/>
  <c r="C130" i="4" s="1"/>
  <c r="A129" i="4"/>
  <c r="B129" i="4" s="1"/>
  <c r="A128" i="4"/>
  <c r="B128" i="4" s="1"/>
  <c r="A127" i="4"/>
  <c r="B127" i="4" s="1"/>
  <c r="A126" i="4"/>
  <c r="C126" i="4" s="1"/>
  <c r="A125" i="4"/>
  <c r="F125" i="4" s="1"/>
  <c r="A124" i="4"/>
  <c r="C124" i="4" s="1"/>
  <c r="A123" i="4"/>
  <c r="A122" i="4"/>
  <c r="C122" i="4" s="1"/>
  <c r="A121" i="4"/>
  <c r="F121" i="4" s="1"/>
  <c r="A120" i="4"/>
  <c r="D120" i="4" s="1"/>
  <c r="A119" i="4"/>
  <c r="F119" i="4" s="1"/>
  <c r="A118" i="4"/>
  <c r="C118" i="4" s="1"/>
  <c r="A117" i="4"/>
  <c r="F117" i="4" s="1"/>
  <c r="A116" i="4"/>
  <c r="B116" i="4" s="1"/>
  <c r="A115" i="4"/>
  <c r="F115" i="4" s="1"/>
  <c r="A114" i="4"/>
  <c r="C114" i="4" s="1"/>
  <c r="A113" i="4"/>
  <c r="F113" i="4" s="1"/>
  <c r="A112" i="4"/>
  <c r="A111" i="4"/>
  <c r="A110" i="4"/>
  <c r="C110" i="4" s="1"/>
  <c r="A109" i="4"/>
  <c r="B109" i="4" s="1"/>
  <c r="A108" i="4"/>
  <c r="D108" i="4" s="1"/>
  <c r="A107" i="4"/>
  <c r="B107" i="4" s="1"/>
  <c r="A106" i="4"/>
  <c r="C106" i="4" s="1"/>
  <c r="A105" i="4"/>
  <c r="B105" i="4" s="1"/>
  <c r="A104" i="4"/>
  <c r="C104" i="4" s="1"/>
  <c r="A103" i="4"/>
  <c r="B103" i="4" s="1"/>
  <c r="A102" i="4"/>
  <c r="C102" i="4" s="1"/>
  <c r="A101" i="4"/>
  <c r="B101" i="4" s="1"/>
  <c r="A100" i="4"/>
  <c r="F100" i="4" s="1"/>
  <c r="A99" i="4"/>
  <c r="A98" i="4"/>
  <c r="D98" i="4" s="1"/>
  <c r="A97" i="4"/>
  <c r="F97" i="4" s="1"/>
  <c r="A96" i="4"/>
  <c r="F96" i="4" s="1"/>
  <c r="A95" i="4"/>
  <c r="F95" i="4" s="1"/>
  <c r="A94" i="4"/>
  <c r="D94" i="4" s="1"/>
  <c r="A93" i="4"/>
  <c r="B93" i="4" s="1"/>
  <c r="A92" i="4"/>
  <c r="F92" i="4" s="1"/>
  <c r="A91" i="4"/>
  <c r="F91" i="4" s="1"/>
  <c r="A90" i="4"/>
  <c r="F90" i="4" s="1"/>
  <c r="A89" i="4"/>
  <c r="F89" i="4" s="1"/>
  <c r="A88" i="4"/>
  <c r="F88" i="4" s="1"/>
  <c r="A87" i="4"/>
  <c r="B87" i="4" s="1"/>
  <c r="A86" i="4"/>
  <c r="E86" i="4" s="1"/>
  <c r="A85" i="4"/>
  <c r="F85" i="4" s="1"/>
  <c r="A84" i="4"/>
  <c r="F84" i="4" s="1"/>
  <c r="A83" i="4"/>
  <c r="B83" i="4" s="1"/>
  <c r="A82" i="4"/>
  <c r="A81" i="4"/>
  <c r="C81" i="4" s="1"/>
  <c r="A80" i="4"/>
  <c r="F80" i="4" s="1"/>
  <c r="A79" i="4"/>
  <c r="B79" i="4" s="1"/>
  <c r="A78" i="4"/>
  <c r="F78" i="4" s="1"/>
  <c r="A77" i="4"/>
  <c r="E77" i="4" s="1"/>
  <c r="A76" i="4"/>
  <c r="F76" i="4" s="1"/>
  <c r="A75" i="4"/>
  <c r="C75" i="4" s="1"/>
  <c r="A74" i="4"/>
  <c r="F74" i="4" s="1"/>
  <c r="A73" i="4"/>
  <c r="B73" i="4" s="1"/>
  <c r="A72" i="4"/>
  <c r="F72" i="4" s="1"/>
  <c r="A71" i="4"/>
  <c r="B71" i="4" s="1"/>
  <c r="A70" i="4"/>
  <c r="F70" i="4" s="1"/>
  <c r="A69" i="4"/>
  <c r="D69" i="4" s="1"/>
  <c r="A68" i="4"/>
  <c r="F68" i="4" s="1"/>
  <c r="A67" i="4"/>
  <c r="A66" i="4"/>
  <c r="D66" i="4" s="1"/>
  <c r="A65" i="4"/>
  <c r="F65" i="4" s="1"/>
  <c r="A64" i="4"/>
  <c r="F64" i="4" s="1"/>
  <c r="A63" i="4"/>
  <c r="F63" i="4" s="1"/>
  <c r="A62" i="4"/>
  <c r="D62" i="4" s="1"/>
  <c r="A61" i="4"/>
  <c r="D61" i="4" s="1"/>
  <c r="A60" i="4"/>
  <c r="F60" i="4" s="1"/>
  <c r="A59" i="4"/>
  <c r="F59" i="4" s="1"/>
  <c r="A58" i="4"/>
  <c r="F58" i="4" s="1"/>
  <c r="A57" i="4"/>
  <c r="C57" i="4" s="1"/>
  <c r="A56" i="4"/>
  <c r="F56" i="4" s="1"/>
  <c r="A55" i="4"/>
  <c r="B55" i="4" s="1"/>
  <c r="A54" i="4"/>
  <c r="E54" i="4" s="1"/>
  <c r="A53" i="4"/>
  <c r="C53" i="4" s="1"/>
  <c r="A52" i="4"/>
  <c r="F52" i="4" s="1"/>
  <c r="A51" i="4"/>
  <c r="B51" i="4" s="1"/>
  <c r="A50" i="4"/>
  <c r="A49" i="4"/>
  <c r="E49" i="4" s="1"/>
  <c r="A48" i="4"/>
  <c r="F48" i="4" s="1"/>
  <c r="A47" i="4"/>
  <c r="B47" i="4" s="1"/>
  <c r="A46" i="4"/>
  <c r="F46" i="4" s="1"/>
  <c r="A45" i="4"/>
  <c r="F45" i="4" s="1"/>
  <c r="A44" i="4"/>
  <c r="F44" i="4" s="1"/>
  <c r="A43" i="4"/>
  <c r="C43" i="4" s="1"/>
  <c r="A42" i="4"/>
  <c r="F42" i="4" s="1"/>
  <c r="A41" i="4"/>
  <c r="D41" i="4" s="1"/>
  <c r="A40" i="4"/>
  <c r="F40" i="4" s="1"/>
  <c r="A39" i="4"/>
  <c r="B39" i="4" s="1"/>
  <c r="A38" i="4"/>
  <c r="D38" i="4" s="1"/>
  <c r="A37" i="4"/>
  <c r="F37" i="4" s="1"/>
  <c r="A36" i="4"/>
  <c r="F36" i="4" s="1"/>
  <c r="A35" i="4"/>
  <c r="A34" i="4"/>
  <c r="D34" i="4" s="1"/>
  <c r="A33" i="4"/>
  <c r="B33" i="4" s="1"/>
  <c r="A32" i="4"/>
  <c r="F32" i="4" s="1"/>
  <c r="A31" i="4"/>
  <c r="F31" i="4" s="1"/>
  <c r="A30" i="4"/>
  <c r="D30" i="4" s="1"/>
  <c r="A29" i="4"/>
  <c r="F29" i="4" s="1"/>
  <c r="A28" i="4"/>
  <c r="F28" i="4" s="1"/>
  <c r="A27" i="4"/>
  <c r="F27" i="4" s="1"/>
  <c r="A26" i="4"/>
  <c r="F26" i="4" s="1"/>
  <c r="A25" i="4"/>
  <c r="E25" i="4" s="1"/>
  <c r="A24" i="4"/>
  <c r="F24" i="4" s="1"/>
  <c r="A23" i="4"/>
  <c r="F23" i="4" s="1"/>
  <c r="A22" i="4"/>
  <c r="D22" i="4" s="1"/>
  <c r="A21" i="4"/>
  <c r="E21" i="4" s="1"/>
  <c r="A20" i="4"/>
  <c r="F20" i="4" s="1"/>
  <c r="A19" i="4"/>
  <c r="B19" i="4" s="1"/>
  <c r="A18" i="4"/>
  <c r="A17" i="4"/>
  <c r="F17" i="4" s="1"/>
  <c r="A16" i="4"/>
  <c r="F16" i="4" s="1"/>
  <c r="A15" i="4"/>
  <c r="B15" i="4" s="1"/>
  <c r="A14" i="4"/>
  <c r="F14" i="4" s="1"/>
  <c r="A13" i="4"/>
  <c r="E13" i="4" s="1"/>
  <c r="A12" i="4"/>
  <c r="F12" i="4" s="1"/>
  <c r="A11" i="4"/>
  <c r="F11" i="4" s="1"/>
  <c r="A10" i="4"/>
  <c r="F10" i="4" s="1"/>
  <c r="A9" i="4"/>
  <c r="D9" i="4" s="1"/>
  <c r="A8" i="4"/>
  <c r="F8" i="4" s="1"/>
  <c r="A7" i="4"/>
  <c r="F7" i="4" s="1"/>
  <c r="A6" i="4"/>
  <c r="E6" i="4" s="1"/>
  <c r="A5" i="4"/>
  <c r="C5" i="4" s="1"/>
  <c r="A4" i="4"/>
  <c r="F4" i="4" s="1"/>
  <c r="A3" i="4"/>
  <c r="F3" i="4" s="1"/>
  <c r="A2" i="4"/>
  <c r="E2" i="4" s="1"/>
  <c r="B5" i="1"/>
  <c r="B4" i="1"/>
  <c r="E365" i="4" l="1"/>
  <c r="B57" i="4"/>
  <c r="D57" i="4"/>
  <c r="E817" i="4"/>
  <c r="F242" i="4"/>
  <c r="F405" i="4"/>
  <c r="E562" i="4"/>
  <c r="B125" i="4"/>
  <c r="C492" i="4"/>
  <c r="C585" i="4"/>
  <c r="D394" i="4"/>
  <c r="D186" i="4"/>
  <c r="B637" i="4"/>
  <c r="B748" i="4"/>
  <c r="C121" i="4"/>
  <c r="E150" i="4"/>
  <c r="B225" i="4"/>
  <c r="B433" i="4"/>
  <c r="C753" i="4"/>
  <c r="D121" i="4"/>
  <c r="F166" i="4"/>
  <c r="D204" i="4"/>
  <c r="E233" i="4"/>
  <c r="B480" i="4"/>
  <c r="C525" i="4"/>
  <c r="C594" i="4"/>
  <c r="B617" i="4"/>
  <c r="C340" i="4"/>
  <c r="B375" i="4"/>
  <c r="D770" i="4"/>
  <c r="C777" i="4"/>
  <c r="E944" i="4"/>
  <c r="F314" i="4"/>
  <c r="B321" i="4"/>
  <c r="D384" i="4"/>
  <c r="D521" i="4"/>
  <c r="E673" i="4"/>
  <c r="F750" i="4"/>
  <c r="E33" i="4"/>
  <c r="C321" i="4"/>
  <c r="D357" i="4"/>
  <c r="B659" i="4"/>
  <c r="F673" i="4"/>
  <c r="F321" i="4"/>
  <c r="F293" i="4"/>
  <c r="E374" i="4"/>
  <c r="F429" i="4"/>
  <c r="C33" i="4"/>
  <c r="D268" i="4"/>
  <c r="E357" i="4"/>
  <c r="D370" i="4"/>
  <c r="B444" i="4"/>
  <c r="C673" i="4"/>
  <c r="C809" i="4"/>
  <c r="B886" i="4"/>
  <c r="F279" i="4"/>
  <c r="D33" i="4"/>
  <c r="E370" i="4"/>
  <c r="D508" i="4"/>
  <c r="E653" i="4"/>
  <c r="C704" i="4"/>
  <c r="E718" i="4"/>
  <c r="D725" i="4"/>
  <c r="F61" i="4"/>
  <c r="E314" i="4"/>
  <c r="B340" i="4"/>
  <c r="B384" i="4"/>
  <c r="C405" i="4"/>
  <c r="D712" i="4"/>
  <c r="B753" i="4"/>
  <c r="D753" i="4"/>
  <c r="D44" i="4"/>
  <c r="F57" i="4"/>
  <c r="D321" i="4"/>
  <c r="D374" i="4"/>
  <c r="C429" i="4"/>
  <c r="F449" i="4"/>
  <c r="E589" i="4"/>
  <c r="C736" i="4"/>
  <c r="C853" i="4"/>
  <c r="D554" i="4"/>
  <c r="F561" i="4"/>
  <c r="C932" i="4"/>
  <c r="F53" i="4"/>
  <c r="F634" i="4"/>
  <c r="D713" i="4"/>
  <c r="B725" i="4"/>
  <c r="F798" i="4"/>
  <c r="D849" i="4"/>
  <c r="B869" i="4"/>
  <c r="C876" i="4"/>
  <c r="C913" i="4"/>
  <c r="E928" i="4"/>
  <c r="C41" i="4"/>
  <c r="D122" i="4"/>
  <c r="F134" i="4"/>
  <c r="B165" i="4"/>
  <c r="C225" i="4"/>
  <c r="D266" i="4"/>
  <c r="B341" i="4"/>
  <c r="E414" i="4"/>
  <c r="D421" i="4"/>
  <c r="D474" i="4"/>
  <c r="E551" i="4"/>
  <c r="B591" i="4"/>
  <c r="C864" i="4"/>
  <c r="E7" i="4"/>
  <c r="F41" i="4"/>
  <c r="E105" i="4"/>
  <c r="E118" i="4"/>
  <c r="E122" i="4"/>
  <c r="D142" i="4"/>
  <c r="F266" i="4"/>
  <c r="C341" i="4"/>
  <c r="B409" i="4"/>
  <c r="F421" i="4"/>
  <c r="F462" i="4"/>
  <c r="D468" i="4"/>
  <c r="F545" i="4"/>
  <c r="E580" i="4"/>
  <c r="F586" i="4"/>
  <c r="F650" i="4"/>
  <c r="D746" i="4"/>
  <c r="E929" i="4"/>
  <c r="F129" i="4"/>
  <c r="E142" i="4"/>
  <c r="D161" i="4"/>
  <c r="B172" i="4"/>
  <c r="F213" i="4"/>
  <c r="E241" i="4"/>
  <c r="E253" i="4"/>
  <c r="B361" i="4"/>
  <c r="C409" i="4"/>
  <c r="B599" i="4"/>
  <c r="E677" i="4"/>
  <c r="B704" i="4"/>
  <c r="D722" i="4"/>
  <c r="D740" i="4"/>
  <c r="E746" i="4"/>
  <c r="F794" i="4"/>
  <c r="E821" i="4"/>
  <c r="B865" i="4"/>
  <c r="E109" i="4"/>
  <c r="F174" i="4"/>
  <c r="F21" i="4"/>
  <c r="C161" i="4"/>
  <c r="C165" i="4"/>
  <c r="F161" i="4"/>
  <c r="C172" i="4"/>
  <c r="F722" i="4"/>
  <c r="C484" i="4"/>
  <c r="E519" i="4"/>
  <c r="E945" i="4"/>
  <c r="C109" i="4"/>
  <c r="F145" i="4"/>
  <c r="E174" i="4"/>
  <c r="E289" i="4"/>
  <c r="C680" i="4"/>
  <c r="E701" i="4"/>
  <c r="B713" i="4"/>
  <c r="B804" i="4"/>
  <c r="C882" i="4"/>
  <c r="E158" i="4"/>
  <c r="D333" i="4"/>
  <c r="D12" i="4"/>
  <c r="F106" i="4"/>
  <c r="C193" i="4"/>
  <c r="D226" i="4"/>
  <c r="D262" i="4"/>
  <c r="E278" i="4"/>
  <c r="F337" i="4"/>
  <c r="B348" i="4"/>
  <c r="E466" i="4"/>
  <c r="B737" i="4"/>
  <c r="D754" i="4"/>
  <c r="E28" i="4"/>
  <c r="D102" i="4"/>
  <c r="D106" i="4"/>
  <c r="D125" i="4"/>
  <c r="D158" i="4"/>
  <c r="E161" i="4"/>
  <c r="F186" i="4"/>
  <c r="B221" i="4"/>
  <c r="D225" i="4"/>
  <c r="E230" i="4"/>
  <c r="E234" i="4"/>
  <c r="F254" i="4"/>
  <c r="D280" i="4"/>
  <c r="E290" i="4"/>
  <c r="D294" i="4"/>
  <c r="C329" i="4"/>
  <c r="C337" i="4"/>
  <c r="B380" i="4"/>
  <c r="B388" i="4"/>
  <c r="D405" i="4"/>
  <c r="B461" i="4"/>
  <c r="B469" i="4"/>
  <c r="E496" i="4"/>
  <c r="D502" i="4"/>
  <c r="D540" i="4"/>
  <c r="F551" i="4"/>
  <c r="C580" i="4"/>
  <c r="D594" i="4"/>
  <c r="C600" i="4"/>
  <c r="D650" i="4"/>
  <c r="D673" i="4"/>
  <c r="F677" i="4"/>
  <c r="F701" i="4"/>
  <c r="D718" i="4"/>
  <c r="E722" i="4"/>
  <c r="B731" i="4"/>
  <c r="D736" i="4"/>
  <c r="C740" i="4"/>
  <c r="E750" i="4"/>
  <c r="D766" i="4"/>
  <c r="B777" i="4"/>
  <c r="F789" i="4"/>
  <c r="F821" i="4"/>
  <c r="B844" i="4"/>
  <c r="B849" i="4"/>
  <c r="C860" i="4"/>
  <c r="D865" i="4"/>
  <c r="D876" i="4"/>
  <c r="C952" i="4"/>
  <c r="C461" i="4"/>
  <c r="E102" i="4"/>
  <c r="F290" i="4"/>
  <c r="D329" i="4"/>
  <c r="D337" i="4"/>
  <c r="D182" i="4"/>
  <c r="E577" i="4"/>
  <c r="B685" i="4"/>
  <c r="F702" i="4"/>
  <c r="D801" i="4"/>
  <c r="F806" i="4"/>
  <c r="B845" i="4"/>
  <c r="B8" i="4"/>
  <c r="B25" i="4"/>
  <c r="B81" i="4"/>
  <c r="C85" i="4"/>
  <c r="F122" i="4"/>
  <c r="F126" i="4"/>
  <c r="D137" i="4"/>
  <c r="F154" i="4"/>
  <c r="E177" i="4"/>
  <c r="E193" i="4"/>
  <c r="C200" i="4"/>
  <c r="F226" i="4"/>
  <c r="F246" i="4"/>
  <c r="E262" i="4"/>
  <c r="F278" i="4"/>
  <c r="D301" i="4"/>
  <c r="D313" i="4"/>
  <c r="D334" i="4"/>
  <c r="B359" i="4"/>
  <c r="C364" i="4"/>
  <c r="B427" i="4"/>
  <c r="B439" i="4"/>
  <c r="C445" i="4"/>
  <c r="E457" i="4"/>
  <c r="E470" i="4"/>
  <c r="C493" i="4"/>
  <c r="E498" i="4"/>
  <c r="B503" i="4"/>
  <c r="C548" i="4"/>
  <c r="B559" i="4"/>
  <c r="F577" i="4"/>
  <c r="D592" i="4"/>
  <c r="C602" i="4"/>
  <c r="D646" i="4"/>
  <c r="D657" i="4"/>
  <c r="F670" i="4"/>
  <c r="C685" i="4"/>
  <c r="C728" i="4"/>
  <c r="D737" i="4"/>
  <c r="C797" i="4"/>
  <c r="F801" i="4"/>
  <c r="D813" i="4"/>
  <c r="D828" i="4"/>
  <c r="D845" i="4"/>
  <c r="C857" i="4"/>
  <c r="D884" i="4"/>
  <c r="E897" i="4"/>
  <c r="E977" i="4"/>
  <c r="C984" i="4"/>
  <c r="F234" i="4"/>
  <c r="C388" i="4"/>
  <c r="E90" i="4"/>
  <c r="D461" i="4"/>
  <c r="C625" i="4"/>
  <c r="C828" i="4"/>
  <c r="E936" i="4"/>
  <c r="C8" i="4"/>
  <c r="F13" i="4"/>
  <c r="F25" i="4"/>
  <c r="F49" i="4"/>
  <c r="D81" i="4"/>
  <c r="D85" i="4"/>
  <c r="F177" i="4"/>
  <c r="B189" i="4"/>
  <c r="C213" i="4"/>
  <c r="D242" i="4"/>
  <c r="B253" i="4"/>
  <c r="F262" i="4"/>
  <c r="B289" i="4"/>
  <c r="E313" i="4"/>
  <c r="C317" i="4"/>
  <c r="E334" i="4"/>
  <c r="C356" i="4"/>
  <c r="D382" i="4"/>
  <c r="E390" i="4"/>
  <c r="F470" i="4"/>
  <c r="F543" i="4"/>
  <c r="C559" i="4"/>
  <c r="C609" i="4"/>
  <c r="C621" i="4"/>
  <c r="E657" i="4"/>
  <c r="C724" i="4"/>
  <c r="D728" i="4"/>
  <c r="D742" i="4"/>
  <c r="B752" i="4"/>
  <c r="B755" i="4"/>
  <c r="C769" i="4"/>
  <c r="D774" i="4"/>
  <c r="E778" i="4"/>
  <c r="B792" i="4"/>
  <c r="F813" i="4"/>
  <c r="B824" i="4"/>
  <c r="E842" i="4"/>
  <c r="B868" i="4"/>
  <c r="D874" i="4"/>
  <c r="F884" i="4"/>
  <c r="C905" i="4"/>
  <c r="C992" i="4"/>
  <c r="E106" i="4"/>
  <c r="F294" i="4"/>
  <c r="F502" i="4"/>
  <c r="B85" i="4"/>
  <c r="E126" i="4"/>
  <c r="B137" i="4"/>
  <c r="B301" i="4"/>
  <c r="F306" i="4"/>
  <c r="E329" i="4"/>
  <c r="E487" i="4"/>
  <c r="D528" i="4"/>
  <c r="F718" i="4"/>
  <c r="C773" i="4"/>
  <c r="D777" i="4"/>
  <c r="D834" i="4"/>
  <c r="C884" i="4"/>
  <c r="D8" i="4"/>
  <c r="B21" i="4"/>
  <c r="C61" i="4"/>
  <c r="E81" i="4"/>
  <c r="D105" i="4"/>
  <c r="B121" i="4"/>
  <c r="D134" i="4"/>
  <c r="D150" i="4"/>
  <c r="B169" i="4"/>
  <c r="D174" i="4"/>
  <c r="D189" i="4"/>
  <c r="D213" i="4"/>
  <c r="D233" i="4"/>
  <c r="E242" i="4"/>
  <c r="C253" i="4"/>
  <c r="B268" i="4"/>
  <c r="B360" i="4"/>
  <c r="D365" i="4"/>
  <c r="E382" i="4"/>
  <c r="E386" i="4"/>
  <c r="D404" i="4"/>
  <c r="F423" i="4"/>
  <c r="D452" i="4"/>
  <c r="B477" i="4"/>
  <c r="D489" i="4"/>
  <c r="C538" i="4"/>
  <c r="E554" i="4"/>
  <c r="E565" i="4"/>
  <c r="E578" i="4"/>
  <c r="D589" i="4"/>
  <c r="B593" i="4"/>
  <c r="C603" i="4"/>
  <c r="D609" i="4"/>
  <c r="E621" i="4"/>
  <c r="E798" i="4"/>
  <c r="D820" i="4"/>
  <c r="C824" i="4"/>
  <c r="B836" i="4"/>
  <c r="F842" i="4"/>
  <c r="F858" i="4"/>
  <c r="F324" i="4"/>
  <c r="B324" i="4"/>
  <c r="F336" i="4"/>
  <c r="C336" i="4"/>
  <c r="B336" i="4"/>
  <c r="E345" i="4"/>
  <c r="D345" i="4"/>
  <c r="C345" i="4"/>
  <c r="F349" i="4"/>
  <c r="C349" i="4"/>
  <c r="E353" i="4"/>
  <c r="D353" i="4"/>
  <c r="C353" i="4"/>
  <c r="C654" i="4"/>
  <c r="D654" i="4"/>
  <c r="E921" i="4"/>
  <c r="C921" i="4"/>
  <c r="D21" i="4"/>
  <c r="D25" i="4"/>
  <c r="C39" i="4"/>
  <c r="E41" i="4"/>
  <c r="D54" i="4"/>
  <c r="E57" i="4"/>
  <c r="E61" i="4"/>
  <c r="C71" i="4"/>
  <c r="F75" i="4"/>
  <c r="B88" i="4"/>
  <c r="E100" i="4"/>
  <c r="F102" i="4"/>
  <c r="D109" i="4"/>
  <c r="F118" i="4"/>
  <c r="C125" i="4"/>
  <c r="E134" i="4"/>
  <c r="C137" i="4"/>
  <c r="D140" i="4"/>
  <c r="F142" i="4"/>
  <c r="F150" i="4"/>
  <c r="F158" i="4"/>
  <c r="C169" i="4"/>
  <c r="E182" i="4"/>
  <c r="E186" i="4"/>
  <c r="C189" i="4"/>
  <c r="D193" i="4"/>
  <c r="D198" i="4"/>
  <c r="D209" i="4"/>
  <c r="C221" i="4"/>
  <c r="E226" i="4"/>
  <c r="D238" i="4"/>
  <c r="B245" i="4"/>
  <c r="E266" i="4"/>
  <c r="B273" i="4"/>
  <c r="C281" i="4"/>
  <c r="E298" i="4"/>
  <c r="B305" i="4"/>
  <c r="F310" i="4"/>
  <c r="C324" i="4"/>
  <c r="F333" i="4"/>
  <c r="E333" i="4"/>
  <c r="B333" i="4"/>
  <c r="B345" i="4"/>
  <c r="B349" i="4"/>
  <c r="B353" i="4"/>
  <c r="F436" i="4"/>
  <c r="D436" i="4"/>
  <c r="F556" i="4"/>
  <c r="D556" i="4"/>
  <c r="C556" i="4"/>
  <c r="B556" i="4"/>
  <c r="F629" i="4"/>
  <c r="E629" i="4"/>
  <c r="D629" i="4"/>
  <c r="C629" i="4"/>
  <c r="B629" i="4"/>
  <c r="F781" i="4"/>
  <c r="E781" i="4"/>
  <c r="D781" i="4"/>
  <c r="C781" i="4"/>
  <c r="B781" i="4"/>
  <c r="B854" i="4"/>
  <c r="F854" i="4"/>
  <c r="E854" i="4"/>
  <c r="D854" i="4"/>
  <c r="C854" i="4"/>
  <c r="E198" i="4"/>
  <c r="E125" i="4"/>
  <c r="B141" i="4"/>
  <c r="E170" i="4"/>
  <c r="B173" i="4"/>
  <c r="B183" i="4"/>
  <c r="F193" i="4"/>
  <c r="F198" i="4"/>
  <c r="D202" i="4"/>
  <c r="D206" i="4"/>
  <c r="F209" i="4"/>
  <c r="D218" i="4"/>
  <c r="D222" i="4"/>
  <c r="C232" i="4"/>
  <c r="F238" i="4"/>
  <c r="D245" i="4"/>
  <c r="B257" i="4"/>
  <c r="C261" i="4"/>
  <c r="D264" i="4"/>
  <c r="D270" i="4"/>
  <c r="E273" i="4"/>
  <c r="B277" i="4"/>
  <c r="E302" i="4"/>
  <c r="D305" i="4"/>
  <c r="B309" i="4"/>
  <c r="F311" i="4"/>
  <c r="D318" i="4"/>
  <c r="E325" i="4"/>
  <c r="C346" i="4"/>
  <c r="E346" i="4"/>
  <c r="E349" i="4"/>
  <c r="D535" i="4"/>
  <c r="B535" i="4"/>
  <c r="F872" i="4"/>
  <c r="D872" i="4"/>
  <c r="B872" i="4"/>
  <c r="C88" i="4"/>
  <c r="F298" i="4"/>
  <c r="C305" i="4"/>
  <c r="F345" i="4"/>
  <c r="E805" i="4"/>
  <c r="F805" i="4"/>
  <c r="D805" i="4"/>
  <c r="C805" i="4"/>
  <c r="B805" i="4"/>
  <c r="E3" i="4"/>
  <c r="B96" i="4"/>
  <c r="B32" i="4"/>
  <c r="B36" i="4"/>
  <c r="C40" i="4"/>
  <c r="B53" i="4"/>
  <c r="F55" i="4"/>
  <c r="E58" i="4"/>
  <c r="C69" i="4"/>
  <c r="C73" i="4"/>
  <c r="D77" i="4"/>
  <c r="B89" i="4"/>
  <c r="C93" i="4"/>
  <c r="E96" i="4"/>
  <c r="D101" i="4"/>
  <c r="D104" i="4"/>
  <c r="D110" i="4"/>
  <c r="C129" i="4"/>
  <c r="B133" i="4"/>
  <c r="D138" i="4"/>
  <c r="C141" i="4"/>
  <c r="D157" i="4"/>
  <c r="F170" i="4"/>
  <c r="C173" i="4"/>
  <c r="B177" i="4"/>
  <c r="F190" i="4"/>
  <c r="E202" i="4"/>
  <c r="E206" i="4"/>
  <c r="E218" i="4"/>
  <c r="E222" i="4"/>
  <c r="F245" i="4"/>
  <c r="D257" i="4"/>
  <c r="E270" i="4"/>
  <c r="D277" i="4"/>
  <c r="D282" i="4"/>
  <c r="E286" i="4"/>
  <c r="B293" i="4"/>
  <c r="F302" i="4"/>
  <c r="E305" i="4"/>
  <c r="C309" i="4"/>
  <c r="F346" i="4"/>
  <c r="C402" i="4"/>
  <c r="E402" i="4"/>
  <c r="D402" i="4"/>
  <c r="F553" i="4"/>
  <c r="D553" i="4"/>
  <c r="B553" i="4"/>
  <c r="F741" i="4"/>
  <c r="D741" i="4"/>
  <c r="B741" i="4"/>
  <c r="E948" i="4"/>
  <c r="C948" i="4"/>
  <c r="C245" i="4"/>
  <c r="C318" i="4"/>
  <c r="F318" i="4"/>
  <c r="F353" i="4"/>
  <c r="F795" i="4"/>
  <c r="B795" i="4"/>
  <c r="B13" i="4"/>
  <c r="C13" i="4"/>
  <c r="C23" i="4"/>
  <c r="E36" i="4"/>
  <c r="D40" i="4"/>
  <c r="F43" i="4"/>
  <c r="B49" i="4"/>
  <c r="D53" i="4"/>
  <c r="E69" i="4"/>
  <c r="D73" i="4"/>
  <c r="F77" i="4"/>
  <c r="F81" i="4"/>
  <c r="C89" i="4"/>
  <c r="D93" i="4"/>
  <c r="E101" i="4"/>
  <c r="E110" i="4"/>
  <c r="D129" i="4"/>
  <c r="C133" i="4"/>
  <c r="C136" i="4"/>
  <c r="E138" i="4"/>
  <c r="D141" i="4"/>
  <c r="D145" i="4"/>
  <c r="B153" i="4"/>
  <c r="E157" i="4"/>
  <c r="C168" i="4"/>
  <c r="C177" i="4"/>
  <c r="B188" i="4"/>
  <c r="F199" i="4"/>
  <c r="F202" i="4"/>
  <c r="F206" i="4"/>
  <c r="E210" i="4"/>
  <c r="F222" i="4"/>
  <c r="E225" i="4"/>
  <c r="B233" i="4"/>
  <c r="D250" i="4"/>
  <c r="F253" i="4"/>
  <c r="E257" i="4"/>
  <c r="C265" i="4"/>
  <c r="F270" i="4"/>
  <c r="E274" i="4"/>
  <c r="B280" i="4"/>
  <c r="E282" i="4"/>
  <c r="F286" i="4"/>
  <c r="C293" i="4"/>
  <c r="D309" i="4"/>
  <c r="C322" i="4"/>
  <c r="E322" i="4"/>
  <c r="D322" i="4"/>
  <c r="C330" i="4"/>
  <c r="F330" i="4"/>
  <c r="E330" i="4"/>
  <c r="E407" i="4"/>
  <c r="F407" i="4"/>
  <c r="B407" i="4"/>
  <c r="F571" i="4"/>
  <c r="C571" i="4"/>
  <c r="C714" i="4"/>
  <c r="F714" i="4"/>
  <c r="D714" i="4"/>
  <c r="E209" i="4"/>
  <c r="E238" i="4"/>
  <c r="B325" i="4"/>
  <c r="D325" i="4"/>
  <c r="C325" i="4"/>
  <c r="D349" i="4"/>
  <c r="E455" i="4"/>
  <c r="F455" i="4"/>
  <c r="B455" i="4"/>
  <c r="F606" i="4"/>
  <c r="D606" i="4"/>
  <c r="E915" i="4"/>
  <c r="C915" i="4"/>
  <c r="E995" i="4"/>
  <c r="C995" i="4"/>
  <c r="B40" i="4"/>
  <c r="C55" i="4"/>
  <c r="C101" i="4"/>
  <c r="E9" i="4"/>
  <c r="D13" i="4"/>
  <c r="D28" i="4"/>
  <c r="E40" i="4"/>
  <c r="D49" i="4"/>
  <c r="E53" i="4"/>
  <c r="B64" i="4"/>
  <c r="F69" i="4"/>
  <c r="E73" i="4"/>
  <c r="D86" i="4"/>
  <c r="D89" i="4"/>
  <c r="E93" i="4"/>
  <c r="C105" i="4"/>
  <c r="F110" i="4"/>
  <c r="E129" i="4"/>
  <c r="D133" i="4"/>
  <c r="F138" i="4"/>
  <c r="E145" i="4"/>
  <c r="C153" i="4"/>
  <c r="C233" i="4"/>
  <c r="E250" i="4"/>
  <c r="F274" i="4"/>
  <c r="C280" i="4"/>
  <c r="F282" i="4"/>
  <c r="D293" i="4"/>
  <c r="E309" i="4"/>
  <c r="F352" i="4"/>
  <c r="C352" i="4"/>
  <c r="B377" i="4"/>
  <c r="F377" i="4"/>
  <c r="E377" i="4"/>
  <c r="D377" i="4"/>
  <c r="C377" i="4"/>
  <c r="C738" i="4"/>
  <c r="F738" i="4"/>
  <c r="D738" i="4"/>
  <c r="F829" i="4"/>
  <c r="D829" i="4"/>
  <c r="C829" i="4"/>
  <c r="B829" i="4"/>
  <c r="B846" i="4"/>
  <c r="E846" i="4"/>
  <c r="D846" i="4"/>
  <c r="F880" i="4"/>
  <c r="D880" i="4"/>
  <c r="C880" i="4"/>
  <c r="B880" i="4"/>
  <c r="E891" i="4"/>
  <c r="C891" i="4"/>
  <c r="F317" i="4"/>
  <c r="E317" i="4"/>
  <c r="B317" i="4"/>
  <c r="E471" i="4"/>
  <c r="F471" i="4"/>
  <c r="B471" i="4"/>
  <c r="E531" i="4"/>
  <c r="B531" i="4"/>
  <c r="E681" i="4"/>
  <c r="F681" i="4"/>
  <c r="B681" i="4"/>
  <c r="B787" i="4"/>
  <c r="F787" i="4"/>
  <c r="E793" i="4"/>
  <c r="F793" i="4"/>
  <c r="D793" i="4"/>
  <c r="C793" i="4"/>
  <c r="B793" i="4"/>
  <c r="F329" i="4"/>
  <c r="F334" i="4"/>
  <c r="E337" i="4"/>
  <c r="F357" i="4"/>
  <c r="C360" i="4"/>
  <c r="F365" i="4"/>
  <c r="D380" i="4"/>
  <c r="E394" i="4"/>
  <c r="D409" i="4"/>
  <c r="E421" i="4"/>
  <c r="D429" i="4"/>
  <c r="F439" i="4"/>
  <c r="F445" i="4"/>
  <c r="F461" i="4"/>
  <c r="C477" i="4"/>
  <c r="D484" i="4"/>
  <c r="D492" i="4"/>
  <c r="E508" i="4"/>
  <c r="E525" i="4"/>
  <c r="E528" i="4"/>
  <c r="D585" i="4"/>
  <c r="E592" i="4"/>
  <c r="D625" i="4"/>
  <c r="E766" i="4"/>
  <c r="E770" i="4"/>
  <c r="E774" i="4"/>
  <c r="C868" i="4"/>
  <c r="C886" i="4"/>
  <c r="F409" i="4"/>
  <c r="D453" i="4"/>
  <c r="D466" i="4"/>
  <c r="F477" i="4"/>
  <c r="D496" i="4"/>
  <c r="B500" i="4"/>
  <c r="C519" i="4"/>
  <c r="F525" i="4"/>
  <c r="B563" i="4"/>
  <c r="B583" i="4"/>
  <c r="F589" i="4"/>
  <c r="B596" i="4"/>
  <c r="F609" i="4"/>
  <c r="E625" i="4"/>
  <c r="B633" i="4"/>
  <c r="C648" i="4"/>
  <c r="F657" i="4"/>
  <c r="E661" i="4"/>
  <c r="B669" i="4"/>
  <c r="D685" i="4"/>
  <c r="B688" i="4"/>
  <c r="B691" i="4"/>
  <c r="D726" i="4"/>
  <c r="B729" i="4"/>
  <c r="B732" i="4"/>
  <c r="B749" i="4"/>
  <c r="F753" i="4"/>
  <c r="C764" i="4"/>
  <c r="F766" i="4"/>
  <c r="F770" i="4"/>
  <c r="F774" i="4"/>
  <c r="F777" i="4"/>
  <c r="B785" i="4"/>
  <c r="E790" i="4"/>
  <c r="E802" i="4"/>
  <c r="B812" i="4"/>
  <c r="D814" i="4"/>
  <c r="D822" i="4"/>
  <c r="C833" i="4"/>
  <c r="B837" i="4"/>
  <c r="B841" i="4"/>
  <c r="D850" i="4"/>
  <c r="C858" i="4"/>
  <c r="B861" i="4"/>
  <c r="D434" i="4"/>
  <c r="B440" i="4"/>
  <c r="E453" i="4"/>
  <c r="B460" i="4"/>
  <c r="B551" i="4"/>
  <c r="C563" i="4"/>
  <c r="B567" i="4"/>
  <c r="C577" i="4"/>
  <c r="C583" i="4"/>
  <c r="C586" i="4"/>
  <c r="C623" i="4"/>
  <c r="F625" i="4"/>
  <c r="C633" i="4"/>
  <c r="C639" i="4"/>
  <c r="D644" i="4"/>
  <c r="D648" i="4"/>
  <c r="F661" i="4"/>
  <c r="D666" i="4"/>
  <c r="C669" i="4"/>
  <c r="D674" i="4"/>
  <c r="F685" i="4"/>
  <c r="B696" i="4"/>
  <c r="B700" i="4"/>
  <c r="D702" i="4"/>
  <c r="C712" i="4"/>
  <c r="F726" i="4"/>
  <c r="D729" i="4"/>
  <c r="C732" i="4"/>
  <c r="C749" i="4"/>
  <c r="D764" i="4"/>
  <c r="C785" i="4"/>
  <c r="B788" i="4"/>
  <c r="F790" i="4"/>
  <c r="B800" i="4"/>
  <c r="F802" i="4"/>
  <c r="B809" i="4"/>
  <c r="C812" i="4"/>
  <c r="B820" i="4"/>
  <c r="E822" i="4"/>
  <c r="E826" i="4"/>
  <c r="D837" i="4"/>
  <c r="C841" i="4"/>
  <c r="E850" i="4"/>
  <c r="E858" i="4"/>
  <c r="D861" i="4"/>
  <c r="C953" i="4"/>
  <c r="C996" i="4"/>
  <c r="D341" i="4"/>
  <c r="C361" i="4"/>
  <c r="D388" i="4"/>
  <c r="B392" i="4"/>
  <c r="B396" i="4"/>
  <c r="B400" i="4"/>
  <c r="B403" i="4"/>
  <c r="E405" i="4"/>
  <c r="B408" i="4"/>
  <c r="B419" i="4"/>
  <c r="D422" i="4"/>
  <c r="C425" i="4"/>
  <c r="B428" i="4"/>
  <c r="F430" i="4"/>
  <c r="E434" i="4"/>
  <c r="D438" i="4"/>
  <c r="C440" i="4"/>
  <c r="C444" i="4"/>
  <c r="B451" i="4"/>
  <c r="F453" i="4"/>
  <c r="C460" i="4"/>
  <c r="F466" i="4"/>
  <c r="C472" i="4"/>
  <c r="B476" i="4"/>
  <c r="D478" i="4"/>
  <c r="D493" i="4"/>
  <c r="E501" i="4"/>
  <c r="B516" i="4"/>
  <c r="F519" i="4"/>
  <c r="B524" i="4"/>
  <c r="B532" i="4"/>
  <c r="E543" i="4"/>
  <c r="B548" i="4"/>
  <c r="C551" i="4"/>
  <c r="C554" i="4"/>
  <c r="B561" i="4"/>
  <c r="E563" i="4"/>
  <c r="D577" i="4"/>
  <c r="B580" i="4"/>
  <c r="F583" i="4"/>
  <c r="E607" i="4"/>
  <c r="F610" i="4"/>
  <c r="B620" i="4"/>
  <c r="E623" i="4"/>
  <c r="D633" i="4"/>
  <c r="B636" i="4"/>
  <c r="C653" i="4"/>
  <c r="D658" i="4"/>
  <c r="E666" i="4"/>
  <c r="D669" i="4"/>
  <c r="B689" i="4"/>
  <c r="C696" i="4"/>
  <c r="D700" i="4"/>
  <c r="D732" i="4"/>
  <c r="D749" i="4"/>
  <c r="D785" i="4"/>
  <c r="D812" i="4"/>
  <c r="F822" i="4"/>
  <c r="E841" i="4"/>
  <c r="C923" i="4"/>
  <c r="E341" i="4"/>
  <c r="D361" i="4"/>
  <c r="D392" i="4"/>
  <c r="C396" i="4"/>
  <c r="D400" i="4"/>
  <c r="F403" i="4"/>
  <c r="C408" i="4"/>
  <c r="F419" i="4"/>
  <c r="E422" i="4"/>
  <c r="D425" i="4"/>
  <c r="C428" i="4"/>
  <c r="F434" i="4"/>
  <c r="E438" i="4"/>
  <c r="D440" i="4"/>
  <c r="D444" i="4"/>
  <c r="F451" i="4"/>
  <c r="C457" i="4"/>
  <c r="D470" i="4"/>
  <c r="D472" i="4"/>
  <c r="C476" i="4"/>
  <c r="C487" i="4"/>
  <c r="E493" i="4"/>
  <c r="C516" i="4"/>
  <c r="C524" i="4"/>
  <c r="C530" i="4"/>
  <c r="F633" i="4"/>
  <c r="D653" i="4"/>
  <c r="F666" i="4"/>
  <c r="F669" i="4"/>
  <c r="B680" i="4"/>
  <c r="E686" i="4"/>
  <c r="C689" i="4"/>
  <c r="B708" i="4"/>
  <c r="D724" i="4"/>
  <c r="D730" i="4"/>
  <c r="F742" i="4"/>
  <c r="F746" i="4"/>
  <c r="F749" i="4"/>
  <c r="D752" i="4"/>
  <c r="E754" i="4"/>
  <c r="D758" i="4"/>
  <c r="D762" i="4"/>
  <c r="B765" i="4"/>
  <c r="B776" i="4"/>
  <c r="F778" i="4"/>
  <c r="E785" i="4"/>
  <c r="B789" i="4"/>
  <c r="B801" i="4"/>
  <c r="E809" i="4"/>
  <c r="C816" i="4"/>
  <c r="D830" i="4"/>
  <c r="E834" i="4"/>
  <c r="E838" i="4"/>
  <c r="F841" i="4"/>
  <c r="B848" i="4"/>
  <c r="E862" i="4"/>
  <c r="E866" i="4"/>
  <c r="E870" i="4"/>
  <c r="B874" i="4"/>
  <c r="C889" i="4"/>
  <c r="C348" i="4"/>
  <c r="C357" i="4"/>
  <c r="E361" i="4"/>
  <c r="C365" i="4"/>
  <c r="D386" i="4"/>
  <c r="D396" i="4"/>
  <c r="B416" i="4"/>
  <c r="E425" i="4"/>
  <c r="F438" i="4"/>
  <c r="D454" i="4"/>
  <c r="D457" i="4"/>
  <c r="D476" i="4"/>
  <c r="C502" i="4"/>
  <c r="D516" i="4"/>
  <c r="D524" i="4"/>
  <c r="D530" i="4"/>
  <c r="D548" i="4"/>
  <c r="D574" i="4"/>
  <c r="F686" i="4"/>
  <c r="D689" i="4"/>
  <c r="B701" i="4"/>
  <c r="C708" i="4"/>
  <c r="F730" i="4"/>
  <c r="F754" i="4"/>
  <c r="E758" i="4"/>
  <c r="E762" i="4"/>
  <c r="D765" i="4"/>
  <c r="C789" i="4"/>
  <c r="E794" i="4"/>
  <c r="D798" i="4"/>
  <c r="C801" i="4"/>
  <c r="E806" i="4"/>
  <c r="F809" i="4"/>
  <c r="C813" i="4"/>
  <c r="B821" i="4"/>
  <c r="F830" i="4"/>
  <c r="F838" i="4"/>
  <c r="F870" i="4"/>
  <c r="C874" i="4"/>
  <c r="B878" i="4"/>
  <c r="B882" i="4"/>
  <c r="B885" i="4"/>
  <c r="C907" i="4"/>
  <c r="C976" i="4"/>
  <c r="C988" i="4"/>
  <c r="B423" i="4"/>
  <c r="F425" i="4"/>
  <c r="B429" i="4"/>
  <c r="B445" i="4"/>
  <c r="E454" i="4"/>
  <c r="B484" i="4"/>
  <c r="F487" i="4"/>
  <c r="B492" i="4"/>
  <c r="C528" i="4"/>
  <c r="E530" i="4"/>
  <c r="E548" i="4"/>
  <c r="C562" i="4"/>
  <c r="B585" i="4"/>
  <c r="C592" i="4"/>
  <c r="E594" i="4"/>
  <c r="B609" i="4"/>
  <c r="C617" i="4"/>
  <c r="D621" i="4"/>
  <c r="E634" i="4"/>
  <c r="C637" i="4"/>
  <c r="F641" i="4"/>
  <c r="E646" i="4"/>
  <c r="E650" i="4"/>
  <c r="F653" i="4"/>
  <c r="C657" i="4"/>
  <c r="B667" i="4"/>
  <c r="E670" i="4"/>
  <c r="F689" i="4"/>
  <c r="D701" i="4"/>
  <c r="F758" i="4"/>
  <c r="F762" i="4"/>
  <c r="D789" i="4"/>
  <c r="B3" i="3"/>
  <c r="E3" i="3"/>
  <c r="F412" i="4"/>
  <c r="B412" i="4"/>
  <c r="E459" i="4"/>
  <c r="F459" i="4"/>
  <c r="D499" i="4"/>
  <c r="F499" i="4"/>
  <c r="C499" i="4"/>
  <c r="E499" i="4"/>
  <c r="B499" i="4"/>
  <c r="C24" i="4"/>
  <c r="E26" i="4"/>
  <c r="E38" i="4"/>
  <c r="B45" i="4"/>
  <c r="D60" i="4"/>
  <c r="C65" i="4"/>
  <c r="B68" i="4"/>
  <c r="B72" i="4"/>
  <c r="D76" i="4"/>
  <c r="C87" i="4"/>
  <c r="F103" i="4"/>
  <c r="E114" i="4"/>
  <c r="C117" i="4"/>
  <c r="D130" i="4"/>
  <c r="B135" i="4"/>
  <c r="D146" i="4"/>
  <c r="B149" i="4"/>
  <c r="B185" i="4"/>
  <c r="B197" i="4"/>
  <c r="B201" i="4"/>
  <c r="B205" i="4"/>
  <c r="D214" i="4"/>
  <c r="F237" i="4"/>
  <c r="C237" i="4"/>
  <c r="F249" i="4"/>
  <c r="E249" i="4"/>
  <c r="B249" i="4"/>
  <c r="F308" i="4"/>
  <c r="D308" i="4"/>
  <c r="C308" i="4"/>
  <c r="C342" i="4"/>
  <c r="F342" i="4"/>
  <c r="E342" i="4"/>
  <c r="D342" i="4"/>
  <c r="C350" i="4"/>
  <c r="F350" i="4"/>
  <c r="E350" i="4"/>
  <c r="D350" i="4"/>
  <c r="E373" i="4"/>
  <c r="F376" i="4"/>
  <c r="B376" i="4"/>
  <c r="C378" i="4"/>
  <c r="F378" i="4"/>
  <c r="E378" i="4"/>
  <c r="D385" i="4"/>
  <c r="C385" i="4"/>
  <c r="B385" i="4"/>
  <c r="E385" i="4"/>
  <c r="E398" i="4"/>
  <c r="C412" i="4"/>
  <c r="F437" i="4"/>
  <c r="E437" i="4"/>
  <c r="C437" i="4"/>
  <c r="D437" i="4"/>
  <c r="B437" i="4"/>
  <c r="B459" i="4"/>
  <c r="B522" i="4"/>
  <c r="F522" i="4"/>
  <c r="D522" i="4"/>
  <c r="E522" i="4"/>
  <c r="C522" i="4"/>
  <c r="B546" i="4"/>
  <c r="F546" i="4"/>
  <c r="E546" i="4"/>
  <c r="F699" i="4"/>
  <c r="B699" i="4"/>
  <c r="F705" i="4"/>
  <c r="E705" i="4"/>
  <c r="D705" i="4"/>
  <c r="B705" i="4"/>
  <c r="C705" i="4"/>
  <c r="F808" i="4"/>
  <c r="D808" i="4"/>
  <c r="C808" i="4"/>
  <c r="B808" i="4"/>
  <c r="F825" i="4"/>
  <c r="E825" i="4"/>
  <c r="D825" i="4"/>
  <c r="C825" i="4"/>
  <c r="B825" i="4"/>
  <c r="B2" i="4"/>
  <c r="C4" i="4"/>
  <c r="F6" i="4"/>
  <c r="E8" i="4"/>
  <c r="C11" i="4"/>
  <c r="C17" i="4"/>
  <c r="E22" i="4"/>
  <c r="B29" i="4"/>
  <c r="F33" i="4"/>
  <c r="B37" i="4"/>
  <c r="F38" i="4"/>
  <c r="C45" i="4"/>
  <c r="B56" i="4"/>
  <c r="E60" i="4"/>
  <c r="D65" i="4"/>
  <c r="E68" i="4"/>
  <c r="D70" i="4"/>
  <c r="C72" i="4"/>
  <c r="F73" i="4"/>
  <c r="E85" i="4"/>
  <c r="F87" i="4"/>
  <c r="E89" i="4"/>
  <c r="C92" i="4"/>
  <c r="F93" i="4"/>
  <c r="B97" i="4"/>
  <c r="F101" i="4"/>
  <c r="F105" i="4"/>
  <c r="B108" i="4"/>
  <c r="F109" i="4"/>
  <c r="B113" i="4"/>
  <c r="F114" i="4"/>
  <c r="D117" i="4"/>
  <c r="B119" i="4"/>
  <c r="E121" i="4"/>
  <c r="B124" i="4"/>
  <c r="E130" i="4"/>
  <c r="E133" i="4"/>
  <c r="E137" i="4"/>
  <c r="E141" i="4"/>
  <c r="E146" i="4"/>
  <c r="C149" i="4"/>
  <c r="D153" i="4"/>
  <c r="F157" i="4"/>
  <c r="D162" i="4"/>
  <c r="D165" i="4"/>
  <c r="B167" i="4"/>
  <c r="D169" i="4"/>
  <c r="D173" i="4"/>
  <c r="D178" i="4"/>
  <c r="B181" i="4"/>
  <c r="F182" i="4"/>
  <c r="C185" i="4"/>
  <c r="E189" i="4"/>
  <c r="C197" i="4"/>
  <c r="C201" i="4"/>
  <c r="C205" i="4"/>
  <c r="E214" i="4"/>
  <c r="B217" i="4"/>
  <c r="F218" i="4"/>
  <c r="D221" i="4"/>
  <c r="B229" i="4"/>
  <c r="B231" i="4"/>
  <c r="B237" i="4"/>
  <c r="C249" i="4"/>
  <c r="F269" i="4"/>
  <c r="E269" i="4"/>
  <c r="B269" i="4"/>
  <c r="F272" i="4"/>
  <c r="D272" i="4"/>
  <c r="C272" i="4"/>
  <c r="B272" i="4"/>
  <c r="F295" i="4"/>
  <c r="B308" i="4"/>
  <c r="B327" i="4"/>
  <c r="F368" i="4"/>
  <c r="C368" i="4"/>
  <c r="C376" i="4"/>
  <c r="D378" i="4"/>
  <c r="F385" i="4"/>
  <c r="D412" i="4"/>
  <c r="F456" i="4"/>
  <c r="D456" i="4"/>
  <c r="B456" i="4"/>
  <c r="C456" i="4"/>
  <c r="E475" i="4"/>
  <c r="F475" i="4"/>
  <c r="B475" i="4"/>
  <c r="D481" i="4"/>
  <c r="C481" i="4"/>
  <c r="B481" i="4"/>
  <c r="E481" i="4"/>
  <c r="E536" i="4"/>
  <c r="C536" i="4"/>
  <c r="D114" i="4"/>
  <c r="C252" i="4"/>
  <c r="B252" i="4"/>
  <c r="B17" i="4"/>
  <c r="B2" i="3"/>
  <c r="D17" i="4"/>
  <c r="C29" i="4"/>
  <c r="C37" i="4"/>
  <c r="D45" i="4"/>
  <c r="C56" i="4"/>
  <c r="E65" i="4"/>
  <c r="E70" i="4"/>
  <c r="D72" i="4"/>
  <c r="B77" i="4"/>
  <c r="D92" i="4"/>
  <c r="C97" i="4"/>
  <c r="B100" i="4"/>
  <c r="C108" i="4"/>
  <c r="C113" i="4"/>
  <c r="E117" i="4"/>
  <c r="D126" i="4"/>
  <c r="F130" i="4"/>
  <c r="B140" i="4"/>
  <c r="B145" i="4"/>
  <c r="F146" i="4"/>
  <c r="D149" i="4"/>
  <c r="B151" i="4"/>
  <c r="E153" i="4"/>
  <c r="B156" i="4"/>
  <c r="E162" i="4"/>
  <c r="E165" i="4"/>
  <c r="E169" i="4"/>
  <c r="E173" i="4"/>
  <c r="E178" i="4"/>
  <c r="C181" i="4"/>
  <c r="D185" i="4"/>
  <c r="D194" i="4"/>
  <c r="D197" i="4"/>
  <c r="D201" i="4"/>
  <c r="D205" i="4"/>
  <c r="D210" i="4"/>
  <c r="B213" i="4"/>
  <c r="F214" i="4"/>
  <c r="C217" i="4"/>
  <c r="E221" i="4"/>
  <c r="C229" i="4"/>
  <c r="D237" i="4"/>
  <c r="D241" i="4"/>
  <c r="C241" i="4"/>
  <c r="B241" i="4"/>
  <c r="C246" i="4"/>
  <c r="E246" i="4"/>
  <c r="D249" i="4"/>
  <c r="F261" i="4"/>
  <c r="E261" i="4"/>
  <c r="B261" i="4"/>
  <c r="B263" i="4"/>
  <c r="C269" i="4"/>
  <c r="F273" i="4"/>
  <c r="C273" i="4"/>
  <c r="F281" i="4"/>
  <c r="E281" i="4"/>
  <c r="B281" i="4"/>
  <c r="F284" i="4"/>
  <c r="D284" i="4"/>
  <c r="C284" i="4"/>
  <c r="B284" i="4"/>
  <c r="F296" i="4"/>
  <c r="D296" i="4"/>
  <c r="C296" i="4"/>
  <c r="B296" i="4"/>
  <c r="F320" i="4"/>
  <c r="D320" i="4"/>
  <c r="C320" i="4"/>
  <c r="F328" i="4"/>
  <c r="D328" i="4"/>
  <c r="C328" i="4"/>
  <c r="B343" i="4"/>
  <c r="B368" i="4"/>
  <c r="D376" i="4"/>
  <c r="E389" i="4"/>
  <c r="D389" i="4"/>
  <c r="C389" i="4"/>
  <c r="F389" i="4"/>
  <c r="B6" i="4"/>
  <c r="B24" i="4"/>
  <c r="C60" i="4"/>
  <c r="B65" i="4"/>
  <c r="B117" i="4"/>
  <c r="B4" i="4"/>
  <c r="C2" i="4"/>
  <c r="D4" i="4"/>
  <c r="D2" i="3"/>
  <c r="F2" i="4"/>
  <c r="E4" i="4"/>
  <c r="B7" i="4"/>
  <c r="B9" i="4"/>
  <c r="E17" i="4"/>
  <c r="C21" i="4"/>
  <c r="B23" i="4"/>
  <c r="C25" i="4"/>
  <c r="D29" i="4"/>
  <c r="E32" i="4"/>
  <c r="D37" i="4"/>
  <c r="B41" i="4"/>
  <c r="E45" i="4"/>
  <c r="C49" i="4"/>
  <c r="B61" i="4"/>
  <c r="B69" i="4"/>
  <c r="E72" i="4"/>
  <c r="C77" i="4"/>
  <c r="E92" i="4"/>
  <c r="D97" i="4"/>
  <c r="D113" i="4"/>
  <c r="E149" i="4"/>
  <c r="F162" i="4"/>
  <c r="F178" i="4"/>
  <c r="D181" i="4"/>
  <c r="E185" i="4"/>
  <c r="E194" i="4"/>
  <c r="E197" i="4"/>
  <c r="E201" i="4"/>
  <c r="E205" i="4"/>
  <c r="D217" i="4"/>
  <c r="D229" i="4"/>
  <c r="E237" i="4"/>
  <c r="F276" i="4"/>
  <c r="D276" i="4"/>
  <c r="C276" i="4"/>
  <c r="B276" i="4"/>
  <c r="F285" i="4"/>
  <c r="C285" i="4"/>
  <c r="F297" i="4"/>
  <c r="C297" i="4"/>
  <c r="F344" i="4"/>
  <c r="D344" i="4"/>
  <c r="C344" i="4"/>
  <c r="D393" i="4"/>
  <c r="C393" i="4"/>
  <c r="B393" i="4"/>
  <c r="E393" i="4"/>
  <c r="C410" i="4"/>
  <c r="F410" i="4"/>
  <c r="E410" i="4"/>
  <c r="D417" i="4"/>
  <c r="C417" i="4"/>
  <c r="B417" i="4"/>
  <c r="F420" i="4"/>
  <c r="C420" i="4"/>
  <c r="D420" i="4"/>
  <c r="F448" i="4"/>
  <c r="D448" i="4"/>
  <c r="C448" i="4"/>
  <c r="B448" i="4"/>
  <c r="B482" i="4"/>
  <c r="E482" i="4"/>
  <c r="F482" i="4"/>
  <c r="D511" i="4"/>
  <c r="F511" i="4"/>
  <c r="E511" i="4"/>
  <c r="B557" i="4"/>
  <c r="F557" i="4"/>
  <c r="E557" i="4"/>
  <c r="D557" i="4"/>
  <c r="C557" i="4"/>
  <c r="F716" i="4"/>
  <c r="D716" i="4"/>
  <c r="C716" i="4"/>
  <c r="B716" i="4"/>
  <c r="C326" i="4"/>
  <c r="F326" i="4"/>
  <c r="E326" i="4"/>
  <c r="D326" i="4"/>
  <c r="D373" i="4"/>
  <c r="C373" i="4"/>
  <c r="B373" i="4"/>
  <c r="D595" i="4"/>
  <c r="F595" i="4"/>
  <c r="E595" i="4"/>
  <c r="C595" i="4"/>
  <c r="B595" i="4"/>
  <c r="C6" i="4"/>
  <c r="E29" i="4"/>
  <c r="E37" i="4"/>
  <c r="E97" i="4"/>
  <c r="E113" i="4"/>
  <c r="E181" i="4"/>
  <c r="D190" i="4"/>
  <c r="F194" i="4"/>
  <c r="B204" i="4"/>
  <c r="B209" i="4"/>
  <c r="F210" i="4"/>
  <c r="B215" i="4"/>
  <c r="E217" i="4"/>
  <c r="B220" i="4"/>
  <c r="E229" i="4"/>
  <c r="F277" i="4"/>
  <c r="C277" i="4"/>
  <c r="B285" i="4"/>
  <c r="F288" i="4"/>
  <c r="D288" i="4"/>
  <c r="C288" i="4"/>
  <c r="B288" i="4"/>
  <c r="B297" i="4"/>
  <c r="F300" i="4"/>
  <c r="D300" i="4"/>
  <c r="C300" i="4"/>
  <c r="B300" i="4"/>
  <c r="F312" i="4"/>
  <c r="D312" i="4"/>
  <c r="C312" i="4"/>
  <c r="B312" i="4"/>
  <c r="C338" i="4"/>
  <c r="F338" i="4"/>
  <c r="E338" i="4"/>
  <c r="D338" i="4"/>
  <c r="B344" i="4"/>
  <c r="C354" i="4"/>
  <c r="F354" i="4"/>
  <c r="E354" i="4"/>
  <c r="D354" i="4"/>
  <c r="C362" i="4"/>
  <c r="F362" i="4"/>
  <c r="E362" i="4"/>
  <c r="D362" i="4"/>
  <c r="D369" i="4"/>
  <c r="C369" i="4"/>
  <c r="B369" i="4"/>
  <c r="F372" i="4"/>
  <c r="C372" i="4"/>
  <c r="C390" i="4"/>
  <c r="D390" i="4"/>
  <c r="F393" i="4"/>
  <c r="D410" i="4"/>
  <c r="C414" i="4"/>
  <c r="D414" i="4"/>
  <c r="E417" i="4"/>
  <c r="B420" i="4"/>
  <c r="E467" i="4"/>
  <c r="B467" i="4"/>
  <c r="B506" i="4"/>
  <c r="C506" i="4"/>
  <c r="D236" i="4"/>
  <c r="C236" i="4"/>
  <c r="B236" i="4"/>
  <c r="F332" i="4"/>
  <c r="D332" i="4"/>
  <c r="C332" i="4"/>
  <c r="C398" i="4"/>
  <c r="D398" i="4"/>
  <c r="E2" i="3"/>
  <c r="B3" i="4"/>
  <c r="F9" i="4"/>
  <c r="C28" i="4"/>
  <c r="E64" i="4"/>
  <c r="D118" i="4"/>
  <c r="D154" i="4"/>
  <c r="B157" i="4"/>
  <c r="D166" i="4"/>
  <c r="D170" i="4"/>
  <c r="E190" i="4"/>
  <c r="C230" i="4"/>
  <c r="D230" i="4"/>
  <c r="F247" i="4"/>
  <c r="B247" i="4"/>
  <c r="F265" i="4"/>
  <c r="E265" i="4"/>
  <c r="B265" i="4"/>
  <c r="D285" i="4"/>
  <c r="F289" i="4"/>
  <c r="C289" i="4"/>
  <c r="F292" i="4"/>
  <c r="D292" i="4"/>
  <c r="C292" i="4"/>
  <c r="D297" i="4"/>
  <c r="F301" i="4"/>
  <c r="C301" i="4"/>
  <c r="F304" i="4"/>
  <c r="D304" i="4"/>
  <c r="C304" i="4"/>
  <c r="F313" i="4"/>
  <c r="C313" i="4"/>
  <c r="F316" i="4"/>
  <c r="D316" i="4"/>
  <c r="C316" i="4"/>
  <c r="E369" i="4"/>
  <c r="B372" i="4"/>
  <c r="E397" i="4"/>
  <c r="D397" i="4"/>
  <c r="C397" i="4"/>
  <c r="F397" i="4"/>
  <c r="F417" i="4"/>
  <c r="F473" i="4"/>
  <c r="E473" i="4"/>
  <c r="D473" i="4"/>
  <c r="B473" i="4"/>
  <c r="C473" i="4"/>
  <c r="F588" i="4"/>
  <c r="D588" i="4"/>
  <c r="C588" i="4"/>
  <c r="B588" i="4"/>
  <c r="E154" i="4"/>
  <c r="E166" i="4"/>
  <c r="C258" i="4"/>
  <c r="F258" i="4"/>
  <c r="E258" i="4"/>
  <c r="F356" i="4"/>
  <c r="B356" i="4"/>
  <c r="C358" i="4"/>
  <c r="F358" i="4"/>
  <c r="E358" i="4"/>
  <c r="F364" i="4"/>
  <c r="B364" i="4"/>
  <c r="C366" i="4"/>
  <c r="F366" i="4"/>
  <c r="E366" i="4"/>
  <c r="D381" i="4"/>
  <c r="C381" i="4"/>
  <c r="B381" i="4"/>
  <c r="E381" i="4"/>
  <c r="D401" i="4"/>
  <c r="C401" i="4"/>
  <c r="B401" i="4"/>
  <c r="E401" i="4"/>
  <c r="F404" i="4"/>
  <c r="B404" i="4"/>
  <c r="C406" i="4"/>
  <c r="F406" i="4"/>
  <c r="E406" i="4"/>
  <c r="C442" i="4"/>
  <c r="F442" i="4"/>
  <c r="E442" i="4"/>
  <c r="D442" i="4"/>
  <c r="F465" i="4"/>
  <c r="D465" i="4"/>
  <c r="E465" i="4"/>
  <c r="C465" i="4"/>
  <c r="D495" i="4"/>
  <c r="E495" i="4"/>
  <c r="B495" i="4"/>
  <c r="F424" i="4"/>
  <c r="D424" i="4"/>
  <c r="B424" i="4"/>
  <c r="F433" i="4"/>
  <c r="D433" i="4"/>
  <c r="E435" i="4"/>
  <c r="B435" i="4"/>
  <c r="C446" i="4"/>
  <c r="E446" i="4"/>
  <c r="E463" i="4"/>
  <c r="F463" i="4"/>
  <c r="E497" i="4"/>
  <c r="B497" i="4"/>
  <c r="D513" i="4"/>
  <c r="C513" i="4"/>
  <c r="B513" i="4"/>
  <c r="E529" i="4"/>
  <c r="B529" i="4"/>
  <c r="B598" i="4"/>
  <c r="F598" i="4"/>
  <c r="E598" i="4"/>
  <c r="D598" i="4"/>
  <c r="C598" i="4"/>
  <c r="D615" i="4"/>
  <c r="F615" i="4"/>
  <c r="E615" i="4"/>
  <c r="C615" i="4"/>
  <c r="B615" i="4"/>
  <c r="B745" i="4"/>
  <c r="F745" i="4"/>
  <c r="E745" i="4"/>
  <c r="D745" i="4"/>
  <c r="F763" i="4"/>
  <c r="B763" i="4"/>
  <c r="F784" i="4"/>
  <c r="D784" i="4"/>
  <c r="C784" i="4"/>
  <c r="B784" i="4"/>
  <c r="C818" i="4"/>
  <c r="F818" i="4"/>
  <c r="E818" i="4"/>
  <c r="D818" i="4"/>
  <c r="F840" i="4"/>
  <c r="D840" i="4"/>
  <c r="C840" i="4"/>
  <c r="B840" i="4"/>
  <c r="E971" i="4"/>
  <c r="C971" i="4"/>
  <c r="F250" i="4"/>
  <c r="F257" i="4"/>
  <c r="C380" i="4"/>
  <c r="C384" i="4"/>
  <c r="C392" i="4"/>
  <c r="C400" i="4"/>
  <c r="F427" i="4"/>
  <c r="C433" i="4"/>
  <c r="F441" i="4"/>
  <c r="E441" i="4"/>
  <c r="D441" i="4"/>
  <c r="B441" i="4"/>
  <c r="F446" i="4"/>
  <c r="C450" i="4"/>
  <c r="F450" i="4"/>
  <c r="D450" i="4"/>
  <c r="C458" i="4"/>
  <c r="F458" i="4"/>
  <c r="E458" i="4"/>
  <c r="D458" i="4"/>
  <c r="F464" i="4"/>
  <c r="D464" i="4"/>
  <c r="C464" i="4"/>
  <c r="B464" i="4"/>
  <c r="C478" i="4"/>
  <c r="E478" i="4"/>
  <c r="F513" i="4"/>
  <c r="D527" i="4"/>
  <c r="E527" i="4"/>
  <c r="B527" i="4"/>
  <c r="B566" i="4"/>
  <c r="F566" i="4"/>
  <c r="E566" i="4"/>
  <c r="D566" i="4"/>
  <c r="D575" i="4"/>
  <c r="F575" i="4"/>
  <c r="F612" i="4"/>
  <c r="E612" i="4"/>
  <c r="D612" i="4"/>
  <c r="C612" i="4"/>
  <c r="F624" i="4"/>
  <c r="E624" i="4"/>
  <c r="D624" i="4"/>
  <c r="C624" i="4"/>
  <c r="F645" i="4"/>
  <c r="E645" i="4"/>
  <c r="D645" i="4"/>
  <c r="C645" i="4"/>
  <c r="B645" i="4"/>
  <c r="F649" i="4"/>
  <c r="E649" i="4"/>
  <c r="D649" i="4"/>
  <c r="C649" i="4"/>
  <c r="C678" i="4"/>
  <c r="F678" i="4"/>
  <c r="E678" i="4"/>
  <c r="D678" i="4"/>
  <c r="B723" i="4"/>
  <c r="F723" i="4"/>
  <c r="C505" i="4"/>
  <c r="F505" i="4"/>
  <c r="E505" i="4"/>
  <c r="D505" i="4"/>
  <c r="B514" i="4"/>
  <c r="E514" i="4"/>
  <c r="C527" i="4"/>
  <c r="C537" i="4"/>
  <c r="F537" i="4"/>
  <c r="E537" i="4"/>
  <c r="D537" i="4"/>
  <c r="C566" i="4"/>
  <c r="E575" i="4"/>
  <c r="B612" i="4"/>
  <c r="B624" i="4"/>
  <c r="B649" i="4"/>
  <c r="D656" i="4"/>
  <c r="C656" i="4"/>
  <c r="C662" i="4"/>
  <c r="F662" i="4"/>
  <c r="E662" i="4"/>
  <c r="D662" i="4"/>
  <c r="C682" i="4"/>
  <c r="F682" i="4"/>
  <c r="E682" i="4"/>
  <c r="F720" i="4"/>
  <c r="D720" i="4"/>
  <c r="C720" i="4"/>
  <c r="B720" i="4"/>
  <c r="D324" i="4"/>
  <c r="D336" i="4"/>
  <c r="D340" i="4"/>
  <c r="D348" i="4"/>
  <c r="D352" i="4"/>
  <c r="D360" i="4"/>
  <c r="F370" i="4"/>
  <c r="F374" i="4"/>
  <c r="F382" i="4"/>
  <c r="F386" i="4"/>
  <c r="F394" i="4"/>
  <c r="F402" i="4"/>
  <c r="D408" i="4"/>
  <c r="E413" i="4"/>
  <c r="D413" i="4"/>
  <c r="E415" i="4"/>
  <c r="F415" i="4"/>
  <c r="B415" i="4"/>
  <c r="C418" i="4"/>
  <c r="D418" i="4"/>
  <c r="E431" i="4"/>
  <c r="F431" i="4"/>
  <c r="B490" i="4"/>
  <c r="F490" i="4"/>
  <c r="D490" i="4"/>
  <c r="B534" i="4"/>
  <c r="F534" i="4"/>
  <c r="E534" i="4"/>
  <c r="C534" i="4"/>
  <c r="F572" i="4"/>
  <c r="E572" i="4"/>
  <c r="D572" i="4"/>
  <c r="F628" i="4"/>
  <c r="D628" i="4"/>
  <c r="C628" i="4"/>
  <c r="B628" i="4"/>
  <c r="B717" i="4"/>
  <c r="F717" i="4"/>
  <c r="D717" i="4"/>
  <c r="E717" i="4"/>
  <c r="C717" i="4"/>
  <c r="D254" i="4"/>
  <c r="D306" i="4"/>
  <c r="D310" i="4"/>
  <c r="D346" i="4"/>
  <c r="B391" i="4"/>
  <c r="B399" i="4"/>
  <c r="B413" i="4"/>
  <c r="F416" i="4"/>
  <c r="D416" i="4"/>
  <c r="E418" i="4"/>
  <c r="B431" i="4"/>
  <c r="C474" i="4"/>
  <c r="F474" i="4"/>
  <c r="F480" i="4"/>
  <c r="D480" i="4"/>
  <c r="C490" i="4"/>
  <c r="D531" i="4"/>
  <c r="F531" i="4"/>
  <c r="C531" i="4"/>
  <c r="D534" i="4"/>
  <c r="C676" i="4"/>
  <c r="D234" i="4"/>
  <c r="E254" i="4"/>
  <c r="C268" i="4"/>
  <c r="D274" i="4"/>
  <c r="D278" i="4"/>
  <c r="D286" i="4"/>
  <c r="D290" i="4"/>
  <c r="E294" i="4"/>
  <c r="D298" i="4"/>
  <c r="D302" i="4"/>
  <c r="E306" i="4"/>
  <c r="E310" i="4"/>
  <c r="D314" i="4"/>
  <c r="F399" i="4"/>
  <c r="E411" i="4"/>
  <c r="F411" i="4"/>
  <c r="C413" i="4"/>
  <c r="C426" i="4"/>
  <c r="F426" i="4"/>
  <c r="E426" i="4"/>
  <c r="D426" i="4"/>
  <c r="F432" i="4"/>
  <c r="D432" i="4"/>
  <c r="C432" i="4"/>
  <c r="B432" i="4"/>
  <c r="E443" i="4"/>
  <c r="F443" i="4"/>
  <c r="B443" i="4"/>
  <c r="D449" i="4"/>
  <c r="C449" i="4"/>
  <c r="B449" i="4"/>
  <c r="F452" i="4"/>
  <c r="C452" i="4"/>
  <c r="F469" i="4"/>
  <c r="E469" i="4"/>
  <c r="C469" i="4"/>
  <c r="E490" i="4"/>
  <c r="C569" i="4"/>
  <c r="F569" i="4"/>
  <c r="E569" i="4"/>
  <c r="F665" i="4"/>
  <c r="E665" i="4"/>
  <c r="D665" i="4"/>
  <c r="C665" i="4"/>
  <c r="F709" i="4"/>
  <c r="E709" i="4"/>
  <c r="D709" i="4"/>
  <c r="B709" i="4"/>
  <c r="C709" i="4"/>
  <c r="F457" i="4"/>
  <c r="E484" i="4"/>
  <c r="E516" i="4"/>
  <c r="F554" i="4"/>
  <c r="E559" i="4"/>
  <c r="F563" i="4"/>
  <c r="D580" i="4"/>
  <c r="E583" i="4"/>
  <c r="D617" i="4"/>
  <c r="F621" i="4"/>
  <c r="D637" i="4"/>
  <c r="F646" i="4"/>
  <c r="D693" i="4"/>
  <c r="B693" i="4"/>
  <c r="B721" i="4"/>
  <c r="F721" i="4"/>
  <c r="D721" i="4"/>
  <c r="B757" i="4"/>
  <c r="F757" i="4"/>
  <c r="E757" i="4"/>
  <c r="D757" i="4"/>
  <c r="B761" i="4"/>
  <c r="F761" i="4"/>
  <c r="E761" i="4"/>
  <c r="D761" i="4"/>
  <c r="E637" i="4"/>
  <c r="C706" i="4"/>
  <c r="D706" i="4"/>
  <c r="F706" i="4"/>
  <c r="C710" i="4"/>
  <c r="D710" i="4"/>
  <c r="F710" i="4"/>
  <c r="F873" i="4"/>
  <c r="E873" i="4"/>
  <c r="D873" i="4"/>
  <c r="C873" i="4"/>
  <c r="B873" i="4"/>
  <c r="D525" i="4"/>
  <c r="E540" i="4"/>
  <c r="B545" i="4"/>
  <c r="C553" i="4"/>
  <c r="C560" i="4"/>
  <c r="D562" i="4"/>
  <c r="B564" i="4"/>
  <c r="F578" i="4"/>
  <c r="D586" i="4"/>
  <c r="C591" i="4"/>
  <c r="F593" i="4"/>
  <c r="D601" i="4"/>
  <c r="D604" i="4"/>
  <c r="F607" i="4"/>
  <c r="C618" i="4"/>
  <c r="C620" i="4"/>
  <c r="D626" i="4"/>
  <c r="C636" i="4"/>
  <c r="B641" i="4"/>
  <c r="B643" i="4"/>
  <c r="E654" i="4"/>
  <c r="E658" i="4"/>
  <c r="B661" i="4"/>
  <c r="E674" i="4"/>
  <c r="B677" i="4"/>
  <c r="C681" i="4"/>
  <c r="C688" i="4"/>
  <c r="C690" i="4"/>
  <c r="F690" i="4"/>
  <c r="D690" i="4"/>
  <c r="E693" i="4"/>
  <c r="E697" i="4"/>
  <c r="D697" i="4"/>
  <c r="B697" i="4"/>
  <c r="E706" i="4"/>
  <c r="E710" i="4"/>
  <c r="E721" i="4"/>
  <c r="B421" i="4"/>
  <c r="F422" i="4"/>
  <c r="D428" i="4"/>
  <c r="D430" i="4"/>
  <c r="B436" i="4"/>
  <c r="D445" i="4"/>
  <c r="B447" i="4"/>
  <c r="B453" i="4"/>
  <c r="F454" i="4"/>
  <c r="D460" i="4"/>
  <c r="D462" i="4"/>
  <c r="B468" i="4"/>
  <c r="D477" i="4"/>
  <c r="B479" i="4"/>
  <c r="B489" i="4"/>
  <c r="C498" i="4"/>
  <c r="E502" i="4"/>
  <c r="B521" i="4"/>
  <c r="C545" i="4"/>
  <c r="D560" i="4"/>
  <c r="C570" i="4"/>
  <c r="E586" i="4"/>
  <c r="C589" i="4"/>
  <c r="E591" i="4"/>
  <c r="F601" i="4"/>
  <c r="E604" i="4"/>
  <c r="E610" i="4"/>
  <c r="D618" i="4"/>
  <c r="D620" i="4"/>
  <c r="B623" i="4"/>
  <c r="E626" i="4"/>
  <c r="D636" i="4"/>
  <c r="C641" i="4"/>
  <c r="C643" i="4"/>
  <c r="F654" i="4"/>
  <c r="F658" i="4"/>
  <c r="C661" i="4"/>
  <c r="D670" i="4"/>
  <c r="F674" i="4"/>
  <c r="C677" i="4"/>
  <c r="D681" i="4"/>
  <c r="D686" i="4"/>
  <c r="E690" i="4"/>
  <c r="F693" i="4"/>
  <c r="F733" i="4"/>
  <c r="E733" i="4"/>
  <c r="D733" i="4"/>
  <c r="B733" i="4"/>
  <c r="E430" i="4"/>
  <c r="C436" i="4"/>
  <c r="F447" i="4"/>
  <c r="E462" i="4"/>
  <c r="C468" i="4"/>
  <c r="B472" i="4"/>
  <c r="F479" i="4"/>
  <c r="B487" i="4"/>
  <c r="C489" i="4"/>
  <c r="F493" i="4"/>
  <c r="C496" i="4"/>
  <c r="D498" i="4"/>
  <c r="B519" i="4"/>
  <c r="C521" i="4"/>
  <c r="D545" i="4"/>
  <c r="E560" i="4"/>
  <c r="E618" i="4"/>
  <c r="E636" i="4"/>
  <c r="D641" i="4"/>
  <c r="C694" i="4"/>
  <c r="D694" i="4"/>
  <c r="F694" i="4"/>
  <c r="F697" i="4"/>
  <c r="F618" i="4"/>
  <c r="C698" i="4"/>
  <c r="D698" i="4"/>
  <c r="F698" i="4"/>
  <c r="C734" i="4"/>
  <c r="D734" i="4"/>
  <c r="F734" i="4"/>
  <c r="F780" i="4"/>
  <c r="D780" i="4"/>
  <c r="C780" i="4"/>
  <c r="B780" i="4"/>
  <c r="E963" i="4"/>
  <c r="C963" i="4"/>
  <c r="E702" i="4"/>
  <c r="C713" i="4"/>
  <c r="C725" i="4"/>
  <c r="C729" i="4"/>
  <c r="C737" i="4"/>
  <c r="C741" i="4"/>
  <c r="C765" i="4"/>
  <c r="D769" i="4"/>
  <c r="D773" i="4"/>
  <c r="D797" i="4"/>
  <c r="D816" i="4"/>
  <c r="F826" i="4"/>
  <c r="D833" i="4"/>
  <c r="E837" i="4"/>
  <c r="E845" i="4"/>
  <c r="E849" i="4"/>
  <c r="D853" i="4"/>
  <c r="D857" i="4"/>
  <c r="C861" i="4"/>
  <c r="F862" i="4"/>
  <c r="C865" i="4"/>
  <c r="F866" i="4"/>
  <c r="C869" i="4"/>
  <c r="C878" i="4"/>
  <c r="E769" i="4"/>
  <c r="E773" i="4"/>
  <c r="E797" i="4"/>
  <c r="E833" i="4"/>
  <c r="F837" i="4"/>
  <c r="F845" i="4"/>
  <c r="F849" i="4"/>
  <c r="E853" i="4"/>
  <c r="E857" i="4"/>
  <c r="D869" i="4"/>
  <c r="E874" i="4"/>
  <c r="B877" i="4"/>
  <c r="D878" i="4"/>
  <c r="D882" i="4"/>
  <c r="D886" i="4"/>
  <c r="C899" i="4"/>
  <c r="C939" i="4"/>
  <c r="C947" i="4"/>
  <c r="C960" i="4"/>
  <c r="C968" i="4"/>
  <c r="C985" i="4"/>
  <c r="C993" i="4"/>
  <c r="C997" i="4"/>
  <c r="E713" i="4"/>
  <c r="E725" i="4"/>
  <c r="E729" i="4"/>
  <c r="E737" i="4"/>
  <c r="E741" i="4"/>
  <c r="B744" i="4"/>
  <c r="C748" i="4"/>
  <c r="C752" i="4"/>
  <c r="B756" i="4"/>
  <c r="B760" i="4"/>
  <c r="E765" i="4"/>
  <c r="B768" i="4"/>
  <c r="F769" i="4"/>
  <c r="B772" i="4"/>
  <c r="F773" i="4"/>
  <c r="C776" i="4"/>
  <c r="D782" i="4"/>
  <c r="D786" i="4"/>
  <c r="C788" i="4"/>
  <c r="C792" i="4"/>
  <c r="B796" i="4"/>
  <c r="F797" i="4"/>
  <c r="C800" i="4"/>
  <c r="C804" i="4"/>
  <c r="D810" i="4"/>
  <c r="E814" i="4"/>
  <c r="B817" i="4"/>
  <c r="C821" i="4"/>
  <c r="E829" i="4"/>
  <c r="B832" i="4"/>
  <c r="F833" i="4"/>
  <c r="C836" i="4"/>
  <c r="C842" i="4"/>
  <c r="C844" i="4"/>
  <c r="C848" i="4"/>
  <c r="B852" i="4"/>
  <c r="F853" i="4"/>
  <c r="B856" i="4"/>
  <c r="F857" i="4"/>
  <c r="E861" i="4"/>
  <c r="E865" i="4"/>
  <c r="E869" i="4"/>
  <c r="C877" i="4"/>
  <c r="E878" i="4"/>
  <c r="B881" i="4"/>
  <c r="F882" i="4"/>
  <c r="C931" i="4"/>
  <c r="C955" i="4"/>
  <c r="E997" i="4"/>
  <c r="B712" i="4"/>
  <c r="B724" i="4"/>
  <c r="B728" i="4"/>
  <c r="B736" i="4"/>
  <c r="B740" i="4"/>
  <c r="C744" i="4"/>
  <c r="D748" i="4"/>
  <c r="D750" i="4"/>
  <c r="C756" i="4"/>
  <c r="C760" i="4"/>
  <c r="B764" i="4"/>
  <c r="C768" i="4"/>
  <c r="C772" i="4"/>
  <c r="D776" i="4"/>
  <c r="D778" i="4"/>
  <c r="E782" i="4"/>
  <c r="E786" i="4"/>
  <c r="D788" i="4"/>
  <c r="D790" i="4"/>
  <c r="D792" i="4"/>
  <c r="D794" i="4"/>
  <c r="C796" i="4"/>
  <c r="D800" i="4"/>
  <c r="D802" i="4"/>
  <c r="D804" i="4"/>
  <c r="D806" i="4"/>
  <c r="E810" i="4"/>
  <c r="B813" i="4"/>
  <c r="F814" i="4"/>
  <c r="C817" i="4"/>
  <c r="B828" i="4"/>
  <c r="C832" i="4"/>
  <c r="D836" i="4"/>
  <c r="D838" i="4"/>
  <c r="D842" i="4"/>
  <c r="D844" i="4"/>
  <c r="C846" i="4"/>
  <c r="D848" i="4"/>
  <c r="C850" i="4"/>
  <c r="C852" i="4"/>
  <c r="C856" i="4"/>
  <c r="B860" i="4"/>
  <c r="B864" i="4"/>
  <c r="D877" i="4"/>
  <c r="D881" i="4"/>
  <c r="D885" i="4"/>
  <c r="C900" i="4"/>
  <c r="C904" i="4"/>
  <c r="D744" i="4"/>
  <c r="D756" i="4"/>
  <c r="D760" i="4"/>
  <c r="D768" i="4"/>
  <c r="D772" i="4"/>
  <c r="F782" i="4"/>
  <c r="F786" i="4"/>
  <c r="D796" i="4"/>
  <c r="F810" i="4"/>
  <c r="D817" i="4"/>
  <c r="D832" i="4"/>
  <c r="D852" i="4"/>
  <c r="D856" i="4"/>
  <c r="E877" i="4"/>
  <c r="E881" i="4"/>
  <c r="E885" i="4"/>
  <c r="C908" i="4"/>
  <c r="C912" i="4"/>
  <c r="C920" i="4"/>
  <c r="C961" i="4"/>
  <c r="C969" i="4"/>
  <c r="E998" i="4"/>
  <c r="D858" i="4"/>
  <c r="D860" i="4"/>
  <c r="C862" i="4"/>
  <c r="D864" i="4"/>
  <c r="C866" i="4"/>
  <c r="D868" i="4"/>
  <c r="C870" i="4"/>
  <c r="C872" i="4"/>
  <c r="B876" i="4"/>
  <c r="F881" i="4"/>
  <c r="B884" i="4"/>
  <c r="F885" i="4"/>
  <c r="C893" i="4"/>
  <c r="C937" i="4"/>
  <c r="C987" i="4"/>
  <c r="D696" i="4"/>
  <c r="C700" i="4"/>
  <c r="D704" i="4"/>
  <c r="D708" i="4"/>
  <c r="E714" i="4"/>
  <c r="E726" i="4"/>
  <c r="E730" i="4"/>
  <c r="E738" i="4"/>
  <c r="E742" i="4"/>
  <c r="B816" i="4"/>
  <c r="C820" i="4"/>
  <c r="D824" i="4"/>
  <c r="D826" i="4"/>
  <c r="E830" i="4"/>
  <c r="F834" i="4"/>
  <c r="F846" i="4"/>
  <c r="F850" i="4"/>
  <c r="D862" i="4"/>
  <c r="D866" i="4"/>
  <c r="D870" i="4"/>
  <c r="C979" i="4"/>
  <c r="C3" i="3"/>
  <c r="D3" i="3"/>
  <c r="C2" i="3"/>
  <c r="A4" i="3"/>
  <c r="A5" i="3" s="1"/>
  <c r="D5" i="4"/>
  <c r="D16" i="4"/>
  <c r="C18" i="4"/>
  <c r="B18" i="4"/>
  <c r="E35" i="4"/>
  <c r="D35" i="4"/>
  <c r="D48" i="4"/>
  <c r="C50" i="4"/>
  <c r="B50" i="4"/>
  <c r="E67" i="4"/>
  <c r="D67" i="4"/>
  <c r="D80" i="4"/>
  <c r="C82" i="4"/>
  <c r="B82" i="4"/>
  <c r="E99" i="4"/>
  <c r="D99" i="4"/>
  <c r="F112" i="4"/>
  <c r="E112" i="4"/>
  <c r="E123" i="4"/>
  <c r="D123" i="4"/>
  <c r="C123" i="4"/>
  <c r="F144" i="4"/>
  <c r="E144" i="4"/>
  <c r="E155" i="4"/>
  <c r="D155" i="4"/>
  <c r="C155" i="4"/>
  <c r="F176" i="4"/>
  <c r="E176" i="4"/>
  <c r="E187" i="4"/>
  <c r="D187" i="4"/>
  <c r="C187" i="4"/>
  <c r="F208" i="4"/>
  <c r="E208" i="4"/>
  <c r="E219" i="4"/>
  <c r="D219" i="4"/>
  <c r="C219" i="4"/>
  <c r="F240" i="4"/>
  <c r="E240" i="4"/>
  <c r="E251" i="4"/>
  <c r="D251" i="4"/>
  <c r="C251" i="4"/>
  <c r="E283" i="4"/>
  <c r="D283" i="4"/>
  <c r="C283" i="4"/>
  <c r="E315" i="4"/>
  <c r="D315" i="4"/>
  <c r="C315" i="4"/>
  <c r="E347" i="4"/>
  <c r="D347" i="4"/>
  <c r="C347" i="4"/>
  <c r="E379" i="4"/>
  <c r="D379" i="4"/>
  <c r="C379" i="4"/>
  <c r="D485" i="4"/>
  <c r="C485" i="4"/>
  <c r="B485" i="4"/>
  <c r="F485" i="4"/>
  <c r="F509" i="4"/>
  <c r="E509" i="4"/>
  <c r="D509" i="4"/>
  <c r="B509" i="4"/>
  <c r="F512" i="4"/>
  <c r="E512" i="4"/>
  <c r="D512" i="4"/>
  <c r="B512" i="4"/>
  <c r="D555" i="4"/>
  <c r="E555" i="4"/>
  <c r="C555" i="4"/>
  <c r="B555" i="4"/>
  <c r="B582" i="4"/>
  <c r="F582" i="4"/>
  <c r="E582" i="4"/>
  <c r="C582" i="4"/>
  <c r="D611" i="4"/>
  <c r="F611" i="4"/>
  <c r="E611" i="4"/>
  <c r="B611" i="4"/>
  <c r="F616" i="4"/>
  <c r="D616" i="4"/>
  <c r="C616" i="4"/>
  <c r="B616" i="4"/>
  <c r="E631" i="4"/>
  <c r="D631" i="4"/>
  <c r="F631" i="4"/>
  <c r="B631" i="4"/>
  <c r="F640" i="4"/>
  <c r="E640" i="4"/>
  <c r="D640" i="4"/>
  <c r="B640" i="4"/>
  <c r="E879" i="4"/>
  <c r="D879" i="4"/>
  <c r="C879" i="4"/>
  <c r="F879" i="4"/>
  <c r="B879" i="4"/>
  <c r="F956" i="4"/>
  <c r="D956" i="4"/>
  <c r="B956" i="4"/>
  <c r="E956" i="4"/>
  <c r="C956" i="4"/>
  <c r="E5" i="4"/>
  <c r="E15" i="4"/>
  <c r="D15" i="4"/>
  <c r="E16" i="4"/>
  <c r="D18" i="4"/>
  <c r="B20" i="4"/>
  <c r="C30" i="4"/>
  <c r="B30" i="4"/>
  <c r="B35" i="4"/>
  <c r="E47" i="4"/>
  <c r="D47" i="4"/>
  <c r="E48" i="4"/>
  <c r="D50" i="4"/>
  <c r="B52" i="4"/>
  <c r="C62" i="4"/>
  <c r="B62" i="4"/>
  <c r="B67" i="4"/>
  <c r="E79" i="4"/>
  <c r="D79" i="4"/>
  <c r="E80" i="4"/>
  <c r="D82" i="4"/>
  <c r="B84" i="4"/>
  <c r="C94" i="4"/>
  <c r="B94" i="4"/>
  <c r="B99" i="4"/>
  <c r="B112" i="4"/>
  <c r="F116" i="4"/>
  <c r="E116" i="4"/>
  <c r="B123" i="4"/>
  <c r="E127" i="4"/>
  <c r="D127" i="4"/>
  <c r="C127" i="4"/>
  <c r="B144" i="4"/>
  <c r="F148" i="4"/>
  <c r="E148" i="4"/>
  <c r="B155" i="4"/>
  <c r="E159" i="4"/>
  <c r="D159" i="4"/>
  <c r="C159" i="4"/>
  <c r="B176" i="4"/>
  <c r="F180" i="4"/>
  <c r="E180" i="4"/>
  <c r="B187" i="4"/>
  <c r="E191" i="4"/>
  <c r="D191" i="4"/>
  <c r="C191" i="4"/>
  <c r="B208" i="4"/>
  <c r="F212" i="4"/>
  <c r="E212" i="4"/>
  <c r="B219" i="4"/>
  <c r="E223" i="4"/>
  <c r="D223" i="4"/>
  <c r="C223" i="4"/>
  <c r="B240" i="4"/>
  <c r="F244" i="4"/>
  <c r="E244" i="4"/>
  <c r="B251" i="4"/>
  <c r="E255" i="4"/>
  <c r="D255" i="4"/>
  <c r="C255" i="4"/>
  <c r="B283" i="4"/>
  <c r="E287" i="4"/>
  <c r="D287" i="4"/>
  <c r="C287" i="4"/>
  <c r="B315" i="4"/>
  <c r="E319" i="4"/>
  <c r="D319" i="4"/>
  <c r="C319" i="4"/>
  <c r="B347" i="4"/>
  <c r="E351" i="4"/>
  <c r="D351" i="4"/>
  <c r="C351" i="4"/>
  <c r="B379" i="4"/>
  <c r="E383" i="4"/>
  <c r="D383" i="4"/>
  <c r="C383" i="4"/>
  <c r="D483" i="4"/>
  <c r="F483" i="4"/>
  <c r="E483" i="4"/>
  <c r="B483" i="4"/>
  <c r="E485" i="4"/>
  <c r="F488" i="4"/>
  <c r="D488" i="4"/>
  <c r="C488" i="4"/>
  <c r="B488" i="4"/>
  <c r="F504" i="4"/>
  <c r="D504" i="4"/>
  <c r="B504" i="4"/>
  <c r="C509" i="4"/>
  <c r="C512" i="4"/>
  <c r="B526" i="4"/>
  <c r="E526" i="4"/>
  <c r="D526" i="4"/>
  <c r="C526" i="4"/>
  <c r="F533" i="4"/>
  <c r="D533" i="4"/>
  <c r="B533" i="4"/>
  <c r="F555" i="4"/>
  <c r="D582" i="4"/>
  <c r="C611" i="4"/>
  <c r="B614" i="4"/>
  <c r="F614" i="4"/>
  <c r="E614" i="4"/>
  <c r="C614" i="4"/>
  <c r="E616" i="4"/>
  <c r="C631" i="4"/>
  <c r="C640" i="4"/>
  <c r="F660" i="4"/>
  <c r="E660" i="4"/>
  <c r="D660" i="4"/>
  <c r="B660" i="4"/>
  <c r="E671" i="4"/>
  <c r="D671" i="4"/>
  <c r="C671" i="4"/>
  <c r="B671" i="4"/>
  <c r="E695" i="4"/>
  <c r="D695" i="4"/>
  <c r="C695" i="4"/>
  <c r="B695" i="4"/>
  <c r="E727" i="4"/>
  <c r="D727" i="4"/>
  <c r="C727" i="4"/>
  <c r="B727" i="4"/>
  <c r="E759" i="4"/>
  <c r="D759" i="4"/>
  <c r="C759" i="4"/>
  <c r="B759" i="4"/>
  <c r="E791" i="4"/>
  <c r="D791" i="4"/>
  <c r="C791" i="4"/>
  <c r="B791" i="4"/>
  <c r="B978" i="4"/>
  <c r="F978" i="4"/>
  <c r="D978" i="4"/>
  <c r="E978" i="4"/>
  <c r="C978" i="4"/>
  <c r="F5" i="4"/>
  <c r="C10" i="4"/>
  <c r="B10" i="4"/>
  <c r="E18" i="4"/>
  <c r="C20" i="4"/>
  <c r="E27" i="4"/>
  <c r="D27" i="4"/>
  <c r="C35" i="4"/>
  <c r="C42" i="4"/>
  <c r="B42" i="4"/>
  <c r="E50" i="4"/>
  <c r="C52" i="4"/>
  <c r="E59" i="4"/>
  <c r="D59" i="4"/>
  <c r="C67" i="4"/>
  <c r="C74" i="4"/>
  <c r="B74" i="4"/>
  <c r="E82" i="4"/>
  <c r="C84" i="4"/>
  <c r="E91" i="4"/>
  <c r="D91" i="4"/>
  <c r="C99" i="4"/>
  <c r="C112" i="4"/>
  <c r="F120" i="4"/>
  <c r="E120" i="4"/>
  <c r="F123" i="4"/>
  <c r="E131" i="4"/>
  <c r="D131" i="4"/>
  <c r="C131" i="4"/>
  <c r="C144" i="4"/>
  <c r="F152" i="4"/>
  <c r="E152" i="4"/>
  <c r="F155" i="4"/>
  <c r="E163" i="4"/>
  <c r="D163" i="4"/>
  <c r="C163" i="4"/>
  <c r="C176" i="4"/>
  <c r="F184" i="4"/>
  <c r="E184" i="4"/>
  <c r="F187" i="4"/>
  <c r="E195" i="4"/>
  <c r="D195" i="4"/>
  <c r="C195" i="4"/>
  <c r="C208" i="4"/>
  <c r="F216" i="4"/>
  <c r="E216" i="4"/>
  <c r="F219" i="4"/>
  <c r="E227" i="4"/>
  <c r="D227" i="4"/>
  <c r="C227" i="4"/>
  <c r="C240" i="4"/>
  <c r="F248" i="4"/>
  <c r="E248" i="4"/>
  <c r="F251" i="4"/>
  <c r="E259" i="4"/>
  <c r="D259" i="4"/>
  <c r="C259" i="4"/>
  <c r="F283" i="4"/>
  <c r="E291" i="4"/>
  <c r="D291" i="4"/>
  <c r="C291" i="4"/>
  <c r="F315" i="4"/>
  <c r="E323" i="4"/>
  <c r="D323" i="4"/>
  <c r="C323" i="4"/>
  <c r="F347" i="4"/>
  <c r="E355" i="4"/>
  <c r="D355" i="4"/>
  <c r="C355" i="4"/>
  <c r="F379" i="4"/>
  <c r="E387" i="4"/>
  <c r="D387" i="4"/>
  <c r="C387" i="4"/>
  <c r="B486" i="4"/>
  <c r="F486" i="4"/>
  <c r="E486" i="4"/>
  <c r="C486" i="4"/>
  <c r="D507" i="4"/>
  <c r="E507" i="4"/>
  <c r="B507" i="4"/>
  <c r="B510" i="4"/>
  <c r="E510" i="4"/>
  <c r="C510" i="4"/>
  <c r="D517" i="4"/>
  <c r="C517" i="4"/>
  <c r="B517" i="4"/>
  <c r="F517" i="4"/>
  <c r="F541" i="4"/>
  <c r="E541" i="4"/>
  <c r="D541" i="4"/>
  <c r="B541" i="4"/>
  <c r="F544" i="4"/>
  <c r="E544" i="4"/>
  <c r="D544" i="4"/>
  <c r="B544" i="4"/>
  <c r="D587" i="4"/>
  <c r="E587" i="4"/>
  <c r="C587" i="4"/>
  <c r="B587" i="4"/>
  <c r="F632" i="4"/>
  <c r="D632" i="4"/>
  <c r="C632" i="4"/>
  <c r="B632" i="4"/>
  <c r="E647" i="4"/>
  <c r="D647" i="4"/>
  <c r="C647" i="4"/>
  <c r="F647" i="4"/>
  <c r="B647" i="4"/>
  <c r="F652" i="4"/>
  <c r="E652" i="4"/>
  <c r="D652" i="4"/>
  <c r="B652" i="4"/>
  <c r="E703" i="4"/>
  <c r="D703" i="4"/>
  <c r="C703" i="4"/>
  <c r="B703" i="4"/>
  <c r="E711" i="4"/>
  <c r="D711" i="4"/>
  <c r="C711" i="4"/>
  <c r="F711" i="4"/>
  <c r="B711" i="4"/>
  <c r="E735" i="4"/>
  <c r="D735" i="4"/>
  <c r="C735" i="4"/>
  <c r="B735" i="4"/>
  <c r="E743" i="4"/>
  <c r="D743" i="4"/>
  <c r="C743" i="4"/>
  <c r="F743" i="4"/>
  <c r="B743" i="4"/>
  <c r="E767" i="4"/>
  <c r="D767" i="4"/>
  <c r="C767" i="4"/>
  <c r="B767" i="4"/>
  <c r="E775" i="4"/>
  <c r="D775" i="4"/>
  <c r="C775" i="4"/>
  <c r="F775" i="4"/>
  <c r="B775" i="4"/>
  <c r="E799" i="4"/>
  <c r="D799" i="4"/>
  <c r="C799" i="4"/>
  <c r="B799" i="4"/>
  <c r="E807" i="4"/>
  <c r="D807" i="4"/>
  <c r="C807" i="4"/>
  <c r="F807" i="4"/>
  <c r="B807" i="4"/>
  <c r="D975" i="4"/>
  <c r="B975" i="4"/>
  <c r="F975" i="4"/>
  <c r="E975" i="4"/>
  <c r="C975" i="4"/>
  <c r="C3" i="4"/>
  <c r="C7" i="4"/>
  <c r="D10" i="4"/>
  <c r="B12" i="4"/>
  <c r="C15" i="4"/>
  <c r="F18" i="4"/>
  <c r="D20" i="4"/>
  <c r="C22" i="4"/>
  <c r="B22" i="4"/>
  <c r="B27" i="4"/>
  <c r="E30" i="4"/>
  <c r="C32" i="4"/>
  <c r="F35" i="4"/>
  <c r="E39" i="4"/>
  <c r="D39" i="4"/>
  <c r="D42" i="4"/>
  <c r="B44" i="4"/>
  <c r="C47" i="4"/>
  <c r="F50" i="4"/>
  <c r="D52" i="4"/>
  <c r="C54" i="4"/>
  <c r="B54" i="4"/>
  <c r="B59" i="4"/>
  <c r="E62" i="4"/>
  <c r="C64" i="4"/>
  <c r="F67" i="4"/>
  <c r="E71" i="4"/>
  <c r="D71" i="4"/>
  <c r="D74" i="4"/>
  <c r="B76" i="4"/>
  <c r="C79" i="4"/>
  <c r="F82" i="4"/>
  <c r="D84" i="4"/>
  <c r="C86" i="4"/>
  <c r="B86" i="4"/>
  <c r="B91" i="4"/>
  <c r="E94" i="4"/>
  <c r="C96" i="4"/>
  <c r="F99" i="4"/>
  <c r="E103" i="4"/>
  <c r="D103" i="4"/>
  <c r="C103" i="4"/>
  <c r="D112" i="4"/>
  <c r="C116" i="4"/>
  <c r="B120" i="4"/>
  <c r="F124" i="4"/>
  <c r="E124" i="4"/>
  <c r="F127" i="4"/>
  <c r="B131" i="4"/>
  <c r="E135" i="4"/>
  <c r="D135" i="4"/>
  <c r="C135" i="4"/>
  <c r="D144" i="4"/>
  <c r="C148" i="4"/>
  <c r="B152" i="4"/>
  <c r="F156" i="4"/>
  <c r="E156" i="4"/>
  <c r="F159" i="4"/>
  <c r="B163" i="4"/>
  <c r="E167" i="4"/>
  <c r="D167" i="4"/>
  <c r="C167" i="4"/>
  <c r="D176" i="4"/>
  <c r="C180" i="4"/>
  <c r="B184" i="4"/>
  <c r="F188" i="4"/>
  <c r="E188" i="4"/>
  <c r="F191" i="4"/>
  <c r="B195" i="4"/>
  <c r="E199" i="4"/>
  <c r="D199" i="4"/>
  <c r="C199" i="4"/>
  <c r="D208" i="4"/>
  <c r="C212" i="4"/>
  <c r="B216" i="4"/>
  <c r="F220" i="4"/>
  <c r="E220" i="4"/>
  <c r="F223" i="4"/>
  <c r="B227" i="4"/>
  <c r="E231" i="4"/>
  <c r="D231" i="4"/>
  <c r="C231" i="4"/>
  <c r="D240" i="4"/>
  <c r="C244" i="4"/>
  <c r="B248" i="4"/>
  <c r="F252" i="4"/>
  <c r="E252" i="4"/>
  <c r="F255" i="4"/>
  <c r="B259" i="4"/>
  <c r="E263" i="4"/>
  <c r="D263" i="4"/>
  <c r="C263" i="4"/>
  <c r="F287" i="4"/>
  <c r="B291" i="4"/>
  <c r="E295" i="4"/>
  <c r="D295" i="4"/>
  <c r="C295" i="4"/>
  <c r="F319" i="4"/>
  <c r="B323" i="4"/>
  <c r="E327" i="4"/>
  <c r="D327" i="4"/>
  <c r="C327" i="4"/>
  <c r="F351" i="4"/>
  <c r="B355" i="4"/>
  <c r="E359" i="4"/>
  <c r="D359" i="4"/>
  <c r="C359" i="4"/>
  <c r="F383" i="4"/>
  <c r="B387" i="4"/>
  <c r="E391" i="4"/>
  <c r="D391" i="4"/>
  <c r="C391" i="4"/>
  <c r="D486" i="4"/>
  <c r="E504" i="4"/>
  <c r="C507" i="4"/>
  <c r="D510" i="4"/>
  <c r="D515" i="4"/>
  <c r="F515" i="4"/>
  <c r="E515" i="4"/>
  <c r="B515" i="4"/>
  <c r="E517" i="4"/>
  <c r="F520" i="4"/>
  <c r="D520" i="4"/>
  <c r="C520" i="4"/>
  <c r="B520" i="4"/>
  <c r="E533" i="4"/>
  <c r="F536" i="4"/>
  <c r="D536" i="4"/>
  <c r="B536" i="4"/>
  <c r="C541" i="4"/>
  <c r="C544" i="4"/>
  <c r="B558" i="4"/>
  <c r="E558" i="4"/>
  <c r="D558" i="4"/>
  <c r="C558" i="4"/>
  <c r="F565" i="4"/>
  <c r="D565" i="4"/>
  <c r="B565" i="4"/>
  <c r="F587" i="4"/>
  <c r="D619" i="4"/>
  <c r="E619" i="4"/>
  <c r="C619" i="4"/>
  <c r="B619" i="4"/>
  <c r="E632" i="4"/>
  <c r="C638" i="4"/>
  <c r="B638" i="4"/>
  <c r="F638" i="4"/>
  <c r="D638" i="4"/>
  <c r="C652" i="4"/>
  <c r="F703" i="4"/>
  <c r="F735" i="4"/>
  <c r="F767" i="4"/>
  <c r="F799" i="4"/>
  <c r="D3" i="4"/>
  <c r="D7" i="4"/>
  <c r="E10" i="4"/>
  <c r="C12" i="4"/>
  <c r="F15" i="4"/>
  <c r="E19" i="4"/>
  <c r="D19" i="4"/>
  <c r="E20" i="4"/>
  <c r="C27" i="4"/>
  <c r="F30" i="4"/>
  <c r="D32" i="4"/>
  <c r="C34" i="4"/>
  <c r="B34" i="4"/>
  <c r="E42" i="4"/>
  <c r="C44" i="4"/>
  <c r="F47" i="4"/>
  <c r="E51" i="4"/>
  <c r="D51" i="4"/>
  <c r="E52" i="4"/>
  <c r="C59" i="4"/>
  <c r="F62" i="4"/>
  <c r="D64" i="4"/>
  <c r="C66" i="4"/>
  <c r="B66" i="4"/>
  <c r="E74" i="4"/>
  <c r="C76" i="4"/>
  <c r="F79" i="4"/>
  <c r="E83" i="4"/>
  <c r="D83" i="4"/>
  <c r="E84" i="4"/>
  <c r="C91" i="4"/>
  <c r="F94" i="4"/>
  <c r="D96" i="4"/>
  <c r="C98" i="4"/>
  <c r="B98" i="4"/>
  <c r="E107" i="4"/>
  <c r="D107" i="4"/>
  <c r="C107" i="4"/>
  <c r="D116" i="4"/>
  <c r="C120" i="4"/>
  <c r="F128" i="4"/>
  <c r="E128" i="4"/>
  <c r="F131" i="4"/>
  <c r="E139" i="4"/>
  <c r="D139" i="4"/>
  <c r="C139" i="4"/>
  <c r="D148" i="4"/>
  <c r="C152" i="4"/>
  <c r="F160" i="4"/>
  <c r="E160" i="4"/>
  <c r="F163" i="4"/>
  <c r="E171" i="4"/>
  <c r="D171" i="4"/>
  <c r="C171" i="4"/>
  <c r="D180" i="4"/>
  <c r="C184" i="4"/>
  <c r="F192" i="4"/>
  <c r="E192" i="4"/>
  <c r="F195" i="4"/>
  <c r="E203" i="4"/>
  <c r="D203" i="4"/>
  <c r="C203" i="4"/>
  <c r="D212" i="4"/>
  <c r="C216" i="4"/>
  <c r="F224" i="4"/>
  <c r="E224" i="4"/>
  <c r="F227" i="4"/>
  <c r="E235" i="4"/>
  <c r="D235" i="4"/>
  <c r="C235" i="4"/>
  <c r="D244" i="4"/>
  <c r="C248" i="4"/>
  <c r="F256" i="4"/>
  <c r="E256" i="4"/>
  <c r="F259" i="4"/>
  <c r="E267" i="4"/>
  <c r="D267" i="4"/>
  <c r="C267" i="4"/>
  <c r="F291" i="4"/>
  <c r="E299" i="4"/>
  <c r="D299" i="4"/>
  <c r="C299" i="4"/>
  <c r="F323" i="4"/>
  <c r="E331" i="4"/>
  <c r="D331" i="4"/>
  <c r="C331" i="4"/>
  <c r="F355" i="4"/>
  <c r="E363" i="4"/>
  <c r="D363" i="4"/>
  <c r="C363" i="4"/>
  <c r="F387" i="4"/>
  <c r="E395" i="4"/>
  <c r="D395" i="4"/>
  <c r="C395" i="4"/>
  <c r="D491" i="4"/>
  <c r="E491" i="4"/>
  <c r="C491" i="4"/>
  <c r="B491" i="4"/>
  <c r="F507" i="4"/>
  <c r="F510" i="4"/>
  <c r="B518" i="4"/>
  <c r="F518" i="4"/>
  <c r="E518" i="4"/>
  <c r="C518" i="4"/>
  <c r="D539" i="4"/>
  <c r="E539" i="4"/>
  <c r="B539" i="4"/>
  <c r="B542" i="4"/>
  <c r="E542" i="4"/>
  <c r="C542" i="4"/>
  <c r="D549" i="4"/>
  <c r="C549" i="4"/>
  <c r="B549" i="4"/>
  <c r="F549" i="4"/>
  <c r="F573" i="4"/>
  <c r="E573" i="4"/>
  <c r="D573" i="4"/>
  <c r="B573" i="4"/>
  <c r="F576" i="4"/>
  <c r="E576" i="4"/>
  <c r="D576" i="4"/>
  <c r="B576" i="4"/>
  <c r="E855" i="4"/>
  <c r="D855" i="4"/>
  <c r="C855" i="4"/>
  <c r="F855" i="4"/>
  <c r="B855" i="4"/>
  <c r="C14" i="4"/>
  <c r="B14" i="4"/>
  <c r="E31" i="4"/>
  <c r="D31" i="4"/>
  <c r="C46" i="4"/>
  <c r="B46" i="4"/>
  <c r="E63" i="4"/>
  <c r="D63" i="4"/>
  <c r="C78" i="4"/>
  <c r="B78" i="4"/>
  <c r="E95" i="4"/>
  <c r="D95" i="4"/>
  <c r="E111" i="4"/>
  <c r="D111" i="4"/>
  <c r="C111" i="4"/>
  <c r="F132" i="4"/>
  <c r="E132" i="4"/>
  <c r="E143" i="4"/>
  <c r="D143" i="4"/>
  <c r="C143" i="4"/>
  <c r="F164" i="4"/>
  <c r="E164" i="4"/>
  <c r="E175" i="4"/>
  <c r="D175" i="4"/>
  <c r="C175" i="4"/>
  <c r="F196" i="4"/>
  <c r="E196" i="4"/>
  <c r="E207" i="4"/>
  <c r="D207" i="4"/>
  <c r="C207" i="4"/>
  <c r="F228" i="4"/>
  <c r="E228" i="4"/>
  <c r="E239" i="4"/>
  <c r="D239" i="4"/>
  <c r="C239" i="4"/>
  <c r="F260" i="4"/>
  <c r="E260" i="4"/>
  <c r="E271" i="4"/>
  <c r="D271" i="4"/>
  <c r="C271" i="4"/>
  <c r="E303" i="4"/>
  <c r="D303" i="4"/>
  <c r="C303" i="4"/>
  <c r="E335" i="4"/>
  <c r="D335" i="4"/>
  <c r="C335" i="4"/>
  <c r="B363" i="4"/>
  <c r="E367" i="4"/>
  <c r="D367" i="4"/>
  <c r="C367" i="4"/>
  <c r="B395" i="4"/>
  <c r="F491" i="4"/>
  <c r="D518" i="4"/>
  <c r="C539" i="4"/>
  <c r="D542" i="4"/>
  <c r="D547" i="4"/>
  <c r="F547" i="4"/>
  <c r="E547" i="4"/>
  <c r="B547" i="4"/>
  <c r="E549" i="4"/>
  <c r="F552" i="4"/>
  <c r="D552" i="4"/>
  <c r="C552" i="4"/>
  <c r="B552" i="4"/>
  <c r="F568" i="4"/>
  <c r="D568" i="4"/>
  <c r="B568" i="4"/>
  <c r="C573" i="4"/>
  <c r="C576" i="4"/>
  <c r="B590" i="4"/>
  <c r="E590" i="4"/>
  <c r="D590" i="4"/>
  <c r="C590" i="4"/>
  <c r="F597" i="4"/>
  <c r="D597" i="4"/>
  <c r="B597" i="4"/>
  <c r="F605" i="4"/>
  <c r="E605" i="4"/>
  <c r="D605" i="4"/>
  <c r="B605" i="4"/>
  <c r="F608" i="4"/>
  <c r="E608" i="4"/>
  <c r="D608" i="4"/>
  <c r="B608" i="4"/>
  <c r="E663" i="4"/>
  <c r="D663" i="4"/>
  <c r="C663" i="4"/>
  <c r="B663" i="4"/>
  <c r="F692" i="4"/>
  <c r="E692" i="4"/>
  <c r="D692" i="4"/>
  <c r="B692" i="4"/>
  <c r="E863" i="4"/>
  <c r="D863" i="4"/>
  <c r="C863" i="4"/>
  <c r="F863" i="4"/>
  <c r="B863" i="4"/>
  <c r="B890" i="4"/>
  <c r="F890" i="4"/>
  <c r="D890" i="4"/>
  <c r="E890" i="4"/>
  <c r="C890" i="4"/>
  <c r="D2" i="4"/>
  <c r="B5" i="4"/>
  <c r="D6" i="4"/>
  <c r="C9" i="4"/>
  <c r="E11" i="4"/>
  <c r="D11" i="4"/>
  <c r="E12" i="4"/>
  <c r="D14" i="4"/>
  <c r="B16" i="4"/>
  <c r="C19" i="4"/>
  <c r="F22" i="4"/>
  <c r="D24" i="4"/>
  <c r="C26" i="4"/>
  <c r="B26" i="4"/>
  <c r="B31" i="4"/>
  <c r="E34" i="4"/>
  <c r="C36" i="4"/>
  <c r="F39" i="4"/>
  <c r="E43" i="4"/>
  <c r="D43" i="4"/>
  <c r="E44" i="4"/>
  <c r="D46" i="4"/>
  <c r="B48" i="4"/>
  <c r="C51" i="4"/>
  <c r="F54" i="4"/>
  <c r="D56" i="4"/>
  <c r="C58" i="4"/>
  <c r="B58" i="4"/>
  <c r="B63" i="4"/>
  <c r="E66" i="4"/>
  <c r="C68" i="4"/>
  <c r="F71" i="4"/>
  <c r="E75" i="4"/>
  <c r="D75" i="4"/>
  <c r="E76" i="4"/>
  <c r="D78" i="4"/>
  <c r="B80" i="4"/>
  <c r="C83" i="4"/>
  <c r="F86" i="4"/>
  <c r="D88" i="4"/>
  <c r="C90" i="4"/>
  <c r="B90" i="4"/>
  <c r="B95" i="4"/>
  <c r="E98" i="4"/>
  <c r="C100" i="4"/>
  <c r="F104" i="4"/>
  <c r="E104" i="4"/>
  <c r="F107" i="4"/>
  <c r="B111" i="4"/>
  <c r="E115" i="4"/>
  <c r="D115" i="4"/>
  <c r="C115" i="4"/>
  <c r="D124" i="4"/>
  <c r="C128" i="4"/>
  <c r="B132" i="4"/>
  <c r="F136" i="4"/>
  <c r="E136" i="4"/>
  <c r="F139" i="4"/>
  <c r="B143" i="4"/>
  <c r="E147" i="4"/>
  <c r="D147" i="4"/>
  <c r="C147" i="4"/>
  <c r="D156" i="4"/>
  <c r="C160" i="4"/>
  <c r="B164" i="4"/>
  <c r="F168" i="4"/>
  <c r="E168" i="4"/>
  <c r="F171" i="4"/>
  <c r="B175" i="4"/>
  <c r="E179" i="4"/>
  <c r="D179" i="4"/>
  <c r="C179" i="4"/>
  <c r="D188" i="4"/>
  <c r="C192" i="4"/>
  <c r="B196" i="4"/>
  <c r="F200" i="4"/>
  <c r="E200" i="4"/>
  <c r="F203" i="4"/>
  <c r="B207" i="4"/>
  <c r="E211" i="4"/>
  <c r="D211" i="4"/>
  <c r="C211" i="4"/>
  <c r="D220" i="4"/>
  <c r="C224" i="4"/>
  <c r="B228" i="4"/>
  <c r="F232" i="4"/>
  <c r="E232" i="4"/>
  <c r="F235" i="4"/>
  <c r="B239" i="4"/>
  <c r="E243" i="4"/>
  <c r="D243" i="4"/>
  <c r="C243" i="4"/>
  <c r="D252" i="4"/>
  <c r="C256" i="4"/>
  <c r="B260" i="4"/>
  <c r="F264" i="4"/>
  <c r="E264" i="4"/>
  <c r="F267" i="4"/>
  <c r="B271" i="4"/>
  <c r="E275" i="4"/>
  <c r="D275" i="4"/>
  <c r="C275" i="4"/>
  <c r="F299" i="4"/>
  <c r="B303" i="4"/>
  <c r="E307" i="4"/>
  <c r="D307" i="4"/>
  <c r="C307" i="4"/>
  <c r="F331" i="4"/>
  <c r="B335" i="4"/>
  <c r="E339" i="4"/>
  <c r="D339" i="4"/>
  <c r="C339" i="4"/>
  <c r="F363" i="4"/>
  <c r="B367" i="4"/>
  <c r="E371" i="4"/>
  <c r="D371" i="4"/>
  <c r="C371" i="4"/>
  <c r="F395" i="4"/>
  <c r="D523" i="4"/>
  <c r="E523" i="4"/>
  <c r="C523" i="4"/>
  <c r="B523" i="4"/>
  <c r="F539" i="4"/>
  <c r="F542" i="4"/>
  <c r="C547" i="4"/>
  <c r="B550" i="4"/>
  <c r="F550" i="4"/>
  <c r="E550" i="4"/>
  <c r="C550" i="4"/>
  <c r="E552" i="4"/>
  <c r="C568" i="4"/>
  <c r="D571" i="4"/>
  <c r="E571" i="4"/>
  <c r="B571" i="4"/>
  <c r="B574" i="4"/>
  <c r="E574" i="4"/>
  <c r="C574" i="4"/>
  <c r="D581" i="4"/>
  <c r="C581" i="4"/>
  <c r="B581" i="4"/>
  <c r="F581" i="4"/>
  <c r="F590" i="4"/>
  <c r="C597" i="4"/>
  <c r="C605" i="4"/>
  <c r="C608" i="4"/>
  <c r="B622" i="4"/>
  <c r="E622" i="4"/>
  <c r="D622" i="4"/>
  <c r="C622" i="4"/>
  <c r="F663" i="4"/>
  <c r="F668" i="4"/>
  <c r="E668" i="4"/>
  <c r="D668" i="4"/>
  <c r="C668" i="4"/>
  <c r="B668" i="4"/>
  <c r="E679" i="4"/>
  <c r="D679" i="4"/>
  <c r="C679" i="4"/>
  <c r="F679" i="4"/>
  <c r="B679" i="4"/>
  <c r="F684" i="4"/>
  <c r="E684" i="4"/>
  <c r="D684" i="4"/>
  <c r="B684" i="4"/>
  <c r="C692" i="4"/>
  <c r="B887" i="4"/>
  <c r="F887" i="4"/>
  <c r="E887" i="4"/>
  <c r="C887" i="4"/>
  <c r="B922" i="4"/>
  <c r="F922" i="4"/>
  <c r="D922" i="4"/>
  <c r="E922" i="4"/>
  <c r="C922" i="4"/>
  <c r="B11" i="4"/>
  <c r="E14" i="4"/>
  <c r="C16" i="4"/>
  <c r="F19" i="4"/>
  <c r="E23" i="4"/>
  <c r="D23" i="4"/>
  <c r="E24" i="4"/>
  <c r="D26" i="4"/>
  <c r="B28" i="4"/>
  <c r="C31" i="4"/>
  <c r="F34" i="4"/>
  <c r="D36" i="4"/>
  <c r="C38" i="4"/>
  <c r="B38" i="4"/>
  <c r="B43" i="4"/>
  <c r="E46" i="4"/>
  <c r="C48" i="4"/>
  <c r="F51" i="4"/>
  <c r="E55" i="4"/>
  <c r="D55" i="4"/>
  <c r="E56" i="4"/>
  <c r="D58" i="4"/>
  <c r="B60" i="4"/>
  <c r="C63" i="4"/>
  <c r="F66" i="4"/>
  <c r="D68" i="4"/>
  <c r="C70" i="4"/>
  <c r="B70" i="4"/>
  <c r="B75" i="4"/>
  <c r="E78" i="4"/>
  <c r="C80" i="4"/>
  <c r="F83" i="4"/>
  <c r="E87" i="4"/>
  <c r="D87" i="4"/>
  <c r="E88" i="4"/>
  <c r="D90" i="4"/>
  <c r="B92" i="4"/>
  <c r="C95" i="4"/>
  <c r="F98" i="4"/>
  <c r="D100" i="4"/>
  <c r="B104" i="4"/>
  <c r="F108" i="4"/>
  <c r="E108" i="4"/>
  <c r="F111" i="4"/>
  <c r="B115" i="4"/>
  <c r="E119" i="4"/>
  <c r="D119" i="4"/>
  <c r="C119" i="4"/>
  <c r="D128" i="4"/>
  <c r="C132" i="4"/>
  <c r="B136" i="4"/>
  <c r="F140" i="4"/>
  <c r="E140" i="4"/>
  <c r="F143" i="4"/>
  <c r="B147" i="4"/>
  <c r="E151" i="4"/>
  <c r="D151" i="4"/>
  <c r="C151" i="4"/>
  <c r="D160" i="4"/>
  <c r="C164" i="4"/>
  <c r="B168" i="4"/>
  <c r="F172" i="4"/>
  <c r="E172" i="4"/>
  <c r="F175" i="4"/>
  <c r="B179" i="4"/>
  <c r="E183" i="4"/>
  <c r="D183" i="4"/>
  <c r="C183" i="4"/>
  <c r="D192" i="4"/>
  <c r="C196" i="4"/>
  <c r="B200" i="4"/>
  <c r="F204" i="4"/>
  <c r="E204" i="4"/>
  <c r="F207" i="4"/>
  <c r="B211" i="4"/>
  <c r="E215" i="4"/>
  <c r="D215" i="4"/>
  <c r="C215" i="4"/>
  <c r="D224" i="4"/>
  <c r="C228" i="4"/>
  <c r="B232" i="4"/>
  <c r="F236" i="4"/>
  <c r="E236" i="4"/>
  <c r="F239" i="4"/>
  <c r="B243" i="4"/>
  <c r="E247" i="4"/>
  <c r="D247" i="4"/>
  <c r="C247" i="4"/>
  <c r="D256" i="4"/>
  <c r="C260" i="4"/>
  <c r="B264" i="4"/>
  <c r="F271" i="4"/>
  <c r="B275" i="4"/>
  <c r="E279" i="4"/>
  <c r="D279" i="4"/>
  <c r="C279" i="4"/>
  <c r="F303" i="4"/>
  <c r="B307" i="4"/>
  <c r="E311" i="4"/>
  <c r="D311" i="4"/>
  <c r="C311" i="4"/>
  <c r="F335" i="4"/>
  <c r="B339" i="4"/>
  <c r="E343" i="4"/>
  <c r="D343" i="4"/>
  <c r="C343" i="4"/>
  <c r="F367" i="4"/>
  <c r="B371" i="4"/>
  <c r="E375" i="4"/>
  <c r="D375" i="4"/>
  <c r="C375" i="4"/>
  <c r="B494" i="4"/>
  <c r="E494" i="4"/>
  <c r="D494" i="4"/>
  <c r="C494" i="4"/>
  <c r="F501" i="4"/>
  <c r="D501" i="4"/>
  <c r="B501" i="4"/>
  <c r="F523" i="4"/>
  <c r="D550" i="4"/>
  <c r="E568" i="4"/>
  <c r="D579" i="4"/>
  <c r="F579" i="4"/>
  <c r="E579" i="4"/>
  <c r="B579" i="4"/>
  <c r="F584" i="4"/>
  <c r="D584" i="4"/>
  <c r="C584" i="4"/>
  <c r="B584" i="4"/>
  <c r="E597" i="4"/>
  <c r="F600" i="4"/>
  <c r="D600" i="4"/>
  <c r="B600" i="4"/>
  <c r="D603" i="4"/>
  <c r="E603" i="4"/>
  <c r="B603" i="4"/>
  <c r="B606" i="4"/>
  <c r="E606" i="4"/>
  <c r="C606" i="4"/>
  <c r="D613" i="4"/>
  <c r="C613" i="4"/>
  <c r="B613" i="4"/>
  <c r="F613" i="4"/>
  <c r="F622" i="4"/>
  <c r="C630" i="4"/>
  <c r="B630" i="4"/>
  <c r="F630" i="4"/>
  <c r="E630" i="4"/>
  <c r="D630" i="4"/>
  <c r="C684" i="4"/>
  <c r="E883" i="4"/>
  <c r="D883" i="4"/>
  <c r="C883" i="4"/>
  <c r="F883" i="4"/>
  <c r="B883" i="4"/>
  <c r="D887" i="4"/>
  <c r="D919" i="4"/>
  <c r="B919" i="4"/>
  <c r="F919" i="4"/>
  <c r="E919" i="4"/>
  <c r="C919" i="4"/>
  <c r="E847" i="4"/>
  <c r="D847" i="4"/>
  <c r="C847" i="4"/>
  <c r="F847" i="4"/>
  <c r="E875" i="4"/>
  <c r="D875" i="4"/>
  <c r="C875" i="4"/>
  <c r="F875" i="4"/>
  <c r="D911" i="4"/>
  <c r="B911" i="4"/>
  <c r="F911" i="4"/>
  <c r="E911" i="4"/>
  <c r="B914" i="4"/>
  <c r="F914" i="4"/>
  <c r="D914" i="4"/>
  <c r="E914" i="4"/>
  <c r="C914" i="4"/>
  <c r="F940" i="4"/>
  <c r="D940" i="4"/>
  <c r="B940" i="4"/>
  <c r="D959" i="4"/>
  <c r="B959" i="4"/>
  <c r="F959" i="4"/>
  <c r="E959" i="4"/>
  <c r="B962" i="4"/>
  <c r="F962" i="4"/>
  <c r="D962" i="4"/>
  <c r="E962" i="4"/>
  <c r="C962" i="4"/>
  <c r="F1000" i="4"/>
  <c r="E1000" i="4"/>
  <c r="D1000" i="4"/>
  <c r="C1000" i="4"/>
  <c r="B1000" i="4"/>
  <c r="E601" i="4"/>
  <c r="C626" i="4"/>
  <c r="B626" i="4"/>
  <c r="E643" i="4"/>
  <c r="D643" i="4"/>
  <c r="E644" i="4"/>
  <c r="F656" i="4"/>
  <c r="E656" i="4"/>
  <c r="E667" i="4"/>
  <c r="D667" i="4"/>
  <c r="C667" i="4"/>
  <c r="F688" i="4"/>
  <c r="E688" i="4"/>
  <c r="E699" i="4"/>
  <c r="D699" i="4"/>
  <c r="C699" i="4"/>
  <c r="E731" i="4"/>
  <c r="D731" i="4"/>
  <c r="C731" i="4"/>
  <c r="E763" i="4"/>
  <c r="D763" i="4"/>
  <c r="C763" i="4"/>
  <c r="E795" i="4"/>
  <c r="D795" i="4"/>
  <c r="C795" i="4"/>
  <c r="B847" i="4"/>
  <c r="E851" i="4"/>
  <c r="D851" i="4"/>
  <c r="C851" i="4"/>
  <c r="F851" i="4"/>
  <c r="B875" i="4"/>
  <c r="F908" i="4"/>
  <c r="D908" i="4"/>
  <c r="B908" i="4"/>
  <c r="C911" i="4"/>
  <c r="C940" i="4"/>
  <c r="F948" i="4"/>
  <c r="D948" i="4"/>
  <c r="B948" i="4"/>
  <c r="C959" i="4"/>
  <c r="D967" i="4"/>
  <c r="B967" i="4"/>
  <c r="F967" i="4"/>
  <c r="E967" i="4"/>
  <c r="B970" i="4"/>
  <c r="F970" i="4"/>
  <c r="D970" i="4"/>
  <c r="E970" i="4"/>
  <c r="C970" i="4"/>
  <c r="E635" i="4"/>
  <c r="D635" i="4"/>
  <c r="F664" i="4"/>
  <c r="E664" i="4"/>
  <c r="E675" i="4"/>
  <c r="D675" i="4"/>
  <c r="C675" i="4"/>
  <c r="E707" i="4"/>
  <c r="D707" i="4"/>
  <c r="C707" i="4"/>
  <c r="E739" i="4"/>
  <c r="D739" i="4"/>
  <c r="C739" i="4"/>
  <c r="E771" i="4"/>
  <c r="D771" i="4"/>
  <c r="C771" i="4"/>
  <c r="E803" i="4"/>
  <c r="D803" i="4"/>
  <c r="C803" i="4"/>
  <c r="E859" i="4"/>
  <c r="D859" i="4"/>
  <c r="C859" i="4"/>
  <c r="F859" i="4"/>
  <c r="F916" i="4"/>
  <c r="D916" i="4"/>
  <c r="B916" i="4"/>
  <c r="F964" i="4"/>
  <c r="D964" i="4"/>
  <c r="B964" i="4"/>
  <c r="D983" i="4"/>
  <c r="B983" i="4"/>
  <c r="F983" i="4"/>
  <c r="E983" i="4"/>
  <c r="B986" i="4"/>
  <c r="F986" i="4"/>
  <c r="D986" i="4"/>
  <c r="E986" i="4"/>
  <c r="C986" i="4"/>
  <c r="B898" i="4"/>
  <c r="F898" i="4"/>
  <c r="D898" i="4"/>
  <c r="E898" i="4"/>
  <c r="C898" i="4"/>
  <c r="D927" i="4"/>
  <c r="B927" i="4"/>
  <c r="F927" i="4"/>
  <c r="E927" i="4"/>
  <c r="B930" i="4"/>
  <c r="F930" i="4"/>
  <c r="D930" i="4"/>
  <c r="E930" i="4"/>
  <c r="C930" i="4"/>
  <c r="F972" i="4"/>
  <c r="D972" i="4"/>
  <c r="B972" i="4"/>
  <c r="D991" i="4"/>
  <c r="B991" i="4"/>
  <c r="F991" i="4"/>
  <c r="E991" i="4"/>
  <c r="B994" i="4"/>
  <c r="F994" i="4"/>
  <c r="D994" i="4"/>
  <c r="E994" i="4"/>
  <c r="C994" i="4"/>
  <c r="E268" i="4"/>
  <c r="E272" i="4"/>
  <c r="E276" i="4"/>
  <c r="E280" i="4"/>
  <c r="E284" i="4"/>
  <c r="E288" i="4"/>
  <c r="E292" i="4"/>
  <c r="E296" i="4"/>
  <c r="E300" i="4"/>
  <c r="E304" i="4"/>
  <c r="E308" i="4"/>
  <c r="E312" i="4"/>
  <c r="E316" i="4"/>
  <c r="E320" i="4"/>
  <c r="E324" i="4"/>
  <c r="E328" i="4"/>
  <c r="E332" i="4"/>
  <c r="E336" i="4"/>
  <c r="E340" i="4"/>
  <c r="E344" i="4"/>
  <c r="E348" i="4"/>
  <c r="E352" i="4"/>
  <c r="E356" i="4"/>
  <c r="E360" i="4"/>
  <c r="E364" i="4"/>
  <c r="E368" i="4"/>
  <c r="E372" i="4"/>
  <c r="E376" i="4"/>
  <c r="E380" i="4"/>
  <c r="E384" i="4"/>
  <c r="E388" i="4"/>
  <c r="E392" i="4"/>
  <c r="E396" i="4"/>
  <c r="C399" i="4"/>
  <c r="E400" i="4"/>
  <c r="C403" i="4"/>
  <c r="E404" i="4"/>
  <c r="C407" i="4"/>
  <c r="E408" i="4"/>
  <c r="C411" i="4"/>
  <c r="E412" i="4"/>
  <c r="C415" i="4"/>
  <c r="E416" i="4"/>
  <c r="C419" i="4"/>
  <c r="E420" i="4"/>
  <c r="C423" i="4"/>
  <c r="E424" i="4"/>
  <c r="C427" i="4"/>
  <c r="E428" i="4"/>
  <c r="C431" i="4"/>
  <c r="E432" i="4"/>
  <c r="C435" i="4"/>
  <c r="E436" i="4"/>
  <c r="C439" i="4"/>
  <c r="E440" i="4"/>
  <c r="C443" i="4"/>
  <c r="E444" i="4"/>
  <c r="C447" i="4"/>
  <c r="E448" i="4"/>
  <c r="C451" i="4"/>
  <c r="E452" i="4"/>
  <c r="C455" i="4"/>
  <c r="E456" i="4"/>
  <c r="C459" i="4"/>
  <c r="E460" i="4"/>
  <c r="C463" i="4"/>
  <c r="E464" i="4"/>
  <c r="C467" i="4"/>
  <c r="E468" i="4"/>
  <c r="C471" i="4"/>
  <c r="E472" i="4"/>
  <c r="C475" i="4"/>
  <c r="E476" i="4"/>
  <c r="C479" i="4"/>
  <c r="E480" i="4"/>
  <c r="E489" i="4"/>
  <c r="E492" i="4"/>
  <c r="F495" i="4"/>
  <c r="C497" i="4"/>
  <c r="F498" i="4"/>
  <c r="C500" i="4"/>
  <c r="C503" i="4"/>
  <c r="D506" i="4"/>
  <c r="E521" i="4"/>
  <c r="E524" i="4"/>
  <c r="F527" i="4"/>
  <c r="C529" i="4"/>
  <c r="F530" i="4"/>
  <c r="C532" i="4"/>
  <c r="C535" i="4"/>
  <c r="D538" i="4"/>
  <c r="E553" i="4"/>
  <c r="E556" i="4"/>
  <c r="F559" i="4"/>
  <c r="C561" i="4"/>
  <c r="F562" i="4"/>
  <c r="C564" i="4"/>
  <c r="C567" i="4"/>
  <c r="D570" i="4"/>
  <c r="E585" i="4"/>
  <c r="E588" i="4"/>
  <c r="F591" i="4"/>
  <c r="C593" i="4"/>
  <c r="F594" i="4"/>
  <c r="C596" i="4"/>
  <c r="C599" i="4"/>
  <c r="D602" i="4"/>
  <c r="E617" i="4"/>
  <c r="E620" i="4"/>
  <c r="F623" i="4"/>
  <c r="E627" i="4"/>
  <c r="D627" i="4"/>
  <c r="E628" i="4"/>
  <c r="C635" i="4"/>
  <c r="C642" i="4"/>
  <c r="B642" i="4"/>
  <c r="E651" i="4"/>
  <c r="D651" i="4"/>
  <c r="C651" i="4"/>
  <c r="C664" i="4"/>
  <c r="F672" i="4"/>
  <c r="E672" i="4"/>
  <c r="F675" i="4"/>
  <c r="E683" i="4"/>
  <c r="D683" i="4"/>
  <c r="C683" i="4"/>
  <c r="F707" i="4"/>
  <c r="E715" i="4"/>
  <c r="D715" i="4"/>
  <c r="C715" i="4"/>
  <c r="F739" i="4"/>
  <c r="E747" i="4"/>
  <c r="D747" i="4"/>
  <c r="C747" i="4"/>
  <c r="F771" i="4"/>
  <c r="E779" i="4"/>
  <c r="D779" i="4"/>
  <c r="C779" i="4"/>
  <c r="F803" i="4"/>
  <c r="E811" i="4"/>
  <c r="D811" i="4"/>
  <c r="C811" i="4"/>
  <c r="E867" i="4"/>
  <c r="D867" i="4"/>
  <c r="C867" i="4"/>
  <c r="F867" i="4"/>
  <c r="F892" i="4"/>
  <c r="D892" i="4"/>
  <c r="B892" i="4"/>
  <c r="D895" i="4"/>
  <c r="B895" i="4"/>
  <c r="F895" i="4"/>
  <c r="E895" i="4"/>
  <c r="E916" i="4"/>
  <c r="F924" i="4"/>
  <c r="D924" i="4"/>
  <c r="B924" i="4"/>
  <c r="C927" i="4"/>
  <c r="D935" i="4"/>
  <c r="B935" i="4"/>
  <c r="F935" i="4"/>
  <c r="E935" i="4"/>
  <c r="B938" i="4"/>
  <c r="F938" i="4"/>
  <c r="D938" i="4"/>
  <c r="E938" i="4"/>
  <c r="C938" i="4"/>
  <c r="E964" i="4"/>
  <c r="C972" i="4"/>
  <c r="F980" i="4"/>
  <c r="D980" i="4"/>
  <c r="B980" i="4"/>
  <c r="C991" i="4"/>
  <c r="B102" i="4"/>
  <c r="B106" i="4"/>
  <c r="B110" i="4"/>
  <c r="B114" i="4"/>
  <c r="B118" i="4"/>
  <c r="B122" i="4"/>
  <c r="B126" i="4"/>
  <c r="B130" i="4"/>
  <c r="B134" i="4"/>
  <c r="B138" i="4"/>
  <c r="B142" i="4"/>
  <c r="B146" i="4"/>
  <c r="B150" i="4"/>
  <c r="B154" i="4"/>
  <c r="B158" i="4"/>
  <c r="B162" i="4"/>
  <c r="B166" i="4"/>
  <c r="B170" i="4"/>
  <c r="B174" i="4"/>
  <c r="B178" i="4"/>
  <c r="B182" i="4"/>
  <c r="B186" i="4"/>
  <c r="B190" i="4"/>
  <c r="B194" i="4"/>
  <c r="B198" i="4"/>
  <c r="B202" i="4"/>
  <c r="B206" i="4"/>
  <c r="B210" i="4"/>
  <c r="B214" i="4"/>
  <c r="B218" i="4"/>
  <c r="B222" i="4"/>
  <c r="B226" i="4"/>
  <c r="B230" i="4"/>
  <c r="B234" i="4"/>
  <c r="B238" i="4"/>
  <c r="B242" i="4"/>
  <c r="B246" i="4"/>
  <c r="B250" i="4"/>
  <c r="B254" i="4"/>
  <c r="B258" i="4"/>
  <c r="B262" i="4"/>
  <c r="B266" i="4"/>
  <c r="B270" i="4"/>
  <c r="B274" i="4"/>
  <c r="B278" i="4"/>
  <c r="B282" i="4"/>
  <c r="B286" i="4"/>
  <c r="B290" i="4"/>
  <c r="B294" i="4"/>
  <c r="B298" i="4"/>
  <c r="B302" i="4"/>
  <c r="B306" i="4"/>
  <c r="B310" i="4"/>
  <c r="B314" i="4"/>
  <c r="B318" i="4"/>
  <c r="B322" i="4"/>
  <c r="B326" i="4"/>
  <c r="B330" i="4"/>
  <c r="B334" i="4"/>
  <c r="B338" i="4"/>
  <c r="B342" i="4"/>
  <c r="B346" i="4"/>
  <c r="B350" i="4"/>
  <c r="B354" i="4"/>
  <c r="B358" i="4"/>
  <c r="B362" i="4"/>
  <c r="B366" i="4"/>
  <c r="B370" i="4"/>
  <c r="B374" i="4"/>
  <c r="B378" i="4"/>
  <c r="B382" i="4"/>
  <c r="B386" i="4"/>
  <c r="B390" i="4"/>
  <c r="B394" i="4"/>
  <c r="B398" i="4"/>
  <c r="D399" i="4"/>
  <c r="B402" i="4"/>
  <c r="D403" i="4"/>
  <c r="B406" i="4"/>
  <c r="D407" i="4"/>
  <c r="B410" i="4"/>
  <c r="D411" i="4"/>
  <c r="B414" i="4"/>
  <c r="D415" i="4"/>
  <c r="B418" i="4"/>
  <c r="D419" i="4"/>
  <c r="B422" i="4"/>
  <c r="D423" i="4"/>
  <c r="B426" i="4"/>
  <c r="D427" i="4"/>
  <c r="B430" i="4"/>
  <c r="D431" i="4"/>
  <c r="B434" i="4"/>
  <c r="D435" i="4"/>
  <c r="B438" i="4"/>
  <c r="D439" i="4"/>
  <c r="B442" i="4"/>
  <c r="D443" i="4"/>
  <c r="B446" i="4"/>
  <c r="D447" i="4"/>
  <c r="B450" i="4"/>
  <c r="D451" i="4"/>
  <c r="B454" i="4"/>
  <c r="D455" i="4"/>
  <c r="B458" i="4"/>
  <c r="D459" i="4"/>
  <c r="B462" i="4"/>
  <c r="D463" i="4"/>
  <c r="B466" i="4"/>
  <c r="D467" i="4"/>
  <c r="B470" i="4"/>
  <c r="D471" i="4"/>
  <c r="B474" i="4"/>
  <c r="D475" i="4"/>
  <c r="B478" i="4"/>
  <c r="D479" i="4"/>
  <c r="C482" i="4"/>
  <c r="D497" i="4"/>
  <c r="D500" i="4"/>
  <c r="E503" i="4"/>
  <c r="B505" i="4"/>
  <c r="E506" i="4"/>
  <c r="B508" i="4"/>
  <c r="B511" i="4"/>
  <c r="C514" i="4"/>
  <c r="D529" i="4"/>
  <c r="D532" i="4"/>
  <c r="E535" i="4"/>
  <c r="B537" i="4"/>
  <c r="E538" i="4"/>
  <c r="B540" i="4"/>
  <c r="B543" i="4"/>
  <c r="C546" i="4"/>
  <c r="D561" i="4"/>
  <c r="D564" i="4"/>
  <c r="E567" i="4"/>
  <c r="B569" i="4"/>
  <c r="E570" i="4"/>
  <c r="B572" i="4"/>
  <c r="B575" i="4"/>
  <c r="C578" i="4"/>
  <c r="D593" i="4"/>
  <c r="D596" i="4"/>
  <c r="E599" i="4"/>
  <c r="B601" i="4"/>
  <c r="E602" i="4"/>
  <c r="B604" i="4"/>
  <c r="B607" i="4"/>
  <c r="C610" i="4"/>
  <c r="B627" i="4"/>
  <c r="F635" i="4"/>
  <c r="E639" i="4"/>
  <c r="D639" i="4"/>
  <c r="D642" i="4"/>
  <c r="B644" i="4"/>
  <c r="B651" i="4"/>
  <c r="E655" i="4"/>
  <c r="D655" i="4"/>
  <c r="C655" i="4"/>
  <c r="D664" i="4"/>
  <c r="B672" i="4"/>
  <c r="F676" i="4"/>
  <c r="E676" i="4"/>
  <c r="B683" i="4"/>
  <c r="E687" i="4"/>
  <c r="D687" i="4"/>
  <c r="C687" i="4"/>
  <c r="B715" i="4"/>
  <c r="E719" i="4"/>
  <c r="D719" i="4"/>
  <c r="C719" i="4"/>
  <c r="B747" i="4"/>
  <c r="E751" i="4"/>
  <c r="D751" i="4"/>
  <c r="C751" i="4"/>
  <c r="B779" i="4"/>
  <c r="E783" i="4"/>
  <c r="D783" i="4"/>
  <c r="C783" i="4"/>
  <c r="B811" i="4"/>
  <c r="E815" i="4"/>
  <c r="D815" i="4"/>
  <c r="C815" i="4"/>
  <c r="F815" i="4"/>
  <c r="E819" i="4"/>
  <c r="D819" i="4"/>
  <c r="C819" i="4"/>
  <c r="F819" i="4"/>
  <c r="E823" i="4"/>
  <c r="D823" i="4"/>
  <c r="C823" i="4"/>
  <c r="F823" i="4"/>
  <c r="E827" i="4"/>
  <c r="D827" i="4"/>
  <c r="C827" i="4"/>
  <c r="F827" i="4"/>
  <c r="E831" i="4"/>
  <c r="D831" i="4"/>
  <c r="C831" i="4"/>
  <c r="F831" i="4"/>
  <c r="E835" i="4"/>
  <c r="D835" i="4"/>
  <c r="C835" i="4"/>
  <c r="F835" i="4"/>
  <c r="E839" i="4"/>
  <c r="D839" i="4"/>
  <c r="C839" i="4"/>
  <c r="F839" i="4"/>
  <c r="B867" i="4"/>
  <c r="E871" i="4"/>
  <c r="D871" i="4"/>
  <c r="C871" i="4"/>
  <c r="F871" i="4"/>
  <c r="C892" i="4"/>
  <c r="C895" i="4"/>
  <c r="D903" i="4"/>
  <c r="B903" i="4"/>
  <c r="F903" i="4"/>
  <c r="E903" i="4"/>
  <c r="B906" i="4"/>
  <c r="F906" i="4"/>
  <c r="D906" i="4"/>
  <c r="E906" i="4"/>
  <c r="C906" i="4"/>
  <c r="C924" i="4"/>
  <c r="C935" i="4"/>
  <c r="D943" i="4"/>
  <c r="B943" i="4"/>
  <c r="F943" i="4"/>
  <c r="E943" i="4"/>
  <c r="B946" i="4"/>
  <c r="F946" i="4"/>
  <c r="D946" i="4"/>
  <c r="E946" i="4"/>
  <c r="C946" i="4"/>
  <c r="E972" i="4"/>
  <c r="C980" i="4"/>
  <c r="F988" i="4"/>
  <c r="D988" i="4"/>
  <c r="B988" i="4"/>
  <c r="D482" i="4"/>
  <c r="B496" i="4"/>
  <c r="E500" i="4"/>
  <c r="F503" i="4"/>
  <c r="F506" i="4"/>
  <c r="C508" i="4"/>
  <c r="C511" i="4"/>
  <c r="D514" i="4"/>
  <c r="B528" i="4"/>
  <c r="E532" i="4"/>
  <c r="F535" i="4"/>
  <c r="F538" i="4"/>
  <c r="C540" i="4"/>
  <c r="C543" i="4"/>
  <c r="D546" i="4"/>
  <c r="B560" i="4"/>
  <c r="E564" i="4"/>
  <c r="F567" i="4"/>
  <c r="F570" i="4"/>
  <c r="C572" i="4"/>
  <c r="C575" i="4"/>
  <c r="D578" i="4"/>
  <c r="B592" i="4"/>
  <c r="E596" i="4"/>
  <c r="F599" i="4"/>
  <c r="F602" i="4"/>
  <c r="C604" i="4"/>
  <c r="C607" i="4"/>
  <c r="D610" i="4"/>
  <c r="C627" i="4"/>
  <c r="C634" i="4"/>
  <c r="B634" i="4"/>
  <c r="B639" i="4"/>
  <c r="E642" i="4"/>
  <c r="C644" i="4"/>
  <c r="F648" i="4"/>
  <c r="E648" i="4"/>
  <c r="F651" i="4"/>
  <c r="B655" i="4"/>
  <c r="E659" i="4"/>
  <c r="D659" i="4"/>
  <c r="C659" i="4"/>
  <c r="C672" i="4"/>
  <c r="B676" i="4"/>
  <c r="F680" i="4"/>
  <c r="E680" i="4"/>
  <c r="F683" i="4"/>
  <c r="B687" i="4"/>
  <c r="E691" i="4"/>
  <c r="D691" i="4"/>
  <c r="C691" i="4"/>
  <c r="F715" i="4"/>
  <c r="B719" i="4"/>
  <c r="E723" i="4"/>
  <c r="D723" i="4"/>
  <c r="C723" i="4"/>
  <c r="F747" i="4"/>
  <c r="B751" i="4"/>
  <c r="E755" i="4"/>
  <c r="D755" i="4"/>
  <c r="C755" i="4"/>
  <c r="F779" i="4"/>
  <c r="B783" i="4"/>
  <c r="E787" i="4"/>
  <c r="D787" i="4"/>
  <c r="C787" i="4"/>
  <c r="F811" i="4"/>
  <c r="B815" i="4"/>
  <c r="B819" i="4"/>
  <c r="B823" i="4"/>
  <c r="B827" i="4"/>
  <c r="B831" i="4"/>
  <c r="B835" i="4"/>
  <c r="B839" i="4"/>
  <c r="E843" i="4"/>
  <c r="D843" i="4"/>
  <c r="C843" i="4"/>
  <c r="F843" i="4"/>
  <c r="E892" i="4"/>
  <c r="F900" i="4"/>
  <c r="D900" i="4"/>
  <c r="B900" i="4"/>
  <c r="E924" i="4"/>
  <c r="F932" i="4"/>
  <c r="D932" i="4"/>
  <c r="B932" i="4"/>
  <c r="D951" i="4"/>
  <c r="B951" i="4"/>
  <c r="F951" i="4"/>
  <c r="E951" i="4"/>
  <c r="B954" i="4"/>
  <c r="F954" i="4"/>
  <c r="D954" i="4"/>
  <c r="E954" i="4"/>
  <c r="C954" i="4"/>
  <c r="E980" i="4"/>
  <c r="F996" i="4"/>
  <c r="D996" i="4"/>
  <c r="B996" i="4"/>
  <c r="B894" i="4"/>
  <c r="F894" i="4"/>
  <c r="D894" i="4"/>
  <c r="B902" i="4"/>
  <c r="F902" i="4"/>
  <c r="D902" i="4"/>
  <c r="B910" i="4"/>
  <c r="F910" i="4"/>
  <c r="D910" i="4"/>
  <c r="B918" i="4"/>
  <c r="F918" i="4"/>
  <c r="D918" i="4"/>
  <c r="B926" i="4"/>
  <c r="F926" i="4"/>
  <c r="D926" i="4"/>
  <c r="B934" i="4"/>
  <c r="F934" i="4"/>
  <c r="D934" i="4"/>
  <c r="B942" i="4"/>
  <c r="F942" i="4"/>
  <c r="D942" i="4"/>
  <c r="B950" i="4"/>
  <c r="F950" i="4"/>
  <c r="D950" i="4"/>
  <c r="B958" i="4"/>
  <c r="F958" i="4"/>
  <c r="D958" i="4"/>
  <c r="B966" i="4"/>
  <c r="F966" i="4"/>
  <c r="D966" i="4"/>
  <c r="B974" i="4"/>
  <c r="F974" i="4"/>
  <c r="D974" i="4"/>
  <c r="B982" i="4"/>
  <c r="F982" i="4"/>
  <c r="D982" i="4"/>
  <c r="B990" i="4"/>
  <c r="F990" i="4"/>
  <c r="D990" i="4"/>
  <c r="E886" i="4"/>
  <c r="F889" i="4"/>
  <c r="D889" i="4"/>
  <c r="B889" i="4"/>
  <c r="C894" i="4"/>
  <c r="F897" i="4"/>
  <c r="D897" i="4"/>
  <c r="B897" i="4"/>
  <c r="C902" i="4"/>
  <c r="F905" i="4"/>
  <c r="D905" i="4"/>
  <c r="B905" i="4"/>
  <c r="C910" i="4"/>
  <c r="F913" i="4"/>
  <c r="D913" i="4"/>
  <c r="B913" i="4"/>
  <c r="C918" i="4"/>
  <c r="F921" i="4"/>
  <c r="D921" i="4"/>
  <c r="B921" i="4"/>
  <c r="C926" i="4"/>
  <c r="F929" i="4"/>
  <c r="D929" i="4"/>
  <c r="B929" i="4"/>
  <c r="C934" i="4"/>
  <c r="F937" i="4"/>
  <c r="D937" i="4"/>
  <c r="B937" i="4"/>
  <c r="C942" i="4"/>
  <c r="F945" i="4"/>
  <c r="D945" i="4"/>
  <c r="B945" i="4"/>
  <c r="C950" i="4"/>
  <c r="F953" i="4"/>
  <c r="D953" i="4"/>
  <c r="B953" i="4"/>
  <c r="C958" i="4"/>
  <c r="F961" i="4"/>
  <c r="D961" i="4"/>
  <c r="B961" i="4"/>
  <c r="C966" i="4"/>
  <c r="F969" i="4"/>
  <c r="D969" i="4"/>
  <c r="B969" i="4"/>
  <c r="C974" i="4"/>
  <c r="F977" i="4"/>
  <c r="D977" i="4"/>
  <c r="B977" i="4"/>
  <c r="C982" i="4"/>
  <c r="F985" i="4"/>
  <c r="D985" i="4"/>
  <c r="B985" i="4"/>
  <c r="C990" i="4"/>
  <c r="F993" i="4"/>
  <c r="D993" i="4"/>
  <c r="B993" i="4"/>
  <c r="E696" i="4"/>
  <c r="E700" i="4"/>
  <c r="E704" i="4"/>
  <c r="E708" i="4"/>
  <c r="E712" i="4"/>
  <c r="E716" i="4"/>
  <c r="E720" i="4"/>
  <c r="E724" i="4"/>
  <c r="E728" i="4"/>
  <c r="E732" i="4"/>
  <c r="E736" i="4"/>
  <c r="E740" i="4"/>
  <c r="E744" i="4"/>
  <c r="E748" i="4"/>
  <c r="E752" i="4"/>
  <c r="E756" i="4"/>
  <c r="E760" i="4"/>
  <c r="E764" i="4"/>
  <c r="E768" i="4"/>
  <c r="E772" i="4"/>
  <c r="E776" i="4"/>
  <c r="E780" i="4"/>
  <c r="E784" i="4"/>
  <c r="E788" i="4"/>
  <c r="E792" i="4"/>
  <c r="E796" i="4"/>
  <c r="E800" i="4"/>
  <c r="E804" i="4"/>
  <c r="E808" i="4"/>
  <c r="E812" i="4"/>
  <c r="E816" i="4"/>
  <c r="E820" i="4"/>
  <c r="E824" i="4"/>
  <c r="E828" i="4"/>
  <c r="E832" i="4"/>
  <c r="E836" i="4"/>
  <c r="E840" i="4"/>
  <c r="E844" i="4"/>
  <c r="E848" i="4"/>
  <c r="E852" i="4"/>
  <c r="E856" i="4"/>
  <c r="E860" i="4"/>
  <c r="E864" i="4"/>
  <c r="E868" i="4"/>
  <c r="E872" i="4"/>
  <c r="E876" i="4"/>
  <c r="E880" i="4"/>
  <c r="F893" i="4"/>
  <c r="D893" i="4"/>
  <c r="B893" i="4"/>
  <c r="F901" i="4"/>
  <c r="D901" i="4"/>
  <c r="B901" i="4"/>
  <c r="F909" i="4"/>
  <c r="D909" i="4"/>
  <c r="B909" i="4"/>
  <c r="F917" i="4"/>
  <c r="D917" i="4"/>
  <c r="B917" i="4"/>
  <c r="F925" i="4"/>
  <c r="D925" i="4"/>
  <c r="B925" i="4"/>
  <c r="F933" i="4"/>
  <c r="D933" i="4"/>
  <c r="B933" i="4"/>
  <c r="F941" i="4"/>
  <c r="D941" i="4"/>
  <c r="B941" i="4"/>
  <c r="F949" i="4"/>
  <c r="D949" i="4"/>
  <c r="B949" i="4"/>
  <c r="F957" i="4"/>
  <c r="D957" i="4"/>
  <c r="B957" i="4"/>
  <c r="F965" i="4"/>
  <c r="D965" i="4"/>
  <c r="B965" i="4"/>
  <c r="F973" i="4"/>
  <c r="D973" i="4"/>
  <c r="B973" i="4"/>
  <c r="F981" i="4"/>
  <c r="D981" i="4"/>
  <c r="B981" i="4"/>
  <c r="F989" i="4"/>
  <c r="D989" i="4"/>
  <c r="B989" i="4"/>
  <c r="B646" i="4"/>
  <c r="B650" i="4"/>
  <c r="B654" i="4"/>
  <c r="B658" i="4"/>
  <c r="B662" i="4"/>
  <c r="B666" i="4"/>
  <c r="B670" i="4"/>
  <c r="B674" i="4"/>
  <c r="B678" i="4"/>
  <c r="B682" i="4"/>
  <c r="B686" i="4"/>
  <c r="B690" i="4"/>
  <c r="B694" i="4"/>
  <c r="B698" i="4"/>
  <c r="B702" i="4"/>
  <c r="B706" i="4"/>
  <c r="B710" i="4"/>
  <c r="B714" i="4"/>
  <c r="B718" i="4"/>
  <c r="B722" i="4"/>
  <c r="B726" i="4"/>
  <c r="B730" i="4"/>
  <c r="B734" i="4"/>
  <c r="B738" i="4"/>
  <c r="B742" i="4"/>
  <c r="B746" i="4"/>
  <c r="B750" i="4"/>
  <c r="B754" i="4"/>
  <c r="B758" i="4"/>
  <c r="B762" i="4"/>
  <c r="B766" i="4"/>
  <c r="B770" i="4"/>
  <c r="B774" i="4"/>
  <c r="B778" i="4"/>
  <c r="B782" i="4"/>
  <c r="B786" i="4"/>
  <c r="B790" i="4"/>
  <c r="B794" i="4"/>
  <c r="B798" i="4"/>
  <c r="B802" i="4"/>
  <c r="B806" i="4"/>
  <c r="B810" i="4"/>
  <c r="B814" i="4"/>
  <c r="B818" i="4"/>
  <c r="B822" i="4"/>
  <c r="B826" i="4"/>
  <c r="B830" i="4"/>
  <c r="B834" i="4"/>
  <c r="B838" i="4"/>
  <c r="F888" i="4"/>
  <c r="D888" i="4"/>
  <c r="B888" i="4"/>
  <c r="F896" i="4"/>
  <c r="D896" i="4"/>
  <c r="B896" i="4"/>
  <c r="C901" i="4"/>
  <c r="F904" i="4"/>
  <c r="D904" i="4"/>
  <c r="B904" i="4"/>
  <c r="C909" i="4"/>
  <c r="F912" i="4"/>
  <c r="D912" i="4"/>
  <c r="B912" i="4"/>
  <c r="C917" i="4"/>
  <c r="F920" i="4"/>
  <c r="D920" i="4"/>
  <c r="B920" i="4"/>
  <c r="C925" i="4"/>
  <c r="F928" i="4"/>
  <c r="D928" i="4"/>
  <c r="B928" i="4"/>
  <c r="C933" i="4"/>
  <c r="F936" i="4"/>
  <c r="D936" i="4"/>
  <c r="B936" i="4"/>
  <c r="C941" i="4"/>
  <c r="F944" i="4"/>
  <c r="D944" i="4"/>
  <c r="B944" i="4"/>
  <c r="C949" i="4"/>
  <c r="F952" i="4"/>
  <c r="D952" i="4"/>
  <c r="B952" i="4"/>
  <c r="C957" i="4"/>
  <c r="F960" i="4"/>
  <c r="D960" i="4"/>
  <c r="B960" i="4"/>
  <c r="C965" i="4"/>
  <c r="F968" i="4"/>
  <c r="D968" i="4"/>
  <c r="B968" i="4"/>
  <c r="C973" i="4"/>
  <c r="F976" i="4"/>
  <c r="D976" i="4"/>
  <c r="B976" i="4"/>
  <c r="C981" i="4"/>
  <c r="F984" i="4"/>
  <c r="D984" i="4"/>
  <c r="B984" i="4"/>
  <c r="C989" i="4"/>
  <c r="F992" i="4"/>
  <c r="D992" i="4"/>
  <c r="B992" i="4"/>
  <c r="C888" i="4"/>
  <c r="D891" i="4"/>
  <c r="B891" i="4"/>
  <c r="F891" i="4"/>
  <c r="C896" i="4"/>
  <c r="D899" i="4"/>
  <c r="B899" i="4"/>
  <c r="F899" i="4"/>
  <c r="D907" i="4"/>
  <c r="B907" i="4"/>
  <c r="F907" i="4"/>
  <c r="D915" i="4"/>
  <c r="B915" i="4"/>
  <c r="F915" i="4"/>
  <c r="D923" i="4"/>
  <c r="B923" i="4"/>
  <c r="F923" i="4"/>
  <c r="D931" i="4"/>
  <c r="B931" i="4"/>
  <c r="F931" i="4"/>
  <c r="E933" i="4"/>
  <c r="D939" i="4"/>
  <c r="B939" i="4"/>
  <c r="F939" i="4"/>
  <c r="E941" i="4"/>
  <c r="D947" i="4"/>
  <c r="B947" i="4"/>
  <c r="F947" i="4"/>
  <c r="E949" i="4"/>
  <c r="D955" i="4"/>
  <c r="B955" i="4"/>
  <c r="F955" i="4"/>
  <c r="E957" i="4"/>
  <c r="D963" i="4"/>
  <c r="B963" i="4"/>
  <c r="F963" i="4"/>
  <c r="E965" i="4"/>
  <c r="D971" i="4"/>
  <c r="B971" i="4"/>
  <c r="F971" i="4"/>
  <c r="E973" i="4"/>
  <c r="D979" i="4"/>
  <c r="B979" i="4"/>
  <c r="F979" i="4"/>
  <c r="E981" i="4"/>
  <c r="D987" i="4"/>
  <c r="B987" i="4"/>
  <c r="F987" i="4"/>
  <c r="E989" i="4"/>
  <c r="D995" i="4"/>
  <c r="B995" i="4"/>
  <c r="F995" i="4"/>
  <c r="C998" i="4"/>
  <c r="E999" i="4"/>
  <c r="B997" i="4"/>
  <c r="D998" i="4"/>
  <c r="F999" i="4"/>
  <c r="D997" i="4"/>
  <c r="F998" i="4"/>
  <c r="B999" i="4"/>
  <c r="C999" i="4"/>
  <c r="B4" i="3" l="1"/>
  <c r="D4" i="3"/>
  <c r="A6" i="3"/>
  <c r="A7" i="3" s="1"/>
  <c r="C4" i="3"/>
  <c r="E4" i="3"/>
  <c r="A2" i="6"/>
  <c r="E5" i="3"/>
  <c r="D5" i="3"/>
  <c r="B5" i="3"/>
  <c r="C5" i="3"/>
  <c r="A3" i="6" l="1"/>
  <c r="A8" i="3"/>
  <c r="A9" i="3" s="1"/>
  <c r="A4" i="6"/>
  <c r="C7" i="3"/>
  <c r="B7" i="3"/>
  <c r="E7" i="3"/>
  <c r="D7" i="3"/>
  <c r="E2" i="6"/>
  <c r="D2" i="6"/>
  <c r="C2" i="6"/>
  <c r="B2" i="6"/>
  <c r="F2" i="6"/>
  <c r="A5" i="6"/>
  <c r="E6" i="3"/>
  <c r="D6" i="3"/>
  <c r="B6" i="3"/>
  <c r="C6" i="3"/>
  <c r="F3" i="6" l="1"/>
  <c r="E3" i="6"/>
  <c r="D3" i="6"/>
  <c r="C3" i="6"/>
  <c r="B3" i="6"/>
  <c r="D8" i="3"/>
  <c r="E8" i="3"/>
  <c r="B8" i="3"/>
  <c r="C8" i="3"/>
  <c r="A8" i="6"/>
  <c r="A6" i="6"/>
  <c r="A7" i="6"/>
  <c r="F4" i="6"/>
  <c r="E4" i="6"/>
  <c r="D4" i="6"/>
  <c r="C4" i="6"/>
  <c r="B4" i="6"/>
  <c r="E9" i="3"/>
  <c r="C9" i="3"/>
  <c r="D9" i="3"/>
  <c r="B9" i="3"/>
  <c r="A10" i="3"/>
  <c r="C5" i="6"/>
  <c r="B5" i="6"/>
  <c r="F5" i="6"/>
  <c r="E5" i="6"/>
  <c r="D5" i="6"/>
  <c r="F7" i="6" l="1"/>
  <c r="E7" i="6"/>
  <c r="D7" i="6"/>
  <c r="C7" i="6"/>
  <c r="B7" i="6"/>
  <c r="D10" i="3"/>
  <c r="C10" i="3"/>
  <c r="B10" i="3"/>
  <c r="E10" i="3"/>
  <c r="A11" i="3"/>
  <c r="E6" i="6"/>
  <c r="D6" i="6"/>
  <c r="C6" i="6"/>
  <c r="B6" i="6"/>
  <c r="F6" i="6"/>
  <c r="F8" i="6"/>
  <c r="E8" i="6"/>
  <c r="D8" i="6"/>
  <c r="C8" i="6"/>
  <c r="B8" i="6"/>
  <c r="A9" i="6"/>
  <c r="A10" i="6" l="1"/>
  <c r="A12" i="3"/>
  <c r="D11" i="3"/>
  <c r="C11" i="3"/>
  <c r="E11" i="3"/>
  <c r="B11" i="3"/>
  <c r="C9" i="6"/>
  <c r="B9" i="6"/>
  <c r="F9" i="6"/>
  <c r="E9" i="6"/>
  <c r="D9" i="6"/>
  <c r="A11" i="6" l="1"/>
  <c r="E10" i="6"/>
  <c r="D10" i="6"/>
  <c r="C10" i="6"/>
  <c r="B10" i="6"/>
  <c r="F10" i="6"/>
  <c r="B12" i="3"/>
  <c r="D12" i="3"/>
  <c r="E12" i="3"/>
  <c r="C12" i="3"/>
  <c r="A13" i="3"/>
  <c r="A12" i="6" l="1"/>
  <c r="E13" i="3"/>
  <c r="D13" i="3"/>
  <c r="B13" i="3"/>
  <c r="C13" i="3"/>
  <c r="F11" i="6"/>
  <c r="E11" i="6"/>
  <c r="D11" i="6"/>
  <c r="C11" i="6"/>
  <c r="B11" i="6"/>
  <c r="A14" i="3"/>
  <c r="A13" i="6" l="1"/>
  <c r="F12" i="6"/>
  <c r="E12" i="6"/>
  <c r="D12" i="6"/>
  <c r="C12" i="6"/>
  <c r="B12" i="6"/>
  <c r="E14" i="3"/>
  <c r="D14" i="3"/>
  <c r="B14" i="3"/>
  <c r="C14" i="3"/>
  <c r="A15" i="3"/>
  <c r="C15" i="3" l="1"/>
  <c r="B15" i="3"/>
  <c r="E15" i="3"/>
  <c r="D15" i="3"/>
  <c r="A16" i="3"/>
  <c r="C13" i="6"/>
  <c r="B13" i="6"/>
  <c r="F13" i="6"/>
  <c r="E13" i="6"/>
  <c r="D13" i="6"/>
  <c r="A14" i="6"/>
  <c r="E16" i="3" l="1"/>
  <c r="C16" i="3"/>
  <c r="B16" i="3"/>
  <c r="D16" i="3"/>
  <c r="A17" i="3"/>
  <c r="E14" i="6"/>
  <c r="D14" i="6"/>
  <c r="C14" i="6"/>
  <c r="B14" i="6"/>
  <c r="F14" i="6"/>
  <c r="A15" i="6"/>
  <c r="E17" i="3" l="1"/>
  <c r="C17" i="3"/>
  <c r="B17" i="3"/>
  <c r="D17" i="3"/>
  <c r="A18" i="3"/>
  <c r="F15" i="6"/>
  <c r="E15" i="6"/>
  <c r="D15" i="6"/>
  <c r="C15" i="6"/>
  <c r="B15" i="6"/>
  <c r="A16" i="6"/>
  <c r="D18" i="3" l="1"/>
  <c r="C18" i="3"/>
  <c r="E18" i="3"/>
  <c r="B18" i="3"/>
  <c r="A19" i="3"/>
  <c r="F16" i="6"/>
  <c r="E16" i="6"/>
  <c r="D16" i="6"/>
  <c r="C16" i="6"/>
  <c r="B16" i="6"/>
  <c r="A17" i="6"/>
  <c r="D19" i="3" l="1"/>
  <c r="C19" i="3"/>
  <c r="E19" i="3"/>
  <c r="B19" i="3"/>
  <c r="A20" i="3"/>
  <c r="C17" i="6"/>
  <c r="B17" i="6"/>
  <c r="F17" i="6"/>
  <c r="E17" i="6"/>
  <c r="D17" i="6"/>
  <c r="A18" i="6"/>
  <c r="B20" i="3" l="1"/>
  <c r="D20" i="3"/>
  <c r="E20" i="3"/>
  <c r="C20" i="3"/>
  <c r="A21" i="3"/>
  <c r="E18" i="6"/>
  <c r="D18" i="6"/>
  <c r="C18" i="6"/>
  <c r="B18" i="6"/>
  <c r="F18" i="6"/>
  <c r="A19" i="6"/>
  <c r="E21" i="3" l="1"/>
  <c r="D21" i="3"/>
  <c r="B21" i="3"/>
  <c r="C21" i="3"/>
  <c r="A22" i="3"/>
  <c r="F19" i="6"/>
  <c r="E19" i="6"/>
  <c r="D19" i="6"/>
  <c r="C19" i="6"/>
  <c r="B19" i="6"/>
  <c r="A20" i="6"/>
  <c r="E22" i="3" l="1"/>
  <c r="D22" i="3"/>
  <c r="B22" i="3"/>
  <c r="C22" i="3"/>
  <c r="A23" i="3"/>
  <c r="F20" i="6"/>
  <c r="E20" i="6"/>
  <c r="D20" i="6"/>
  <c r="C20" i="6"/>
  <c r="B20" i="6"/>
  <c r="A21" i="6"/>
  <c r="C23" i="3" l="1"/>
  <c r="B23" i="3"/>
  <c r="E23" i="3"/>
  <c r="D23" i="3"/>
  <c r="A24" i="3"/>
  <c r="C21" i="6"/>
  <c r="B21" i="6"/>
  <c r="F21" i="6"/>
  <c r="E21" i="6"/>
  <c r="D21" i="6"/>
  <c r="A22" i="6"/>
  <c r="E22" i="6" l="1"/>
  <c r="D22" i="6"/>
  <c r="C22" i="6"/>
  <c r="B22" i="6"/>
  <c r="F22" i="6"/>
  <c r="E24" i="3"/>
  <c r="C24" i="3"/>
  <c r="B24" i="3"/>
  <c r="D24" i="3"/>
  <c r="A25" i="3"/>
  <c r="A23" i="6"/>
  <c r="A24" i="6" l="1"/>
  <c r="F23" i="6"/>
  <c r="E23" i="6"/>
  <c r="D23" i="6"/>
  <c r="C23" i="6"/>
  <c r="B23" i="6"/>
  <c r="E25" i="3"/>
  <c r="C25" i="3"/>
  <c r="D25" i="3"/>
  <c r="B25" i="3"/>
  <c r="A26" i="3"/>
  <c r="D26" i="3" l="1"/>
  <c r="C26" i="3"/>
  <c r="E26" i="3"/>
  <c r="B26" i="3"/>
  <c r="A27" i="3"/>
  <c r="F24" i="6"/>
  <c r="E24" i="6"/>
  <c r="D24" i="6"/>
  <c r="C24" i="6"/>
  <c r="B24" i="6"/>
  <c r="A25" i="6"/>
  <c r="D27" i="3" l="1"/>
  <c r="C27" i="3"/>
  <c r="B27" i="3"/>
  <c r="E27" i="3"/>
  <c r="A28" i="3"/>
  <c r="C25" i="6"/>
  <c r="B25" i="6"/>
  <c r="F25" i="6"/>
  <c r="E25" i="6"/>
  <c r="D25" i="6"/>
  <c r="A26" i="6"/>
  <c r="E26" i="6" l="1"/>
  <c r="D26" i="6"/>
  <c r="C26" i="6"/>
  <c r="B26" i="6"/>
  <c r="F26" i="6"/>
  <c r="B28" i="3"/>
  <c r="D28" i="3"/>
  <c r="E28" i="3"/>
  <c r="C28" i="3"/>
  <c r="A29" i="3"/>
  <c r="A27" i="6"/>
  <c r="F27" i="6" l="1"/>
  <c r="E27" i="6"/>
  <c r="D27" i="6"/>
  <c r="C27" i="6"/>
  <c r="B27" i="6"/>
  <c r="E29" i="3"/>
  <c r="D29" i="3"/>
  <c r="B29" i="3"/>
  <c r="C29" i="3"/>
  <c r="A30" i="3"/>
  <c r="A28" i="6"/>
  <c r="A29" i="6" l="1"/>
  <c r="F28" i="6"/>
  <c r="E28" i="6"/>
  <c r="D28" i="6"/>
  <c r="C28" i="6"/>
  <c r="B28" i="6"/>
  <c r="E30" i="3"/>
  <c r="D30" i="3"/>
  <c r="B30" i="3"/>
  <c r="C30" i="3"/>
  <c r="A31" i="3"/>
  <c r="C29" i="6" l="1"/>
  <c r="B29" i="6"/>
  <c r="F29" i="6"/>
  <c r="E29" i="6"/>
  <c r="D29" i="6"/>
  <c r="C31" i="3"/>
  <c r="B31" i="3"/>
  <c r="E31" i="3"/>
  <c r="D31" i="3"/>
  <c r="A32" i="3"/>
  <c r="A30" i="6"/>
  <c r="A31" i="6" l="1"/>
  <c r="E32" i="3"/>
  <c r="C32" i="3"/>
  <c r="B32" i="3"/>
  <c r="D32" i="3"/>
  <c r="A33" i="3"/>
  <c r="E30" i="6"/>
  <c r="D30" i="6"/>
  <c r="C30" i="6"/>
  <c r="B30" i="6"/>
  <c r="F30" i="6"/>
  <c r="A32" i="6" l="1"/>
  <c r="F31" i="6"/>
  <c r="E31" i="6"/>
  <c r="D31" i="6"/>
  <c r="C31" i="6"/>
  <c r="B31" i="6"/>
  <c r="E33" i="3"/>
  <c r="C33" i="3"/>
  <c r="D33" i="3"/>
  <c r="B33" i="3"/>
  <c r="A34" i="3"/>
  <c r="D34" i="3" l="1"/>
  <c r="C34" i="3"/>
  <c r="E34" i="3"/>
  <c r="B34" i="3"/>
  <c r="A35" i="3"/>
  <c r="F32" i="6"/>
  <c r="E32" i="6"/>
  <c r="D32" i="6"/>
  <c r="C32" i="6"/>
  <c r="B32" i="6"/>
  <c r="A33" i="6"/>
  <c r="D35" i="3" l="1"/>
  <c r="C35" i="3"/>
  <c r="E35" i="3"/>
  <c r="B35" i="3"/>
  <c r="A36" i="3"/>
  <c r="C33" i="6"/>
  <c r="B33" i="6"/>
  <c r="F33" i="6"/>
  <c r="E33" i="6"/>
  <c r="D33" i="6"/>
  <c r="A34" i="6"/>
  <c r="E34" i="6" l="1"/>
  <c r="D34" i="6"/>
  <c r="C34" i="6"/>
  <c r="B34" i="6"/>
  <c r="F34" i="6"/>
  <c r="B36" i="3"/>
  <c r="D36" i="3"/>
  <c r="E36" i="3"/>
  <c r="C36" i="3"/>
  <c r="A37" i="3"/>
  <c r="A35" i="6"/>
  <c r="A36" i="6" l="1"/>
  <c r="E37" i="3"/>
  <c r="D37" i="3"/>
  <c r="B37" i="3"/>
  <c r="C37" i="3"/>
  <c r="A38" i="3"/>
  <c r="F35" i="6"/>
  <c r="E35" i="6"/>
  <c r="D35" i="6"/>
  <c r="C35" i="6"/>
  <c r="B35" i="6"/>
  <c r="A37" i="6" l="1"/>
  <c r="F36" i="6"/>
  <c r="E36" i="6"/>
  <c r="D36" i="6"/>
  <c r="C36" i="6"/>
  <c r="B36" i="6"/>
  <c r="E38" i="3"/>
  <c r="D38" i="3"/>
  <c r="B38" i="3"/>
  <c r="C38" i="3"/>
  <c r="A39" i="3"/>
  <c r="C37" i="6" l="1"/>
  <c r="B37" i="6"/>
  <c r="F37" i="6"/>
  <c r="E37" i="6"/>
  <c r="D37" i="6"/>
  <c r="C39" i="3"/>
  <c r="B39" i="3"/>
  <c r="E39" i="3"/>
  <c r="D39" i="3"/>
  <c r="A40" i="3"/>
  <c r="A38" i="6"/>
  <c r="A39" i="6" l="1"/>
  <c r="E40" i="3"/>
  <c r="C40" i="3"/>
  <c r="B40" i="3"/>
  <c r="D40" i="3"/>
  <c r="A41" i="3"/>
  <c r="E38" i="6"/>
  <c r="D38" i="6"/>
  <c r="C38" i="6"/>
  <c r="B38" i="6"/>
  <c r="F38" i="6"/>
  <c r="A40" i="6" l="1"/>
  <c r="F39" i="6"/>
  <c r="E39" i="6"/>
  <c r="D39" i="6"/>
  <c r="C39" i="6"/>
  <c r="B39" i="6"/>
  <c r="E41" i="3"/>
  <c r="C41" i="3"/>
  <c r="D41" i="3"/>
  <c r="B41" i="3"/>
  <c r="A42" i="3"/>
  <c r="D42" i="3" l="1"/>
  <c r="C42" i="3"/>
  <c r="E42" i="3"/>
  <c r="B42" i="3"/>
  <c r="A43" i="3"/>
  <c r="F40" i="6"/>
  <c r="E40" i="6"/>
  <c r="D40" i="6"/>
  <c r="C40" i="6"/>
  <c r="B40" i="6"/>
  <c r="A41" i="6"/>
  <c r="D43" i="3" l="1"/>
  <c r="C43" i="3"/>
  <c r="E43" i="3"/>
  <c r="B43" i="3"/>
  <c r="A44" i="3"/>
  <c r="C41" i="6"/>
  <c r="B41" i="6"/>
  <c r="F41" i="6"/>
  <c r="E41" i="6"/>
  <c r="D41" i="6"/>
  <c r="A42" i="6"/>
  <c r="B44" i="3" l="1"/>
  <c r="D44" i="3"/>
  <c r="C44" i="3"/>
  <c r="E44" i="3"/>
  <c r="A45" i="3"/>
  <c r="E42" i="6"/>
  <c r="D42" i="6"/>
  <c r="C42" i="6"/>
  <c r="B42" i="6"/>
  <c r="F42" i="6"/>
  <c r="A43" i="6"/>
  <c r="E45" i="3" l="1"/>
  <c r="D45" i="3"/>
  <c r="B45" i="3"/>
  <c r="C45" i="3"/>
  <c r="A46" i="3"/>
  <c r="F43" i="6"/>
  <c r="E43" i="6"/>
  <c r="D43" i="6"/>
  <c r="C43" i="6"/>
  <c r="B43" i="6"/>
  <c r="A44" i="6"/>
  <c r="F44" i="6" l="1"/>
  <c r="E44" i="6"/>
  <c r="D44" i="6"/>
  <c r="C44" i="6"/>
  <c r="B44" i="6"/>
  <c r="E46" i="3"/>
  <c r="D46" i="3"/>
  <c r="B46" i="3"/>
  <c r="C46" i="3"/>
  <c r="A47" i="3"/>
  <c r="A45" i="6"/>
  <c r="C45" i="6" l="1"/>
  <c r="B45" i="6"/>
  <c r="F45" i="6"/>
  <c r="E45" i="6"/>
  <c r="D45" i="6"/>
  <c r="C47" i="3"/>
  <c r="B47" i="3"/>
  <c r="E47" i="3"/>
  <c r="D47" i="3"/>
  <c r="A48" i="3"/>
  <c r="A46" i="6"/>
  <c r="A47" i="6" l="1"/>
  <c r="E48" i="3"/>
  <c r="C48" i="3"/>
  <c r="B48" i="3"/>
  <c r="D48" i="3"/>
  <c r="A49" i="3"/>
  <c r="E46" i="6"/>
  <c r="D46" i="6"/>
  <c r="C46" i="6"/>
  <c r="B46" i="6"/>
  <c r="F46" i="6"/>
  <c r="A48" i="6" l="1"/>
  <c r="F47" i="6"/>
  <c r="E47" i="6"/>
  <c r="D47" i="6"/>
  <c r="C47" i="6"/>
  <c r="B47" i="6"/>
  <c r="E49" i="3"/>
  <c r="C49" i="3"/>
  <c r="B49" i="3"/>
  <c r="D49" i="3"/>
  <c r="A50" i="3"/>
  <c r="D50" i="3" l="1"/>
  <c r="C50" i="3"/>
  <c r="E50" i="3"/>
  <c r="B50" i="3"/>
  <c r="A51" i="3"/>
  <c r="F48" i="6"/>
  <c r="E48" i="6"/>
  <c r="D48" i="6"/>
  <c r="C48" i="6"/>
  <c r="B48" i="6"/>
  <c r="A49" i="6"/>
  <c r="C49" i="6" l="1"/>
  <c r="B49" i="6"/>
  <c r="F49" i="6"/>
  <c r="E49" i="6"/>
  <c r="D49" i="6"/>
  <c r="D51" i="3"/>
  <c r="C51" i="3"/>
  <c r="E51" i="3"/>
  <c r="B51" i="3"/>
  <c r="A52" i="3"/>
  <c r="A50" i="6"/>
  <c r="E50" i="6" l="1"/>
  <c r="D50" i="6"/>
  <c r="C50" i="6"/>
  <c r="B50" i="6"/>
  <c r="F50" i="6"/>
  <c r="B52" i="3"/>
  <c r="D52" i="3"/>
  <c r="E52" i="3"/>
  <c r="C52" i="3"/>
  <c r="A53" i="3"/>
  <c r="A51" i="6"/>
  <c r="A52" i="6" l="1"/>
  <c r="E53" i="3"/>
  <c r="D53" i="3"/>
  <c r="B53" i="3"/>
  <c r="C53" i="3"/>
  <c r="A54" i="3"/>
  <c r="F51" i="6"/>
  <c r="E51" i="6"/>
  <c r="D51" i="6"/>
  <c r="C51" i="6"/>
  <c r="B51" i="6"/>
  <c r="A53" i="6" l="1"/>
  <c r="F52" i="6"/>
  <c r="E52" i="6"/>
  <c r="D52" i="6"/>
  <c r="C52" i="6"/>
  <c r="B52" i="6"/>
  <c r="E54" i="3"/>
  <c r="D54" i="3"/>
  <c r="B54" i="3"/>
  <c r="C54" i="3"/>
  <c r="A55" i="3"/>
  <c r="C53" i="6" l="1"/>
  <c r="B53" i="6"/>
  <c r="F53" i="6"/>
  <c r="E53" i="6"/>
  <c r="D53" i="6"/>
  <c r="A54" i="6"/>
  <c r="C55" i="3"/>
  <c r="B55" i="3"/>
  <c r="E55" i="3"/>
  <c r="D55" i="3"/>
  <c r="A56" i="3"/>
  <c r="E54" i="6" l="1"/>
  <c r="D54" i="6"/>
  <c r="C54" i="6"/>
  <c r="B54" i="6"/>
  <c r="F54" i="6"/>
  <c r="A55" i="6"/>
  <c r="E56" i="3"/>
  <c r="C56" i="3"/>
  <c r="B56" i="3"/>
  <c r="D56" i="3"/>
  <c r="A57" i="3"/>
  <c r="F55" i="6" l="1"/>
  <c r="E55" i="6"/>
  <c r="D55" i="6"/>
  <c r="C55" i="6"/>
  <c r="B55" i="6"/>
  <c r="A56" i="6"/>
  <c r="E57" i="3"/>
  <c r="C57" i="3"/>
  <c r="B57" i="3"/>
  <c r="D57" i="3"/>
  <c r="A58" i="3"/>
  <c r="D58" i="3" l="1"/>
  <c r="C58" i="3"/>
  <c r="E58" i="3"/>
  <c r="B58" i="3"/>
  <c r="A59" i="3"/>
  <c r="F56" i="6"/>
  <c r="E56" i="6"/>
  <c r="D56" i="6"/>
  <c r="C56" i="6"/>
  <c r="B56" i="6"/>
  <c r="A57" i="6"/>
  <c r="D59" i="3" l="1"/>
  <c r="C59" i="3"/>
  <c r="E59" i="3"/>
  <c r="B59" i="3"/>
  <c r="A60" i="3"/>
  <c r="C57" i="6"/>
  <c r="B57" i="6"/>
  <c r="F57" i="6"/>
  <c r="E57" i="6"/>
  <c r="D57" i="6"/>
  <c r="A58" i="6"/>
  <c r="B60" i="3" l="1"/>
  <c r="D60" i="3"/>
  <c r="E60" i="3"/>
  <c r="C60" i="3"/>
  <c r="A61" i="3"/>
  <c r="E58" i="6"/>
  <c r="D58" i="6"/>
  <c r="C58" i="6"/>
  <c r="B58" i="6"/>
  <c r="F58" i="6"/>
  <c r="A59" i="6"/>
  <c r="F59" i="6" l="1"/>
  <c r="E59" i="6"/>
  <c r="D59" i="6"/>
  <c r="C59" i="6"/>
  <c r="B59" i="6"/>
  <c r="E61" i="3"/>
  <c r="D61" i="3"/>
  <c r="B61" i="3"/>
  <c r="C61" i="3"/>
  <c r="A62" i="3"/>
  <c r="A60" i="6"/>
  <c r="E62" i="3" l="1"/>
  <c r="D62" i="3"/>
  <c r="B62" i="3"/>
  <c r="C62" i="3"/>
  <c r="A63" i="3"/>
  <c r="F60" i="6"/>
  <c r="E60" i="6"/>
  <c r="D60" i="6"/>
  <c r="C60" i="6"/>
  <c r="B60" i="6"/>
  <c r="A61" i="6"/>
  <c r="C63" i="3" l="1"/>
  <c r="B63" i="3"/>
  <c r="E63" i="3"/>
  <c r="D63" i="3"/>
  <c r="A64" i="3"/>
  <c r="C61" i="6"/>
  <c r="B61" i="6"/>
  <c r="F61" i="6"/>
  <c r="E61" i="6"/>
  <c r="D61" i="6"/>
  <c r="A62" i="6"/>
  <c r="E64" i="3" l="1"/>
  <c r="C64" i="3"/>
  <c r="B64" i="3"/>
  <c r="D64" i="3"/>
  <c r="A65" i="3"/>
  <c r="E62" i="6"/>
  <c r="D62" i="6"/>
  <c r="C62" i="6"/>
  <c r="B62" i="6"/>
  <c r="F62" i="6"/>
  <c r="A63" i="6"/>
  <c r="E65" i="3" l="1"/>
  <c r="C65" i="3"/>
  <c r="D65" i="3"/>
  <c r="B65" i="3"/>
  <c r="A66" i="3"/>
  <c r="F63" i="6"/>
  <c r="E63" i="6"/>
  <c r="D63" i="6"/>
  <c r="C63" i="6"/>
  <c r="B63" i="6"/>
  <c r="A64" i="6"/>
  <c r="D66" i="3" l="1"/>
  <c r="C66" i="3"/>
  <c r="B66" i="3"/>
  <c r="E66" i="3"/>
  <c r="A67" i="3"/>
  <c r="F64" i="6"/>
  <c r="E64" i="6"/>
  <c r="D64" i="6"/>
  <c r="C64" i="6"/>
  <c r="B64" i="6"/>
  <c r="A65" i="6"/>
  <c r="D67" i="3" l="1"/>
  <c r="C67" i="3"/>
  <c r="E67" i="3"/>
  <c r="B67" i="3"/>
  <c r="A68" i="3"/>
  <c r="F65" i="6"/>
  <c r="C65" i="6"/>
  <c r="B65" i="6"/>
  <c r="E65" i="6"/>
  <c r="D65" i="6"/>
  <c r="A66" i="6"/>
  <c r="B68" i="3" l="1"/>
  <c r="D68" i="3"/>
  <c r="E68" i="3"/>
  <c r="C68" i="3"/>
  <c r="A69" i="3"/>
  <c r="F66" i="6"/>
  <c r="E66" i="6"/>
  <c r="D66" i="6"/>
  <c r="C66" i="6"/>
  <c r="B66" i="6"/>
  <c r="A67" i="6"/>
  <c r="E69" i="3" l="1"/>
  <c r="D69" i="3"/>
  <c r="B69" i="3"/>
  <c r="C69" i="3"/>
  <c r="A70" i="3"/>
  <c r="B67" i="6"/>
  <c r="F67" i="6"/>
  <c r="E67" i="6"/>
  <c r="D67" i="6"/>
  <c r="C67" i="6"/>
  <c r="A68" i="6"/>
  <c r="E70" i="3" l="1"/>
  <c r="D70" i="3"/>
  <c r="B70" i="3"/>
  <c r="C70" i="3"/>
  <c r="A71" i="3"/>
  <c r="D68" i="6"/>
  <c r="B68" i="6"/>
  <c r="F68" i="6"/>
  <c r="E68" i="6"/>
  <c r="C68" i="6"/>
  <c r="A69" i="6"/>
  <c r="F69" i="6" l="1"/>
  <c r="D69" i="6"/>
  <c r="E69" i="6"/>
  <c r="C69" i="6"/>
  <c r="B69" i="6"/>
  <c r="C71" i="3"/>
  <c r="B71" i="3"/>
  <c r="E71" i="3"/>
  <c r="D71" i="3"/>
  <c r="A72" i="3"/>
  <c r="A70" i="6"/>
  <c r="F70" i="6" l="1"/>
  <c r="D70" i="6"/>
  <c r="C70" i="6"/>
  <c r="B70" i="6"/>
  <c r="E70" i="6"/>
  <c r="E72" i="3"/>
  <c r="C72" i="3"/>
  <c r="B72" i="3"/>
  <c r="D72" i="3"/>
  <c r="A73" i="3"/>
  <c r="A71" i="6"/>
  <c r="A72" i="6" l="1"/>
  <c r="B71" i="6"/>
  <c r="F71" i="6"/>
  <c r="E71" i="6"/>
  <c r="D71" i="6"/>
  <c r="C71" i="6"/>
  <c r="E73" i="3"/>
  <c r="C73" i="3"/>
  <c r="D73" i="3"/>
  <c r="B73" i="3"/>
  <c r="A74" i="3"/>
  <c r="D74" i="3" l="1"/>
  <c r="C74" i="3"/>
  <c r="B74" i="3"/>
  <c r="E74" i="3"/>
  <c r="A75" i="3"/>
  <c r="F72" i="6"/>
  <c r="D72" i="6"/>
  <c r="B72" i="6"/>
  <c r="E72" i="6"/>
  <c r="C72" i="6"/>
  <c r="A73" i="6"/>
  <c r="D75" i="3" l="1"/>
  <c r="C75" i="3"/>
  <c r="B75" i="3"/>
  <c r="E75" i="3"/>
  <c r="A76" i="3"/>
  <c r="F73" i="6"/>
  <c r="D73" i="6"/>
  <c r="B73" i="6"/>
  <c r="E73" i="6"/>
  <c r="C73" i="6"/>
  <c r="A74" i="6"/>
  <c r="B74" i="6" l="1"/>
  <c r="F74" i="6"/>
  <c r="D74" i="6"/>
  <c r="E74" i="6"/>
  <c r="C74" i="6"/>
  <c r="B76" i="3"/>
  <c r="D76" i="3"/>
  <c r="E76" i="3"/>
  <c r="C76" i="3"/>
  <c r="A77" i="3"/>
  <c r="A75" i="6"/>
  <c r="D75" i="6" l="1"/>
  <c r="B75" i="6"/>
  <c r="F75" i="6"/>
  <c r="C75" i="6"/>
  <c r="E75" i="6"/>
  <c r="E77" i="3"/>
  <c r="D77" i="3"/>
  <c r="B77" i="3"/>
  <c r="C77" i="3"/>
  <c r="A78" i="3"/>
  <c r="A76" i="6"/>
  <c r="F76" i="6" l="1"/>
  <c r="D76" i="6"/>
  <c r="B76" i="6"/>
  <c r="E76" i="6"/>
  <c r="C76" i="6"/>
  <c r="E78" i="3"/>
  <c r="D78" i="3"/>
  <c r="B78" i="3"/>
  <c r="C78" i="3"/>
  <c r="A79" i="3"/>
  <c r="A77" i="6"/>
  <c r="A78" i="6" l="1"/>
  <c r="F77" i="6"/>
  <c r="D77" i="6"/>
  <c r="B77" i="6"/>
  <c r="E77" i="6"/>
  <c r="C77" i="6"/>
  <c r="C79" i="3"/>
  <c r="B79" i="3"/>
  <c r="E79" i="3"/>
  <c r="D79" i="3"/>
  <c r="A80" i="3"/>
  <c r="E80" i="3" l="1"/>
  <c r="C80" i="3"/>
  <c r="B80" i="3"/>
  <c r="D80" i="3"/>
  <c r="A81" i="3"/>
  <c r="A79" i="6"/>
  <c r="B78" i="6"/>
  <c r="F78" i="6"/>
  <c r="D78" i="6"/>
  <c r="E78" i="6"/>
  <c r="C78" i="6"/>
  <c r="D79" i="6" l="1"/>
  <c r="B79" i="6"/>
  <c r="F79" i="6"/>
  <c r="E79" i="6"/>
  <c r="C79" i="6"/>
  <c r="E81" i="3"/>
  <c r="C81" i="3"/>
  <c r="D81" i="3"/>
  <c r="B81" i="3"/>
  <c r="A82" i="3"/>
  <c r="A80" i="6"/>
  <c r="A81" i="6" l="1"/>
  <c r="F80" i="6"/>
  <c r="D80" i="6"/>
  <c r="B80" i="6"/>
  <c r="E80" i="6"/>
  <c r="C80" i="6"/>
  <c r="D82" i="3"/>
  <c r="C82" i="3"/>
  <c r="E82" i="3"/>
  <c r="B82" i="3"/>
  <c r="A83" i="3"/>
  <c r="D83" i="3" l="1"/>
  <c r="C83" i="3"/>
  <c r="B83" i="3"/>
  <c r="E83" i="3"/>
  <c r="A84" i="3"/>
  <c r="F81" i="6"/>
  <c r="D81" i="6"/>
  <c r="B81" i="6"/>
  <c r="E81" i="6"/>
  <c r="C81" i="6"/>
  <c r="A82" i="6"/>
  <c r="B84" i="3" l="1"/>
  <c r="D84" i="3"/>
  <c r="C84" i="3"/>
  <c r="E84" i="3"/>
  <c r="A85" i="3"/>
  <c r="B82" i="6"/>
  <c r="F82" i="6"/>
  <c r="D82" i="6"/>
  <c r="E82" i="6"/>
  <c r="C82" i="6"/>
  <c r="A83" i="6"/>
  <c r="E85" i="3" l="1"/>
  <c r="D85" i="3"/>
  <c r="B85" i="3"/>
  <c r="C85" i="3"/>
  <c r="A86" i="3"/>
  <c r="D83" i="6"/>
  <c r="B83" i="6"/>
  <c r="F83" i="6"/>
  <c r="C83" i="6"/>
  <c r="E83" i="6"/>
  <c r="A84" i="6"/>
  <c r="F84" i="6" l="1"/>
  <c r="D84" i="6"/>
  <c r="B84" i="6"/>
  <c r="E84" i="6"/>
  <c r="C84" i="6"/>
  <c r="E86" i="3"/>
  <c r="D86" i="3"/>
  <c r="B86" i="3"/>
  <c r="C86" i="3"/>
  <c r="A87" i="3"/>
  <c r="A85" i="6"/>
  <c r="A86" i="6" l="1"/>
  <c r="F85" i="6"/>
  <c r="D85" i="6"/>
  <c r="B85" i="6"/>
  <c r="E85" i="6"/>
  <c r="C85" i="6"/>
  <c r="C87" i="3"/>
  <c r="B87" i="3"/>
  <c r="E87" i="3"/>
  <c r="D87" i="3"/>
  <c r="A88" i="3"/>
  <c r="E88" i="3" l="1"/>
  <c r="C88" i="3"/>
  <c r="B88" i="3"/>
  <c r="D88" i="3"/>
  <c r="A89" i="3"/>
  <c r="A87" i="6"/>
  <c r="B86" i="6"/>
  <c r="F86" i="6"/>
  <c r="D86" i="6"/>
  <c r="E86" i="6"/>
  <c r="C86" i="6"/>
  <c r="D87" i="6" l="1"/>
  <c r="B87" i="6"/>
  <c r="F87" i="6"/>
  <c r="E87" i="6"/>
  <c r="C87" i="6"/>
  <c r="E89" i="3"/>
  <c r="C89" i="3"/>
  <c r="D89" i="3"/>
  <c r="B89" i="3"/>
  <c r="A90" i="3"/>
  <c r="A88" i="6"/>
  <c r="F88" i="6" l="1"/>
  <c r="D88" i="6"/>
  <c r="B88" i="6"/>
  <c r="E88" i="6"/>
  <c r="C88" i="6"/>
  <c r="D90" i="3"/>
  <c r="C90" i="3"/>
  <c r="E90" i="3"/>
  <c r="B90" i="3"/>
  <c r="A91" i="3"/>
  <c r="A89" i="6"/>
  <c r="F89" i="6" l="1"/>
  <c r="D89" i="6"/>
  <c r="B89" i="6"/>
  <c r="E89" i="6"/>
  <c r="C89" i="6"/>
  <c r="A90" i="6"/>
  <c r="D91" i="3"/>
  <c r="C91" i="3"/>
  <c r="B91" i="3"/>
  <c r="E91" i="3"/>
  <c r="A92" i="3"/>
  <c r="B90" i="6" l="1"/>
  <c r="F90" i="6"/>
  <c r="D90" i="6"/>
  <c r="E90" i="6"/>
  <c r="C90" i="6"/>
  <c r="B92" i="3"/>
  <c r="D92" i="3"/>
  <c r="E92" i="3"/>
  <c r="C92" i="3"/>
  <c r="A93" i="3"/>
  <c r="A91" i="6"/>
  <c r="A92" i="6" l="1"/>
  <c r="D91" i="6"/>
  <c r="B91" i="6"/>
  <c r="F91" i="6"/>
  <c r="C91" i="6"/>
  <c r="E91" i="6"/>
  <c r="E93" i="3"/>
  <c r="D93" i="3"/>
  <c r="B93" i="3"/>
  <c r="C93" i="3"/>
  <c r="A94" i="3"/>
  <c r="E94" i="3" l="1"/>
  <c r="D94" i="3"/>
  <c r="B94" i="3"/>
  <c r="C94" i="3"/>
  <c r="A95" i="3"/>
  <c r="F92" i="6"/>
  <c r="D92" i="6"/>
  <c r="B92" i="6"/>
  <c r="E92" i="6"/>
  <c r="C92" i="6"/>
  <c r="A93" i="6"/>
  <c r="C95" i="3" l="1"/>
  <c r="B95" i="3"/>
  <c r="E95" i="3"/>
  <c r="D95" i="3"/>
  <c r="A96" i="3"/>
  <c r="F93" i="6"/>
  <c r="D93" i="6"/>
  <c r="B93" i="6"/>
  <c r="E93" i="6"/>
  <c r="C93" i="6"/>
  <c r="A94" i="6"/>
  <c r="B94" i="6" l="1"/>
  <c r="F94" i="6"/>
  <c r="D94" i="6"/>
  <c r="E94" i="6"/>
  <c r="C94" i="6"/>
  <c r="E96" i="3"/>
  <c r="C96" i="3"/>
  <c r="B96" i="3"/>
  <c r="D96" i="3"/>
  <c r="A97" i="3"/>
  <c r="A95" i="6"/>
  <c r="A96" i="6" l="1"/>
  <c r="E97" i="3"/>
  <c r="C97" i="3"/>
  <c r="B97" i="3"/>
  <c r="D97" i="3"/>
  <c r="A98" i="3"/>
  <c r="D95" i="6"/>
  <c r="B95" i="6"/>
  <c r="F95" i="6"/>
  <c r="E95" i="6"/>
  <c r="C95" i="6"/>
  <c r="A97" i="6" l="1"/>
  <c r="F96" i="6"/>
  <c r="D96" i="6"/>
  <c r="B96" i="6"/>
  <c r="E96" i="6"/>
  <c r="C96" i="6"/>
  <c r="D98" i="3"/>
  <c r="C98" i="3"/>
  <c r="E98" i="3"/>
  <c r="B98" i="3"/>
  <c r="A99" i="3"/>
  <c r="F97" i="6" l="1"/>
  <c r="D97" i="6"/>
  <c r="B97" i="6"/>
  <c r="E97" i="6"/>
  <c r="C97" i="6"/>
  <c r="D99" i="3"/>
  <c r="C99" i="3"/>
  <c r="E99" i="3"/>
  <c r="B99" i="3"/>
  <c r="A100" i="3"/>
  <c r="A98" i="6"/>
  <c r="A99" i="6" l="1"/>
  <c r="B100" i="3"/>
  <c r="D100" i="3"/>
  <c r="C100" i="3"/>
  <c r="E100" i="3"/>
  <c r="A101" i="3"/>
  <c r="B98" i="6"/>
  <c r="F98" i="6"/>
  <c r="D98" i="6"/>
  <c r="E98" i="6"/>
  <c r="C98" i="6"/>
  <c r="A100" i="6" l="1"/>
  <c r="D99" i="6"/>
  <c r="B99" i="6"/>
  <c r="F99" i="6"/>
  <c r="C99" i="6"/>
  <c r="E99" i="6"/>
  <c r="E101" i="3"/>
  <c r="D101" i="3"/>
  <c r="B101" i="3"/>
  <c r="C101" i="3"/>
  <c r="A102" i="3"/>
  <c r="E102" i="3" l="1"/>
  <c r="D102" i="3"/>
  <c r="B102" i="3"/>
  <c r="C102" i="3"/>
  <c r="A103" i="3"/>
  <c r="A101" i="6"/>
  <c r="F100" i="6"/>
  <c r="D100" i="6"/>
  <c r="B100" i="6"/>
  <c r="E100" i="6"/>
  <c r="C100" i="6"/>
  <c r="C103" i="3" l="1"/>
  <c r="B103" i="3"/>
  <c r="E103" i="3"/>
  <c r="D103" i="3"/>
  <c r="A104" i="3"/>
  <c r="F101" i="6"/>
  <c r="D101" i="6"/>
  <c r="B101" i="6"/>
  <c r="E101" i="6"/>
  <c r="C101" i="6"/>
  <c r="A102" i="6"/>
  <c r="E104" i="3" l="1"/>
  <c r="C104" i="3"/>
  <c r="B104" i="3"/>
  <c r="D104" i="3"/>
  <c r="A105" i="3"/>
  <c r="B102" i="6"/>
  <c r="F102" i="6"/>
  <c r="D102" i="6"/>
  <c r="E102" i="6"/>
  <c r="C102" i="6"/>
  <c r="A103" i="6"/>
  <c r="E105" i="3" l="1"/>
  <c r="C105" i="3"/>
  <c r="B105" i="3"/>
  <c r="D105" i="3"/>
  <c r="A106" i="3"/>
  <c r="D103" i="6"/>
  <c r="B103" i="6"/>
  <c r="F103" i="6"/>
  <c r="E103" i="6"/>
  <c r="C103" i="6"/>
  <c r="A104" i="6"/>
  <c r="F104" i="6" l="1"/>
  <c r="D104" i="6"/>
  <c r="B104" i="6"/>
  <c r="E104" i="6"/>
  <c r="C104" i="6"/>
  <c r="D106" i="3"/>
  <c r="C106" i="3"/>
  <c r="E106" i="3"/>
  <c r="B106" i="3"/>
  <c r="A107" i="3"/>
  <c r="A105" i="6"/>
  <c r="A106" i="6" l="1"/>
  <c r="F105" i="6"/>
  <c r="D105" i="6"/>
  <c r="B105" i="6"/>
  <c r="E105" i="6"/>
  <c r="C105" i="6"/>
  <c r="D107" i="3"/>
  <c r="C107" i="3"/>
  <c r="E107" i="3"/>
  <c r="B107" i="3"/>
  <c r="A108" i="3"/>
  <c r="B108" i="3" l="1"/>
  <c r="D108" i="3"/>
  <c r="C108" i="3"/>
  <c r="E108" i="3"/>
  <c r="A109" i="3"/>
  <c r="B106" i="6"/>
  <c r="F106" i="6"/>
  <c r="D106" i="6"/>
  <c r="E106" i="6"/>
  <c r="C106" i="6"/>
  <c r="A107" i="6"/>
  <c r="E109" i="3" l="1"/>
  <c r="D109" i="3"/>
  <c r="B109" i="3"/>
  <c r="C109" i="3"/>
  <c r="A110" i="3"/>
  <c r="D107" i="6"/>
  <c r="B107" i="6"/>
  <c r="F107" i="6"/>
  <c r="C107" i="6"/>
  <c r="E107" i="6"/>
  <c r="A108" i="6"/>
  <c r="E110" i="3" l="1"/>
  <c r="D110" i="3"/>
  <c r="B110" i="3"/>
  <c r="C110" i="3"/>
  <c r="A111" i="3"/>
  <c r="F108" i="6"/>
  <c r="D108" i="6"/>
  <c r="B108" i="6"/>
  <c r="E108" i="6"/>
  <c r="C108" i="6"/>
  <c r="A109" i="6"/>
  <c r="C111" i="3" l="1"/>
  <c r="B111" i="3"/>
  <c r="E111" i="3"/>
  <c r="D111" i="3"/>
  <c r="A112" i="3"/>
  <c r="F109" i="6"/>
  <c r="D109" i="6"/>
  <c r="B109" i="6"/>
  <c r="E109" i="6"/>
  <c r="C109" i="6"/>
  <c r="A110" i="6"/>
  <c r="B110" i="6" l="1"/>
  <c r="F110" i="6"/>
  <c r="D110" i="6"/>
  <c r="E110" i="6"/>
  <c r="C110" i="6"/>
  <c r="E112" i="3"/>
  <c r="C112" i="3"/>
  <c r="B112" i="3"/>
  <c r="D112" i="3"/>
  <c r="A113" i="3"/>
  <c r="A111" i="6"/>
  <c r="A112" i="6" l="1"/>
  <c r="D111" i="6"/>
  <c r="B111" i="6"/>
  <c r="F111" i="6"/>
  <c r="E111" i="6"/>
  <c r="C111" i="6"/>
  <c r="E113" i="3"/>
  <c r="C113" i="3"/>
  <c r="B113" i="3"/>
  <c r="D113" i="3"/>
  <c r="A114" i="3"/>
  <c r="D114" i="3" l="1"/>
  <c r="C114" i="3"/>
  <c r="B114" i="3"/>
  <c r="E114" i="3"/>
  <c r="A115" i="3"/>
  <c r="F112" i="6"/>
  <c r="D112" i="6"/>
  <c r="B112" i="6"/>
  <c r="E112" i="6"/>
  <c r="C112" i="6"/>
  <c r="A113" i="6"/>
  <c r="D115" i="3" l="1"/>
  <c r="C115" i="3"/>
  <c r="E115" i="3"/>
  <c r="B115" i="3"/>
  <c r="A116" i="3"/>
  <c r="F113" i="6"/>
  <c r="D113" i="6"/>
  <c r="B113" i="6"/>
  <c r="E113" i="6"/>
  <c r="C113" i="6"/>
  <c r="A114" i="6"/>
  <c r="B116" i="3" l="1"/>
  <c r="D116" i="3"/>
  <c r="E116" i="3"/>
  <c r="C116" i="3"/>
  <c r="A117" i="3"/>
  <c r="B114" i="6"/>
  <c r="F114" i="6"/>
  <c r="D114" i="6"/>
  <c r="E114" i="6"/>
  <c r="C114" i="6"/>
  <c r="A115" i="6"/>
  <c r="D115" i="6" l="1"/>
  <c r="B115" i="6"/>
  <c r="F115" i="6"/>
  <c r="C115" i="6"/>
  <c r="E115" i="6"/>
  <c r="E117" i="3"/>
  <c r="D117" i="3"/>
  <c r="B117" i="3"/>
  <c r="C117" i="3"/>
  <c r="A118" i="3"/>
  <c r="A116" i="6"/>
  <c r="A117" i="6" l="1"/>
  <c r="F116" i="6"/>
  <c r="D116" i="6"/>
  <c r="B116" i="6"/>
  <c r="E116" i="6"/>
  <c r="C116" i="6"/>
  <c r="E118" i="3"/>
  <c r="D118" i="3"/>
  <c r="B118" i="3"/>
  <c r="C118" i="3"/>
  <c r="A119" i="3"/>
  <c r="F117" i="6" l="1"/>
  <c r="D117" i="6"/>
  <c r="B117" i="6"/>
  <c r="E117" i="6"/>
  <c r="C117" i="6"/>
  <c r="C119" i="3"/>
  <c r="B119" i="3"/>
  <c r="E119" i="3"/>
  <c r="D119" i="3"/>
  <c r="A120" i="3"/>
  <c r="A118" i="6"/>
  <c r="A119" i="6" l="1"/>
  <c r="B118" i="6"/>
  <c r="F118" i="6"/>
  <c r="D118" i="6"/>
  <c r="E118" i="6"/>
  <c r="C118" i="6"/>
  <c r="E120" i="3"/>
  <c r="C120" i="3"/>
  <c r="B120" i="3"/>
  <c r="D120" i="3"/>
  <c r="A121" i="3"/>
  <c r="E121" i="3" l="1"/>
  <c r="C121" i="3"/>
  <c r="B121" i="3"/>
  <c r="D121" i="3"/>
  <c r="A122" i="3"/>
  <c r="D119" i="6"/>
  <c r="B119" i="6"/>
  <c r="F119" i="6"/>
  <c r="E119" i="6"/>
  <c r="C119" i="6"/>
  <c r="A120" i="6"/>
  <c r="D122" i="3" l="1"/>
  <c r="C122" i="3"/>
  <c r="E122" i="3"/>
  <c r="B122" i="3"/>
  <c r="A123" i="3"/>
  <c r="F120" i="6"/>
  <c r="D120" i="6"/>
  <c r="B120" i="6"/>
  <c r="E120" i="6"/>
  <c r="C120" i="6"/>
  <c r="A121" i="6"/>
  <c r="D123" i="3" l="1"/>
  <c r="C123" i="3"/>
  <c r="E123" i="3"/>
  <c r="B123" i="3"/>
  <c r="A124" i="3"/>
  <c r="F121" i="6"/>
  <c r="D121" i="6"/>
  <c r="B121" i="6"/>
  <c r="E121" i="6"/>
  <c r="C121" i="6"/>
  <c r="A122" i="6"/>
  <c r="B124" i="3" l="1"/>
  <c r="D124" i="3"/>
  <c r="E124" i="3"/>
  <c r="C124" i="3"/>
  <c r="A125" i="3"/>
  <c r="B122" i="6"/>
  <c r="F122" i="6"/>
  <c r="D122" i="6"/>
  <c r="E122" i="6"/>
  <c r="C122" i="6"/>
  <c r="A123" i="6"/>
  <c r="E125" i="3" l="1"/>
  <c r="D125" i="3"/>
  <c r="B125" i="3"/>
  <c r="C125" i="3"/>
  <c r="A126" i="3"/>
  <c r="D123" i="6"/>
  <c r="B123" i="6"/>
  <c r="F123" i="6"/>
  <c r="C123" i="6"/>
  <c r="E123" i="6"/>
  <c r="A124" i="6"/>
  <c r="E126" i="3" l="1"/>
  <c r="D126" i="3"/>
  <c r="B126" i="3"/>
  <c r="C126" i="3"/>
  <c r="A127" i="3"/>
  <c r="F124" i="6"/>
  <c r="D124" i="6"/>
  <c r="B124" i="6"/>
  <c r="E124" i="6"/>
  <c r="C124" i="6"/>
  <c r="A125" i="6"/>
  <c r="C127" i="3" l="1"/>
  <c r="B127" i="3"/>
  <c r="E127" i="3"/>
  <c r="D127" i="3"/>
  <c r="A128" i="3"/>
  <c r="F125" i="6"/>
  <c r="D125" i="6"/>
  <c r="B125" i="6"/>
  <c r="E125" i="6"/>
  <c r="C125" i="6"/>
  <c r="A126" i="6"/>
  <c r="B126" i="6" l="1"/>
  <c r="F126" i="6"/>
  <c r="D126" i="6"/>
  <c r="E126" i="6"/>
  <c r="C126" i="6"/>
  <c r="E128" i="3"/>
  <c r="C128" i="3"/>
  <c r="B128" i="3"/>
  <c r="D128" i="3"/>
  <c r="A129" i="3"/>
  <c r="A127" i="6"/>
  <c r="D127" i="6" l="1"/>
  <c r="B127" i="6"/>
  <c r="F127" i="6"/>
  <c r="E127" i="6"/>
  <c r="C127" i="6"/>
  <c r="A128" i="6"/>
  <c r="E129" i="3"/>
  <c r="C129" i="3"/>
  <c r="D129" i="3"/>
  <c r="B129" i="3"/>
  <c r="A130" i="3"/>
  <c r="F128" i="6" l="1"/>
  <c r="D128" i="6"/>
  <c r="B128" i="6"/>
  <c r="E128" i="6"/>
  <c r="C128" i="6"/>
  <c r="D130" i="3"/>
  <c r="C130" i="3"/>
  <c r="B130" i="3"/>
  <c r="E130" i="3"/>
  <c r="A131" i="3"/>
  <c r="A129" i="6"/>
  <c r="A130" i="6" l="1"/>
  <c r="D131" i="3"/>
  <c r="C131" i="3"/>
  <c r="B131" i="3"/>
  <c r="E131" i="3"/>
  <c r="A132" i="3"/>
  <c r="F129" i="6"/>
  <c r="D129" i="6"/>
  <c r="B129" i="6"/>
  <c r="E129" i="6"/>
  <c r="C129" i="6"/>
  <c r="B132" i="3" l="1"/>
  <c r="D132" i="3"/>
  <c r="E132" i="3"/>
  <c r="C132" i="3"/>
  <c r="A133" i="3"/>
  <c r="A131" i="6"/>
  <c r="B130" i="6"/>
  <c r="F130" i="6"/>
  <c r="D130" i="6"/>
  <c r="E130" i="6"/>
  <c r="C130" i="6"/>
  <c r="E133" i="3" l="1"/>
  <c r="D133" i="3"/>
  <c r="B133" i="3"/>
  <c r="C133" i="3"/>
  <c r="A134" i="3"/>
  <c r="D131" i="6"/>
  <c r="B131" i="6"/>
  <c r="F131" i="6"/>
  <c r="C131" i="6"/>
  <c r="E131" i="6"/>
  <c r="A132" i="6"/>
  <c r="F132" i="6" l="1"/>
  <c r="D132" i="6"/>
  <c r="B132" i="6"/>
  <c r="E132" i="6"/>
  <c r="C132" i="6"/>
  <c r="A133" i="6"/>
  <c r="E134" i="3"/>
  <c r="D134" i="3"/>
  <c r="B134" i="3"/>
  <c r="C134" i="3"/>
  <c r="A135" i="3"/>
  <c r="C135" i="3" l="1"/>
  <c r="B135" i="3"/>
  <c r="E135" i="3"/>
  <c r="D135" i="3"/>
  <c r="A136" i="3"/>
  <c r="A134" i="6"/>
  <c r="F133" i="6"/>
  <c r="D133" i="6"/>
  <c r="B133" i="6"/>
  <c r="E133" i="6"/>
  <c r="C133" i="6"/>
  <c r="E136" i="3" l="1"/>
  <c r="C136" i="3"/>
  <c r="B136" i="3"/>
  <c r="D136" i="3"/>
  <c r="A137" i="3"/>
  <c r="B134" i="6"/>
  <c r="F134" i="6"/>
  <c r="D134" i="6"/>
  <c r="E134" i="6"/>
  <c r="C134" i="6"/>
  <c r="A135" i="6"/>
  <c r="E137" i="3" l="1"/>
  <c r="C137" i="3"/>
  <c r="D137" i="3"/>
  <c r="B137" i="3"/>
  <c r="A138" i="3"/>
  <c r="D135" i="6"/>
  <c r="B135" i="6"/>
  <c r="F135" i="6"/>
  <c r="E135" i="6"/>
  <c r="C135" i="6"/>
  <c r="A136" i="6"/>
  <c r="D138" i="3" l="1"/>
  <c r="C138" i="3"/>
  <c r="B138" i="3"/>
  <c r="E138" i="3"/>
  <c r="A139" i="3"/>
  <c r="F136" i="6"/>
  <c r="D136" i="6"/>
  <c r="B136" i="6"/>
  <c r="E136" i="6"/>
  <c r="C136" i="6"/>
  <c r="A137" i="6"/>
  <c r="D139" i="3" l="1"/>
  <c r="C139" i="3"/>
  <c r="B139" i="3"/>
  <c r="E139" i="3"/>
  <c r="A140" i="3"/>
  <c r="F137" i="6"/>
  <c r="D137" i="6"/>
  <c r="B137" i="6"/>
  <c r="E137" i="6"/>
  <c r="C137" i="6"/>
  <c r="A138" i="6"/>
  <c r="B138" i="6" l="1"/>
  <c r="F138" i="6"/>
  <c r="D138" i="6"/>
  <c r="E138" i="6"/>
  <c r="C138" i="6"/>
  <c r="B140" i="3"/>
  <c r="D140" i="3"/>
  <c r="E140" i="3"/>
  <c r="C140" i="3"/>
  <c r="A141" i="3"/>
  <c r="A139" i="6"/>
  <c r="A140" i="6" l="1"/>
  <c r="E141" i="3"/>
  <c r="D141" i="3"/>
  <c r="B141" i="3"/>
  <c r="C141" i="3"/>
  <c r="A142" i="3"/>
  <c r="D139" i="6"/>
  <c r="B139" i="6"/>
  <c r="F139" i="6"/>
  <c r="C139" i="6"/>
  <c r="E139" i="6"/>
  <c r="A141" i="6" l="1"/>
  <c r="F140" i="6"/>
  <c r="D140" i="6"/>
  <c r="B140" i="6"/>
  <c r="E140" i="6"/>
  <c r="C140" i="6"/>
  <c r="E142" i="3"/>
  <c r="D142" i="3"/>
  <c r="B142" i="3"/>
  <c r="C142" i="3"/>
  <c r="A143" i="3"/>
  <c r="F141" i="6" l="1"/>
  <c r="D141" i="6"/>
  <c r="B141" i="6"/>
  <c r="E141" i="6"/>
  <c r="C141" i="6"/>
  <c r="A142" i="6"/>
  <c r="C143" i="3"/>
  <c r="B143" i="3"/>
  <c r="E143" i="3"/>
  <c r="D143" i="3"/>
  <c r="A144" i="3"/>
  <c r="B142" i="6" l="1"/>
  <c r="F142" i="6"/>
  <c r="D142" i="6"/>
  <c r="E142" i="6"/>
  <c r="C142" i="6"/>
  <c r="E144" i="3"/>
  <c r="C144" i="3"/>
  <c r="B144" i="3"/>
  <c r="D144" i="3"/>
  <c r="A145" i="3"/>
  <c r="A143" i="6"/>
  <c r="D143" i="6" l="1"/>
  <c r="B143" i="6"/>
  <c r="F143" i="6"/>
  <c r="E143" i="6"/>
  <c r="C143" i="6"/>
  <c r="A144" i="6"/>
  <c r="E145" i="3"/>
  <c r="C145" i="3"/>
  <c r="D145" i="3"/>
  <c r="B145" i="3"/>
  <c r="A146" i="3"/>
  <c r="D146" i="3" l="1"/>
  <c r="C146" i="3"/>
  <c r="E146" i="3"/>
  <c r="B146" i="3"/>
  <c r="A147" i="3"/>
  <c r="A145" i="6"/>
  <c r="F144" i="6"/>
  <c r="D144" i="6"/>
  <c r="B144" i="6"/>
  <c r="E144" i="6"/>
  <c r="C144" i="6"/>
  <c r="F145" i="6" l="1"/>
  <c r="D145" i="6"/>
  <c r="B145" i="6"/>
  <c r="E145" i="6"/>
  <c r="C145" i="6"/>
  <c r="D147" i="3"/>
  <c r="C147" i="3"/>
  <c r="E147" i="3"/>
  <c r="B147" i="3"/>
  <c r="A148" i="3"/>
  <c r="A146" i="6"/>
  <c r="A147" i="6" l="1"/>
  <c r="B146" i="6"/>
  <c r="F146" i="6"/>
  <c r="D146" i="6"/>
  <c r="E146" i="6"/>
  <c r="C146" i="6"/>
  <c r="B148" i="3"/>
  <c r="D148" i="3"/>
  <c r="C148" i="3"/>
  <c r="E148" i="3"/>
  <c r="A149" i="3"/>
  <c r="E149" i="3" l="1"/>
  <c r="D149" i="3"/>
  <c r="B149" i="3"/>
  <c r="C149" i="3"/>
  <c r="A150" i="3"/>
  <c r="D147" i="6"/>
  <c r="B147" i="6"/>
  <c r="F147" i="6"/>
  <c r="C147" i="6"/>
  <c r="E147" i="6"/>
  <c r="A148" i="6"/>
  <c r="E150" i="3" l="1"/>
  <c r="D150" i="3"/>
  <c r="B150" i="3"/>
  <c r="C150" i="3"/>
  <c r="A151" i="3"/>
  <c r="F148" i="6"/>
  <c r="D148" i="6"/>
  <c r="B148" i="6"/>
  <c r="E148" i="6"/>
  <c r="C148" i="6"/>
  <c r="A149" i="6"/>
  <c r="F149" i="6" l="1"/>
  <c r="D149" i="6"/>
  <c r="B149" i="6"/>
  <c r="E149" i="6"/>
  <c r="C149" i="6"/>
  <c r="C151" i="3"/>
  <c r="B151" i="3"/>
  <c r="E151" i="3"/>
  <c r="D151" i="3"/>
  <c r="A152" i="3"/>
  <c r="A150" i="6"/>
  <c r="B150" i="6" l="1"/>
  <c r="F150" i="6"/>
  <c r="D150" i="6"/>
  <c r="E150" i="6"/>
  <c r="C150" i="6"/>
  <c r="E152" i="3"/>
  <c r="C152" i="3"/>
  <c r="B152" i="3"/>
  <c r="D152" i="3"/>
  <c r="A153" i="3"/>
  <c r="A151" i="6"/>
  <c r="D151" i="6" l="1"/>
  <c r="B151" i="6"/>
  <c r="F151" i="6"/>
  <c r="E151" i="6"/>
  <c r="C151" i="6"/>
  <c r="E153" i="3"/>
  <c r="C153" i="3"/>
  <c r="D153" i="3"/>
  <c r="B153" i="3"/>
  <c r="A154" i="3"/>
  <c r="A152" i="6"/>
  <c r="A153" i="6" l="1"/>
  <c r="D154" i="3"/>
  <c r="C154" i="3"/>
  <c r="E154" i="3"/>
  <c r="B154" i="3"/>
  <c r="A155" i="3"/>
  <c r="F152" i="6"/>
  <c r="D152" i="6"/>
  <c r="B152" i="6"/>
  <c r="E152" i="6"/>
  <c r="C152" i="6"/>
  <c r="A154" i="6" l="1"/>
  <c r="F153" i="6"/>
  <c r="D153" i="6"/>
  <c r="B153" i="6"/>
  <c r="E153" i="6"/>
  <c r="C153" i="6"/>
  <c r="D155" i="3"/>
  <c r="C155" i="3"/>
  <c r="B155" i="3"/>
  <c r="E155" i="3"/>
  <c r="A156" i="3"/>
  <c r="B156" i="3" l="1"/>
  <c r="D156" i="3"/>
  <c r="C156" i="3"/>
  <c r="E156" i="3"/>
  <c r="A157" i="3"/>
  <c r="B154" i="6"/>
  <c r="F154" i="6"/>
  <c r="D154" i="6"/>
  <c r="E154" i="6"/>
  <c r="C154" i="6"/>
  <c r="A155" i="6"/>
  <c r="E157" i="3" l="1"/>
  <c r="D157" i="3"/>
  <c r="B157" i="3"/>
  <c r="C157" i="3"/>
  <c r="A158" i="3"/>
  <c r="D155" i="6"/>
  <c r="B155" i="6"/>
  <c r="F155" i="6"/>
  <c r="C155" i="6"/>
  <c r="E155" i="6"/>
  <c r="A156" i="6"/>
  <c r="E158" i="3" l="1"/>
  <c r="D158" i="3"/>
  <c r="B158" i="3"/>
  <c r="C158" i="3"/>
  <c r="A159" i="3"/>
  <c r="F156" i="6"/>
  <c r="D156" i="6"/>
  <c r="B156" i="6"/>
  <c r="E156" i="6"/>
  <c r="C156" i="6"/>
  <c r="A157" i="6"/>
  <c r="C159" i="3" l="1"/>
  <c r="B159" i="3"/>
  <c r="E159" i="3"/>
  <c r="D159" i="3"/>
  <c r="A160" i="3"/>
  <c r="F157" i="6"/>
  <c r="D157" i="6"/>
  <c r="B157" i="6"/>
  <c r="E157" i="6"/>
  <c r="C157" i="6"/>
  <c r="A158" i="6"/>
  <c r="E160" i="3" l="1"/>
  <c r="C160" i="3"/>
  <c r="B160" i="3"/>
  <c r="D160" i="3"/>
  <c r="A161" i="3"/>
  <c r="B158" i="6"/>
  <c r="F158" i="6"/>
  <c r="D158" i="6"/>
  <c r="E158" i="6"/>
  <c r="C158" i="6"/>
  <c r="A159" i="6"/>
  <c r="E161" i="3" l="1"/>
  <c r="C161" i="3"/>
  <c r="D161" i="3"/>
  <c r="B161" i="3"/>
  <c r="A162" i="3"/>
  <c r="D159" i="6"/>
  <c r="B159" i="6"/>
  <c r="F159" i="6"/>
  <c r="E159" i="6"/>
  <c r="C159" i="6"/>
  <c r="A160" i="6"/>
  <c r="D162" i="3" l="1"/>
  <c r="C162" i="3"/>
  <c r="E162" i="3"/>
  <c r="B162" i="3"/>
  <c r="A163" i="3"/>
  <c r="F160" i="6"/>
  <c r="D160" i="6"/>
  <c r="B160" i="6"/>
  <c r="E160" i="6"/>
  <c r="C160" i="6"/>
  <c r="A161" i="6"/>
  <c r="D163" i="3" l="1"/>
  <c r="C163" i="3"/>
  <c r="E163" i="3"/>
  <c r="B163" i="3"/>
  <c r="A164" i="3"/>
  <c r="F161" i="6"/>
  <c r="D161" i="6"/>
  <c r="B161" i="6"/>
  <c r="E161" i="6"/>
  <c r="C161" i="6"/>
  <c r="A162" i="6"/>
  <c r="B162" i="6" l="1"/>
  <c r="F162" i="6"/>
  <c r="D162" i="6"/>
  <c r="E162" i="6"/>
  <c r="C162" i="6"/>
  <c r="B164" i="3"/>
  <c r="D164" i="3"/>
  <c r="C164" i="3"/>
  <c r="E164" i="3"/>
  <c r="A165" i="3"/>
  <c r="A163" i="6"/>
  <c r="A164" i="6" l="1"/>
  <c r="D163" i="6"/>
  <c r="B163" i="6"/>
  <c r="F163" i="6"/>
  <c r="E163" i="6"/>
  <c r="C163" i="6"/>
  <c r="E165" i="3"/>
  <c r="D165" i="3"/>
  <c r="B165" i="3"/>
  <c r="C165" i="3"/>
  <c r="A166" i="3"/>
  <c r="E166" i="3" l="1"/>
  <c r="D166" i="3"/>
  <c r="B166" i="3"/>
  <c r="C166" i="3"/>
  <c r="A167" i="3"/>
  <c r="F164" i="6"/>
  <c r="D164" i="6"/>
  <c r="C164" i="6"/>
  <c r="B164" i="6"/>
  <c r="E164" i="6"/>
  <c r="A165" i="6"/>
  <c r="C167" i="3" l="1"/>
  <c r="B167" i="3"/>
  <c r="E167" i="3"/>
  <c r="D167" i="3"/>
  <c r="A168" i="3"/>
  <c r="F165" i="6"/>
  <c r="E165" i="6"/>
  <c r="D165" i="6"/>
  <c r="C165" i="6"/>
  <c r="B165" i="6"/>
  <c r="A166" i="6"/>
  <c r="E168" i="3" l="1"/>
  <c r="C168" i="3"/>
  <c r="B168" i="3"/>
  <c r="D168" i="3"/>
  <c r="A169" i="3"/>
  <c r="B166" i="6"/>
  <c r="F166" i="6"/>
  <c r="E166" i="6"/>
  <c r="D166" i="6"/>
  <c r="C166" i="6"/>
  <c r="A167" i="6"/>
  <c r="D167" i="6" l="1"/>
  <c r="B167" i="6"/>
  <c r="F167" i="6"/>
  <c r="E167" i="6"/>
  <c r="C167" i="6"/>
  <c r="E169" i="3"/>
  <c r="C169" i="3"/>
  <c r="B169" i="3"/>
  <c r="D169" i="3"/>
  <c r="A170" i="3"/>
  <c r="A168" i="6"/>
  <c r="F168" i="6" l="1"/>
  <c r="D168" i="6"/>
  <c r="C168" i="6"/>
  <c r="B168" i="6"/>
  <c r="E168" i="6"/>
  <c r="D170" i="3"/>
  <c r="C170" i="3"/>
  <c r="E170" i="3"/>
  <c r="B170" i="3"/>
  <c r="A171" i="3"/>
  <c r="A169" i="6"/>
  <c r="F169" i="6" l="1"/>
  <c r="E169" i="6"/>
  <c r="D169" i="6"/>
  <c r="C169" i="6"/>
  <c r="B169" i="6"/>
  <c r="A170" i="6"/>
  <c r="D171" i="3"/>
  <c r="C171" i="3"/>
  <c r="E171" i="3"/>
  <c r="B171" i="3"/>
  <c r="A172" i="3"/>
  <c r="B170" i="6" l="1"/>
  <c r="F170" i="6"/>
  <c r="E170" i="6"/>
  <c r="D170" i="6"/>
  <c r="C170" i="6"/>
  <c r="B172" i="3"/>
  <c r="D172" i="3"/>
  <c r="C172" i="3"/>
  <c r="E172" i="3"/>
  <c r="A173" i="3"/>
  <c r="A171" i="6"/>
  <c r="D171" i="6" l="1"/>
  <c r="C171" i="6"/>
  <c r="B171" i="6"/>
  <c r="F171" i="6"/>
  <c r="E171" i="6"/>
  <c r="A172" i="6"/>
  <c r="E173" i="3"/>
  <c r="D173" i="3"/>
  <c r="B173" i="3"/>
  <c r="C173" i="3"/>
  <c r="A174" i="3"/>
  <c r="F172" i="6" l="1"/>
  <c r="E172" i="6"/>
  <c r="D172" i="6"/>
  <c r="C172" i="6"/>
  <c r="B172" i="6"/>
  <c r="E174" i="3"/>
  <c r="D174" i="3"/>
  <c r="B174" i="3"/>
  <c r="C174" i="3"/>
  <c r="A175" i="3"/>
  <c r="A173" i="6"/>
  <c r="A174" i="6" l="1"/>
  <c r="F173" i="6"/>
  <c r="E173" i="6"/>
  <c r="D173" i="6"/>
  <c r="C173" i="6"/>
  <c r="B173" i="6"/>
  <c r="C175" i="3"/>
  <c r="B175" i="3"/>
  <c r="E175" i="3"/>
  <c r="D175" i="3"/>
  <c r="A176" i="3"/>
  <c r="E176" i="3" l="1"/>
  <c r="C176" i="3"/>
  <c r="B176" i="3"/>
  <c r="D176" i="3"/>
  <c r="A177" i="3"/>
  <c r="B174" i="6"/>
  <c r="F174" i="6"/>
  <c r="E174" i="6"/>
  <c r="D174" i="6"/>
  <c r="C174" i="6"/>
  <c r="A175" i="6"/>
  <c r="E177" i="3" l="1"/>
  <c r="C177" i="3"/>
  <c r="D177" i="3"/>
  <c r="B177" i="3"/>
  <c r="A178" i="3"/>
  <c r="D175" i="6"/>
  <c r="C175" i="6"/>
  <c r="B175" i="6"/>
  <c r="F175" i="6"/>
  <c r="E175" i="6"/>
  <c r="A176" i="6"/>
  <c r="D178" i="3" l="1"/>
  <c r="C178" i="3"/>
  <c r="B178" i="3"/>
  <c r="E178" i="3"/>
  <c r="A179" i="3"/>
  <c r="F176" i="6"/>
  <c r="E176" i="6"/>
  <c r="D176" i="6"/>
  <c r="C176" i="6"/>
  <c r="B176" i="6"/>
  <c r="A177" i="6"/>
  <c r="D179" i="3" l="1"/>
  <c r="C179" i="3"/>
  <c r="E179" i="3"/>
  <c r="B179" i="3"/>
  <c r="A180" i="3"/>
  <c r="F177" i="6"/>
  <c r="E177" i="6"/>
  <c r="D177" i="6"/>
  <c r="C177" i="6"/>
  <c r="B177" i="6"/>
  <c r="A178" i="6"/>
  <c r="B180" i="3" l="1"/>
  <c r="D180" i="3"/>
  <c r="E180" i="3"/>
  <c r="C180" i="3"/>
  <c r="A181" i="3"/>
  <c r="B178" i="6"/>
  <c r="F178" i="6"/>
  <c r="E178" i="6"/>
  <c r="D178" i="6"/>
  <c r="C178" i="6"/>
  <c r="A179" i="6"/>
  <c r="E181" i="3" l="1"/>
  <c r="D181" i="3"/>
  <c r="B181" i="3"/>
  <c r="C181" i="3"/>
  <c r="A182" i="3"/>
  <c r="D179" i="6"/>
  <c r="C179" i="6"/>
  <c r="B179" i="6"/>
  <c r="F179" i="6"/>
  <c r="E179" i="6"/>
  <c r="A180" i="6"/>
  <c r="E182" i="3" l="1"/>
  <c r="D182" i="3"/>
  <c r="B182" i="3"/>
  <c r="C182" i="3"/>
  <c r="A183" i="3"/>
  <c r="F180" i="6"/>
  <c r="E180" i="6"/>
  <c r="D180" i="6"/>
  <c r="C180" i="6"/>
  <c r="B180" i="6"/>
  <c r="A181" i="6"/>
  <c r="C183" i="3" l="1"/>
  <c r="B183" i="3"/>
  <c r="E183" i="3"/>
  <c r="D183" i="3"/>
  <c r="A184" i="3"/>
  <c r="F181" i="6"/>
  <c r="E181" i="6"/>
  <c r="D181" i="6"/>
  <c r="C181" i="6"/>
  <c r="B181" i="6"/>
  <c r="A182" i="6"/>
  <c r="E184" i="3" l="1"/>
  <c r="C184" i="3"/>
  <c r="B184" i="3"/>
  <c r="D184" i="3"/>
  <c r="A185" i="3"/>
  <c r="B182" i="6"/>
  <c r="F182" i="6"/>
  <c r="E182" i="6"/>
  <c r="D182" i="6"/>
  <c r="C182" i="6"/>
  <c r="A183" i="6"/>
  <c r="A184" i="6" l="1"/>
  <c r="E185" i="3"/>
  <c r="C185" i="3"/>
  <c r="B185" i="3"/>
  <c r="D185" i="3"/>
  <c r="A186" i="3"/>
  <c r="D183" i="6"/>
  <c r="C183" i="6"/>
  <c r="B183" i="6"/>
  <c r="F183" i="6"/>
  <c r="E183" i="6"/>
  <c r="A185" i="6" l="1"/>
  <c r="D186" i="3"/>
  <c r="C186" i="3"/>
  <c r="E186" i="3"/>
  <c r="B186" i="3"/>
  <c r="A187" i="3"/>
  <c r="F184" i="6"/>
  <c r="E184" i="6"/>
  <c r="D184" i="6"/>
  <c r="C184" i="6"/>
  <c r="B184" i="6"/>
  <c r="A186" i="6" l="1"/>
  <c r="F185" i="6"/>
  <c r="E185" i="6"/>
  <c r="D185" i="6"/>
  <c r="C185" i="6"/>
  <c r="B185" i="6"/>
  <c r="D187" i="3"/>
  <c r="C187" i="3"/>
  <c r="E187" i="3"/>
  <c r="B187" i="3"/>
  <c r="A188" i="3"/>
  <c r="B186" i="6" l="1"/>
  <c r="F186" i="6"/>
  <c r="E186" i="6"/>
  <c r="D186" i="6"/>
  <c r="C186" i="6"/>
  <c r="B188" i="3"/>
  <c r="D188" i="3"/>
  <c r="E188" i="3"/>
  <c r="C188" i="3"/>
  <c r="A189" i="3"/>
  <c r="A187" i="6"/>
  <c r="A188" i="6" l="1"/>
  <c r="D187" i="6"/>
  <c r="C187" i="6"/>
  <c r="B187" i="6"/>
  <c r="F187" i="6"/>
  <c r="E187" i="6"/>
  <c r="E189" i="3"/>
  <c r="D189" i="3"/>
  <c r="B189" i="3"/>
  <c r="C189" i="3"/>
  <c r="A190" i="3"/>
  <c r="E190" i="3" l="1"/>
  <c r="D190" i="3"/>
  <c r="B190" i="3"/>
  <c r="C190" i="3"/>
  <c r="A191" i="3"/>
  <c r="F188" i="6"/>
  <c r="E188" i="6"/>
  <c r="D188" i="6"/>
  <c r="C188" i="6"/>
  <c r="B188" i="6"/>
  <c r="A189" i="6"/>
  <c r="C191" i="3" l="1"/>
  <c r="B191" i="3"/>
  <c r="E191" i="3"/>
  <c r="D191" i="3"/>
  <c r="A192" i="3"/>
  <c r="F189" i="6"/>
  <c r="E189" i="6"/>
  <c r="D189" i="6"/>
  <c r="C189" i="6"/>
  <c r="B189" i="6"/>
  <c r="A190" i="6"/>
  <c r="E192" i="3" l="1"/>
  <c r="C192" i="3"/>
  <c r="B192" i="3"/>
  <c r="D192" i="3"/>
  <c r="A193" i="3"/>
  <c r="B190" i="6"/>
  <c r="F190" i="6"/>
  <c r="E190" i="6"/>
  <c r="D190" i="6"/>
  <c r="C190" i="6"/>
  <c r="A191" i="6"/>
  <c r="D191" i="6" l="1"/>
  <c r="C191" i="6"/>
  <c r="B191" i="6"/>
  <c r="F191" i="6"/>
  <c r="E191" i="6"/>
  <c r="D193" i="3"/>
  <c r="C193" i="3"/>
  <c r="E193" i="3"/>
  <c r="B193" i="3"/>
  <c r="A194" i="3"/>
  <c r="A192" i="6"/>
  <c r="A193" i="6" l="1"/>
  <c r="F192" i="6"/>
  <c r="E192" i="6"/>
  <c r="D192" i="6"/>
  <c r="C192" i="6"/>
  <c r="B192" i="6"/>
  <c r="E194" i="3"/>
  <c r="D194" i="3"/>
  <c r="B194" i="3"/>
  <c r="C194" i="3"/>
  <c r="A195" i="3"/>
  <c r="B195" i="3" l="1"/>
  <c r="E195" i="3"/>
  <c r="C195" i="3"/>
  <c r="D195" i="3"/>
  <c r="A196" i="3"/>
  <c r="F193" i="6"/>
  <c r="E193" i="6"/>
  <c r="D193" i="6"/>
  <c r="C193" i="6"/>
  <c r="B193" i="6"/>
  <c r="A194" i="6"/>
  <c r="E196" i="3" l="1"/>
  <c r="D196" i="3"/>
  <c r="C196" i="3"/>
  <c r="B196" i="3"/>
  <c r="A197" i="3"/>
  <c r="B194" i="6"/>
  <c r="F194" i="6"/>
  <c r="E194" i="6"/>
  <c r="D194" i="6"/>
  <c r="C194" i="6"/>
  <c r="A195" i="6"/>
  <c r="E197" i="3" l="1"/>
  <c r="D197" i="3"/>
  <c r="B197" i="3"/>
  <c r="C197" i="3"/>
  <c r="A198" i="3"/>
  <c r="D195" i="6"/>
  <c r="C195" i="6"/>
  <c r="B195" i="6"/>
  <c r="F195" i="6"/>
  <c r="E195" i="6"/>
  <c r="A196" i="6"/>
  <c r="C198" i="3" l="1"/>
  <c r="D198" i="3"/>
  <c r="B198" i="3"/>
  <c r="E198" i="3"/>
  <c r="A199" i="3"/>
  <c r="F196" i="6"/>
  <c r="E196" i="6"/>
  <c r="D196" i="6"/>
  <c r="C196" i="6"/>
  <c r="B196" i="6"/>
  <c r="A197" i="6"/>
  <c r="D199" i="3" l="1"/>
  <c r="C199" i="3"/>
  <c r="E199" i="3"/>
  <c r="B199" i="3"/>
  <c r="A200" i="3"/>
  <c r="F197" i="6"/>
  <c r="E197" i="6"/>
  <c r="D197" i="6"/>
  <c r="C197" i="6"/>
  <c r="B197" i="6"/>
  <c r="A198" i="6"/>
  <c r="C200" i="3" l="1"/>
  <c r="B200" i="3"/>
  <c r="E200" i="3"/>
  <c r="D200" i="3"/>
  <c r="A201" i="3"/>
  <c r="B198" i="6"/>
  <c r="F198" i="6"/>
  <c r="E198" i="6"/>
  <c r="D198" i="6"/>
  <c r="C198" i="6"/>
  <c r="A199" i="6"/>
  <c r="D201" i="3" l="1"/>
  <c r="C201" i="3"/>
  <c r="B201" i="3"/>
  <c r="E201" i="3"/>
  <c r="A202" i="3"/>
  <c r="D199" i="6"/>
  <c r="C199" i="6"/>
  <c r="B199" i="6"/>
  <c r="F199" i="6"/>
  <c r="E199" i="6"/>
  <c r="A200" i="6"/>
  <c r="B202" i="3" l="1"/>
  <c r="D202" i="3"/>
  <c r="E202" i="3"/>
  <c r="C202" i="3"/>
  <c r="A203" i="3"/>
  <c r="F200" i="6"/>
  <c r="E200" i="6"/>
  <c r="D200" i="6"/>
  <c r="C200" i="6"/>
  <c r="B200" i="6"/>
  <c r="A201" i="6"/>
  <c r="B203" i="3" l="1"/>
  <c r="E203" i="3"/>
  <c r="C203" i="3"/>
  <c r="D203" i="3"/>
  <c r="A204" i="3"/>
  <c r="F201" i="6"/>
  <c r="E201" i="6"/>
  <c r="D201" i="6"/>
  <c r="C201" i="6"/>
  <c r="B201" i="6"/>
  <c r="A202" i="6"/>
  <c r="E204" i="3" l="1"/>
  <c r="C204" i="3"/>
  <c r="D204" i="3"/>
  <c r="B204" i="3"/>
  <c r="A205" i="3"/>
  <c r="B202" i="6"/>
  <c r="F202" i="6"/>
  <c r="E202" i="6"/>
  <c r="D202" i="6"/>
  <c r="C202" i="6"/>
  <c r="A203" i="6"/>
  <c r="D203" i="6" l="1"/>
  <c r="C203" i="6"/>
  <c r="B203" i="6"/>
  <c r="F203" i="6"/>
  <c r="E203" i="6"/>
  <c r="E205" i="3"/>
  <c r="D205" i="3"/>
  <c r="B205" i="3"/>
  <c r="C205" i="3"/>
  <c r="A206" i="3"/>
  <c r="A204" i="6"/>
  <c r="A205" i="6" l="1"/>
  <c r="F204" i="6"/>
  <c r="E204" i="6"/>
  <c r="D204" i="6"/>
  <c r="C204" i="6"/>
  <c r="B204" i="6"/>
  <c r="C206" i="3"/>
  <c r="E206" i="3"/>
  <c r="B206" i="3"/>
  <c r="D206" i="3"/>
  <c r="A207" i="3"/>
  <c r="F205" i="6" l="1"/>
  <c r="E205" i="6"/>
  <c r="D205" i="6"/>
  <c r="C205" i="6"/>
  <c r="B205" i="6"/>
  <c r="D207" i="3"/>
  <c r="C207" i="3"/>
  <c r="E207" i="3"/>
  <c r="B207" i="3"/>
  <c r="A208" i="3"/>
  <c r="A206" i="6"/>
  <c r="A207" i="6" l="1"/>
  <c r="B206" i="6"/>
  <c r="F206" i="6"/>
  <c r="E206" i="6"/>
  <c r="D206" i="6"/>
  <c r="C206" i="6"/>
  <c r="E208" i="3"/>
  <c r="D208" i="3"/>
  <c r="B208" i="3"/>
  <c r="C208" i="3"/>
  <c r="A209" i="3"/>
  <c r="D209" i="3" l="1"/>
  <c r="C209" i="3"/>
  <c r="B209" i="3"/>
  <c r="E209" i="3"/>
  <c r="A210" i="3"/>
  <c r="D207" i="6"/>
  <c r="C207" i="6"/>
  <c r="B207" i="6"/>
  <c r="F207" i="6"/>
  <c r="E207" i="6"/>
  <c r="A208" i="6"/>
  <c r="D210" i="3" l="1"/>
  <c r="C210" i="3"/>
  <c r="B210" i="3"/>
  <c r="E210" i="3"/>
  <c r="A211" i="3"/>
  <c r="F208" i="6"/>
  <c r="E208" i="6"/>
  <c r="D208" i="6"/>
  <c r="C208" i="6"/>
  <c r="B208" i="6"/>
  <c r="A209" i="6"/>
  <c r="B211" i="3" l="1"/>
  <c r="C211" i="3"/>
  <c r="E211" i="3"/>
  <c r="D211" i="3"/>
  <c r="A212" i="3"/>
  <c r="F209" i="6"/>
  <c r="E209" i="6"/>
  <c r="D209" i="6"/>
  <c r="C209" i="6"/>
  <c r="B209" i="6"/>
  <c r="A210" i="6"/>
  <c r="E212" i="3" l="1"/>
  <c r="C212" i="3"/>
  <c r="B212" i="3"/>
  <c r="D212" i="3"/>
  <c r="A213" i="3"/>
  <c r="A211" i="6"/>
  <c r="B210" i="6"/>
  <c r="F210" i="6"/>
  <c r="E210" i="6"/>
  <c r="D210" i="6"/>
  <c r="C210" i="6"/>
  <c r="D211" i="6" l="1"/>
  <c r="C211" i="6"/>
  <c r="B211" i="6"/>
  <c r="F211" i="6"/>
  <c r="E211" i="6"/>
  <c r="B213" i="3"/>
  <c r="D213" i="3"/>
  <c r="C213" i="3"/>
  <c r="E213" i="3"/>
  <c r="A214" i="3"/>
  <c r="A212" i="6"/>
  <c r="C214" i="3" l="1"/>
  <c r="E214" i="3"/>
  <c r="B214" i="3"/>
  <c r="D214" i="3"/>
  <c r="A215" i="3"/>
  <c r="A213" i="6"/>
  <c r="F212" i="6"/>
  <c r="E212" i="6"/>
  <c r="D212" i="6"/>
  <c r="C212" i="6"/>
  <c r="B212" i="6"/>
  <c r="F213" i="6" l="1"/>
  <c r="E213" i="6"/>
  <c r="D213" i="6"/>
  <c r="C213" i="6"/>
  <c r="B213" i="6"/>
  <c r="A214" i="6"/>
  <c r="E215" i="3"/>
  <c r="C215" i="3"/>
  <c r="B215" i="3"/>
  <c r="D215" i="3"/>
  <c r="A216" i="3"/>
  <c r="B214" i="6" l="1"/>
  <c r="F214" i="6"/>
  <c r="E214" i="6"/>
  <c r="D214" i="6"/>
  <c r="C214" i="6"/>
  <c r="E216" i="3"/>
  <c r="D216" i="3"/>
  <c r="B216" i="3"/>
  <c r="C216" i="3"/>
  <c r="A217" i="3"/>
  <c r="A215" i="6"/>
  <c r="A216" i="6" l="1"/>
  <c r="D217" i="3"/>
  <c r="E217" i="3"/>
  <c r="B217" i="3"/>
  <c r="C217" i="3"/>
  <c r="A218" i="3"/>
  <c r="D215" i="6"/>
  <c r="C215" i="6"/>
  <c r="B215" i="6"/>
  <c r="F215" i="6"/>
  <c r="E215" i="6"/>
  <c r="A217" i="6" l="1"/>
  <c r="D218" i="3"/>
  <c r="C218" i="3"/>
  <c r="B218" i="3"/>
  <c r="E218" i="3"/>
  <c r="A219" i="3"/>
  <c r="F216" i="6"/>
  <c r="E216" i="6"/>
  <c r="D216" i="6"/>
  <c r="C216" i="6"/>
  <c r="B216" i="6"/>
  <c r="F217" i="6" l="1"/>
  <c r="E217" i="6"/>
  <c r="D217" i="6"/>
  <c r="C217" i="6"/>
  <c r="B217" i="6"/>
  <c r="B219" i="3"/>
  <c r="E219" i="3"/>
  <c r="D219" i="3"/>
  <c r="C219" i="3"/>
  <c r="A220" i="3"/>
  <c r="A218" i="6"/>
  <c r="B218" i="6" l="1"/>
  <c r="F218" i="6"/>
  <c r="E218" i="6"/>
  <c r="D218" i="6"/>
  <c r="C218" i="6"/>
  <c r="E220" i="3"/>
  <c r="C220" i="3"/>
  <c r="B220" i="3"/>
  <c r="D220" i="3"/>
  <c r="A221" i="3"/>
  <c r="A219" i="6"/>
  <c r="D219" i="6" l="1"/>
  <c r="C219" i="6"/>
  <c r="B219" i="6"/>
  <c r="F219" i="6"/>
  <c r="E219" i="6"/>
  <c r="A220" i="6"/>
  <c r="D221" i="3"/>
  <c r="C221" i="3"/>
  <c r="E221" i="3"/>
  <c r="B221" i="3"/>
  <c r="A222" i="3"/>
  <c r="F220" i="6" l="1"/>
  <c r="E220" i="6"/>
  <c r="D220" i="6"/>
  <c r="C220" i="6"/>
  <c r="B220" i="6"/>
  <c r="C222" i="3"/>
  <c r="B222" i="3"/>
  <c r="E222" i="3"/>
  <c r="D222" i="3"/>
  <c r="A223" i="3"/>
  <c r="A221" i="6"/>
  <c r="F221" i="6" l="1"/>
  <c r="E221" i="6"/>
  <c r="D221" i="6"/>
  <c r="C221" i="6"/>
  <c r="B221" i="6"/>
  <c r="A222" i="6"/>
  <c r="E223" i="3"/>
  <c r="C223" i="3"/>
  <c r="B223" i="3"/>
  <c r="D223" i="3"/>
  <c r="A224" i="3"/>
  <c r="B222" i="6" l="1"/>
  <c r="F222" i="6"/>
  <c r="E222" i="6"/>
  <c r="D222" i="6"/>
  <c r="C222" i="6"/>
  <c r="A223" i="6"/>
  <c r="B224" i="3"/>
  <c r="D224" i="3"/>
  <c r="E224" i="3"/>
  <c r="C224" i="3"/>
  <c r="A225" i="3"/>
  <c r="D225" i="3" l="1"/>
  <c r="E225" i="3"/>
  <c r="B225" i="3"/>
  <c r="C225" i="3"/>
  <c r="A226" i="3"/>
  <c r="D223" i="6"/>
  <c r="C223" i="6"/>
  <c r="B223" i="6"/>
  <c r="F223" i="6"/>
  <c r="E223" i="6"/>
  <c r="A224" i="6"/>
  <c r="E226" i="3" l="1"/>
  <c r="C226" i="3"/>
  <c r="D226" i="3"/>
  <c r="B226" i="3"/>
  <c r="A227" i="3"/>
  <c r="F224" i="6"/>
  <c r="E224" i="6"/>
  <c r="D224" i="6"/>
  <c r="C224" i="6"/>
  <c r="B224" i="6"/>
  <c r="A225" i="6"/>
  <c r="F225" i="6" l="1"/>
  <c r="E225" i="6"/>
  <c r="D225" i="6"/>
  <c r="C225" i="6"/>
  <c r="B225" i="6"/>
  <c r="B227" i="3"/>
  <c r="E227" i="3"/>
  <c r="D227" i="3"/>
  <c r="C227" i="3"/>
  <c r="A228" i="3"/>
  <c r="A226" i="6"/>
  <c r="B226" i="6" l="1"/>
  <c r="F226" i="6"/>
  <c r="E226" i="6"/>
  <c r="D226" i="6"/>
  <c r="C226" i="6"/>
  <c r="E228" i="3"/>
  <c r="D228" i="3"/>
  <c r="B228" i="3"/>
  <c r="C228" i="3"/>
  <c r="A229" i="3"/>
  <c r="A227" i="6"/>
  <c r="A228" i="6" l="1"/>
  <c r="D227" i="6"/>
  <c r="C227" i="6"/>
  <c r="B227" i="6"/>
  <c r="F227" i="6"/>
  <c r="E227" i="6"/>
  <c r="D229" i="3"/>
  <c r="C229" i="3"/>
  <c r="E229" i="3"/>
  <c r="B229" i="3"/>
  <c r="A230" i="3"/>
  <c r="F228" i="6" l="1"/>
  <c r="E228" i="6"/>
  <c r="D228" i="6"/>
  <c r="C228" i="6"/>
  <c r="B228" i="6"/>
  <c r="C230" i="3"/>
  <c r="E230" i="3"/>
  <c r="D230" i="3"/>
  <c r="B230" i="3"/>
  <c r="A231" i="3"/>
  <c r="A229" i="6"/>
  <c r="F229" i="6" l="1"/>
  <c r="E229" i="6"/>
  <c r="D229" i="6"/>
  <c r="C229" i="6"/>
  <c r="B229" i="6"/>
  <c r="C231" i="3"/>
  <c r="B231" i="3"/>
  <c r="E231" i="3"/>
  <c r="D231" i="3"/>
  <c r="A232" i="3"/>
  <c r="A230" i="6"/>
  <c r="B230" i="6" l="1"/>
  <c r="F230" i="6"/>
  <c r="E230" i="6"/>
  <c r="D230" i="6"/>
  <c r="C230" i="6"/>
  <c r="A231" i="6"/>
  <c r="D232" i="3"/>
  <c r="C232" i="3"/>
  <c r="E232" i="3"/>
  <c r="B232" i="3"/>
  <c r="A233" i="3"/>
  <c r="D231" i="6" l="1"/>
  <c r="C231" i="6"/>
  <c r="B231" i="6"/>
  <c r="F231" i="6"/>
  <c r="E231" i="6"/>
  <c r="D233" i="3"/>
  <c r="B233" i="3"/>
  <c r="E233" i="3"/>
  <c r="C233" i="3"/>
  <c r="A234" i="3"/>
  <c r="A232" i="6"/>
  <c r="F232" i="6" l="1"/>
  <c r="E232" i="6"/>
  <c r="D232" i="6"/>
  <c r="C232" i="6"/>
  <c r="B232" i="6"/>
  <c r="E234" i="3"/>
  <c r="C234" i="3"/>
  <c r="B234" i="3"/>
  <c r="D234" i="3"/>
  <c r="A235" i="3"/>
  <c r="A233" i="6"/>
  <c r="B235" i="3" l="1"/>
  <c r="D235" i="3"/>
  <c r="E235" i="3"/>
  <c r="C235" i="3"/>
  <c r="A236" i="3"/>
  <c r="F233" i="6"/>
  <c r="E233" i="6"/>
  <c r="D233" i="6"/>
  <c r="C233" i="6"/>
  <c r="B233" i="6"/>
  <c r="A234" i="6"/>
  <c r="B234" i="6" l="1"/>
  <c r="F234" i="6"/>
  <c r="E234" i="6"/>
  <c r="D234" i="6"/>
  <c r="C234" i="6"/>
  <c r="E236" i="3"/>
  <c r="D236" i="3"/>
  <c r="B236" i="3"/>
  <c r="C236" i="3"/>
  <c r="A237" i="3"/>
  <c r="A235" i="6"/>
  <c r="A236" i="6" l="1"/>
  <c r="D235" i="6"/>
  <c r="C235" i="6"/>
  <c r="B235" i="6"/>
  <c r="F235" i="6"/>
  <c r="E235" i="6"/>
  <c r="E237" i="3"/>
  <c r="C237" i="3"/>
  <c r="D237" i="3"/>
  <c r="B237" i="3"/>
  <c r="A238" i="3"/>
  <c r="C238" i="3" l="1"/>
  <c r="E238" i="3"/>
  <c r="D238" i="3"/>
  <c r="B238" i="3"/>
  <c r="A239" i="3"/>
  <c r="F236" i="6"/>
  <c r="E236" i="6"/>
  <c r="D236" i="6"/>
  <c r="C236" i="6"/>
  <c r="B236" i="6"/>
  <c r="A237" i="6"/>
  <c r="E239" i="3" l="1"/>
  <c r="D239" i="3"/>
  <c r="B239" i="3"/>
  <c r="C239" i="3"/>
  <c r="A240" i="3"/>
  <c r="F237" i="6"/>
  <c r="E237" i="6"/>
  <c r="D237" i="6"/>
  <c r="C237" i="6"/>
  <c r="B237" i="6"/>
  <c r="A238" i="6"/>
  <c r="D240" i="3" l="1"/>
  <c r="C240" i="3"/>
  <c r="E240" i="3"/>
  <c r="B240" i="3"/>
  <c r="A241" i="3"/>
  <c r="B238" i="6"/>
  <c r="F238" i="6"/>
  <c r="E238" i="6"/>
  <c r="D238" i="6"/>
  <c r="C238" i="6"/>
  <c r="A239" i="6"/>
  <c r="D241" i="3" l="1"/>
  <c r="E241" i="3"/>
  <c r="C241" i="3"/>
  <c r="B241" i="3"/>
  <c r="A242" i="3"/>
  <c r="D239" i="6"/>
  <c r="C239" i="6"/>
  <c r="B239" i="6"/>
  <c r="F239" i="6"/>
  <c r="E239" i="6"/>
  <c r="A240" i="6"/>
  <c r="F240" i="6" l="1"/>
  <c r="E240" i="6"/>
  <c r="D240" i="6"/>
  <c r="C240" i="6"/>
  <c r="B240" i="6"/>
  <c r="C242" i="3"/>
  <c r="B242" i="3"/>
  <c r="E242" i="3"/>
  <c r="D242" i="3"/>
  <c r="A243" i="3"/>
  <c r="A241" i="6"/>
  <c r="B243" i="3" l="1"/>
  <c r="D243" i="3"/>
  <c r="C243" i="3"/>
  <c r="E243" i="3"/>
  <c r="A244" i="3"/>
  <c r="A242" i="6"/>
  <c r="F241" i="6"/>
  <c r="E241" i="6"/>
  <c r="D241" i="6"/>
  <c r="C241" i="6"/>
  <c r="B241" i="6"/>
  <c r="E244" i="3" l="1"/>
  <c r="B244" i="3"/>
  <c r="D244" i="3"/>
  <c r="C244" i="3"/>
  <c r="A245" i="3"/>
  <c r="B242" i="6"/>
  <c r="F242" i="6"/>
  <c r="E242" i="6"/>
  <c r="D242" i="6"/>
  <c r="C242" i="6"/>
  <c r="A243" i="6"/>
  <c r="D243" i="6" l="1"/>
  <c r="C243" i="6"/>
  <c r="B243" i="6"/>
  <c r="F243" i="6"/>
  <c r="E243" i="6"/>
  <c r="E245" i="3"/>
  <c r="C245" i="3"/>
  <c r="B245" i="3"/>
  <c r="D245" i="3"/>
  <c r="A246" i="3"/>
  <c r="A244" i="6"/>
  <c r="A245" i="6" l="1"/>
  <c r="F244" i="6"/>
  <c r="E244" i="6"/>
  <c r="D244" i="6"/>
  <c r="C244" i="6"/>
  <c r="B244" i="6"/>
  <c r="C246" i="3"/>
  <c r="D246" i="3"/>
  <c r="E246" i="3"/>
  <c r="B246" i="3"/>
  <c r="A247" i="3"/>
  <c r="F245" i="6" l="1"/>
  <c r="E245" i="6"/>
  <c r="D245" i="6"/>
  <c r="C245" i="6"/>
  <c r="B245" i="6"/>
  <c r="E247" i="3"/>
  <c r="D247" i="3"/>
  <c r="B247" i="3"/>
  <c r="C247" i="3"/>
  <c r="A248" i="3"/>
  <c r="A246" i="6"/>
  <c r="A247" i="6" l="1"/>
  <c r="B246" i="6"/>
  <c r="F246" i="6"/>
  <c r="E246" i="6"/>
  <c r="D246" i="6"/>
  <c r="C246" i="6"/>
  <c r="E248" i="3"/>
  <c r="C248" i="3"/>
  <c r="B248" i="3"/>
  <c r="D248" i="3"/>
  <c r="A249" i="3"/>
  <c r="D249" i="3" l="1"/>
  <c r="E249" i="3"/>
  <c r="C249" i="3"/>
  <c r="B249" i="3"/>
  <c r="A250" i="3"/>
  <c r="D247" i="6"/>
  <c r="C247" i="6"/>
  <c r="B247" i="6"/>
  <c r="F247" i="6"/>
  <c r="E247" i="6"/>
  <c r="A248" i="6"/>
  <c r="E250" i="3" l="1"/>
  <c r="D250" i="3"/>
  <c r="B250" i="3"/>
  <c r="C250" i="3"/>
  <c r="A251" i="3"/>
  <c r="F248" i="6"/>
  <c r="E248" i="6"/>
  <c r="D248" i="6"/>
  <c r="C248" i="6"/>
  <c r="B248" i="6"/>
  <c r="A249" i="6"/>
  <c r="F249" i="6" l="1"/>
  <c r="E249" i="6"/>
  <c r="D249" i="6"/>
  <c r="C249" i="6"/>
  <c r="B249" i="6"/>
  <c r="B251" i="3"/>
  <c r="D251" i="3"/>
  <c r="C251" i="3"/>
  <c r="E251" i="3"/>
  <c r="A252" i="3"/>
  <c r="A250" i="6"/>
  <c r="A251" i="6" l="1"/>
  <c r="B250" i="6"/>
  <c r="F250" i="6"/>
  <c r="E250" i="6"/>
  <c r="D250" i="6"/>
  <c r="C250" i="6"/>
  <c r="E252" i="3"/>
  <c r="D252" i="3"/>
  <c r="C252" i="3"/>
  <c r="B252" i="3"/>
  <c r="A253" i="3"/>
  <c r="C253" i="3" l="1"/>
  <c r="B253" i="3"/>
  <c r="E253" i="3"/>
  <c r="D253" i="3"/>
  <c r="A254" i="3"/>
  <c r="D251" i="6"/>
  <c r="C251" i="6"/>
  <c r="B251" i="6"/>
  <c r="F251" i="6"/>
  <c r="E251" i="6"/>
  <c r="A252" i="6"/>
  <c r="C254" i="3" l="1"/>
  <c r="D254" i="3"/>
  <c r="B254" i="3"/>
  <c r="E254" i="3"/>
  <c r="A255" i="3"/>
  <c r="F252" i="6"/>
  <c r="E252" i="6"/>
  <c r="D252" i="6"/>
  <c r="C252" i="6"/>
  <c r="B252" i="6"/>
  <c r="A253" i="6"/>
  <c r="F253" i="6" l="1"/>
  <c r="E253" i="6"/>
  <c r="D253" i="6"/>
  <c r="C253" i="6"/>
  <c r="B253" i="6"/>
  <c r="B255" i="3"/>
  <c r="D255" i="3"/>
  <c r="E255" i="3"/>
  <c r="C255" i="3"/>
  <c r="A256" i="3"/>
  <c r="A254" i="6"/>
  <c r="B254" i="6" l="1"/>
  <c r="F254" i="6"/>
  <c r="E254" i="6"/>
  <c r="D254" i="6"/>
  <c r="C254" i="6"/>
  <c r="A255" i="6"/>
  <c r="E256" i="3"/>
  <c r="C256" i="3"/>
  <c r="B256" i="3"/>
  <c r="D256" i="3"/>
  <c r="A257" i="3"/>
  <c r="D255" i="6" l="1"/>
  <c r="C255" i="6"/>
  <c r="B255" i="6"/>
  <c r="F255" i="6"/>
  <c r="E255" i="6"/>
  <c r="D257" i="3"/>
  <c r="C257" i="3"/>
  <c r="B257" i="3"/>
  <c r="E257" i="3"/>
  <c r="A258" i="3"/>
  <c r="A256" i="6"/>
  <c r="A257" i="6" l="1"/>
  <c r="E258" i="3"/>
  <c r="D258" i="3"/>
  <c r="B258" i="3"/>
  <c r="C258" i="3"/>
  <c r="A259" i="3"/>
  <c r="F256" i="6"/>
  <c r="E256" i="6"/>
  <c r="D256" i="6"/>
  <c r="C256" i="6"/>
  <c r="B256" i="6"/>
  <c r="A258" i="6" l="1"/>
  <c r="F257" i="6"/>
  <c r="E257" i="6"/>
  <c r="D257" i="6"/>
  <c r="C257" i="6"/>
  <c r="B257" i="6"/>
  <c r="B259" i="3"/>
  <c r="E259" i="3"/>
  <c r="C259" i="3"/>
  <c r="D259" i="3"/>
  <c r="A260" i="3"/>
  <c r="B258" i="6" l="1"/>
  <c r="F258" i="6"/>
  <c r="E258" i="6"/>
  <c r="D258" i="6"/>
  <c r="C258" i="6"/>
  <c r="E260" i="3"/>
  <c r="D260" i="3"/>
  <c r="C260" i="3"/>
  <c r="B260" i="3"/>
  <c r="A261" i="3"/>
  <c r="A259" i="6"/>
  <c r="D259" i="6" l="1"/>
  <c r="C259" i="6"/>
  <c r="B259" i="6"/>
  <c r="F259" i="6"/>
  <c r="E259" i="6"/>
  <c r="A260" i="6"/>
  <c r="E261" i="3"/>
  <c r="D261" i="3"/>
  <c r="B261" i="3"/>
  <c r="C261" i="3"/>
  <c r="A262" i="3"/>
  <c r="F260" i="6" l="1"/>
  <c r="E260" i="6"/>
  <c r="D260" i="6"/>
  <c r="C260" i="6"/>
  <c r="B260" i="6"/>
  <c r="A261" i="6"/>
  <c r="C262" i="3"/>
  <c r="D262" i="3"/>
  <c r="B262" i="3"/>
  <c r="E262" i="3"/>
  <c r="A263" i="3"/>
  <c r="D263" i="3" l="1"/>
  <c r="C263" i="3"/>
  <c r="E263" i="3"/>
  <c r="B263" i="3"/>
  <c r="A264" i="3"/>
  <c r="A262" i="6"/>
  <c r="F261" i="6"/>
  <c r="E261" i="6"/>
  <c r="D261" i="6"/>
  <c r="C261" i="6"/>
  <c r="B261" i="6"/>
  <c r="B262" i="6" l="1"/>
  <c r="F262" i="6"/>
  <c r="E262" i="6"/>
  <c r="D262" i="6"/>
  <c r="C262" i="6"/>
  <c r="C264" i="3"/>
  <c r="B264" i="3"/>
  <c r="E264" i="3"/>
  <c r="D264" i="3"/>
  <c r="A265" i="3"/>
  <c r="A263" i="6"/>
  <c r="D263" i="6" l="1"/>
  <c r="C263" i="6"/>
  <c r="B263" i="6"/>
  <c r="F263" i="6"/>
  <c r="E263" i="6"/>
  <c r="A264" i="6"/>
  <c r="D265" i="3"/>
  <c r="C265" i="3"/>
  <c r="B265" i="3"/>
  <c r="E265" i="3"/>
  <c r="A266" i="3"/>
  <c r="B266" i="3" l="1"/>
  <c r="D266" i="3"/>
  <c r="E266" i="3"/>
  <c r="C266" i="3"/>
  <c r="A267" i="3"/>
  <c r="A265" i="6"/>
  <c r="F264" i="6"/>
  <c r="E264" i="6"/>
  <c r="D264" i="6"/>
  <c r="C264" i="6"/>
  <c r="B264" i="6"/>
  <c r="B267" i="3" l="1"/>
  <c r="E267" i="3"/>
  <c r="C267" i="3"/>
  <c r="D267" i="3"/>
  <c r="A268" i="3"/>
  <c r="F265" i="6"/>
  <c r="B265" i="6"/>
  <c r="E265" i="6"/>
  <c r="D265" i="6"/>
  <c r="C265" i="6"/>
  <c r="A266" i="6"/>
  <c r="F266" i="6" l="1"/>
  <c r="D266" i="6"/>
  <c r="B266" i="6"/>
  <c r="E266" i="6"/>
  <c r="C266" i="6"/>
  <c r="E268" i="3"/>
  <c r="C268" i="3"/>
  <c r="D268" i="3"/>
  <c r="B268" i="3"/>
  <c r="A269" i="3"/>
  <c r="A267" i="6"/>
  <c r="A268" i="6" l="1"/>
  <c r="B267" i="6"/>
  <c r="F267" i="6"/>
  <c r="D267" i="6"/>
  <c r="E267" i="6"/>
  <c r="C267" i="6"/>
  <c r="E269" i="3"/>
  <c r="D269" i="3"/>
  <c r="B269" i="3"/>
  <c r="C269" i="3"/>
  <c r="A270" i="3"/>
  <c r="C270" i="3" l="1"/>
  <c r="E270" i="3"/>
  <c r="B270" i="3"/>
  <c r="D270" i="3"/>
  <c r="A271" i="3"/>
  <c r="D268" i="6"/>
  <c r="B268" i="6"/>
  <c r="F268" i="6"/>
  <c r="E268" i="6"/>
  <c r="C268" i="6"/>
  <c r="A269" i="6"/>
  <c r="D271" i="3" l="1"/>
  <c r="C271" i="3"/>
  <c r="E271" i="3"/>
  <c r="B271" i="3"/>
  <c r="A272" i="3"/>
  <c r="F269" i="6"/>
  <c r="D269" i="6"/>
  <c r="B269" i="6"/>
  <c r="E269" i="6"/>
  <c r="C269" i="6"/>
  <c r="A270" i="6"/>
  <c r="E272" i="3" l="1"/>
  <c r="D272" i="3"/>
  <c r="B272" i="3"/>
  <c r="C272" i="3"/>
  <c r="A273" i="3"/>
  <c r="F270" i="6"/>
  <c r="D270" i="6"/>
  <c r="B270" i="6"/>
  <c r="E270" i="6"/>
  <c r="C270" i="6"/>
  <c r="A271" i="6"/>
  <c r="D273" i="3" l="1"/>
  <c r="C273" i="3"/>
  <c r="B273" i="3"/>
  <c r="E273" i="3"/>
  <c r="A274" i="3"/>
  <c r="B271" i="6"/>
  <c r="F271" i="6"/>
  <c r="D271" i="6"/>
  <c r="E271" i="6"/>
  <c r="C271" i="6"/>
  <c r="A272" i="6"/>
  <c r="D274" i="3" l="1"/>
  <c r="C274" i="3"/>
  <c r="E274" i="3"/>
  <c r="B274" i="3"/>
  <c r="A275" i="3"/>
  <c r="D272" i="6"/>
  <c r="B272" i="6"/>
  <c r="F272" i="6"/>
  <c r="C272" i="6"/>
  <c r="E272" i="6"/>
  <c r="A273" i="6"/>
  <c r="F273" i="6" l="1"/>
  <c r="D273" i="6"/>
  <c r="B273" i="6"/>
  <c r="E273" i="6"/>
  <c r="C273" i="6"/>
  <c r="B275" i="3"/>
  <c r="C275" i="3"/>
  <c r="E275" i="3"/>
  <c r="D275" i="3"/>
  <c r="A276" i="3"/>
  <c r="A274" i="6"/>
  <c r="F274" i="6" l="1"/>
  <c r="D274" i="6"/>
  <c r="B274" i="6"/>
  <c r="E274" i="6"/>
  <c r="C274" i="6"/>
  <c r="A275" i="6"/>
  <c r="E276" i="3"/>
  <c r="C276" i="3"/>
  <c r="B276" i="3"/>
  <c r="D276" i="3"/>
  <c r="A277" i="3"/>
  <c r="B275" i="6" l="1"/>
  <c r="F275" i="6"/>
  <c r="D275" i="6"/>
  <c r="E275" i="6"/>
  <c r="C275" i="6"/>
  <c r="B277" i="3"/>
  <c r="D277" i="3"/>
  <c r="E277" i="3"/>
  <c r="C277" i="3"/>
  <c r="A278" i="3"/>
  <c r="A276" i="6"/>
  <c r="A277" i="6" l="1"/>
  <c r="C278" i="3"/>
  <c r="D278" i="3"/>
  <c r="B278" i="3"/>
  <c r="E278" i="3"/>
  <c r="A279" i="3"/>
  <c r="D276" i="6"/>
  <c r="B276" i="6"/>
  <c r="F276" i="6"/>
  <c r="E276" i="6"/>
  <c r="C276" i="6"/>
  <c r="A278" i="6" l="1"/>
  <c r="F277" i="6"/>
  <c r="D277" i="6"/>
  <c r="B277" i="6"/>
  <c r="E277" i="6"/>
  <c r="C277" i="6"/>
  <c r="D279" i="3"/>
  <c r="B279" i="3"/>
  <c r="E279" i="3"/>
  <c r="C279" i="3"/>
  <c r="A280" i="3"/>
  <c r="F278" i="6" l="1"/>
  <c r="D278" i="6"/>
  <c r="B278" i="6"/>
  <c r="E278" i="6"/>
  <c r="C278" i="6"/>
  <c r="D280" i="3"/>
  <c r="C280" i="3"/>
  <c r="E280" i="3"/>
  <c r="B280" i="3"/>
  <c r="A281" i="3"/>
  <c r="A279" i="6"/>
  <c r="A280" i="6" l="1"/>
  <c r="B279" i="6"/>
  <c r="F279" i="6"/>
  <c r="D279" i="6"/>
  <c r="E279" i="6"/>
  <c r="C279" i="6"/>
  <c r="B281" i="3"/>
  <c r="D281" i="3"/>
  <c r="C281" i="3"/>
  <c r="E281" i="3"/>
  <c r="A282" i="3"/>
  <c r="E282" i="3" l="1"/>
  <c r="D282" i="3"/>
  <c r="C282" i="3"/>
  <c r="B282" i="3"/>
  <c r="A283" i="3"/>
  <c r="A281" i="6"/>
  <c r="D280" i="6"/>
  <c r="B280" i="6"/>
  <c r="F280" i="6"/>
  <c r="C280" i="6"/>
  <c r="E280" i="6"/>
  <c r="B283" i="3" l="1"/>
  <c r="D283" i="3"/>
  <c r="C283" i="3"/>
  <c r="E283" i="3"/>
  <c r="A284" i="3"/>
  <c r="F281" i="6"/>
  <c r="D281" i="6"/>
  <c r="B281" i="6"/>
  <c r="E281" i="6"/>
  <c r="C281" i="6"/>
  <c r="A282" i="6"/>
  <c r="C284" i="3" l="1"/>
  <c r="E284" i="3"/>
  <c r="D284" i="3"/>
  <c r="B284" i="3"/>
  <c r="A285" i="3"/>
  <c r="F282" i="6"/>
  <c r="D282" i="6"/>
  <c r="B282" i="6"/>
  <c r="E282" i="6"/>
  <c r="C282" i="6"/>
  <c r="A283" i="6"/>
  <c r="D285" i="3" l="1"/>
  <c r="B285" i="3"/>
  <c r="C285" i="3"/>
  <c r="E285" i="3"/>
  <c r="A286" i="3"/>
  <c r="B283" i="6"/>
  <c r="F283" i="6"/>
  <c r="D283" i="6"/>
  <c r="E283" i="6"/>
  <c r="C283" i="6"/>
  <c r="A284" i="6"/>
  <c r="C286" i="3" l="1"/>
  <c r="E286" i="3"/>
  <c r="B286" i="3"/>
  <c r="D286" i="3"/>
  <c r="A287" i="3"/>
  <c r="D284" i="6"/>
  <c r="B284" i="6"/>
  <c r="F284" i="6"/>
  <c r="E284" i="6"/>
  <c r="C284" i="6"/>
  <c r="A285" i="6"/>
  <c r="D287" i="3" l="1"/>
  <c r="E287" i="3"/>
  <c r="B287" i="3"/>
  <c r="C287" i="3"/>
  <c r="A288" i="3"/>
  <c r="F285" i="6"/>
  <c r="D285" i="6"/>
  <c r="B285" i="6"/>
  <c r="E285" i="6"/>
  <c r="C285" i="6"/>
  <c r="A286" i="6"/>
  <c r="E288" i="3" l="1"/>
  <c r="C288" i="3"/>
  <c r="D288" i="3"/>
  <c r="B288" i="3"/>
  <c r="A289" i="3"/>
  <c r="F286" i="6"/>
  <c r="D286" i="6"/>
  <c r="B286" i="6"/>
  <c r="E286" i="6"/>
  <c r="C286" i="6"/>
  <c r="A287" i="6"/>
  <c r="B289" i="3" l="1"/>
  <c r="D289" i="3"/>
  <c r="E289" i="3"/>
  <c r="C289" i="3"/>
  <c r="A290" i="3"/>
  <c r="B287" i="6"/>
  <c r="F287" i="6"/>
  <c r="D287" i="6"/>
  <c r="E287" i="6"/>
  <c r="C287" i="6"/>
  <c r="A288" i="6"/>
  <c r="E290" i="3" l="1"/>
  <c r="C290" i="3"/>
  <c r="B290" i="3"/>
  <c r="D290" i="3"/>
  <c r="A291" i="3"/>
  <c r="D288" i="6"/>
  <c r="B288" i="6"/>
  <c r="F288" i="6"/>
  <c r="C288" i="6"/>
  <c r="E288" i="6"/>
  <c r="A289" i="6"/>
  <c r="B291" i="3" l="1"/>
  <c r="D291" i="3"/>
  <c r="E291" i="3"/>
  <c r="C291" i="3"/>
  <c r="A292" i="3"/>
  <c r="F289" i="6"/>
  <c r="D289" i="6"/>
  <c r="B289" i="6"/>
  <c r="E289" i="6"/>
  <c r="C289" i="6"/>
  <c r="A290" i="6"/>
  <c r="C292" i="3" l="1"/>
  <c r="E292" i="3"/>
  <c r="B292" i="3"/>
  <c r="D292" i="3"/>
  <c r="A293" i="3"/>
  <c r="F290" i="6"/>
  <c r="D290" i="6"/>
  <c r="B290" i="6"/>
  <c r="E290" i="6"/>
  <c r="C290" i="6"/>
  <c r="A291" i="6"/>
  <c r="B291" i="6" l="1"/>
  <c r="F291" i="6"/>
  <c r="D291" i="6"/>
  <c r="E291" i="6"/>
  <c r="C291" i="6"/>
  <c r="D293" i="3"/>
  <c r="E293" i="3"/>
  <c r="C293" i="3"/>
  <c r="B293" i="3"/>
  <c r="A294" i="3"/>
  <c r="A292" i="6"/>
  <c r="A293" i="6" l="1"/>
  <c r="C294" i="3"/>
  <c r="E294" i="3"/>
  <c r="B294" i="3"/>
  <c r="D294" i="3"/>
  <c r="A295" i="3"/>
  <c r="D292" i="6"/>
  <c r="B292" i="6"/>
  <c r="F292" i="6"/>
  <c r="E292" i="6"/>
  <c r="C292" i="6"/>
  <c r="A294" i="6" l="1"/>
  <c r="F293" i="6"/>
  <c r="D293" i="6"/>
  <c r="B293" i="6"/>
  <c r="E293" i="6"/>
  <c r="C293" i="6"/>
  <c r="D295" i="3"/>
  <c r="B295" i="3"/>
  <c r="C295" i="3"/>
  <c r="E295" i="3"/>
  <c r="A296" i="3"/>
  <c r="E296" i="3" l="1"/>
  <c r="D296" i="3"/>
  <c r="C296" i="3"/>
  <c r="B296" i="3"/>
  <c r="A297" i="3"/>
  <c r="F294" i="6"/>
  <c r="D294" i="6"/>
  <c r="B294" i="6"/>
  <c r="E294" i="6"/>
  <c r="C294" i="6"/>
  <c r="A295" i="6"/>
  <c r="B297" i="3" l="1"/>
  <c r="D297" i="3"/>
  <c r="C297" i="3"/>
  <c r="E297" i="3"/>
  <c r="A298" i="3"/>
  <c r="B295" i="6"/>
  <c r="F295" i="6"/>
  <c r="D295" i="6"/>
  <c r="E295" i="6"/>
  <c r="C295" i="6"/>
  <c r="A296" i="6"/>
  <c r="D296" i="6" l="1"/>
  <c r="B296" i="6"/>
  <c r="F296" i="6"/>
  <c r="E296" i="6"/>
  <c r="C296" i="6"/>
  <c r="E298" i="3"/>
  <c r="C298" i="3"/>
  <c r="D298" i="3"/>
  <c r="B298" i="3"/>
  <c r="A299" i="3"/>
  <c r="A297" i="6"/>
  <c r="F297" i="6" l="1"/>
  <c r="D297" i="6"/>
  <c r="C297" i="6"/>
  <c r="B297" i="6"/>
  <c r="E297" i="6"/>
  <c r="A298" i="6"/>
  <c r="B299" i="3"/>
  <c r="E299" i="3"/>
  <c r="C299" i="3"/>
  <c r="D299" i="3"/>
  <c r="A300" i="3"/>
  <c r="C300" i="3" l="1"/>
  <c r="E300" i="3"/>
  <c r="D300" i="3"/>
  <c r="B300" i="3"/>
  <c r="A301" i="3"/>
  <c r="A299" i="6"/>
  <c r="F298" i="6"/>
  <c r="E298" i="6"/>
  <c r="D298" i="6"/>
  <c r="B298" i="6"/>
  <c r="C298" i="6"/>
  <c r="D301" i="3" l="1"/>
  <c r="E301" i="3"/>
  <c r="C301" i="3"/>
  <c r="B301" i="3"/>
  <c r="A302" i="3"/>
  <c r="B299" i="6"/>
  <c r="F299" i="6"/>
  <c r="D299" i="6"/>
  <c r="E299" i="6"/>
  <c r="C299" i="6"/>
  <c r="A300" i="6"/>
  <c r="C302" i="3" l="1"/>
  <c r="D302" i="3"/>
  <c r="B302" i="3"/>
  <c r="E302" i="3"/>
  <c r="A303" i="3"/>
  <c r="D300" i="6"/>
  <c r="C300" i="6"/>
  <c r="B300" i="6"/>
  <c r="F300" i="6"/>
  <c r="E300" i="6"/>
  <c r="A301" i="6"/>
  <c r="D303" i="3" l="1"/>
  <c r="B303" i="3"/>
  <c r="E303" i="3"/>
  <c r="C303" i="3"/>
  <c r="A304" i="3"/>
  <c r="F301" i="6"/>
  <c r="E301" i="6"/>
  <c r="D301" i="6"/>
  <c r="C301" i="6"/>
  <c r="B301" i="6"/>
  <c r="A302" i="6"/>
  <c r="F302" i="6" l="1"/>
  <c r="E302" i="6"/>
  <c r="D302" i="6"/>
  <c r="B302" i="6"/>
  <c r="C302" i="6"/>
  <c r="E304" i="3"/>
  <c r="C304" i="3"/>
  <c r="D304" i="3"/>
  <c r="B304" i="3"/>
  <c r="A305" i="3"/>
  <c r="A303" i="6"/>
  <c r="A304" i="6" l="1"/>
  <c r="B303" i="6"/>
  <c r="F303" i="6"/>
  <c r="D303" i="6"/>
  <c r="C303" i="6"/>
  <c r="E303" i="6"/>
  <c r="B305" i="3"/>
  <c r="D305" i="3"/>
  <c r="E305" i="3"/>
  <c r="C305" i="3"/>
  <c r="A306" i="3"/>
  <c r="E306" i="3" l="1"/>
  <c r="C306" i="3"/>
  <c r="D306" i="3"/>
  <c r="B306" i="3"/>
  <c r="A307" i="3"/>
  <c r="A305" i="6"/>
  <c r="D304" i="6"/>
  <c r="C304" i="6"/>
  <c r="B304" i="6"/>
  <c r="F304" i="6"/>
  <c r="E304" i="6"/>
  <c r="B307" i="3" l="1"/>
  <c r="D307" i="3"/>
  <c r="C307" i="3"/>
  <c r="E307" i="3"/>
  <c r="A308" i="3"/>
  <c r="F305" i="6"/>
  <c r="E305" i="6"/>
  <c r="D305" i="6"/>
  <c r="C305" i="6"/>
  <c r="B305" i="6"/>
  <c r="A306" i="6"/>
  <c r="C308" i="3" l="1"/>
  <c r="B308" i="3"/>
  <c r="E308" i="3"/>
  <c r="D308" i="3"/>
  <c r="A309" i="3"/>
  <c r="F306" i="6"/>
  <c r="E306" i="6"/>
  <c r="D306" i="6"/>
  <c r="B306" i="6"/>
  <c r="C306" i="6"/>
  <c r="A307" i="6"/>
  <c r="E309" i="3" l="1"/>
  <c r="D309" i="3"/>
  <c r="C309" i="3"/>
  <c r="B309" i="3"/>
  <c r="A310" i="3"/>
  <c r="B307" i="6"/>
  <c r="F307" i="6"/>
  <c r="D307" i="6"/>
  <c r="C307" i="6"/>
  <c r="E307" i="6"/>
  <c r="A308" i="6"/>
  <c r="C310" i="3" l="1"/>
  <c r="E310" i="3"/>
  <c r="B310" i="3"/>
  <c r="D310" i="3"/>
  <c r="A311" i="3"/>
  <c r="D308" i="6"/>
  <c r="C308" i="6"/>
  <c r="B308" i="6"/>
  <c r="F308" i="6"/>
  <c r="E308" i="6"/>
  <c r="A309" i="6"/>
  <c r="D311" i="3" l="1"/>
  <c r="C311" i="3"/>
  <c r="B311" i="3"/>
  <c r="E311" i="3"/>
  <c r="A312" i="3"/>
  <c r="F309" i="6"/>
  <c r="E309" i="6"/>
  <c r="D309" i="6"/>
  <c r="C309" i="6"/>
  <c r="B309" i="6"/>
  <c r="A310" i="6"/>
  <c r="F310" i="6" l="1"/>
  <c r="E310" i="6"/>
  <c r="D310" i="6"/>
  <c r="B310" i="6"/>
  <c r="C310" i="6"/>
  <c r="E312" i="3"/>
  <c r="D312" i="3"/>
  <c r="C312" i="3"/>
  <c r="B312" i="3"/>
  <c r="A313" i="3"/>
  <c r="A311" i="6"/>
  <c r="B313" i="3" l="1"/>
  <c r="D313" i="3"/>
  <c r="E313" i="3"/>
  <c r="C313" i="3"/>
  <c r="A314" i="3"/>
  <c r="B311" i="6"/>
  <c r="F311" i="6"/>
  <c r="D311" i="6"/>
  <c r="C311" i="6"/>
  <c r="E311" i="6"/>
  <c r="A312" i="6"/>
  <c r="E314" i="3" l="1"/>
  <c r="D314" i="3"/>
  <c r="C314" i="3"/>
  <c r="B314" i="3"/>
  <c r="A315" i="3"/>
  <c r="D312" i="6"/>
  <c r="C312" i="6"/>
  <c r="B312" i="6"/>
  <c r="F312" i="6"/>
  <c r="E312" i="6"/>
  <c r="A313" i="6"/>
  <c r="B315" i="3" l="1"/>
  <c r="E315" i="3"/>
  <c r="D315" i="3"/>
  <c r="C315" i="3"/>
  <c r="A316" i="3"/>
  <c r="F313" i="6"/>
  <c r="E313" i="6"/>
  <c r="D313" i="6"/>
  <c r="C313" i="6"/>
  <c r="B313" i="6"/>
  <c r="A314" i="6"/>
  <c r="C316" i="3" l="1"/>
  <c r="B316" i="3"/>
  <c r="E316" i="3"/>
  <c r="D316" i="3"/>
  <c r="A317" i="3"/>
  <c r="F314" i="6"/>
  <c r="E314" i="6"/>
  <c r="D314" i="6"/>
  <c r="B314" i="6"/>
  <c r="C314" i="6"/>
  <c r="A315" i="6"/>
  <c r="E317" i="3" l="1"/>
  <c r="D317" i="3"/>
  <c r="B317" i="3"/>
  <c r="C317" i="3"/>
  <c r="A318" i="3"/>
  <c r="B315" i="6"/>
  <c r="F315" i="6"/>
  <c r="D315" i="6"/>
  <c r="C315" i="6"/>
  <c r="E315" i="6"/>
  <c r="A316" i="6"/>
  <c r="C318" i="3" l="1"/>
  <c r="E318" i="3"/>
  <c r="B318" i="3"/>
  <c r="D318" i="3"/>
  <c r="A319" i="3"/>
  <c r="D316" i="6"/>
  <c r="C316" i="6"/>
  <c r="B316" i="6"/>
  <c r="F316" i="6"/>
  <c r="E316" i="6"/>
  <c r="A317" i="6"/>
  <c r="D319" i="3" l="1"/>
  <c r="C319" i="3"/>
  <c r="B319" i="3"/>
  <c r="E319" i="3"/>
  <c r="A320" i="3"/>
  <c r="F317" i="6"/>
  <c r="E317" i="6"/>
  <c r="D317" i="6"/>
  <c r="C317" i="6"/>
  <c r="B317" i="6"/>
  <c r="A318" i="6"/>
  <c r="E320" i="3" l="1"/>
  <c r="D320" i="3"/>
  <c r="B320" i="3"/>
  <c r="C320" i="3"/>
  <c r="A321" i="3"/>
  <c r="F318" i="6"/>
  <c r="E318" i="6"/>
  <c r="D318" i="6"/>
  <c r="B318" i="6"/>
  <c r="C318" i="6"/>
  <c r="A319" i="6"/>
  <c r="B321" i="3" l="1"/>
  <c r="D321" i="3"/>
  <c r="C321" i="3"/>
  <c r="E321" i="3"/>
  <c r="A322" i="3"/>
  <c r="B319" i="6"/>
  <c r="F319" i="6"/>
  <c r="D319" i="6"/>
  <c r="C319" i="6"/>
  <c r="E319" i="6"/>
  <c r="A320" i="6"/>
  <c r="E322" i="3" l="1"/>
  <c r="D322" i="3"/>
  <c r="C322" i="3"/>
  <c r="B322" i="3"/>
  <c r="A323" i="3"/>
  <c r="D320" i="6"/>
  <c r="C320" i="6"/>
  <c r="B320" i="6"/>
  <c r="F320" i="6"/>
  <c r="E320" i="6"/>
  <c r="A321" i="6"/>
  <c r="F321" i="6" l="1"/>
  <c r="E321" i="6"/>
  <c r="D321" i="6"/>
  <c r="C321" i="6"/>
  <c r="B321" i="6"/>
  <c r="E323" i="3"/>
  <c r="B323" i="3"/>
  <c r="D323" i="3"/>
  <c r="C323" i="3"/>
  <c r="A324" i="3"/>
  <c r="A322" i="6"/>
  <c r="A323" i="6" l="1"/>
  <c r="F322" i="6"/>
  <c r="E322" i="6"/>
  <c r="D322" i="6"/>
  <c r="B322" i="6"/>
  <c r="C322" i="6"/>
  <c r="C324" i="3"/>
  <c r="B324" i="3"/>
  <c r="E324" i="3"/>
  <c r="D324" i="3"/>
  <c r="A325" i="3"/>
  <c r="E325" i="3" l="1"/>
  <c r="D325" i="3"/>
  <c r="C325" i="3"/>
  <c r="B325" i="3"/>
  <c r="A326" i="3"/>
  <c r="B323" i="6"/>
  <c r="F323" i="6"/>
  <c r="D323" i="6"/>
  <c r="C323" i="6"/>
  <c r="E323" i="6"/>
  <c r="A324" i="6"/>
  <c r="C326" i="3" l="1"/>
  <c r="D326" i="3"/>
  <c r="B326" i="3"/>
  <c r="E326" i="3"/>
  <c r="A327" i="3"/>
  <c r="D324" i="6"/>
  <c r="C324" i="6"/>
  <c r="B324" i="6"/>
  <c r="F324" i="6"/>
  <c r="E324" i="6"/>
  <c r="A325" i="6"/>
  <c r="F325" i="6" l="1"/>
  <c r="E325" i="6"/>
  <c r="D325" i="6"/>
  <c r="C325" i="6"/>
  <c r="B325" i="6"/>
  <c r="D327" i="3"/>
  <c r="C327" i="3"/>
  <c r="B327" i="3"/>
  <c r="E327" i="3"/>
  <c r="A328" i="3"/>
  <c r="A326" i="6"/>
  <c r="A327" i="6" l="1"/>
  <c r="F326" i="6"/>
  <c r="E326" i="6"/>
  <c r="D326" i="6"/>
  <c r="B326" i="6"/>
  <c r="C326" i="6"/>
  <c r="E328" i="3"/>
  <c r="D328" i="3"/>
  <c r="C328" i="3"/>
  <c r="B328" i="3"/>
  <c r="A329" i="3"/>
  <c r="B329" i="3" l="1"/>
  <c r="D329" i="3"/>
  <c r="E329" i="3"/>
  <c r="C329" i="3"/>
  <c r="A330" i="3"/>
  <c r="B327" i="6"/>
  <c r="F327" i="6"/>
  <c r="D327" i="6"/>
  <c r="C327" i="6"/>
  <c r="E327" i="6"/>
  <c r="A328" i="6"/>
  <c r="E330" i="3" l="1"/>
  <c r="D330" i="3"/>
  <c r="C330" i="3"/>
  <c r="B330" i="3"/>
  <c r="A331" i="3"/>
  <c r="D328" i="6"/>
  <c r="C328" i="6"/>
  <c r="B328" i="6"/>
  <c r="F328" i="6"/>
  <c r="E328" i="6"/>
  <c r="A329" i="6"/>
  <c r="E331" i="3" l="1"/>
  <c r="B331" i="3"/>
  <c r="D331" i="3"/>
  <c r="C331" i="3"/>
  <c r="A332" i="3"/>
  <c r="F329" i="6"/>
  <c r="E329" i="6"/>
  <c r="D329" i="6"/>
  <c r="C329" i="6"/>
  <c r="B329" i="6"/>
  <c r="A330" i="6"/>
  <c r="C332" i="3" l="1"/>
  <c r="B332" i="3"/>
  <c r="E332" i="3"/>
  <c r="D332" i="3"/>
  <c r="A333" i="3"/>
  <c r="F330" i="6"/>
  <c r="E330" i="6"/>
  <c r="D330" i="6"/>
  <c r="B330" i="6"/>
  <c r="C330" i="6"/>
  <c r="A331" i="6"/>
  <c r="E333" i="3" l="1"/>
  <c r="D333" i="3"/>
  <c r="C333" i="3"/>
  <c r="B333" i="3"/>
  <c r="A334" i="3"/>
  <c r="B331" i="6"/>
  <c r="F331" i="6"/>
  <c r="D331" i="6"/>
  <c r="C331" i="6"/>
  <c r="E331" i="6"/>
  <c r="A332" i="6"/>
  <c r="C334" i="3" l="1"/>
  <c r="B334" i="3"/>
  <c r="E334" i="3"/>
  <c r="D334" i="3"/>
  <c r="A335" i="3"/>
  <c r="D332" i="6"/>
  <c r="C332" i="6"/>
  <c r="B332" i="6"/>
  <c r="F332" i="6"/>
  <c r="E332" i="6"/>
  <c r="A333" i="6"/>
  <c r="F333" i="6" l="1"/>
  <c r="E333" i="6"/>
  <c r="D333" i="6"/>
  <c r="C333" i="6"/>
  <c r="B333" i="6"/>
  <c r="A334" i="6"/>
  <c r="D335" i="3"/>
  <c r="C335" i="3"/>
  <c r="B335" i="3"/>
  <c r="E335" i="3"/>
  <c r="A336" i="3"/>
  <c r="F334" i="6" l="1"/>
  <c r="E334" i="6"/>
  <c r="D334" i="6"/>
  <c r="B334" i="6"/>
  <c r="C334" i="6"/>
  <c r="E336" i="3"/>
  <c r="D336" i="3"/>
  <c r="C336" i="3"/>
  <c r="B336" i="3"/>
  <c r="A337" i="3"/>
  <c r="A335" i="6"/>
  <c r="A336" i="6" l="1"/>
  <c r="B335" i="6"/>
  <c r="F335" i="6"/>
  <c r="D335" i="6"/>
  <c r="C335" i="6"/>
  <c r="E335" i="6"/>
  <c r="B337" i="3"/>
  <c r="D337" i="3"/>
  <c r="E337" i="3"/>
  <c r="C337" i="3"/>
  <c r="A338" i="3"/>
  <c r="E338" i="3" l="1"/>
  <c r="D338" i="3"/>
  <c r="C338" i="3"/>
  <c r="B338" i="3"/>
  <c r="A339" i="3"/>
  <c r="A337" i="6"/>
  <c r="D336" i="6"/>
  <c r="C336" i="6"/>
  <c r="B336" i="6"/>
  <c r="F336" i="6"/>
  <c r="E336" i="6"/>
  <c r="E339" i="3" l="1"/>
  <c r="B339" i="3"/>
  <c r="C339" i="3"/>
  <c r="D339" i="3"/>
  <c r="A340" i="3"/>
  <c r="F337" i="6"/>
  <c r="E337" i="6"/>
  <c r="D337" i="6"/>
  <c r="C337" i="6"/>
  <c r="B337" i="6"/>
  <c r="A338" i="6"/>
  <c r="C340" i="3" l="1"/>
  <c r="B340" i="3"/>
  <c r="E340" i="3"/>
  <c r="D340" i="3"/>
  <c r="A341" i="3"/>
  <c r="F338" i="6"/>
  <c r="E338" i="6"/>
  <c r="D338" i="6"/>
  <c r="B338" i="6"/>
  <c r="C338" i="6"/>
  <c r="A339" i="6"/>
  <c r="E341" i="3" l="1"/>
  <c r="D341" i="3"/>
  <c r="C341" i="3"/>
  <c r="B341" i="3"/>
  <c r="A342" i="3"/>
  <c r="B339" i="6"/>
  <c r="F339" i="6"/>
  <c r="D339" i="6"/>
  <c r="C339" i="6"/>
  <c r="E339" i="6"/>
  <c r="A340" i="6"/>
  <c r="C342" i="3" l="1"/>
  <c r="D342" i="3"/>
  <c r="B342" i="3"/>
  <c r="E342" i="3"/>
  <c r="A343" i="3"/>
  <c r="B340" i="6"/>
  <c r="D340" i="6"/>
  <c r="F340" i="6"/>
  <c r="E340" i="6"/>
  <c r="C340" i="6"/>
  <c r="A341" i="6"/>
  <c r="D341" i="6" l="1"/>
  <c r="B341" i="6"/>
  <c r="F341" i="6"/>
  <c r="C341" i="6"/>
  <c r="E341" i="6"/>
  <c r="D343" i="3"/>
  <c r="C343" i="3"/>
  <c r="B343" i="3"/>
  <c r="E343" i="3"/>
  <c r="A344" i="3"/>
  <c r="A342" i="6"/>
  <c r="A343" i="6" l="1"/>
  <c r="F342" i="6"/>
  <c r="D342" i="6"/>
  <c r="E342" i="6"/>
  <c r="C342" i="6"/>
  <c r="B342" i="6"/>
  <c r="E344" i="3"/>
  <c r="D344" i="3"/>
  <c r="C344" i="3"/>
  <c r="B344" i="3"/>
  <c r="A345" i="3"/>
  <c r="B345" i="3" l="1"/>
  <c r="D345" i="3"/>
  <c r="E345" i="3"/>
  <c r="C345" i="3"/>
  <c r="A346" i="3"/>
  <c r="F343" i="6"/>
  <c r="B343" i="6"/>
  <c r="D343" i="6"/>
  <c r="C343" i="6"/>
  <c r="E343" i="6"/>
  <c r="A344" i="6"/>
  <c r="E346" i="3" l="1"/>
  <c r="D346" i="3"/>
  <c r="C346" i="3"/>
  <c r="B346" i="3"/>
  <c r="A347" i="3"/>
  <c r="B344" i="6"/>
  <c r="D344" i="6"/>
  <c r="F344" i="6"/>
  <c r="E344" i="6"/>
  <c r="C344" i="6"/>
  <c r="A345" i="6"/>
  <c r="E347" i="3" l="1"/>
  <c r="B347" i="3"/>
  <c r="D347" i="3"/>
  <c r="C347" i="3"/>
  <c r="A348" i="3"/>
  <c r="D345" i="6"/>
  <c r="B345" i="6"/>
  <c r="F345" i="6"/>
  <c r="E345" i="6"/>
  <c r="C345" i="6"/>
  <c r="A346" i="6"/>
  <c r="C348" i="3" l="1"/>
  <c r="B348" i="3"/>
  <c r="E348" i="3"/>
  <c r="D348" i="3"/>
  <c r="A349" i="3"/>
  <c r="F346" i="6"/>
  <c r="D346" i="6"/>
  <c r="E346" i="6"/>
  <c r="C346" i="6"/>
  <c r="B346" i="6"/>
  <c r="A347" i="6"/>
  <c r="E349" i="3" l="1"/>
  <c r="D349" i="3"/>
  <c r="C349" i="3"/>
  <c r="B349" i="3"/>
  <c r="A350" i="3"/>
  <c r="F347" i="6"/>
  <c r="B347" i="6"/>
  <c r="C347" i="6"/>
  <c r="E347" i="6"/>
  <c r="D347" i="6"/>
  <c r="A348" i="6"/>
  <c r="C350" i="3" l="1"/>
  <c r="E350" i="3"/>
  <c r="B350" i="3"/>
  <c r="D350" i="3"/>
  <c r="A351" i="3"/>
  <c r="B348" i="6"/>
  <c r="D348" i="6"/>
  <c r="F348" i="6"/>
  <c r="E348" i="6"/>
  <c r="C348" i="6"/>
  <c r="A349" i="6"/>
  <c r="D351" i="3" l="1"/>
  <c r="C351" i="3"/>
  <c r="B351" i="3"/>
  <c r="E351" i="3"/>
  <c r="A352" i="3"/>
  <c r="D349" i="6"/>
  <c r="B349" i="6"/>
  <c r="F349" i="6"/>
  <c r="C349" i="6"/>
  <c r="E349" i="6"/>
  <c r="A350" i="6"/>
  <c r="E352" i="3" l="1"/>
  <c r="D352" i="3"/>
  <c r="B352" i="3"/>
  <c r="C352" i="3"/>
  <c r="A353" i="3"/>
  <c r="F350" i="6"/>
  <c r="D350" i="6"/>
  <c r="E350" i="6"/>
  <c r="C350" i="6"/>
  <c r="B350" i="6"/>
  <c r="A351" i="6"/>
  <c r="B353" i="3" l="1"/>
  <c r="D353" i="3"/>
  <c r="E353" i="3"/>
  <c r="C353" i="3"/>
  <c r="A354" i="3"/>
  <c r="F351" i="6"/>
  <c r="D351" i="6"/>
  <c r="B351" i="6"/>
  <c r="E351" i="6"/>
  <c r="C351" i="6"/>
  <c r="A352" i="6"/>
  <c r="E354" i="3" l="1"/>
  <c r="D354" i="3"/>
  <c r="C354" i="3"/>
  <c r="B354" i="3"/>
  <c r="A355" i="3"/>
  <c r="B352" i="6"/>
  <c r="F352" i="6"/>
  <c r="D352" i="6"/>
  <c r="C352" i="6"/>
  <c r="E352" i="6"/>
  <c r="A353" i="6"/>
  <c r="E355" i="3" l="1"/>
  <c r="B355" i="3"/>
  <c r="C355" i="3"/>
  <c r="D355" i="3"/>
  <c r="A356" i="3"/>
  <c r="D353" i="6"/>
  <c r="B353" i="6"/>
  <c r="F353" i="6"/>
  <c r="E353" i="6"/>
  <c r="C353" i="6"/>
  <c r="A354" i="6"/>
  <c r="C356" i="3" l="1"/>
  <c r="B356" i="3"/>
  <c r="E356" i="3"/>
  <c r="D356" i="3"/>
  <c r="A357" i="3"/>
  <c r="F354" i="6"/>
  <c r="D354" i="6"/>
  <c r="B354" i="6"/>
  <c r="C354" i="6"/>
  <c r="E354" i="6"/>
  <c r="A355" i="6"/>
  <c r="E357" i="3" l="1"/>
  <c r="D357" i="3"/>
  <c r="C357" i="3"/>
  <c r="B357" i="3"/>
  <c r="A358" i="3"/>
  <c r="F355" i="6"/>
  <c r="D355" i="6"/>
  <c r="B355" i="6"/>
  <c r="E355" i="6"/>
  <c r="C355" i="6"/>
  <c r="A356" i="6"/>
  <c r="C358" i="3" l="1"/>
  <c r="E358" i="3"/>
  <c r="D358" i="3"/>
  <c r="B358" i="3"/>
  <c r="A359" i="3"/>
  <c r="B356" i="6"/>
  <c r="F356" i="6"/>
  <c r="D356" i="6"/>
  <c r="E356" i="6"/>
  <c r="C356" i="6"/>
  <c r="A357" i="6"/>
  <c r="D359" i="3" l="1"/>
  <c r="C359" i="3"/>
  <c r="B359" i="3"/>
  <c r="E359" i="3"/>
  <c r="A360" i="3"/>
  <c r="D357" i="6"/>
  <c r="B357" i="6"/>
  <c r="F357" i="6"/>
  <c r="E357" i="6"/>
  <c r="C357" i="6"/>
  <c r="A358" i="6"/>
  <c r="E360" i="3" l="1"/>
  <c r="D360" i="3"/>
  <c r="C360" i="3"/>
  <c r="B360" i="3"/>
  <c r="A361" i="3"/>
  <c r="F358" i="6"/>
  <c r="D358" i="6"/>
  <c r="B358" i="6"/>
  <c r="E358" i="6"/>
  <c r="C358" i="6"/>
  <c r="A359" i="6"/>
  <c r="B361" i="3" l="1"/>
  <c r="D361" i="3"/>
  <c r="E361" i="3"/>
  <c r="C361" i="3"/>
  <c r="A362" i="3"/>
  <c r="F359" i="6"/>
  <c r="D359" i="6"/>
  <c r="B359" i="6"/>
  <c r="E359" i="6"/>
  <c r="C359" i="6"/>
  <c r="A360" i="6"/>
  <c r="E362" i="3" l="1"/>
  <c r="D362" i="3"/>
  <c r="C362" i="3"/>
  <c r="B362" i="3"/>
  <c r="A363" i="3"/>
  <c r="B360" i="6"/>
  <c r="F360" i="6"/>
  <c r="D360" i="6"/>
  <c r="C360" i="6"/>
  <c r="E360" i="6"/>
  <c r="A361" i="6"/>
  <c r="E363" i="3" l="1"/>
  <c r="B363" i="3"/>
  <c r="D363" i="3"/>
  <c r="C363" i="3"/>
  <c r="A364" i="3"/>
  <c r="D361" i="6"/>
  <c r="B361" i="6"/>
  <c r="F361" i="6"/>
  <c r="E361" i="6"/>
  <c r="C361" i="6"/>
  <c r="A362" i="6"/>
  <c r="C364" i="3" l="1"/>
  <c r="B364" i="3"/>
  <c r="E364" i="3"/>
  <c r="D364" i="3"/>
  <c r="A365" i="3"/>
  <c r="F362" i="6"/>
  <c r="D362" i="6"/>
  <c r="B362" i="6"/>
  <c r="C362" i="6"/>
  <c r="E362" i="6"/>
  <c r="A363" i="6"/>
  <c r="E365" i="3" l="1"/>
  <c r="D365" i="3"/>
  <c r="C365" i="3"/>
  <c r="B365" i="3"/>
  <c r="A366" i="3"/>
  <c r="F363" i="6"/>
  <c r="D363" i="6"/>
  <c r="B363" i="6"/>
  <c r="E363" i="6"/>
  <c r="C363" i="6"/>
  <c r="A364" i="6"/>
  <c r="C366" i="3" l="1"/>
  <c r="E366" i="3"/>
  <c r="D366" i="3"/>
  <c r="B366" i="3"/>
  <c r="A367" i="3"/>
  <c r="B364" i="6"/>
  <c r="F364" i="6"/>
  <c r="D364" i="6"/>
  <c r="E364" i="6"/>
  <c r="C364" i="6"/>
  <c r="A365" i="6"/>
  <c r="D365" i="6" l="1"/>
  <c r="B365" i="6"/>
  <c r="F365" i="6"/>
  <c r="E365" i="6"/>
  <c r="C365" i="6"/>
  <c r="D367" i="3"/>
  <c r="C367" i="3"/>
  <c r="B367" i="3"/>
  <c r="E367" i="3"/>
  <c r="A368" i="3"/>
  <c r="A366" i="6"/>
  <c r="A367" i="6" l="1"/>
  <c r="E368" i="3"/>
  <c r="D368" i="3"/>
  <c r="B368" i="3"/>
  <c r="C368" i="3"/>
  <c r="A369" i="3"/>
  <c r="F366" i="6"/>
  <c r="D366" i="6"/>
  <c r="B366" i="6"/>
  <c r="E366" i="6"/>
  <c r="C366" i="6"/>
  <c r="A368" i="6" l="1"/>
  <c r="F367" i="6"/>
  <c r="D367" i="6"/>
  <c r="B367" i="6"/>
  <c r="E367" i="6"/>
  <c r="C367" i="6"/>
  <c r="B369" i="3"/>
  <c r="D369" i="3"/>
  <c r="C369" i="3"/>
  <c r="E369" i="3"/>
  <c r="A370" i="3"/>
  <c r="E370" i="3" l="1"/>
  <c r="D370" i="3"/>
  <c r="C370" i="3"/>
  <c r="B370" i="3"/>
  <c r="A371" i="3"/>
  <c r="A369" i="6"/>
  <c r="B368" i="6"/>
  <c r="F368" i="6"/>
  <c r="D368" i="6"/>
  <c r="C368" i="6"/>
  <c r="E368" i="6"/>
  <c r="E371" i="3" l="1"/>
  <c r="B371" i="3"/>
  <c r="D371" i="3"/>
  <c r="C371" i="3"/>
  <c r="A372" i="3"/>
  <c r="D369" i="6"/>
  <c r="B369" i="6"/>
  <c r="F369" i="6"/>
  <c r="E369" i="6"/>
  <c r="C369" i="6"/>
  <c r="A370" i="6"/>
  <c r="C372" i="3" l="1"/>
  <c r="B372" i="3"/>
  <c r="E372" i="3"/>
  <c r="D372" i="3"/>
  <c r="A373" i="3"/>
  <c r="F370" i="6"/>
  <c r="D370" i="6"/>
  <c r="B370" i="6"/>
  <c r="C370" i="6"/>
  <c r="E370" i="6"/>
  <c r="A371" i="6"/>
  <c r="E373" i="3" l="1"/>
  <c r="D373" i="3"/>
  <c r="C373" i="3"/>
  <c r="B373" i="3"/>
  <c r="A374" i="3"/>
  <c r="F371" i="6"/>
  <c r="D371" i="6"/>
  <c r="B371" i="6"/>
  <c r="E371" i="6"/>
  <c r="C371" i="6"/>
  <c r="A372" i="6"/>
  <c r="C374" i="3" l="1"/>
  <c r="E374" i="3"/>
  <c r="D374" i="3"/>
  <c r="B374" i="3"/>
  <c r="A375" i="3"/>
  <c r="B372" i="6"/>
  <c r="F372" i="6"/>
  <c r="D372" i="6"/>
  <c r="E372" i="6"/>
  <c r="C372" i="6"/>
  <c r="A373" i="6"/>
  <c r="D375" i="3" l="1"/>
  <c r="C375" i="3"/>
  <c r="B375" i="3"/>
  <c r="E375" i="3"/>
  <c r="A376" i="3"/>
  <c r="D373" i="6"/>
  <c r="B373" i="6"/>
  <c r="F373" i="6"/>
  <c r="E373" i="6"/>
  <c r="C373" i="6"/>
  <c r="A374" i="6"/>
  <c r="E376" i="3" l="1"/>
  <c r="D376" i="3"/>
  <c r="C376" i="3"/>
  <c r="B376" i="3"/>
  <c r="A377" i="3"/>
  <c r="F374" i="6"/>
  <c r="D374" i="6"/>
  <c r="B374" i="6"/>
  <c r="E374" i="6"/>
  <c r="C374" i="6"/>
  <c r="A375" i="6"/>
  <c r="F375" i="6" l="1"/>
  <c r="D375" i="6"/>
  <c r="B375" i="6"/>
  <c r="E375" i="6"/>
  <c r="C375" i="6"/>
  <c r="B377" i="3"/>
  <c r="D377" i="3"/>
  <c r="E377" i="3"/>
  <c r="C377" i="3"/>
  <c r="A378" i="3"/>
  <c r="A376" i="6"/>
  <c r="A377" i="6" l="1"/>
  <c r="B376" i="6"/>
  <c r="F376" i="6"/>
  <c r="D376" i="6"/>
  <c r="C376" i="6"/>
  <c r="E376" i="6"/>
  <c r="E378" i="3"/>
  <c r="D378" i="3"/>
  <c r="C378" i="3"/>
  <c r="B378" i="3"/>
  <c r="A379" i="3"/>
  <c r="D377" i="6" l="1"/>
  <c r="B377" i="6"/>
  <c r="F377" i="6"/>
  <c r="E377" i="6"/>
  <c r="C377" i="6"/>
  <c r="E379" i="3"/>
  <c r="B379" i="3"/>
  <c r="D379" i="3"/>
  <c r="C379" i="3"/>
  <c r="A380" i="3"/>
  <c r="A378" i="6"/>
  <c r="A379" i="6" l="1"/>
  <c r="F378" i="6"/>
  <c r="D378" i="6"/>
  <c r="B378" i="6"/>
  <c r="C378" i="6"/>
  <c r="E378" i="6"/>
  <c r="C380" i="3"/>
  <c r="B380" i="3"/>
  <c r="E380" i="3"/>
  <c r="D380" i="3"/>
  <c r="A381" i="3"/>
  <c r="E381" i="3" l="1"/>
  <c r="D381" i="3"/>
  <c r="C381" i="3"/>
  <c r="B381" i="3"/>
  <c r="A382" i="3"/>
  <c r="F379" i="6"/>
  <c r="D379" i="6"/>
  <c r="B379" i="6"/>
  <c r="E379" i="6"/>
  <c r="C379" i="6"/>
  <c r="A380" i="6"/>
  <c r="B380" i="6" l="1"/>
  <c r="F380" i="6"/>
  <c r="D380" i="6"/>
  <c r="E380" i="6"/>
  <c r="C380" i="6"/>
  <c r="C382" i="3"/>
  <c r="E382" i="3"/>
  <c r="B382" i="3"/>
  <c r="D382" i="3"/>
  <c r="A383" i="3"/>
  <c r="A381" i="6"/>
  <c r="A382" i="6" l="1"/>
  <c r="D383" i="3"/>
  <c r="C383" i="3"/>
  <c r="B383" i="3"/>
  <c r="E383" i="3"/>
  <c r="A384" i="3"/>
  <c r="D381" i="6"/>
  <c r="B381" i="6"/>
  <c r="F381" i="6"/>
  <c r="E381" i="6"/>
  <c r="C381" i="6"/>
  <c r="A383" i="6" l="1"/>
  <c r="F382" i="6"/>
  <c r="D382" i="6"/>
  <c r="B382" i="6"/>
  <c r="E382" i="6"/>
  <c r="C382" i="6"/>
  <c r="E384" i="3"/>
  <c r="D384" i="3"/>
  <c r="B384" i="3"/>
  <c r="C384" i="3"/>
  <c r="A385" i="3"/>
  <c r="B385" i="3" l="1"/>
  <c r="D385" i="3"/>
  <c r="C385" i="3"/>
  <c r="E385" i="3"/>
  <c r="A386" i="3"/>
  <c r="F383" i="6"/>
  <c r="D383" i="6"/>
  <c r="B383" i="6"/>
  <c r="E383" i="6"/>
  <c r="C383" i="6"/>
  <c r="A384" i="6"/>
  <c r="B384" i="6" l="1"/>
  <c r="F384" i="6"/>
  <c r="D384" i="6"/>
  <c r="C384" i="6"/>
  <c r="E384" i="6"/>
  <c r="E386" i="3"/>
  <c r="D386" i="3"/>
  <c r="C386" i="3"/>
  <c r="B386" i="3"/>
  <c r="A387" i="3"/>
  <c r="A385" i="6"/>
  <c r="A386" i="6" l="1"/>
  <c r="D385" i="6"/>
  <c r="B385" i="6"/>
  <c r="F385" i="6"/>
  <c r="E385" i="6"/>
  <c r="C385" i="6"/>
  <c r="E387" i="3"/>
  <c r="B387" i="3"/>
  <c r="D387" i="3"/>
  <c r="C387" i="3"/>
  <c r="A388" i="3"/>
  <c r="C388" i="3" l="1"/>
  <c r="B388" i="3"/>
  <c r="E388" i="3"/>
  <c r="D388" i="3"/>
  <c r="A389" i="3"/>
  <c r="F386" i="6"/>
  <c r="D386" i="6"/>
  <c r="B386" i="6"/>
  <c r="C386" i="6"/>
  <c r="E386" i="6"/>
  <c r="A387" i="6"/>
  <c r="E389" i="3" l="1"/>
  <c r="D389" i="3"/>
  <c r="C389" i="3"/>
  <c r="B389" i="3"/>
  <c r="A390" i="3"/>
  <c r="F387" i="6"/>
  <c r="D387" i="6"/>
  <c r="B387" i="6"/>
  <c r="E387" i="6"/>
  <c r="C387" i="6"/>
  <c r="A388" i="6"/>
  <c r="C390" i="3" l="1"/>
  <c r="D390" i="3"/>
  <c r="E390" i="3"/>
  <c r="B390" i="3"/>
  <c r="A391" i="3"/>
  <c r="B388" i="6"/>
  <c r="F388" i="6"/>
  <c r="D388" i="6"/>
  <c r="E388" i="6"/>
  <c r="C388" i="6"/>
  <c r="A389" i="6"/>
  <c r="D391" i="3" l="1"/>
  <c r="C391" i="3"/>
  <c r="B391" i="3"/>
  <c r="E391" i="3"/>
  <c r="A392" i="3"/>
  <c r="D389" i="6"/>
  <c r="B389" i="6"/>
  <c r="F389" i="6"/>
  <c r="E389" i="6"/>
  <c r="C389" i="6"/>
  <c r="A390" i="6"/>
  <c r="E392" i="3" l="1"/>
  <c r="D392" i="3"/>
  <c r="C392" i="3"/>
  <c r="B392" i="3"/>
  <c r="A393" i="3"/>
  <c r="F390" i="6"/>
  <c r="D390" i="6"/>
  <c r="B390" i="6"/>
  <c r="E390" i="6"/>
  <c r="C390" i="6"/>
  <c r="A391" i="6"/>
  <c r="B393" i="3" l="1"/>
  <c r="D393" i="3"/>
  <c r="E393" i="3"/>
  <c r="C393" i="3"/>
  <c r="A394" i="3"/>
  <c r="F391" i="6"/>
  <c r="D391" i="6"/>
  <c r="B391" i="6"/>
  <c r="E391" i="6"/>
  <c r="C391" i="6"/>
  <c r="A392" i="6"/>
  <c r="E394" i="3" l="1"/>
  <c r="D394" i="3"/>
  <c r="C394" i="3"/>
  <c r="B394" i="3"/>
  <c r="A395" i="3"/>
  <c r="B392" i="6"/>
  <c r="F392" i="6"/>
  <c r="D392" i="6"/>
  <c r="C392" i="6"/>
  <c r="E392" i="6"/>
  <c r="A393" i="6"/>
  <c r="E395" i="3" l="1"/>
  <c r="B395" i="3"/>
  <c r="D395" i="3"/>
  <c r="C395" i="3"/>
  <c r="A396" i="3"/>
  <c r="D393" i="6"/>
  <c r="B393" i="6"/>
  <c r="F393" i="6"/>
  <c r="E393" i="6"/>
  <c r="C393" i="6"/>
  <c r="A394" i="6"/>
  <c r="C396" i="3" l="1"/>
  <c r="B396" i="3"/>
  <c r="E396" i="3"/>
  <c r="D396" i="3"/>
  <c r="A397" i="3"/>
  <c r="F394" i="6"/>
  <c r="D394" i="6"/>
  <c r="B394" i="6"/>
  <c r="C394" i="6"/>
  <c r="E394" i="6"/>
  <c r="A395" i="6"/>
  <c r="E397" i="3" l="1"/>
  <c r="D397" i="3"/>
  <c r="C397" i="3"/>
  <c r="B397" i="3"/>
  <c r="A398" i="3"/>
  <c r="F395" i="6"/>
  <c r="D395" i="6"/>
  <c r="B395" i="6"/>
  <c r="E395" i="6"/>
  <c r="C395" i="6"/>
  <c r="A396" i="6"/>
  <c r="B396" i="6" l="1"/>
  <c r="F396" i="6"/>
  <c r="D396" i="6"/>
  <c r="E396" i="6"/>
  <c r="C396" i="6"/>
  <c r="C398" i="3"/>
  <c r="B398" i="3"/>
  <c r="E398" i="3"/>
  <c r="D398" i="3"/>
  <c r="A399" i="3"/>
  <c r="A397" i="6"/>
  <c r="D397" i="6" l="1"/>
  <c r="B397" i="6"/>
  <c r="F397" i="6"/>
  <c r="E397" i="6"/>
  <c r="C397" i="6"/>
  <c r="D399" i="3"/>
  <c r="C399" i="3"/>
  <c r="B399" i="3"/>
  <c r="E399" i="3"/>
  <c r="A400" i="3"/>
  <c r="A398" i="6"/>
  <c r="A399" i="6" l="1"/>
  <c r="F398" i="6"/>
  <c r="D398" i="6"/>
  <c r="B398" i="6"/>
  <c r="E398" i="6"/>
  <c r="C398" i="6"/>
  <c r="E400" i="3"/>
  <c r="D400" i="3"/>
  <c r="C400" i="3"/>
  <c r="B400" i="3"/>
  <c r="A401" i="3"/>
  <c r="B401" i="3" l="1"/>
  <c r="D401" i="3"/>
  <c r="E401" i="3"/>
  <c r="C401" i="3"/>
  <c r="A402" i="3"/>
  <c r="F399" i="6"/>
  <c r="D399" i="6"/>
  <c r="B399" i="6"/>
  <c r="E399" i="6"/>
  <c r="C399" i="6"/>
  <c r="A400" i="6"/>
  <c r="E402" i="3" l="1"/>
  <c r="D402" i="3"/>
  <c r="C402" i="3"/>
  <c r="B402" i="3"/>
  <c r="A403" i="3"/>
  <c r="B400" i="6"/>
  <c r="F400" i="6"/>
  <c r="D400" i="6"/>
  <c r="C400" i="6"/>
  <c r="E400" i="6"/>
  <c r="A401" i="6"/>
  <c r="E403" i="3" l="1"/>
  <c r="B403" i="3"/>
  <c r="C403" i="3"/>
  <c r="D403" i="3"/>
  <c r="A404" i="3"/>
  <c r="D401" i="6"/>
  <c r="B401" i="6"/>
  <c r="F401" i="6"/>
  <c r="E401" i="6"/>
  <c r="C401" i="6"/>
  <c r="A402" i="6"/>
  <c r="C404" i="3" l="1"/>
  <c r="B404" i="3"/>
  <c r="E404" i="3"/>
  <c r="D404" i="3"/>
  <c r="A405" i="3"/>
  <c r="F402" i="6"/>
  <c r="D402" i="6"/>
  <c r="B402" i="6"/>
  <c r="C402" i="6"/>
  <c r="E402" i="6"/>
  <c r="A403" i="6"/>
  <c r="E405" i="3" l="1"/>
  <c r="D405" i="3"/>
  <c r="C405" i="3"/>
  <c r="B405" i="3"/>
  <c r="A406" i="3"/>
  <c r="F403" i="6"/>
  <c r="D403" i="6"/>
  <c r="B403" i="6"/>
  <c r="E403" i="6"/>
  <c r="C403" i="6"/>
  <c r="A404" i="6"/>
  <c r="C406" i="3" l="1"/>
  <c r="D406" i="3"/>
  <c r="B406" i="3"/>
  <c r="E406" i="3"/>
  <c r="A407" i="3"/>
  <c r="B404" i="6"/>
  <c r="F404" i="6"/>
  <c r="D404" i="6"/>
  <c r="E404" i="6"/>
  <c r="C404" i="6"/>
  <c r="A405" i="6"/>
  <c r="D405" i="6" l="1"/>
  <c r="B405" i="6"/>
  <c r="F405" i="6"/>
  <c r="E405" i="6"/>
  <c r="C405" i="6"/>
  <c r="D407" i="3"/>
  <c r="C407" i="3"/>
  <c r="B407" i="3"/>
  <c r="E407" i="3"/>
  <c r="A408" i="3"/>
  <c r="A406" i="6"/>
  <c r="A407" i="6" l="1"/>
  <c r="F406" i="6"/>
  <c r="D406" i="6"/>
  <c r="B406" i="6"/>
  <c r="E406" i="6"/>
  <c r="C406" i="6"/>
  <c r="E408" i="3"/>
  <c r="D408" i="3"/>
  <c r="C408" i="3"/>
  <c r="B408" i="3"/>
  <c r="A409" i="3"/>
  <c r="F407" i="6" l="1"/>
  <c r="D407" i="6"/>
  <c r="B407" i="6"/>
  <c r="E407" i="6"/>
  <c r="C407" i="6"/>
  <c r="A408" i="6"/>
  <c r="B409" i="3"/>
  <c r="D409" i="3"/>
  <c r="E409" i="3"/>
  <c r="C409" i="3"/>
  <c r="A410" i="3"/>
  <c r="E410" i="3" l="1"/>
  <c r="D410" i="3"/>
  <c r="C410" i="3"/>
  <c r="B410" i="3"/>
  <c r="A411" i="3"/>
  <c r="A409" i="6"/>
  <c r="B408" i="6"/>
  <c r="F408" i="6"/>
  <c r="D408" i="6"/>
  <c r="C408" i="6"/>
  <c r="E408" i="6"/>
  <c r="D409" i="6" l="1"/>
  <c r="B409" i="6"/>
  <c r="F409" i="6"/>
  <c r="E409" i="6"/>
  <c r="C409" i="6"/>
  <c r="E411" i="3"/>
  <c r="B411" i="3"/>
  <c r="D411" i="3"/>
  <c r="C411" i="3"/>
  <c r="A412" i="3"/>
  <c r="A410" i="6"/>
  <c r="A411" i="6" l="1"/>
  <c r="F410" i="6"/>
  <c r="D410" i="6"/>
  <c r="C410" i="6"/>
  <c r="B410" i="6"/>
  <c r="E410" i="6"/>
  <c r="C412" i="3"/>
  <c r="B412" i="3"/>
  <c r="E412" i="3"/>
  <c r="D412" i="3"/>
  <c r="A413" i="3"/>
  <c r="E413" i="3" l="1"/>
  <c r="D413" i="3"/>
  <c r="C413" i="3"/>
  <c r="B413" i="3"/>
  <c r="A414" i="3"/>
  <c r="A412" i="6"/>
  <c r="F411" i="6"/>
  <c r="E411" i="6"/>
  <c r="D411" i="6"/>
  <c r="B411" i="6"/>
  <c r="C411" i="6"/>
  <c r="C414" i="3" l="1"/>
  <c r="E414" i="3"/>
  <c r="D414" i="3"/>
  <c r="B414" i="3"/>
  <c r="A415" i="3"/>
  <c r="B412" i="6"/>
  <c r="F412" i="6"/>
  <c r="D412" i="6"/>
  <c r="E412" i="6"/>
  <c r="C412" i="6"/>
  <c r="A413" i="6"/>
  <c r="D415" i="3" l="1"/>
  <c r="C415" i="3"/>
  <c r="B415" i="3"/>
  <c r="E415" i="3"/>
  <c r="A416" i="3"/>
  <c r="D413" i="6"/>
  <c r="B413" i="6"/>
  <c r="F413" i="6"/>
  <c r="E413" i="6"/>
  <c r="C413" i="6"/>
  <c r="A414" i="6"/>
  <c r="F414" i="6" l="1"/>
  <c r="E414" i="6"/>
  <c r="D414" i="6"/>
  <c r="C414" i="6"/>
  <c r="B414" i="6"/>
  <c r="E416" i="3"/>
  <c r="D416" i="3"/>
  <c r="B416" i="3"/>
  <c r="C416" i="3"/>
  <c r="A417" i="3"/>
  <c r="A415" i="6"/>
  <c r="A416" i="6" l="1"/>
  <c r="F415" i="6"/>
  <c r="E415" i="6"/>
  <c r="D415" i="6"/>
  <c r="C415" i="6"/>
  <c r="B415" i="6"/>
  <c r="B417" i="3"/>
  <c r="D417" i="3"/>
  <c r="E417" i="3"/>
  <c r="C417" i="3"/>
  <c r="A418" i="3"/>
  <c r="C416" i="6" l="1"/>
  <c r="B416" i="6"/>
  <c r="F416" i="6"/>
  <c r="E416" i="6"/>
  <c r="D416" i="6"/>
  <c r="E418" i="3"/>
  <c r="D418" i="3"/>
  <c r="C418" i="3"/>
  <c r="B418" i="3"/>
  <c r="A419" i="3"/>
  <c r="A417" i="6"/>
  <c r="A418" i="6" l="1"/>
  <c r="E417" i="6"/>
  <c r="D417" i="6"/>
  <c r="C417" i="6"/>
  <c r="B417" i="6"/>
  <c r="F417" i="6"/>
  <c r="E419" i="3"/>
  <c r="B419" i="3"/>
  <c r="C419" i="3"/>
  <c r="D419" i="3"/>
  <c r="A420" i="3"/>
  <c r="C420" i="3" l="1"/>
  <c r="B420" i="3"/>
  <c r="E420" i="3"/>
  <c r="D420" i="3"/>
  <c r="A421" i="3"/>
  <c r="F418" i="6"/>
  <c r="E418" i="6"/>
  <c r="D418" i="6"/>
  <c r="C418" i="6"/>
  <c r="B418" i="6"/>
  <c r="A419" i="6"/>
  <c r="E421" i="3" l="1"/>
  <c r="D421" i="3"/>
  <c r="C421" i="3"/>
  <c r="B421" i="3"/>
  <c r="A422" i="3"/>
  <c r="F419" i="6"/>
  <c r="E419" i="6"/>
  <c r="D419" i="6"/>
  <c r="C419" i="6"/>
  <c r="B419" i="6"/>
  <c r="A420" i="6"/>
  <c r="C422" i="3" l="1"/>
  <c r="D422" i="3"/>
  <c r="E422" i="3"/>
  <c r="B422" i="3"/>
  <c r="A423" i="3"/>
  <c r="C420" i="6"/>
  <c r="B420" i="6"/>
  <c r="F420" i="6"/>
  <c r="E420" i="6"/>
  <c r="D420" i="6"/>
  <c r="A421" i="6"/>
  <c r="E421" i="6" l="1"/>
  <c r="D421" i="6"/>
  <c r="C421" i="6"/>
  <c r="B421" i="6"/>
  <c r="F421" i="6"/>
  <c r="D423" i="3"/>
  <c r="C423" i="3"/>
  <c r="B423" i="3"/>
  <c r="E423" i="3"/>
  <c r="A424" i="3"/>
  <c r="A422" i="6"/>
  <c r="F422" i="6" l="1"/>
  <c r="E422" i="6"/>
  <c r="D422" i="6"/>
  <c r="C422" i="6"/>
  <c r="B422" i="6"/>
  <c r="E424" i="3"/>
  <c r="D424" i="3"/>
  <c r="C424" i="3"/>
  <c r="B424" i="3"/>
  <c r="A425" i="3"/>
  <c r="A423" i="6"/>
  <c r="A424" i="6" l="1"/>
  <c r="F423" i="6"/>
  <c r="E423" i="6"/>
  <c r="D423" i="6"/>
  <c r="C423" i="6"/>
  <c r="B423" i="6"/>
  <c r="B425" i="3"/>
  <c r="D425" i="3"/>
  <c r="E425" i="3"/>
  <c r="C425" i="3"/>
  <c r="A426" i="3"/>
  <c r="C424" i="6" l="1"/>
  <c r="B424" i="6"/>
  <c r="F424" i="6"/>
  <c r="E424" i="6"/>
  <c r="D424" i="6"/>
  <c r="E426" i="3"/>
  <c r="D426" i="3"/>
  <c r="C426" i="3"/>
  <c r="B426" i="3"/>
  <c r="A427" i="3"/>
  <c r="A425" i="6"/>
  <c r="A426" i="6" l="1"/>
  <c r="E425" i="6"/>
  <c r="D425" i="6"/>
  <c r="C425" i="6"/>
  <c r="B425" i="6"/>
  <c r="F425" i="6"/>
  <c r="E427" i="3"/>
  <c r="B427" i="3"/>
  <c r="D427" i="3"/>
  <c r="C427" i="3"/>
  <c r="A428" i="3"/>
  <c r="C428" i="3" l="1"/>
  <c r="B428" i="3"/>
  <c r="E428" i="3"/>
  <c r="D428" i="3"/>
  <c r="A429" i="3"/>
  <c r="F426" i="6"/>
  <c r="E426" i="6"/>
  <c r="D426" i="6"/>
  <c r="C426" i="6"/>
  <c r="B426" i="6"/>
  <c r="A427" i="6"/>
  <c r="E429" i="3" l="1"/>
  <c r="D429" i="3"/>
  <c r="C429" i="3"/>
  <c r="B429" i="3"/>
  <c r="A430" i="3"/>
  <c r="F427" i="6"/>
  <c r="E427" i="6"/>
  <c r="D427" i="6"/>
  <c r="C427" i="6"/>
  <c r="B427" i="6"/>
  <c r="A428" i="6"/>
  <c r="C430" i="3" l="1"/>
  <c r="E430" i="3"/>
  <c r="D430" i="3"/>
  <c r="B430" i="3"/>
  <c r="A431" i="3"/>
  <c r="C428" i="6"/>
  <c r="B428" i="6"/>
  <c r="F428" i="6"/>
  <c r="E428" i="6"/>
  <c r="D428" i="6"/>
  <c r="A429" i="6"/>
  <c r="D431" i="3" l="1"/>
  <c r="C431" i="3"/>
  <c r="B431" i="3"/>
  <c r="E431" i="3"/>
  <c r="A432" i="3"/>
  <c r="E429" i="6"/>
  <c r="D429" i="6"/>
  <c r="C429" i="6"/>
  <c r="B429" i="6"/>
  <c r="F429" i="6"/>
  <c r="A430" i="6"/>
  <c r="E432" i="3" l="1"/>
  <c r="D432" i="3"/>
  <c r="B432" i="3"/>
  <c r="C432" i="3"/>
  <c r="A433" i="3"/>
  <c r="F430" i="6"/>
  <c r="E430" i="6"/>
  <c r="D430" i="6"/>
  <c r="C430" i="6"/>
  <c r="B430" i="6"/>
  <c r="A431" i="6"/>
  <c r="B433" i="3" l="1"/>
  <c r="D433" i="3"/>
  <c r="C433" i="3"/>
  <c r="E433" i="3"/>
  <c r="A434" i="3"/>
  <c r="F431" i="6"/>
  <c r="E431" i="6"/>
  <c r="D431" i="6"/>
  <c r="C431" i="6"/>
  <c r="B431" i="6"/>
  <c r="A432" i="6"/>
  <c r="E434" i="3" l="1"/>
  <c r="D434" i="3"/>
  <c r="C434" i="3"/>
  <c r="B434" i="3"/>
  <c r="A435" i="3"/>
  <c r="C432" i="6"/>
  <c r="B432" i="6"/>
  <c r="F432" i="6"/>
  <c r="E432" i="6"/>
  <c r="D432" i="6"/>
  <c r="A433" i="6"/>
  <c r="E433" i="6" l="1"/>
  <c r="D433" i="6"/>
  <c r="C433" i="6"/>
  <c r="B433" i="6"/>
  <c r="F433" i="6"/>
  <c r="E435" i="3"/>
  <c r="B435" i="3"/>
  <c r="C435" i="3"/>
  <c r="D435" i="3"/>
  <c r="A436" i="3"/>
  <c r="A434" i="6"/>
  <c r="A435" i="6" l="1"/>
  <c r="F434" i="6"/>
  <c r="E434" i="6"/>
  <c r="D434" i="6"/>
  <c r="C434" i="6"/>
  <c r="B434" i="6"/>
  <c r="C436" i="3"/>
  <c r="B436" i="3"/>
  <c r="E436" i="3"/>
  <c r="D436" i="3"/>
  <c r="A437" i="3"/>
  <c r="E437" i="3" l="1"/>
  <c r="D437" i="3"/>
  <c r="C437" i="3"/>
  <c r="B437" i="3"/>
  <c r="A438" i="3"/>
  <c r="A436" i="6"/>
  <c r="F435" i="6"/>
  <c r="E435" i="6"/>
  <c r="D435" i="6"/>
  <c r="C435" i="6"/>
  <c r="B435" i="6"/>
  <c r="C438" i="3" l="1"/>
  <c r="E438" i="3"/>
  <c r="D438" i="3"/>
  <c r="B438" i="3"/>
  <c r="A439" i="3"/>
  <c r="C436" i="6"/>
  <c r="B436" i="6"/>
  <c r="F436" i="6"/>
  <c r="E436" i="6"/>
  <c r="D436" i="6"/>
  <c r="A437" i="6"/>
  <c r="D439" i="3" l="1"/>
  <c r="C439" i="3"/>
  <c r="B439" i="3"/>
  <c r="E439" i="3"/>
  <c r="A440" i="3"/>
  <c r="E437" i="6"/>
  <c r="D437" i="6"/>
  <c r="C437" i="6"/>
  <c r="B437" i="6"/>
  <c r="F437" i="6"/>
  <c r="A438" i="6"/>
  <c r="E440" i="3" l="1"/>
  <c r="D440" i="3"/>
  <c r="C440" i="3"/>
  <c r="B440" i="3"/>
  <c r="A441" i="3"/>
  <c r="F438" i="6"/>
  <c r="E438" i="6"/>
  <c r="D438" i="6"/>
  <c r="C438" i="6"/>
  <c r="B438" i="6"/>
  <c r="A439" i="6"/>
  <c r="B441" i="3" l="1"/>
  <c r="D441" i="3"/>
  <c r="E441" i="3"/>
  <c r="C441" i="3"/>
  <c r="A442" i="3"/>
  <c r="F439" i="6"/>
  <c r="E439" i="6"/>
  <c r="D439" i="6"/>
  <c r="C439" i="6"/>
  <c r="B439" i="6"/>
  <c r="A440" i="6"/>
  <c r="E442" i="3" l="1"/>
  <c r="D442" i="3"/>
  <c r="C442" i="3"/>
  <c r="B442" i="3"/>
  <c r="A443" i="3"/>
  <c r="C440" i="6"/>
  <c r="B440" i="6"/>
  <c r="F440" i="6"/>
  <c r="E440" i="6"/>
  <c r="D440" i="6"/>
  <c r="A441" i="6"/>
  <c r="E443" i="3" l="1"/>
  <c r="B443" i="3"/>
  <c r="D443" i="3"/>
  <c r="C443" i="3"/>
  <c r="A444" i="3"/>
  <c r="E441" i="6"/>
  <c r="D441" i="6"/>
  <c r="C441" i="6"/>
  <c r="B441" i="6"/>
  <c r="F441" i="6"/>
  <c r="A442" i="6"/>
  <c r="C444" i="3" l="1"/>
  <c r="B444" i="3"/>
  <c r="E444" i="3"/>
  <c r="D444" i="3"/>
  <c r="A445" i="3"/>
  <c r="F442" i="6"/>
  <c r="E442" i="6"/>
  <c r="D442" i="6"/>
  <c r="C442" i="6"/>
  <c r="B442" i="6"/>
  <c r="A443" i="6"/>
  <c r="E445" i="3" l="1"/>
  <c r="D445" i="3"/>
  <c r="C445" i="3"/>
  <c r="B445" i="3"/>
  <c r="A446" i="3"/>
  <c r="F443" i="6"/>
  <c r="E443" i="6"/>
  <c r="D443" i="6"/>
  <c r="C443" i="6"/>
  <c r="B443" i="6"/>
  <c r="A444" i="6"/>
  <c r="C446" i="3" l="1"/>
  <c r="E446" i="3"/>
  <c r="B446" i="3"/>
  <c r="D446" i="3"/>
  <c r="A447" i="3"/>
  <c r="C444" i="6"/>
  <c r="B444" i="6"/>
  <c r="F444" i="6"/>
  <c r="E444" i="6"/>
  <c r="D444" i="6"/>
  <c r="A445" i="6"/>
  <c r="D447" i="3" l="1"/>
  <c r="C447" i="3"/>
  <c r="B447" i="3"/>
  <c r="E447" i="3"/>
  <c r="A448" i="3"/>
  <c r="E445" i="6"/>
  <c r="D445" i="6"/>
  <c r="C445" i="6"/>
  <c r="B445" i="6"/>
  <c r="F445" i="6"/>
  <c r="A446" i="6"/>
  <c r="E448" i="3" l="1"/>
  <c r="D448" i="3"/>
  <c r="B448" i="3"/>
  <c r="C448" i="3"/>
  <c r="A449" i="3"/>
  <c r="F446" i="6"/>
  <c r="E446" i="6"/>
  <c r="D446" i="6"/>
  <c r="C446" i="6"/>
  <c r="B446" i="6"/>
  <c r="A447" i="6"/>
  <c r="B449" i="3" l="1"/>
  <c r="D449" i="3"/>
  <c r="C449" i="3"/>
  <c r="E449" i="3"/>
  <c r="A450" i="3"/>
  <c r="F447" i="6"/>
  <c r="E447" i="6"/>
  <c r="D447" i="6"/>
  <c r="C447" i="6"/>
  <c r="B447" i="6"/>
  <c r="A448" i="6"/>
  <c r="E450" i="3" l="1"/>
  <c r="D450" i="3"/>
  <c r="C450" i="3"/>
  <c r="B450" i="3"/>
  <c r="A451" i="3"/>
  <c r="C448" i="6"/>
  <c r="B448" i="6"/>
  <c r="F448" i="6"/>
  <c r="E448" i="6"/>
  <c r="D448" i="6"/>
  <c r="A449" i="6"/>
  <c r="E451" i="3" l="1"/>
  <c r="B451" i="3"/>
  <c r="D451" i="3"/>
  <c r="C451" i="3"/>
  <c r="A452" i="3"/>
  <c r="E449" i="6"/>
  <c r="D449" i="6"/>
  <c r="C449" i="6"/>
  <c r="B449" i="6"/>
  <c r="F449" i="6"/>
  <c r="A450" i="6"/>
  <c r="C452" i="3" l="1"/>
  <c r="B452" i="3"/>
  <c r="E452" i="3"/>
  <c r="D452" i="3"/>
  <c r="A453" i="3"/>
  <c r="F450" i="6"/>
  <c r="E450" i="6"/>
  <c r="D450" i="6"/>
  <c r="C450" i="6"/>
  <c r="B450" i="6"/>
  <c r="A451" i="6"/>
  <c r="E453" i="3" l="1"/>
  <c r="D453" i="3"/>
  <c r="C453" i="3"/>
  <c r="B453" i="3"/>
  <c r="A454" i="3"/>
  <c r="F451" i="6"/>
  <c r="E451" i="6"/>
  <c r="D451" i="6"/>
  <c r="C451" i="6"/>
  <c r="B451" i="6"/>
  <c r="A452" i="6"/>
  <c r="C454" i="3" l="1"/>
  <c r="D454" i="3"/>
  <c r="E454" i="3"/>
  <c r="B454" i="3"/>
  <c r="A455" i="3"/>
  <c r="C452" i="6"/>
  <c r="B452" i="6"/>
  <c r="F452" i="6"/>
  <c r="E452" i="6"/>
  <c r="D452" i="6"/>
  <c r="A453" i="6"/>
  <c r="D455" i="3" l="1"/>
  <c r="C455" i="3"/>
  <c r="B455" i="3"/>
  <c r="E455" i="3"/>
  <c r="A456" i="3"/>
  <c r="E453" i="6"/>
  <c r="D453" i="6"/>
  <c r="C453" i="6"/>
  <c r="B453" i="6"/>
  <c r="F453" i="6"/>
  <c r="A454" i="6"/>
  <c r="E456" i="3" l="1"/>
  <c r="D456" i="3"/>
  <c r="C456" i="3"/>
  <c r="B456" i="3"/>
  <c r="A457" i="3"/>
  <c r="F454" i="6"/>
  <c r="E454" i="6"/>
  <c r="D454" i="6"/>
  <c r="C454" i="6"/>
  <c r="B454" i="6"/>
  <c r="A455" i="6"/>
  <c r="B457" i="3" l="1"/>
  <c r="D457" i="3"/>
  <c r="E457" i="3"/>
  <c r="C457" i="3"/>
  <c r="A458" i="3"/>
  <c r="F455" i="6"/>
  <c r="E455" i="6"/>
  <c r="D455" i="6"/>
  <c r="C455" i="6"/>
  <c r="B455" i="6"/>
  <c r="A456" i="6"/>
  <c r="E458" i="3" l="1"/>
  <c r="D458" i="3"/>
  <c r="C458" i="3"/>
  <c r="B458" i="3"/>
  <c r="A459" i="3"/>
  <c r="C456" i="6"/>
  <c r="B456" i="6"/>
  <c r="F456" i="6"/>
  <c r="E456" i="6"/>
  <c r="D456" i="6"/>
  <c r="A457" i="6"/>
  <c r="E459" i="3" l="1"/>
  <c r="B459" i="3"/>
  <c r="D459" i="3"/>
  <c r="C459" i="3"/>
  <c r="A460" i="3"/>
  <c r="E457" i="6"/>
  <c r="D457" i="6"/>
  <c r="C457" i="6"/>
  <c r="B457" i="6"/>
  <c r="F457" i="6"/>
  <c r="A458" i="6"/>
  <c r="C460" i="3" l="1"/>
  <c r="B460" i="3"/>
  <c r="E460" i="3"/>
  <c r="D460" i="3"/>
  <c r="A461" i="3"/>
  <c r="F458" i="6"/>
  <c r="E458" i="6"/>
  <c r="D458" i="6"/>
  <c r="C458" i="6"/>
  <c r="B458" i="6"/>
  <c r="A459" i="6"/>
  <c r="E461" i="3" l="1"/>
  <c r="D461" i="3"/>
  <c r="C461" i="3"/>
  <c r="B461" i="3"/>
  <c r="A462" i="3"/>
  <c r="F459" i="6"/>
  <c r="E459" i="6"/>
  <c r="D459" i="6"/>
  <c r="C459" i="6"/>
  <c r="B459" i="6"/>
  <c r="A460" i="6"/>
  <c r="C462" i="3" l="1"/>
  <c r="B462" i="3"/>
  <c r="E462" i="3"/>
  <c r="D462" i="3"/>
  <c r="A463" i="3"/>
  <c r="C460" i="6"/>
  <c r="B460" i="6"/>
  <c r="F460" i="6"/>
  <c r="E460" i="6"/>
  <c r="D460" i="6"/>
  <c r="A461" i="6"/>
  <c r="E461" i="6" l="1"/>
  <c r="D461" i="6"/>
  <c r="C461" i="6"/>
  <c r="B461" i="6"/>
  <c r="F461" i="6"/>
  <c r="D463" i="3"/>
  <c r="C463" i="3"/>
  <c r="B463" i="3"/>
  <c r="E463" i="3"/>
  <c r="A464" i="3"/>
  <c r="A462" i="6"/>
  <c r="F462" i="6" l="1"/>
  <c r="E462" i="6"/>
  <c r="D462" i="6"/>
  <c r="C462" i="6"/>
  <c r="B462" i="6"/>
  <c r="E464" i="3"/>
  <c r="D464" i="3"/>
  <c r="C464" i="3"/>
  <c r="B464" i="3"/>
  <c r="A465" i="3"/>
  <c r="A463" i="6"/>
  <c r="F463" i="6" l="1"/>
  <c r="E463" i="6"/>
  <c r="D463" i="6"/>
  <c r="C463" i="6"/>
  <c r="B463" i="6"/>
  <c r="B465" i="3"/>
  <c r="D465" i="3"/>
  <c r="C465" i="3"/>
  <c r="E465" i="3"/>
  <c r="A466" i="3"/>
  <c r="A464" i="6"/>
  <c r="C464" i="6" l="1"/>
  <c r="B464" i="6"/>
  <c r="F464" i="6"/>
  <c r="E464" i="6"/>
  <c r="D464" i="6"/>
  <c r="A465" i="6"/>
  <c r="E466" i="3"/>
  <c r="D466" i="3"/>
  <c r="C466" i="3"/>
  <c r="B466" i="3"/>
  <c r="A467" i="3"/>
  <c r="E465" i="6" l="1"/>
  <c r="D465" i="6"/>
  <c r="C465" i="6"/>
  <c r="B465" i="6"/>
  <c r="F465" i="6"/>
  <c r="E467" i="3"/>
  <c r="B467" i="3"/>
  <c r="C467" i="3"/>
  <c r="D467" i="3"/>
  <c r="A468" i="3"/>
  <c r="A466" i="6"/>
  <c r="A467" i="6" l="1"/>
  <c r="F466" i="6"/>
  <c r="E466" i="6"/>
  <c r="D466" i="6"/>
  <c r="C466" i="6"/>
  <c r="B466" i="6"/>
  <c r="C468" i="3"/>
  <c r="B468" i="3"/>
  <c r="E468" i="3"/>
  <c r="D468" i="3"/>
  <c r="A469" i="3"/>
  <c r="E469" i="3" l="1"/>
  <c r="D469" i="3"/>
  <c r="C469" i="3"/>
  <c r="B469" i="3"/>
  <c r="A470" i="3"/>
  <c r="A468" i="6"/>
  <c r="F467" i="6"/>
  <c r="E467" i="6"/>
  <c r="D467" i="6"/>
  <c r="C467" i="6"/>
  <c r="B467" i="6"/>
  <c r="C468" i="6" l="1"/>
  <c r="B468" i="6"/>
  <c r="F468" i="6"/>
  <c r="E468" i="6"/>
  <c r="D468" i="6"/>
  <c r="C470" i="3"/>
  <c r="D470" i="3"/>
  <c r="B470" i="3"/>
  <c r="E470" i="3"/>
  <c r="A471" i="3"/>
  <c r="A469" i="6"/>
  <c r="A470" i="6" l="1"/>
  <c r="E469" i="6"/>
  <c r="D469" i="6"/>
  <c r="C469" i="6"/>
  <c r="B469" i="6"/>
  <c r="F469" i="6"/>
  <c r="D471" i="3"/>
  <c r="C471" i="3"/>
  <c r="B471" i="3"/>
  <c r="E471" i="3"/>
  <c r="A472" i="3"/>
  <c r="E472" i="3" l="1"/>
  <c r="D472" i="3"/>
  <c r="C472" i="3"/>
  <c r="B472" i="3"/>
  <c r="A473" i="3"/>
  <c r="F470" i="6"/>
  <c r="E470" i="6"/>
  <c r="D470" i="6"/>
  <c r="C470" i="6"/>
  <c r="B470" i="6"/>
  <c r="A471" i="6"/>
  <c r="B473" i="3" l="1"/>
  <c r="D473" i="3"/>
  <c r="E473" i="3"/>
  <c r="C473" i="3"/>
  <c r="A474" i="3"/>
  <c r="F471" i="6"/>
  <c r="E471" i="6"/>
  <c r="D471" i="6"/>
  <c r="C471" i="6"/>
  <c r="B471" i="6"/>
  <c r="A472" i="6"/>
  <c r="E474" i="3" l="1"/>
  <c r="D474" i="3"/>
  <c r="C474" i="3"/>
  <c r="B474" i="3"/>
  <c r="A475" i="3"/>
  <c r="C472" i="6"/>
  <c r="B472" i="6"/>
  <c r="F472" i="6"/>
  <c r="E472" i="6"/>
  <c r="D472" i="6"/>
  <c r="A473" i="6"/>
  <c r="E475" i="3" l="1"/>
  <c r="B475" i="3"/>
  <c r="D475" i="3"/>
  <c r="C475" i="3"/>
  <c r="A476" i="3"/>
  <c r="E473" i="6"/>
  <c r="D473" i="6"/>
  <c r="C473" i="6"/>
  <c r="B473" i="6"/>
  <c r="F473" i="6"/>
  <c r="A474" i="6"/>
  <c r="C476" i="3" l="1"/>
  <c r="B476" i="3"/>
  <c r="E476" i="3"/>
  <c r="D476" i="3"/>
  <c r="A477" i="3"/>
  <c r="F474" i="6"/>
  <c r="E474" i="6"/>
  <c r="D474" i="6"/>
  <c r="C474" i="6"/>
  <c r="B474" i="6"/>
  <c r="A475" i="6"/>
  <c r="E477" i="3" l="1"/>
  <c r="D477" i="3"/>
  <c r="C477" i="3"/>
  <c r="B477" i="3"/>
  <c r="A478" i="3"/>
  <c r="F475" i="6"/>
  <c r="E475" i="6"/>
  <c r="D475" i="6"/>
  <c r="C475" i="6"/>
  <c r="B475" i="6"/>
  <c r="A476" i="6"/>
  <c r="C478" i="3" l="1"/>
  <c r="E478" i="3"/>
  <c r="D478" i="3"/>
  <c r="B478" i="3"/>
  <c r="A479" i="3"/>
  <c r="C476" i="6"/>
  <c r="B476" i="6"/>
  <c r="F476" i="6"/>
  <c r="E476" i="6"/>
  <c r="D476" i="6"/>
  <c r="A477" i="6"/>
  <c r="D479" i="3" l="1"/>
  <c r="C479" i="3"/>
  <c r="B479" i="3"/>
  <c r="E479" i="3"/>
  <c r="A480" i="3"/>
  <c r="E477" i="6"/>
  <c r="D477" i="6"/>
  <c r="C477" i="6"/>
  <c r="B477" i="6"/>
  <c r="F477" i="6"/>
  <c r="A478" i="6"/>
  <c r="E480" i="3" l="1"/>
  <c r="D480" i="3"/>
  <c r="B480" i="3"/>
  <c r="C480" i="3"/>
  <c r="A481" i="3"/>
  <c r="F478" i="6"/>
  <c r="E478" i="6"/>
  <c r="D478" i="6"/>
  <c r="C478" i="6"/>
  <c r="B478" i="6"/>
  <c r="A479" i="6"/>
  <c r="B481" i="3" l="1"/>
  <c r="D481" i="3"/>
  <c r="E481" i="3"/>
  <c r="C481" i="3"/>
  <c r="A482" i="3"/>
  <c r="F479" i="6"/>
  <c r="E479" i="6"/>
  <c r="D479" i="6"/>
  <c r="C479" i="6"/>
  <c r="B479" i="6"/>
  <c r="A480" i="6"/>
  <c r="C480" i="6" l="1"/>
  <c r="B480" i="6"/>
  <c r="F480" i="6"/>
  <c r="E480" i="6"/>
  <c r="D480" i="6"/>
  <c r="E482" i="3"/>
  <c r="D482" i="3"/>
  <c r="C482" i="3"/>
  <c r="B482" i="3"/>
  <c r="A483" i="3"/>
  <c r="A481" i="6"/>
  <c r="E481" i="6" l="1"/>
  <c r="D481" i="6"/>
  <c r="C481" i="6"/>
  <c r="B481" i="6"/>
  <c r="F481" i="6"/>
  <c r="E483" i="3"/>
  <c r="B483" i="3"/>
  <c r="C483" i="3"/>
  <c r="D483" i="3"/>
  <c r="A484" i="3"/>
  <c r="A482" i="6"/>
  <c r="A483" i="6" l="1"/>
  <c r="F482" i="6"/>
  <c r="E482" i="6"/>
  <c r="D482" i="6"/>
  <c r="C482" i="6"/>
  <c r="B482" i="6"/>
  <c r="C484" i="3"/>
  <c r="B484" i="3"/>
  <c r="E484" i="3"/>
  <c r="D484" i="3"/>
  <c r="A485" i="3"/>
  <c r="E485" i="3" l="1"/>
  <c r="D485" i="3"/>
  <c r="C485" i="3"/>
  <c r="B485" i="3"/>
  <c r="A486" i="3"/>
  <c r="A484" i="6"/>
  <c r="F483" i="6"/>
  <c r="E483" i="6"/>
  <c r="D483" i="6"/>
  <c r="C483" i="6"/>
  <c r="B483" i="6"/>
  <c r="C486" i="3" l="1"/>
  <c r="E486" i="3"/>
  <c r="D486" i="3"/>
  <c r="B486" i="3"/>
  <c r="A487" i="3"/>
  <c r="C484" i="6"/>
  <c r="B484" i="6"/>
  <c r="F484" i="6"/>
  <c r="E484" i="6"/>
  <c r="D484" i="6"/>
  <c r="A485" i="6"/>
  <c r="D487" i="3" l="1"/>
  <c r="C487" i="3"/>
  <c r="B487" i="3"/>
  <c r="E487" i="3"/>
  <c r="A488" i="3"/>
  <c r="E485" i="6"/>
  <c r="D485" i="6"/>
  <c r="C485" i="6"/>
  <c r="B485" i="6"/>
  <c r="F485" i="6"/>
  <c r="A486" i="6"/>
  <c r="E488" i="3" l="1"/>
  <c r="D488" i="3"/>
  <c r="C488" i="3"/>
  <c r="B488" i="3"/>
  <c r="A489" i="3"/>
  <c r="F486" i="6"/>
  <c r="E486" i="6"/>
  <c r="D486" i="6"/>
  <c r="C486" i="6"/>
  <c r="B486" i="6"/>
  <c r="A487" i="6"/>
  <c r="B489" i="3" l="1"/>
  <c r="D489" i="3"/>
  <c r="E489" i="3"/>
  <c r="C489" i="3"/>
  <c r="A490" i="3"/>
  <c r="F487" i="6"/>
  <c r="E487" i="6"/>
  <c r="D487" i="6"/>
  <c r="C487" i="6"/>
  <c r="B487" i="6"/>
  <c r="A488" i="6"/>
  <c r="E490" i="3" l="1"/>
  <c r="D490" i="3"/>
  <c r="C490" i="3"/>
  <c r="B490" i="3"/>
  <c r="A491" i="3"/>
  <c r="C488" i="6"/>
  <c r="B488" i="6"/>
  <c r="F488" i="6"/>
  <c r="E488" i="6"/>
  <c r="D488" i="6"/>
  <c r="A489" i="6"/>
  <c r="E491" i="3" l="1"/>
  <c r="B491" i="3"/>
  <c r="D491" i="3"/>
  <c r="C491" i="3"/>
  <c r="A492" i="3"/>
  <c r="E489" i="6"/>
  <c r="D489" i="6"/>
  <c r="C489" i="6"/>
  <c r="B489" i="6"/>
  <c r="F489" i="6"/>
  <c r="A490" i="6"/>
  <c r="F490" i="6" l="1"/>
  <c r="E490" i="6"/>
  <c r="D490" i="6"/>
  <c r="C490" i="6"/>
  <c r="B490" i="6"/>
  <c r="C492" i="3"/>
  <c r="B492" i="3"/>
  <c r="E492" i="3"/>
  <c r="D492" i="3"/>
  <c r="A493" i="3"/>
  <c r="A491" i="6"/>
  <c r="A492" i="6" l="1"/>
  <c r="F491" i="6"/>
  <c r="E491" i="6"/>
  <c r="D491" i="6"/>
  <c r="C491" i="6"/>
  <c r="B491" i="6"/>
  <c r="E493" i="3"/>
  <c r="D493" i="3"/>
  <c r="C493" i="3"/>
  <c r="B493" i="3"/>
  <c r="A494" i="3"/>
  <c r="C494" i="3" l="1"/>
  <c r="E494" i="3"/>
  <c r="D494" i="3"/>
  <c r="B494" i="3"/>
  <c r="A495" i="3"/>
  <c r="C492" i="6"/>
  <c r="B492" i="6"/>
  <c r="F492" i="6"/>
  <c r="E492" i="6"/>
  <c r="D492" i="6"/>
  <c r="A493" i="6"/>
  <c r="D495" i="3" l="1"/>
  <c r="C495" i="3"/>
  <c r="B495" i="3"/>
  <c r="E495" i="3"/>
  <c r="A496" i="3"/>
  <c r="E493" i="6"/>
  <c r="D493" i="6"/>
  <c r="C493" i="6"/>
  <c r="B493" i="6"/>
  <c r="F493" i="6"/>
  <c r="A494" i="6"/>
  <c r="E496" i="3" l="1"/>
  <c r="D496" i="3"/>
  <c r="B496" i="3"/>
  <c r="C496" i="3"/>
  <c r="A497" i="3"/>
  <c r="F494" i="6"/>
  <c r="E494" i="6"/>
  <c r="D494" i="6"/>
  <c r="C494" i="6"/>
  <c r="B494" i="6"/>
  <c r="A495" i="6"/>
  <c r="B497" i="3" l="1"/>
  <c r="D497" i="3"/>
  <c r="C497" i="3"/>
  <c r="E497" i="3"/>
  <c r="A498" i="3"/>
  <c r="F495" i="6"/>
  <c r="E495" i="6"/>
  <c r="D495" i="6"/>
  <c r="C495" i="6"/>
  <c r="B495" i="6"/>
  <c r="A496" i="6"/>
  <c r="E498" i="3" l="1"/>
  <c r="D498" i="3"/>
  <c r="C498" i="3"/>
  <c r="B498" i="3"/>
  <c r="A499" i="3"/>
  <c r="C496" i="6"/>
  <c r="B496" i="6"/>
  <c r="F496" i="6"/>
  <c r="E496" i="6"/>
  <c r="D496" i="6"/>
  <c r="A497" i="6"/>
  <c r="E499" i="3" l="1"/>
  <c r="B499" i="3"/>
  <c r="C499" i="3"/>
  <c r="D499" i="3"/>
  <c r="A500" i="3"/>
  <c r="E497" i="6"/>
  <c r="D497" i="6"/>
  <c r="C497" i="6"/>
  <c r="B497" i="6"/>
  <c r="F497" i="6"/>
  <c r="A498" i="6"/>
  <c r="F498" i="6" l="1"/>
  <c r="E498" i="6"/>
  <c r="D498" i="6"/>
  <c r="C498" i="6"/>
  <c r="B498" i="6"/>
  <c r="C500" i="3"/>
  <c r="B500" i="3"/>
  <c r="E500" i="3"/>
  <c r="D500" i="3"/>
  <c r="A501" i="3"/>
  <c r="A499" i="6"/>
  <c r="F499" i="6" l="1"/>
  <c r="E499" i="6"/>
  <c r="D499" i="6"/>
  <c r="C499" i="6"/>
  <c r="B499" i="6"/>
  <c r="A500" i="6"/>
  <c r="E501" i="3"/>
  <c r="D501" i="3"/>
  <c r="C501" i="3"/>
  <c r="B501" i="3"/>
  <c r="A502" i="3"/>
  <c r="C500" i="6" l="1"/>
  <c r="B500" i="6"/>
  <c r="F500" i="6"/>
  <c r="E500" i="6"/>
  <c r="D500" i="6"/>
  <c r="C502" i="3"/>
  <c r="E502" i="3"/>
  <c r="D502" i="3"/>
  <c r="B502" i="3"/>
  <c r="A503" i="3"/>
  <c r="A501" i="6"/>
  <c r="A502" i="6" l="1"/>
  <c r="E501" i="6"/>
  <c r="D501" i="6"/>
  <c r="C501" i="6"/>
  <c r="B501" i="6"/>
  <c r="F501" i="6"/>
  <c r="D503" i="3"/>
  <c r="C503" i="3"/>
  <c r="B503" i="3"/>
  <c r="E503" i="3"/>
  <c r="A504" i="3"/>
  <c r="F502" i="6" l="1"/>
  <c r="E502" i="6"/>
  <c r="D502" i="6"/>
  <c r="C502" i="6"/>
  <c r="B502" i="6"/>
  <c r="E504" i="3"/>
  <c r="D504" i="3"/>
  <c r="C504" i="3"/>
  <c r="B504" i="3"/>
  <c r="A505" i="3"/>
  <c r="A503" i="6"/>
  <c r="A504" i="6" l="1"/>
  <c r="F503" i="6"/>
  <c r="E503" i="6"/>
  <c r="D503" i="6"/>
  <c r="C503" i="6"/>
  <c r="B503" i="6"/>
  <c r="B505" i="3"/>
  <c r="D505" i="3"/>
  <c r="E505" i="3"/>
  <c r="C505" i="3"/>
  <c r="A506" i="3"/>
  <c r="E506" i="3" l="1"/>
  <c r="D506" i="3"/>
  <c r="C506" i="3"/>
  <c r="B506" i="3"/>
  <c r="A507" i="3"/>
  <c r="C504" i="6"/>
  <c r="B504" i="6"/>
  <c r="F504" i="6"/>
  <c r="E504" i="6"/>
  <c r="D504" i="6"/>
  <c r="A505" i="6"/>
  <c r="E507" i="3" l="1"/>
  <c r="B507" i="3"/>
  <c r="D507" i="3"/>
  <c r="C507" i="3"/>
  <c r="A508" i="3"/>
  <c r="E505" i="6"/>
  <c r="D505" i="6"/>
  <c r="C505" i="6"/>
  <c r="B505" i="6"/>
  <c r="F505" i="6"/>
  <c r="A506" i="6"/>
  <c r="C508" i="3" l="1"/>
  <c r="B508" i="3"/>
  <c r="E508" i="3"/>
  <c r="D508" i="3"/>
  <c r="A509" i="3"/>
  <c r="F506" i="6"/>
  <c r="E506" i="6"/>
  <c r="D506" i="6"/>
  <c r="C506" i="6"/>
  <c r="B506" i="6"/>
  <c r="A507" i="6"/>
  <c r="F507" i="6" l="1"/>
  <c r="E507" i="6"/>
  <c r="D507" i="6"/>
  <c r="C507" i="6"/>
  <c r="B507" i="6"/>
  <c r="E509" i="3"/>
  <c r="D509" i="3"/>
  <c r="C509" i="3"/>
  <c r="B509" i="3"/>
  <c r="A510" i="3"/>
  <c r="A508" i="6"/>
  <c r="C508" i="6" l="1"/>
  <c r="B508" i="6"/>
  <c r="F508" i="6"/>
  <c r="E508" i="6"/>
  <c r="D508" i="6"/>
  <c r="A509" i="6"/>
  <c r="C510" i="3"/>
  <c r="D510" i="3"/>
  <c r="E510" i="3"/>
  <c r="B510" i="3"/>
  <c r="A511" i="3"/>
  <c r="E509" i="6" l="1"/>
  <c r="D509" i="6"/>
  <c r="C509" i="6"/>
  <c r="B509" i="6"/>
  <c r="F509" i="6"/>
  <c r="D511" i="3"/>
  <c r="C511" i="3"/>
  <c r="B511" i="3"/>
  <c r="E511" i="3"/>
  <c r="A512" i="3"/>
  <c r="A510" i="6"/>
  <c r="A511" i="6" l="1"/>
  <c r="F510" i="6"/>
  <c r="E510" i="6"/>
  <c r="D510" i="6"/>
  <c r="C510" i="6"/>
  <c r="B510" i="6"/>
  <c r="E512" i="3"/>
  <c r="D512" i="3"/>
  <c r="B512" i="3"/>
  <c r="C512" i="3"/>
  <c r="A513" i="3"/>
  <c r="B513" i="3" l="1"/>
  <c r="D513" i="3"/>
  <c r="C513" i="3"/>
  <c r="E513" i="3"/>
  <c r="A514" i="3"/>
  <c r="F511" i="6"/>
  <c r="E511" i="6"/>
  <c r="D511" i="6"/>
  <c r="C511" i="6"/>
  <c r="B511" i="6"/>
  <c r="A512" i="6"/>
  <c r="E514" i="3" l="1"/>
  <c r="D514" i="3"/>
  <c r="C514" i="3"/>
  <c r="B514" i="3"/>
  <c r="A515" i="3"/>
  <c r="F512" i="6"/>
  <c r="D512" i="6"/>
  <c r="E512" i="6"/>
  <c r="C512" i="6"/>
  <c r="B512" i="6"/>
  <c r="A513" i="6"/>
  <c r="B513" i="6" l="1"/>
  <c r="F513" i="6"/>
  <c r="D513" i="6"/>
  <c r="E513" i="6"/>
  <c r="C513" i="6"/>
  <c r="E515" i="3"/>
  <c r="B515" i="3"/>
  <c r="D515" i="3"/>
  <c r="C515" i="3"/>
  <c r="A516" i="3"/>
  <c r="A514" i="6"/>
  <c r="A515" i="6" l="1"/>
  <c r="D514" i="6"/>
  <c r="B514" i="6"/>
  <c r="F514" i="6"/>
  <c r="E514" i="6"/>
  <c r="C514" i="6"/>
  <c r="C516" i="3"/>
  <c r="B516" i="3"/>
  <c r="E516" i="3"/>
  <c r="D516" i="3"/>
  <c r="A517" i="3"/>
  <c r="E517" i="3" l="1"/>
  <c r="D517" i="3"/>
  <c r="C517" i="3"/>
  <c r="B517" i="3"/>
  <c r="A518" i="3"/>
  <c r="A516" i="6"/>
  <c r="F515" i="6"/>
  <c r="D515" i="6"/>
  <c r="B515" i="6"/>
  <c r="C515" i="6"/>
  <c r="E515" i="6"/>
  <c r="C518" i="3" l="1"/>
  <c r="E518" i="3"/>
  <c r="D518" i="3"/>
  <c r="B518" i="3"/>
  <c r="A519" i="3"/>
  <c r="F516" i="6"/>
  <c r="D516" i="6"/>
  <c r="B516" i="6"/>
  <c r="E516" i="6"/>
  <c r="C516" i="6"/>
  <c r="A517" i="6"/>
  <c r="D519" i="3" l="1"/>
  <c r="C519" i="3"/>
  <c r="B519" i="3"/>
  <c r="E519" i="3"/>
  <c r="A520" i="3"/>
  <c r="B517" i="6"/>
  <c r="F517" i="6"/>
  <c r="D517" i="6"/>
  <c r="E517" i="6"/>
  <c r="C517" i="6"/>
  <c r="A518" i="6"/>
  <c r="E520" i="3" l="1"/>
  <c r="D520" i="3"/>
  <c r="C520" i="3"/>
  <c r="B520" i="3"/>
  <c r="A521" i="3"/>
  <c r="D518" i="6"/>
  <c r="B518" i="6"/>
  <c r="F518" i="6"/>
  <c r="E518" i="6"/>
  <c r="C518" i="6"/>
  <c r="A519" i="6"/>
  <c r="B521" i="3" l="1"/>
  <c r="D521" i="3"/>
  <c r="E521" i="3"/>
  <c r="C521" i="3"/>
  <c r="A522" i="3"/>
  <c r="F519" i="6"/>
  <c r="D519" i="6"/>
  <c r="B519" i="6"/>
  <c r="E519" i="6"/>
  <c r="C519" i="6"/>
  <c r="A520" i="6"/>
  <c r="E522" i="3" l="1"/>
  <c r="D522" i="3"/>
  <c r="C522" i="3"/>
  <c r="B522" i="3"/>
  <c r="A523" i="3"/>
  <c r="F520" i="6"/>
  <c r="D520" i="6"/>
  <c r="B520" i="6"/>
  <c r="E520" i="6"/>
  <c r="C520" i="6"/>
  <c r="A521" i="6"/>
  <c r="E523" i="3" l="1"/>
  <c r="B523" i="3"/>
  <c r="C523" i="3"/>
  <c r="D523" i="3"/>
  <c r="A524" i="3"/>
  <c r="B521" i="6"/>
  <c r="F521" i="6"/>
  <c r="D521" i="6"/>
  <c r="E521" i="6"/>
  <c r="C521" i="6"/>
  <c r="A522" i="6"/>
  <c r="C524" i="3" l="1"/>
  <c r="B524" i="3"/>
  <c r="E524" i="3"/>
  <c r="D524" i="3"/>
  <c r="A525" i="3"/>
  <c r="D522" i="6"/>
  <c r="B522" i="6"/>
  <c r="F522" i="6"/>
  <c r="E522" i="6"/>
  <c r="C522" i="6"/>
  <c r="A523" i="6"/>
  <c r="C525" i="3" l="1"/>
  <c r="E525" i="3"/>
  <c r="D525" i="3"/>
  <c r="B525" i="3"/>
  <c r="A526" i="3"/>
  <c r="F523" i="6"/>
  <c r="D523" i="6"/>
  <c r="B523" i="6"/>
  <c r="C523" i="6"/>
  <c r="E523" i="6"/>
  <c r="A524" i="6"/>
  <c r="B526" i="3" l="1"/>
  <c r="D526" i="3"/>
  <c r="C526" i="3"/>
  <c r="E526" i="3"/>
  <c r="A527" i="3"/>
  <c r="F524" i="6"/>
  <c r="D524" i="6"/>
  <c r="B524" i="6"/>
  <c r="E524" i="6"/>
  <c r="C524" i="6"/>
  <c r="A525" i="6"/>
  <c r="E527" i="3" l="1"/>
  <c r="D527" i="3"/>
  <c r="C527" i="3"/>
  <c r="B527" i="3"/>
  <c r="A528" i="3"/>
  <c r="B525" i="6"/>
  <c r="F525" i="6"/>
  <c r="D525" i="6"/>
  <c r="E525" i="6"/>
  <c r="C525" i="6"/>
  <c r="A526" i="6"/>
  <c r="D528" i="3" l="1"/>
  <c r="C528" i="3"/>
  <c r="B528" i="3"/>
  <c r="E528" i="3"/>
  <c r="A529" i="3"/>
  <c r="D526" i="6"/>
  <c r="B526" i="6"/>
  <c r="F526" i="6"/>
  <c r="E526" i="6"/>
  <c r="C526" i="6"/>
  <c r="A527" i="6"/>
  <c r="E529" i="3" l="1"/>
  <c r="D529" i="3"/>
  <c r="C529" i="3"/>
  <c r="B529" i="3"/>
  <c r="A530" i="3"/>
  <c r="F527" i="6"/>
  <c r="D527" i="6"/>
  <c r="B527" i="6"/>
  <c r="E527" i="6"/>
  <c r="C527" i="6"/>
  <c r="A528" i="6"/>
  <c r="B530" i="3" l="1"/>
  <c r="C530" i="3"/>
  <c r="E530" i="3"/>
  <c r="D530" i="3"/>
  <c r="A531" i="3"/>
  <c r="F528" i="6"/>
  <c r="D528" i="6"/>
  <c r="B528" i="6"/>
  <c r="E528" i="6"/>
  <c r="C528" i="6"/>
  <c r="A529" i="6"/>
  <c r="E531" i="3" l="1"/>
  <c r="D531" i="3"/>
  <c r="C531" i="3"/>
  <c r="B531" i="3"/>
  <c r="A532" i="3"/>
  <c r="B529" i="6"/>
  <c r="F529" i="6"/>
  <c r="D529" i="6"/>
  <c r="E529" i="6"/>
  <c r="C529" i="6"/>
  <c r="A530" i="6"/>
  <c r="D530" i="6" l="1"/>
  <c r="B530" i="6"/>
  <c r="F530" i="6"/>
  <c r="E530" i="6"/>
  <c r="C530" i="6"/>
  <c r="E532" i="3"/>
  <c r="B532" i="3"/>
  <c r="D532" i="3"/>
  <c r="C532" i="3"/>
  <c r="A533" i="3"/>
  <c r="A531" i="6"/>
  <c r="A532" i="6" l="1"/>
  <c r="F531" i="6"/>
  <c r="D531" i="6"/>
  <c r="B531" i="6"/>
  <c r="C531" i="6"/>
  <c r="E531" i="6"/>
  <c r="C533" i="3"/>
  <c r="D533" i="3"/>
  <c r="B533" i="3"/>
  <c r="E533" i="3"/>
  <c r="A534" i="3"/>
  <c r="A533" i="6" l="1"/>
  <c r="E534" i="3"/>
  <c r="D534" i="3"/>
  <c r="C534" i="3"/>
  <c r="B534" i="3"/>
  <c r="A535" i="3"/>
  <c r="F532" i="6"/>
  <c r="D532" i="6"/>
  <c r="B532" i="6"/>
  <c r="E532" i="6"/>
  <c r="C532" i="6"/>
  <c r="A534" i="6" l="1"/>
  <c r="B533" i="6"/>
  <c r="F533" i="6"/>
  <c r="D533" i="6"/>
  <c r="E533" i="6"/>
  <c r="C533" i="6"/>
  <c r="C535" i="3"/>
  <c r="B535" i="3"/>
  <c r="E535" i="3"/>
  <c r="D535" i="3"/>
  <c r="A536" i="3"/>
  <c r="D534" i="6" l="1"/>
  <c r="B534" i="6"/>
  <c r="F534" i="6"/>
  <c r="E534" i="6"/>
  <c r="C534" i="6"/>
  <c r="D536" i="3"/>
  <c r="E536" i="3"/>
  <c r="C536" i="3"/>
  <c r="B536" i="3"/>
  <c r="A537" i="3"/>
  <c r="A535" i="6"/>
  <c r="A536" i="6" l="1"/>
  <c r="F535" i="6"/>
  <c r="D535" i="6"/>
  <c r="B535" i="6"/>
  <c r="E535" i="6"/>
  <c r="C535" i="6"/>
  <c r="B537" i="3"/>
  <c r="D537" i="3"/>
  <c r="E537" i="3"/>
  <c r="C537" i="3"/>
  <c r="A538" i="3"/>
  <c r="F536" i="6" l="1"/>
  <c r="D536" i="6"/>
  <c r="B536" i="6"/>
  <c r="E536" i="6"/>
  <c r="C536" i="6"/>
  <c r="B538" i="3"/>
  <c r="E538" i="3"/>
  <c r="D538" i="3"/>
  <c r="C538" i="3"/>
  <c r="A539" i="3"/>
  <c r="A537" i="6"/>
  <c r="A538" i="6" l="1"/>
  <c r="E539" i="3"/>
  <c r="C539" i="3"/>
  <c r="D539" i="3"/>
  <c r="B539" i="3"/>
  <c r="A540" i="3"/>
  <c r="B537" i="6"/>
  <c r="F537" i="6"/>
  <c r="D537" i="6"/>
  <c r="E537" i="6"/>
  <c r="C537" i="6"/>
  <c r="A539" i="6" l="1"/>
  <c r="D538" i="6"/>
  <c r="B538" i="6"/>
  <c r="F538" i="6"/>
  <c r="E538" i="6"/>
  <c r="C538" i="6"/>
  <c r="E540" i="3"/>
  <c r="D540" i="3"/>
  <c r="C540" i="3"/>
  <c r="B540" i="3"/>
  <c r="A541" i="3"/>
  <c r="C541" i="3" l="1"/>
  <c r="B541" i="3"/>
  <c r="E541" i="3"/>
  <c r="D541" i="3"/>
  <c r="A542" i="3"/>
  <c r="A540" i="6"/>
  <c r="F539" i="6"/>
  <c r="D539" i="6"/>
  <c r="B539" i="6"/>
  <c r="C539" i="6"/>
  <c r="E539" i="6"/>
  <c r="D542" i="3" l="1"/>
  <c r="C542" i="3"/>
  <c r="B542" i="3"/>
  <c r="E542" i="3"/>
  <c r="A543" i="3"/>
  <c r="F540" i="6"/>
  <c r="D540" i="6"/>
  <c r="B540" i="6"/>
  <c r="E540" i="6"/>
  <c r="C540" i="6"/>
  <c r="A541" i="6"/>
  <c r="E543" i="3" l="1"/>
  <c r="B543" i="3"/>
  <c r="D543" i="3"/>
  <c r="C543" i="3"/>
  <c r="A544" i="3"/>
  <c r="B541" i="6"/>
  <c r="F541" i="6"/>
  <c r="D541" i="6"/>
  <c r="E541" i="6"/>
  <c r="C541" i="6"/>
  <c r="A542" i="6"/>
  <c r="D544" i="3" l="1"/>
  <c r="C544" i="3"/>
  <c r="B544" i="3"/>
  <c r="E544" i="3"/>
  <c r="A545" i="3"/>
  <c r="D542" i="6"/>
  <c r="B542" i="6"/>
  <c r="F542" i="6"/>
  <c r="E542" i="6"/>
  <c r="C542" i="6"/>
  <c r="A543" i="6"/>
  <c r="E545" i="3" l="1"/>
  <c r="D545" i="3"/>
  <c r="C545" i="3"/>
  <c r="B545" i="3"/>
  <c r="A546" i="3"/>
  <c r="F543" i="6"/>
  <c r="D543" i="6"/>
  <c r="B543" i="6"/>
  <c r="E543" i="6"/>
  <c r="C543" i="6"/>
  <c r="A544" i="6"/>
  <c r="B546" i="3" l="1"/>
  <c r="C546" i="3"/>
  <c r="E546" i="3"/>
  <c r="D546" i="3"/>
  <c r="A547" i="3"/>
  <c r="F544" i="6"/>
  <c r="D544" i="6"/>
  <c r="B544" i="6"/>
  <c r="E544" i="6"/>
  <c r="C544" i="6"/>
  <c r="A545" i="6"/>
  <c r="C545" i="6" l="1"/>
  <c r="B545" i="6"/>
  <c r="F545" i="6"/>
  <c r="E545" i="6"/>
  <c r="D545" i="6"/>
  <c r="E547" i="3"/>
  <c r="D547" i="3"/>
  <c r="C547" i="3"/>
  <c r="B547" i="3"/>
  <c r="A548" i="3"/>
  <c r="A546" i="6"/>
  <c r="E546" i="6" l="1"/>
  <c r="D546" i="6"/>
  <c r="C546" i="6"/>
  <c r="B546" i="6"/>
  <c r="F546" i="6"/>
  <c r="B548" i="3"/>
  <c r="D548" i="3"/>
  <c r="E548" i="3"/>
  <c r="C548" i="3"/>
  <c r="A549" i="3"/>
  <c r="A547" i="6"/>
  <c r="A548" i="6" l="1"/>
  <c r="C549" i="3"/>
  <c r="E549" i="3"/>
  <c r="D549" i="3"/>
  <c r="B549" i="3"/>
  <c r="A550" i="3"/>
  <c r="F547" i="6"/>
  <c r="E547" i="6"/>
  <c r="D547" i="6"/>
  <c r="C547" i="6"/>
  <c r="B547" i="6"/>
  <c r="A549" i="6" l="1"/>
  <c r="C550" i="3"/>
  <c r="D550" i="3"/>
  <c r="B550" i="3"/>
  <c r="E550" i="3"/>
  <c r="A551" i="3"/>
  <c r="F548" i="6"/>
  <c r="E548" i="6"/>
  <c r="D548" i="6"/>
  <c r="C548" i="6"/>
  <c r="B548" i="6"/>
  <c r="A550" i="6" l="1"/>
  <c r="C549" i="6"/>
  <c r="B549" i="6"/>
  <c r="F549" i="6"/>
  <c r="E549" i="6"/>
  <c r="D549" i="6"/>
  <c r="E551" i="3"/>
  <c r="D551" i="3"/>
  <c r="C551" i="3"/>
  <c r="B551" i="3"/>
  <c r="A552" i="3"/>
  <c r="D552" i="3" l="1"/>
  <c r="B552" i="3"/>
  <c r="C552" i="3"/>
  <c r="E552" i="3"/>
  <c r="A553" i="3"/>
  <c r="E550" i="6"/>
  <c r="D550" i="6"/>
  <c r="C550" i="6"/>
  <c r="B550" i="6"/>
  <c r="F550" i="6"/>
  <c r="A551" i="6"/>
  <c r="D553" i="3" l="1"/>
  <c r="C553" i="3"/>
  <c r="B553" i="3"/>
  <c r="E553" i="3"/>
  <c r="A554" i="3"/>
  <c r="F551" i="6"/>
  <c r="E551" i="6"/>
  <c r="D551" i="6"/>
  <c r="C551" i="6"/>
  <c r="B551" i="6"/>
  <c r="A552" i="6"/>
  <c r="B554" i="3" l="1"/>
  <c r="E554" i="3"/>
  <c r="D554" i="3"/>
  <c r="C554" i="3"/>
  <c r="A555" i="3"/>
  <c r="F552" i="6"/>
  <c r="E552" i="6"/>
  <c r="D552" i="6"/>
  <c r="C552" i="6"/>
  <c r="B552" i="6"/>
  <c r="A553" i="6"/>
  <c r="E555" i="3" l="1"/>
  <c r="C555" i="3"/>
  <c r="B555" i="3"/>
  <c r="D555" i="3"/>
  <c r="A556" i="3"/>
  <c r="C553" i="6"/>
  <c r="B553" i="6"/>
  <c r="F553" i="6"/>
  <c r="E553" i="6"/>
  <c r="D553" i="6"/>
  <c r="A554" i="6"/>
  <c r="E556" i="3" l="1"/>
  <c r="D556" i="3"/>
  <c r="C556" i="3"/>
  <c r="B556" i="3"/>
  <c r="A557" i="3"/>
  <c r="E554" i="6"/>
  <c r="D554" i="6"/>
  <c r="C554" i="6"/>
  <c r="B554" i="6"/>
  <c r="F554" i="6"/>
  <c r="A555" i="6"/>
  <c r="C557" i="3" l="1"/>
  <c r="B557" i="3"/>
  <c r="E557" i="3"/>
  <c r="D557" i="3"/>
  <c r="A558" i="3"/>
  <c r="F555" i="6"/>
  <c r="E555" i="6"/>
  <c r="D555" i="6"/>
  <c r="C555" i="6"/>
  <c r="B555" i="6"/>
  <c r="A556" i="6"/>
  <c r="F556" i="6" l="1"/>
  <c r="E556" i="6"/>
  <c r="D556" i="6"/>
  <c r="C556" i="6"/>
  <c r="B556" i="6"/>
  <c r="E558" i="3"/>
  <c r="D558" i="3"/>
  <c r="C558" i="3"/>
  <c r="B558" i="3"/>
  <c r="A559" i="3"/>
  <c r="A557" i="6"/>
  <c r="C557" i="6" l="1"/>
  <c r="B557" i="6"/>
  <c r="F557" i="6"/>
  <c r="E557" i="6"/>
  <c r="D557" i="6"/>
  <c r="A558" i="6"/>
  <c r="B559" i="3"/>
  <c r="D559" i="3"/>
  <c r="E559" i="3"/>
  <c r="C559" i="3"/>
  <c r="A560" i="3"/>
  <c r="E558" i="6" l="1"/>
  <c r="D558" i="6"/>
  <c r="C558" i="6"/>
  <c r="B558" i="6"/>
  <c r="F558" i="6"/>
  <c r="D560" i="3"/>
  <c r="E560" i="3"/>
  <c r="C560" i="3"/>
  <c r="B560" i="3"/>
  <c r="A561" i="3"/>
  <c r="A559" i="6"/>
  <c r="A560" i="6" l="1"/>
  <c r="C561" i="3"/>
  <c r="E561" i="3"/>
  <c r="D561" i="3"/>
  <c r="B561" i="3"/>
  <c r="A562" i="3"/>
  <c r="F559" i="6"/>
  <c r="E559" i="6"/>
  <c r="D559" i="6"/>
  <c r="C559" i="6"/>
  <c r="B559" i="6"/>
  <c r="A561" i="6" l="1"/>
  <c r="B562" i="3"/>
  <c r="E562" i="3"/>
  <c r="D562" i="3"/>
  <c r="C562" i="3"/>
  <c r="A563" i="3"/>
  <c r="F560" i="6"/>
  <c r="E560" i="6"/>
  <c r="D560" i="6"/>
  <c r="C560" i="6"/>
  <c r="B560" i="6"/>
  <c r="A562" i="6" l="1"/>
  <c r="C561" i="6"/>
  <c r="B561" i="6"/>
  <c r="F561" i="6"/>
  <c r="E561" i="6"/>
  <c r="D561" i="6"/>
  <c r="E563" i="3"/>
  <c r="B563" i="3"/>
  <c r="D563" i="3"/>
  <c r="C563" i="3"/>
  <c r="A564" i="3"/>
  <c r="D564" i="3" l="1"/>
  <c r="C564" i="3"/>
  <c r="B564" i="3"/>
  <c r="E564" i="3"/>
  <c r="A565" i="3"/>
  <c r="E562" i="6"/>
  <c r="D562" i="6"/>
  <c r="C562" i="6"/>
  <c r="B562" i="6"/>
  <c r="F562" i="6"/>
  <c r="A563" i="6"/>
  <c r="F563" i="6" l="1"/>
  <c r="E563" i="6"/>
  <c r="D563" i="6"/>
  <c r="C563" i="6"/>
  <c r="B563" i="6"/>
  <c r="C565" i="3"/>
  <c r="E565" i="3"/>
  <c r="B565" i="3"/>
  <c r="D565" i="3"/>
  <c r="A566" i="3"/>
  <c r="A564" i="6"/>
  <c r="A565" i="6" l="1"/>
  <c r="C566" i="3"/>
  <c r="B566" i="3"/>
  <c r="E566" i="3"/>
  <c r="D566" i="3"/>
  <c r="A567" i="3"/>
  <c r="F564" i="6"/>
  <c r="E564" i="6"/>
  <c r="D564" i="6"/>
  <c r="C564" i="6"/>
  <c r="B564" i="6"/>
  <c r="A566" i="6" l="1"/>
  <c r="C565" i="6"/>
  <c r="B565" i="6"/>
  <c r="F565" i="6"/>
  <c r="E565" i="6"/>
  <c r="D565" i="6"/>
  <c r="E567" i="3"/>
  <c r="D567" i="3"/>
  <c r="B567" i="3"/>
  <c r="C567" i="3"/>
  <c r="A568" i="3"/>
  <c r="D568" i="3" l="1"/>
  <c r="B568" i="3"/>
  <c r="E568" i="3"/>
  <c r="C568" i="3"/>
  <c r="A569" i="3"/>
  <c r="E566" i="6"/>
  <c r="D566" i="6"/>
  <c r="C566" i="6"/>
  <c r="B566" i="6"/>
  <c r="F566" i="6"/>
  <c r="A567" i="6"/>
  <c r="E569" i="3" l="1"/>
  <c r="D569" i="3"/>
  <c r="C569" i="3"/>
  <c r="B569" i="3"/>
  <c r="A570" i="3"/>
  <c r="F567" i="6"/>
  <c r="E567" i="6"/>
  <c r="D567" i="6"/>
  <c r="C567" i="6"/>
  <c r="B567" i="6"/>
  <c r="A568" i="6"/>
  <c r="F568" i="6" l="1"/>
  <c r="E568" i="6"/>
  <c r="D568" i="6"/>
  <c r="C568" i="6"/>
  <c r="B568" i="6"/>
  <c r="B570" i="3"/>
  <c r="D570" i="3"/>
  <c r="C570" i="3"/>
  <c r="E570" i="3"/>
  <c r="A571" i="3"/>
  <c r="A569" i="6"/>
  <c r="C569" i="6" l="1"/>
  <c r="B569" i="6"/>
  <c r="F569" i="6"/>
  <c r="E569" i="6"/>
  <c r="D569" i="6"/>
  <c r="E571" i="3"/>
  <c r="D571" i="3"/>
  <c r="C571" i="3"/>
  <c r="B571" i="3"/>
  <c r="A572" i="3"/>
  <c r="A570" i="6"/>
  <c r="A571" i="6" l="1"/>
  <c r="E570" i="6"/>
  <c r="D570" i="6"/>
  <c r="C570" i="6"/>
  <c r="B570" i="6"/>
  <c r="F570" i="6"/>
  <c r="C572" i="3"/>
  <c r="E572" i="3"/>
  <c r="B572" i="3"/>
  <c r="D572" i="3"/>
  <c r="A573" i="3"/>
  <c r="C573" i="3" l="1"/>
  <c r="E573" i="3"/>
  <c r="D573" i="3"/>
  <c r="B573" i="3"/>
  <c r="A574" i="3"/>
  <c r="A572" i="6"/>
  <c r="F571" i="6"/>
  <c r="E571" i="6"/>
  <c r="D571" i="6"/>
  <c r="C571" i="6"/>
  <c r="B571" i="6"/>
  <c r="A573" i="6" l="1"/>
  <c r="F572" i="6"/>
  <c r="E572" i="6"/>
  <c r="D572" i="6"/>
  <c r="C572" i="6"/>
  <c r="B572" i="6"/>
  <c r="E574" i="3"/>
  <c r="B574" i="3"/>
  <c r="D574" i="3"/>
  <c r="C574" i="3"/>
  <c r="A575" i="3"/>
  <c r="C573" i="6" l="1"/>
  <c r="B573" i="6"/>
  <c r="F573" i="6"/>
  <c r="E573" i="6"/>
  <c r="D573" i="6"/>
  <c r="D575" i="3"/>
  <c r="C575" i="3"/>
  <c r="B575" i="3"/>
  <c r="E575" i="3"/>
  <c r="A576" i="3"/>
  <c r="A574" i="6"/>
  <c r="D576" i="3" l="1"/>
  <c r="E576" i="3"/>
  <c r="C576" i="3"/>
  <c r="B576" i="3"/>
  <c r="A577" i="3"/>
  <c r="A575" i="6"/>
  <c r="E574" i="6"/>
  <c r="D574" i="6"/>
  <c r="C574" i="6"/>
  <c r="B574" i="6"/>
  <c r="F574" i="6"/>
  <c r="F575" i="6" l="1"/>
  <c r="E575" i="6"/>
  <c r="D575" i="6"/>
  <c r="C575" i="6"/>
  <c r="B575" i="6"/>
  <c r="C577" i="3"/>
  <c r="B577" i="3"/>
  <c r="E577" i="3"/>
  <c r="D577" i="3"/>
  <c r="A578" i="3"/>
  <c r="A576" i="6"/>
  <c r="F576" i="6" l="1"/>
  <c r="E576" i="6"/>
  <c r="D576" i="6"/>
  <c r="C576" i="6"/>
  <c r="B576" i="6"/>
  <c r="A577" i="6"/>
  <c r="B578" i="3"/>
  <c r="E578" i="3"/>
  <c r="D578" i="3"/>
  <c r="C578" i="3"/>
  <c r="A579" i="3"/>
  <c r="C577" i="6" l="1"/>
  <c r="B577" i="6"/>
  <c r="F577" i="6"/>
  <c r="E577" i="6"/>
  <c r="D577" i="6"/>
  <c r="A578" i="6"/>
  <c r="E579" i="3"/>
  <c r="B579" i="3"/>
  <c r="D579" i="3"/>
  <c r="C579" i="3"/>
  <c r="A580" i="3"/>
  <c r="E578" i="6" l="1"/>
  <c r="D578" i="6"/>
  <c r="C578" i="6"/>
  <c r="B578" i="6"/>
  <c r="F578" i="6"/>
  <c r="A579" i="6"/>
  <c r="E580" i="3"/>
  <c r="D580" i="3"/>
  <c r="C580" i="3"/>
  <c r="B580" i="3"/>
  <c r="A581" i="3"/>
  <c r="F579" i="6" l="1"/>
  <c r="E579" i="6"/>
  <c r="D579" i="6"/>
  <c r="C579" i="6"/>
  <c r="B579" i="6"/>
  <c r="C581" i="3"/>
  <c r="D581" i="3"/>
  <c r="E581" i="3"/>
  <c r="B581" i="3"/>
  <c r="A582" i="3"/>
  <c r="A580" i="6"/>
  <c r="F580" i="6" l="1"/>
  <c r="E580" i="6"/>
  <c r="D580" i="6"/>
  <c r="C580" i="6"/>
  <c r="B580" i="6"/>
  <c r="E582" i="3"/>
  <c r="D582" i="3"/>
  <c r="C582" i="3"/>
  <c r="B582" i="3"/>
  <c r="A583" i="3"/>
  <c r="A581" i="6"/>
  <c r="A582" i="6" l="1"/>
  <c r="C581" i="6"/>
  <c r="B581" i="6"/>
  <c r="F581" i="6"/>
  <c r="E581" i="6"/>
  <c r="D581" i="6"/>
  <c r="C583" i="3"/>
  <c r="E583" i="3"/>
  <c r="D583" i="3"/>
  <c r="B583" i="3"/>
  <c r="A584" i="3"/>
  <c r="D584" i="3" l="1"/>
  <c r="E584" i="3"/>
  <c r="C584" i="3"/>
  <c r="B584" i="3"/>
  <c r="A585" i="3"/>
  <c r="E582" i="6"/>
  <c r="D582" i="6"/>
  <c r="C582" i="6"/>
  <c r="B582" i="6"/>
  <c r="F582" i="6"/>
  <c r="A583" i="6"/>
  <c r="F583" i="6" l="1"/>
  <c r="E583" i="6"/>
  <c r="D583" i="6"/>
  <c r="C583" i="6"/>
  <c r="B583" i="6"/>
  <c r="E585" i="3"/>
  <c r="B585" i="3"/>
  <c r="D585" i="3"/>
  <c r="C585" i="3"/>
  <c r="A586" i="3"/>
  <c r="A584" i="6"/>
  <c r="A585" i="6" l="1"/>
  <c r="F584" i="6"/>
  <c r="E584" i="6"/>
  <c r="D584" i="6"/>
  <c r="C584" i="6"/>
  <c r="B584" i="6"/>
  <c r="B586" i="3"/>
  <c r="D586" i="3"/>
  <c r="C586" i="3"/>
  <c r="E586" i="3"/>
  <c r="A587" i="3"/>
  <c r="A586" i="6" l="1"/>
  <c r="E587" i="3"/>
  <c r="D587" i="3"/>
  <c r="C587" i="3"/>
  <c r="B587" i="3"/>
  <c r="A588" i="3"/>
  <c r="C585" i="6"/>
  <c r="B585" i="6"/>
  <c r="F585" i="6"/>
  <c r="E585" i="6"/>
  <c r="D585" i="6"/>
  <c r="A587" i="6" l="1"/>
  <c r="E586" i="6"/>
  <c r="D586" i="6"/>
  <c r="C586" i="6"/>
  <c r="B586" i="6"/>
  <c r="F586" i="6"/>
  <c r="C588" i="3"/>
  <c r="B588" i="3"/>
  <c r="E588" i="3"/>
  <c r="D588" i="3"/>
  <c r="A589" i="3"/>
  <c r="C589" i="3" l="1"/>
  <c r="E589" i="3"/>
  <c r="D589" i="3"/>
  <c r="B589" i="3"/>
  <c r="A590" i="3"/>
  <c r="A588" i="6"/>
  <c r="F587" i="6"/>
  <c r="E587" i="6"/>
  <c r="D587" i="6"/>
  <c r="C587" i="6"/>
  <c r="B587" i="6"/>
  <c r="F588" i="6" l="1"/>
  <c r="E588" i="6"/>
  <c r="D588" i="6"/>
  <c r="C588" i="6"/>
  <c r="B588" i="6"/>
  <c r="B590" i="3"/>
  <c r="D590" i="3"/>
  <c r="E590" i="3"/>
  <c r="C590" i="3"/>
  <c r="A591" i="3"/>
  <c r="A589" i="6"/>
  <c r="C589" i="6" l="1"/>
  <c r="B589" i="6"/>
  <c r="F589" i="6"/>
  <c r="E589" i="6"/>
  <c r="D589" i="6"/>
  <c r="A590" i="6"/>
  <c r="E591" i="3"/>
  <c r="D591" i="3"/>
  <c r="C591" i="3"/>
  <c r="B591" i="3"/>
  <c r="A592" i="3"/>
  <c r="B590" i="6" l="1"/>
  <c r="F590" i="6"/>
  <c r="E590" i="6"/>
  <c r="D590" i="6"/>
  <c r="C590" i="6"/>
  <c r="A591" i="6"/>
  <c r="D592" i="3"/>
  <c r="C592" i="3"/>
  <c r="E592" i="3"/>
  <c r="B592" i="3"/>
  <c r="A593" i="3"/>
  <c r="E593" i="3" l="1"/>
  <c r="D593" i="3"/>
  <c r="C593" i="3"/>
  <c r="B593" i="3"/>
  <c r="A594" i="3"/>
  <c r="D591" i="6"/>
  <c r="B591" i="6"/>
  <c r="F591" i="6"/>
  <c r="E591" i="6"/>
  <c r="C591" i="6"/>
  <c r="A592" i="6"/>
  <c r="F592" i="6" l="1"/>
  <c r="D592" i="6"/>
  <c r="B592" i="6"/>
  <c r="E592" i="6"/>
  <c r="C592" i="6"/>
  <c r="B594" i="3"/>
  <c r="C594" i="3"/>
  <c r="D594" i="3"/>
  <c r="E594" i="3"/>
  <c r="A595" i="3"/>
  <c r="A593" i="6"/>
  <c r="A594" i="6" l="1"/>
  <c r="F593" i="6"/>
  <c r="D593" i="6"/>
  <c r="E593" i="6"/>
  <c r="C593" i="6"/>
  <c r="B593" i="6"/>
  <c r="E595" i="3"/>
  <c r="D595" i="3"/>
  <c r="C595" i="3"/>
  <c r="B595" i="3"/>
  <c r="A596" i="3"/>
  <c r="E596" i="3" l="1"/>
  <c r="B596" i="3"/>
  <c r="C596" i="3"/>
  <c r="D596" i="3"/>
  <c r="A597" i="3"/>
  <c r="B594" i="6"/>
  <c r="F594" i="6"/>
  <c r="E594" i="6"/>
  <c r="D594" i="6"/>
  <c r="C594" i="6"/>
  <c r="A595" i="6"/>
  <c r="C597" i="3" l="1"/>
  <c r="D597" i="3"/>
  <c r="B597" i="3"/>
  <c r="E597" i="3"/>
  <c r="A598" i="3"/>
  <c r="D595" i="6"/>
  <c r="B595" i="6"/>
  <c r="F595" i="6"/>
  <c r="E595" i="6"/>
  <c r="C595" i="6"/>
  <c r="A596" i="6"/>
  <c r="E598" i="3" l="1"/>
  <c r="D598" i="3"/>
  <c r="B598" i="3"/>
  <c r="C598" i="3"/>
  <c r="A599" i="3"/>
  <c r="F596" i="6"/>
  <c r="D596" i="6"/>
  <c r="B596" i="6"/>
  <c r="E596" i="6"/>
  <c r="C596" i="6"/>
  <c r="A597" i="6"/>
  <c r="F597" i="6" l="1"/>
  <c r="D597" i="6"/>
  <c r="B597" i="6"/>
  <c r="E597" i="6"/>
  <c r="C597" i="6"/>
  <c r="C599" i="3"/>
  <c r="B599" i="3"/>
  <c r="E599" i="3"/>
  <c r="D599" i="3"/>
  <c r="A600" i="3"/>
  <c r="A598" i="6"/>
  <c r="B598" i="6" l="1"/>
  <c r="F598" i="6"/>
  <c r="E598" i="6"/>
  <c r="D598" i="6"/>
  <c r="C598" i="6"/>
  <c r="A599" i="6"/>
  <c r="D600" i="3"/>
  <c r="E600" i="3"/>
  <c r="C600" i="3"/>
  <c r="B600" i="3"/>
  <c r="A601" i="3"/>
  <c r="D599" i="6" l="1"/>
  <c r="B599" i="6"/>
  <c r="C599" i="6"/>
  <c r="F599" i="6"/>
  <c r="E599" i="6"/>
  <c r="B601" i="3"/>
  <c r="D601" i="3"/>
  <c r="C601" i="3"/>
  <c r="E601" i="3"/>
  <c r="A602" i="3"/>
  <c r="A600" i="6"/>
  <c r="A601" i="6" l="1"/>
  <c r="B602" i="3"/>
  <c r="E602" i="3"/>
  <c r="D602" i="3"/>
  <c r="C602" i="3"/>
  <c r="A603" i="3"/>
  <c r="F600" i="6"/>
  <c r="D600" i="6"/>
  <c r="B600" i="6"/>
  <c r="E600" i="6"/>
  <c r="C600" i="6"/>
  <c r="A602" i="6" l="1"/>
  <c r="F601" i="6"/>
  <c r="D601" i="6"/>
  <c r="C601" i="6"/>
  <c r="B601" i="6"/>
  <c r="E601" i="6"/>
  <c r="E603" i="3"/>
  <c r="C603" i="3"/>
  <c r="B603" i="3"/>
  <c r="D603" i="3"/>
  <c r="A604" i="3"/>
  <c r="B602" i="6" l="1"/>
  <c r="F602" i="6"/>
  <c r="E602" i="6"/>
  <c r="D602" i="6"/>
  <c r="C602" i="6"/>
  <c r="E604" i="3"/>
  <c r="D604" i="3"/>
  <c r="C604" i="3"/>
  <c r="B604" i="3"/>
  <c r="A605" i="3"/>
  <c r="A603" i="6"/>
  <c r="A604" i="6" l="1"/>
  <c r="D603" i="6"/>
  <c r="B603" i="6"/>
  <c r="E603" i="6"/>
  <c r="C603" i="6"/>
  <c r="F603" i="6"/>
  <c r="C605" i="3"/>
  <c r="B605" i="3"/>
  <c r="E605" i="3"/>
  <c r="D605" i="3"/>
  <c r="A606" i="3"/>
  <c r="D606" i="3" l="1"/>
  <c r="C606" i="3"/>
  <c r="B606" i="3"/>
  <c r="E606" i="3"/>
  <c r="A607" i="3"/>
  <c r="F604" i="6"/>
  <c r="D604" i="6"/>
  <c r="B604" i="6"/>
  <c r="E604" i="6"/>
  <c r="C604" i="6"/>
  <c r="A605" i="6"/>
  <c r="E607" i="3" l="1"/>
  <c r="B607" i="3"/>
  <c r="D607" i="3"/>
  <c r="C607" i="3"/>
  <c r="A608" i="3"/>
  <c r="F605" i="6"/>
  <c r="D605" i="6"/>
  <c r="E605" i="6"/>
  <c r="C605" i="6"/>
  <c r="B605" i="6"/>
  <c r="A606" i="6"/>
  <c r="D608" i="3" l="1"/>
  <c r="C608" i="3"/>
  <c r="B608" i="3"/>
  <c r="E608" i="3"/>
  <c r="A609" i="3"/>
  <c r="B606" i="6"/>
  <c r="F606" i="6"/>
  <c r="E606" i="6"/>
  <c r="D606" i="6"/>
  <c r="C606" i="6"/>
  <c r="A607" i="6"/>
  <c r="E609" i="3" l="1"/>
  <c r="D609" i="3"/>
  <c r="B609" i="3"/>
  <c r="C609" i="3"/>
  <c r="A610" i="3"/>
  <c r="D607" i="6"/>
  <c r="B607" i="6"/>
  <c r="F607" i="6"/>
  <c r="E607" i="6"/>
  <c r="C607" i="6"/>
  <c r="A608" i="6"/>
  <c r="B610" i="3" l="1"/>
  <c r="C610" i="3"/>
  <c r="E610" i="3"/>
  <c r="D610" i="3"/>
  <c r="A611" i="3"/>
  <c r="F608" i="6"/>
  <c r="D608" i="6"/>
  <c r="B608" i="6"/>
  <c r="E608" i="6"/>
  <c r="C608" i="6"/>
  <c r="A609" i="6"/>
  <c r="E611" i="3" l="1"/>
  <c r="D611" i="3"/>
  <c r="C611" i="3"/>
  <c r="B611" i="3"/>
  <c r="A612" i="3"/>
  <c r="F609" i="6"/>
  <c r="D609" i="6"/>
  <c r="E609" i="6"/>
  <c r="C609" i="6"/>
  <c r="B609" i="6"/>
  <c r="A610" i="6"/>
  <c r="B612" i="3" l="1"/>
  <c r="D612" i="3"/>
  <c r="C612" i="3"/>
  <c r="E612" i="3"/>
  <c r="A613" i="3"/>
  <c r="B610" i="6"/>
  <c r="F610" i="6"/>
  <c r="E610" i="6"/>
  <c r="D610" i="6"/>
  <c r="C610" i="6"/>
  <c r="A611" i="6"/>
  <c r="D611" i="6" l="1"/>
  <c r="B611" i="6"/>
  <c r="F611" i="6"/>
  <c r="E611" i="6"/>
  <c r="C611" i="6"/>
  <c r="C613" i="3"/>
  <c r="E613" i="3"/>
  <c r="D613" i="3"/>
  <c r="B613" i="3"/>
  <c r="A614" i="3"/>
  <c r="A612" i="6"/>
  <c r="A613" i="6" l="1"/>
  <c r="F612" i="6"/>
  <c r="D612" i="6"/>
  <c r="B612" i="6"/>
  <c r="E612" i="6"/>
  <c r="C612" i="6"/>
  <c r="C614" i="3"/>
  <c r="B614" i="3"/>
  <c r="D614" i="3"/>
  <c r="E614" i="3"/>
  <c r="A615" i="3"/>
  <c r="E615" i="3" l="1"/>
  <c r="D615" i="3"/>
  <c r="C615" i="3"/>
  <c r="B615" i="3"/>
  <c r="A616" i="3"/>
  <c r="F613" i="6"/>
  <c r="D613" i="6"/>
  <c r="E613" i="6"/>
  <c r="C613" i="6"/>
  <c r="B613" i="6"/>
  <c r="A614" i="6"/>
  <c r="D616" i="3" l="1"/>
  <c r="B616" i="3"/>
  <c r="C616" i="3"/>
  <c r="E616" i="3"/>
  <c r="A617" i="3"/>
  <c r="B614" i="6"/>
  <c r="F614" i="6"/>
  <c r="C614" i="6"/>
  <c r="E614" i="6"/>
  <c r="D614" i="6"/>
  <c r="A615" i="6"/>
  <c r="D615" i="6" l="1"/>
  <c r="B615" i="6"/>
  <c r="F615" i="6"/>
  <c r="E615" i="6"/>
  <c r="C615" i="6"/>
  <c r="D617" i="3"/>
  <c r="C617" i="3"/>
  <c r="B617" i="3"/>
  <c r="E617" i="3"/>
  <c r="A618" i="3"/>
  <c r="A616" i="6"/>
  <c r="A617" i="6" l="1"/>
  <c r="B618" i="3"/>
  <c r="E618" i="3"/>
  <c r="D618" i="3"/>
  <c r="C618" i="3"/>
  <c r="A619" i="3"/>
  <c r="F616" i="6"/>
  <c r="D616" i="6"/>
  <c r="B616" i="6"/>
  <c r="C616" i="6"/>
  <c r="E616" i="6"/>
  <c r="A618" i="6" l="1"/>
  <c r="F617" i="6"/>
  <c r="D617" i="6"/>
  <c r="E617" i="6"/>
  <c r="C617" i="6"/>
  <c r="B617" i="6"/>
  <c r="E619" i="3"/>
  <c r="C619" i="3"/>
  <c r="B619" i="3"/>
  <c r="D619" i="3"/>
  <c r="A620" i="3"/>
  <c r="B618" i="6" l="1"/>
  <c r="F618" i="6"/>
  <c r="D618" i="6"/>
  <c r="C618" i="6"/>
  <c r="E618" i="6"/>
  <c r="E620" i="3"/>
  <c r="D620" i="3"/>
  <c r="C620" i="3"/>
  <c r="B620" i="3"/>
  <c r="A621" i="3"/>
  <c r="A619" i="6"/>
  <c r="A620" i="6" l="1"/>
  <c r="C621" i="3"/>
  <c r="B621" i="3"/>
  <c r="E621" i="3"/>
  <c r="D621" i="3"/>
  <c r="A622" i="3"/>
  <c r="D619" i="6"/>
  <c r="B619" i="6"/>
  <c r="F619" i="6"/>
  <c r="E619" i="6"/>
  <c r="C619" i="6"/>
  <c r="A621" i="6" l="1"/>
  <c r="F620" i="6"/>
  <c r="D620" i="6"/>
  <c r="B620" i="6"/>
  <c r="E620" i="6"/>
  <c r="C620" i="6"/>
  <c r="E622" i="3"/>
  <c r="D622" i="3"/>
  <c r="C622" i="3"/>
  <c r="B622" i="3"/>
  <c r="A623" i="3"/>
  <c r="F621" i="6" l="1"/>
  <c r="D621" i="6"/>
  <c r="E621" i="6"/>
  <c r="C621" i="6"/>
  <c r="B621" i="6"/>
  <c r="B623" i="3"/>
  <c r="D623" i="3"/>
  <c r="C623" i="3"/>
  <c r="E623" i="3"/>
  <c r="A624" i="3"/>
  <c r="A622" i="6"/>
  <c r="A623" i="6" l="1"/>
  <c r="B622" i="6"/>
  <c r="F622" i="6"/>
  <c r="E622" i="6"/>
  <c r="D622" i="6"/>
  <c r="C622" i="6"/>
  <c r="D624" i="3"/>
  <c r="E624" i="3"/>
  <c r="C624" i="3"/>
  <c r="B624" i="3"/>
  <c r="A625" i="3"/>
  <c r="C625" i="3" l="1"/>
  <c r="B625" i="3"/>
  <c r="E625" i="3"/>
  <c r="D625" i="3"/>
  <c r="A626" i="3"/>
  <c r="D623" i="6"/>
  <c r="B623" i="6"/>
  <c r="F623" i="6"/>
  <c r="E623" i="6"/>
  <c r="C623" i="6"/>
  <c r="A624" i="6"/>
  <c r="B626" i="3" l="1"/>
  <c r="E626" i="3"/>
  <c r="D626" i="3"/>
  <c r="C626" i="3"/>
  <c r="A627" i="3"/>
  <c r="F624" i="6"/>
  <c r="D624" i="6"/>
  <c r="B624" i="6"/>
  <c r="E624" i="6"/>
  <c r="C624" i="6"/>
  <c r="A625" i="6"/>
  <c r="E627" i="3" l="1"/>
  <c r="B627" i="3"/>
  <c r="D627" i="3"/>
  <c r="C627" i="3"/>
  <c r="A628" i="3"/>
  <c r="F625" i="6"/>
  <c r="D625" i="6"/>
  <c r="E625" i="6"/>
  <c r="C625" i="6"/>
  <c r="B625" i="6"/>
  <c r="A626" i="6"/>
  <c r="D628" i="3" l="1"/>
  <c r="C628" i="3"/>
  <c r="B628" i="3"/>
  <c r="E628" i="3"/>
  <c r="A629" i="3"/>
  <c r="B626" i="6"/>
  <c r="F626" i="6"/>
  <c r="E626" i="6"/>
  <c r="D626" i="6"/>
  <c r="C626" i="6"/>
  <c r="A627" i="6"/>
  <c r="D627" i="6" l="1"/>
  <c r="B627" i="6"/>
  <c r="F627" i="6"/>
  <c r="E627" i="6"/>
  <c r="C627" i="6"/>
  <c r="C629" i="3"/>
  <c r="E629" i="3"/>
  <c r="D629" i="3"/>
  <c r="B629" i="3"/>
  <c r="A630" i="3"/>
  <c r="A628" i="6"/>
  <c r="A629" i="6" l="1"/>
  <c r="F628" i="6"/>
  <c r="D628" i="6"/>
  <c r="B628" i="6"/>
  <c r="E628" i="6"/>
  <c r="C628" i="6"/>
  <c r="C630" i="3"/>
  <c r="B630" i="3"/>
  <c r="E630" i="3"/>
  <c r="D630" i="3"/>
  <c r="A631" i="3"/>
  <c r="F629" i="6" l="1"/>
  <c r="D629" i="6"/>
  <c r="B629" i="6"/>
  <c r="E629" i="6"/>
  <c r="C629" i="6"/>
  <c r="E631" i="3"/>
  <c r="D631" i="3"/>
  <c r="B631" i="3"/>
  <c r="C631" i="3"/>
  <c r="A632" i="3"/>
  <c r="A630" i="6"/>
  <c r="A631" i="6" l="1"/>
  <c r="E632" i="3"/>
  <c r="D632" i="3"/>
  <c r="B632" i="3"/>
  <c r="C632" i="3"/>
  <c r="A633" i="3"/>
  <c r="B630" i="6"/>
  <c r="F630" i="6"/>
  <c r="E630" i="6"/>
  <c r="D630" i="6"/>
  <c r="C630" i="6"/>
  <c r="A632" i="6" l="1"/>
  <c r="E631" i="6"/>
  <c r="D631" i="6"/>
  <c r="B631" i="6"/>
  <c r="C631" i="6"/>
  <c r="F631" i="6"/>
  <c r="E633" i="3"/>
  <c r="D633" i="3"/>
  <c r="C633" i="3"/>
  <c r="B633" i="3"/>
  <c r="A634" i="3"/>
  <c r="F632" i="6" l="1"/>
  <c r="D632" i="6"/>
  <c r="B632" i="6"/>
  <c r="E632" i="6"/>
  <c r="C632" i="6"/>
  <c r="C634" i="3"/>
  <c r="B634" i="3"/>
  <c r="D634" i="3"/>
  <c r="E634" i="3"/>
  <c r="A635" i="3"/>
  <c r="A633" i="6"/>
  <c r="A634" i="6" l="1"/>
  <c r="E635" i="3"/>
  <c r="D635" i="3"/>
  <c r="C635" i="3"/>
  <c r="B635" i="3"/>
  <c r="A636" i="3"/>
  <c r="F633" i="6"/>
  <c r="D633" i="6"/>
  <c r="E633" i="6"/>
  <c r="C633" i="6"/>
  <c r="B633" i="6"/>
  <c r="A635" i="6" l="1"/>
  <c r="C634" i="6"/>
  <c r="B634" i="6"/>
  <c r="F634" i="6"/>
  <c r="D634" i="6"/>
  <c r="E634" i="6"/>
  <c r="D636" i="3"/>
  <c r="C636" i="3"/>
  <c r="B636" i="3"/>
  <c r="E636" i="3"/>
  <c r="A637" i="3"/>
  <c r="D637" i="3" l="1"/>
  <c r="C637" i="3"/>
  <c r="E637" i="3"/>
  <c r="B637" i="3"/>
  <c r="A638" i="3"/>
  <c r="A636" i="6"/>
  <c r="E635" i="6"/>
  <c r="D635" i="6"/>
  <c r="C635" i="6"/>
  <c r="B635" i="6"/>
  <c r="F635" i="6"/>
  <c r="D638" i="3" l="1"/>
  <c r="C638" i="3"/>
  <c r="B638" i="3"/>
  <c r="E638" i="3"/>
  <c r="A639" i="3"/>
  <c r="F636" i="6"/>
  <c r="E636" i="6"/>
  <c r="D636" i="6"/>
  <c r="C636" i="6"/>
  <c r="B636" i="6"/>
  <c r="A637" i="6"/>
  <c r="B639" i="3" l="1"/>
  <c r="C639" i="3"/>
  <c r="D639" i="3"/>
  <c r="E639" i="3"/>
  <c r="A640" i="3"/>
  <c r="F637" i="6"/>
  <c r="E637" i="6"/>
  <c r="D637" i="6"/>
  <c r="C637" i="6"/>
  <c r="B637" i="6"/>
  <c r="A638" i="6"/>
  <c r="E640" i="3" l="1"/>
  <c r="D640" i="3"/>
  <c r="C640" i="3"/>
  <c r="B640" i="3"/>
  <c r="A641" i="3"/>
  <c r="C638" i="6"/>
  <c r="B638" i="6"/>
  <c r="F638" i="6"/>
  <c r="E638" i="6"/>
  <c r="D638" i="6"/>
  <c r="A639" i="6"/>
  <c r="E639" i="6" l="1"/>
  <c r="D639" i="6"/>
  <c r="C639" i="6"/>
  <c r="B639" i="6"/>
  <c r="F639" i="6"/>
  <c r="C641" i="3"/>
  <c r="B641" i="3"/>
  <c r="E641" i="3"/>
  <c r="D641" i="3"/>
  <c r="A642" i="3"/>
  <c r="A640" i="6"/>
  <c r="A641" i="6" l="1"/>
  <c r="F640" i="6"/>
  <c r="E640" i="6"/>
  <c r="D640" i="6"/>
  <c r="C640" i="6"/>
  <c r="B640" i="6"/>
  <c r="C642" i="3"/>
  <c r="B642" i="3"/>
  <c r="E642" i="3"/>
  <c r="D642" i="3"/>
  <c r="A643" i="3"/>
  <c r="E643" i="3" l="1"/>
  <c r="C643" i="3"/>
  <c r="B643" i="3"/>
  <c r="D643" i="3"/>
  <c r="A644" i="3"/>
  <c r="F641" i="6"/>
  <c r="E641" i="6"/>
  <c r="D641" i="6"/>
  <c r="C641" i="6"/>
  <c r="B641" i="6"/>
  <c r="A642" i="6"/>
  <c r="E644" i="3" l="1"/>
  <c r="D644" i="3"/>
  <c r="C644" i="3"/>
  <c r="B644" i="3"/>
  <c r="A645" i="3"/>
  <c r="C642" i="6"/>
  <c r="B642" i="6"/>
  <c r="F642" i="6"/>
  <c r="E642" i="6"/>
  <c r="D642" i="6"/>
  <c r="A643" i="6"/>
  <c r="D645" i="3" l="1"/>
  <c r="C645" i="3"/>
  <c r="E645" i="3"/>
  <c r="B645" i="3"/>
  <c r="A646" i="3"/>
  <c r="E643" i="6"/>
  <c r="D643" i="6"/>
  <c r="C643" i="6"/>
  <c r="B643" i="6"/>
  <c r="F643" i="6"/>
  <c r="A644" i="6"/>
  <c r="E646" i="3" l="1"/>
  <c r="D646" i="3"/>
  <c r="C646" i="3"/>
  <c r="B646" i="3"/>
  <c r="A647" i="3"/>
  <c r="F644" i="6"/>
  <c r="E644" i="6"/>
  <c r="D644" i="6"/>
  <c r="C644" i="6"/>
  <c r="B644" i="6"/>
  <c r="A645" i="6"/>
  <c r="B647" i="3" l="1"/>
  <c r="C647" i="3"/>
  <c r="E647" i="3"/>
  <c r="D647" i="3"/>
  <c r="A648" i="3"/>
  <c r="F645" i="6"/>
  <c r="E645" i="6"/>
  <c r="D645" i="6"/>
  <c r="C645" i="6"/>
  <c r="B645" i="6"/>
  <c r="A646" i="6"/>
  <c r="E648" i="3" l="1"/>
  <c r="D648" i="3"/>
  <c r="C648" i="3"/>
  <c r="B648" i="3"/>
  <c r="A649" i="3"/>
  <c r="C646" i="6"/>
  <c r="B646" i="6"/>
  <c r="F646" i="6"/>
  <c r="E646" i="6"/>
  <c r="D646" i="6"/>
  <c r="A647" i="6"/>
  <c r="E647" i="6" l="1"/>
  <c r="D647" i="6"/>
  <c r="C647" i="6"/>
  <c r="B647" i="6"/>
  <c r="F647" i="6"/>
  <c r="C649" i="3"/>
  <c r="B649" i="3"/>
  <c r="E649" i="3"/>
  <c r="D649" i="3"/>
  <c r="A650" i="3"/>
  <c r="A648" i="6"/>
  <c r="A649" i="6" l="1"/>
  <c r="C650" i="3"/>
  <c r="B650" i="3"/>
  <c r="E650" i="3"/>
  <c r="D650" i="3"/>
  <c r="A651" i="3"/>
  <c r="F648" i="6"/>
  <c r="E648" i="6"/>
  <c r="D648" i="6"/>
  <c r="C648" i="6"/>
  <c r="B648" i="6"/>
  <c r="A650" i="6" l="1"/>
  <c r="E651" i="3"/>
  <c r="C651" i="3"/>
  <c r="B651" i="3"/>
  <c r="D651" i="3"/>
  <c r="A652" i="3"/>
  <c r="F649" i="6"/>
  <c r="E649" i="6"/>
  <c r="D649" i="6"/>
  <c r="C649" i="6"/>
  <c r="B649" i="6"/>
  <c r="A651" i="6" l="1"/>
  <c r="C650" i="6"/>
  <c r="B650" i="6"/>
  <c r="F650" i="6"/>
  <c r="E650" i="6"/>
  <c r="D650" i="6"/>
  <c r="E652" i="3"/>
  <c r="B652" i="3"/>
  <c r="D652" i="3"/>
  <c r="C652" i="3"/>
  <c r="A653" i="3"/>
  <c r="D653" i="3" l="1"/>
  <c r="C653" i="3"/>
  <c r="E653" i="3"/>
  <c r="B653" i="3"/>
  <c r="A654" i="3"/>
  <c r="E651" i="6"/>
  <c r="D651" i="6"/>
  <c r="C651" i="6"/>
  <c r="B651" i="6"/>
  <c r="F651" i="6"/>
  <c r="A652" i="6"/>
  <c r="E654" i="3" l="1"/>
  <c r="B654" i="3"/>
  <c r="D654" i="3"/>
  <c r="C654" i="3"/>
  <c r="A655" i="3"/>
  <c r="F652" i="6"/>
  <c r="E652" i="6"/>
  <c r="D652" i="6"/>
  <c r="C652" i="6"/>
  <c r="B652" i="6"/>
  <c r="A653" i="6"/>
  <c r="B655" i="3" l="1"/>
  <c r="E655" i="3"/>
  <c r="D655" i="3"/>
  <c r="C655" i="3"/>
  <c r="A656" i="3"/>
  <c r="F653" i="6"/>
  <c r="E653" i="6"/>
  <c r="D653" i="6"/>
  <c r="C653" i="6"/>
  <c r="B653" i="6"/>
  <c r="A654" i="6"/>
  <c r="E656" i="3" l="1"/>
  <c r="D656" i="3"/>
  <c r="B656" i="3"/>
  <c r="C656" i="3"/>
  <c r="A657" i="3"/>
  <c r="C654" i="6"/>
  <c r="B654" i="6"/>
  <c r="F654" i="6"/>
  <c r="E654" i="6"/>
  <c r="D654" i="6"/>
  <c r="A655" i="6"/>
  <c r="E657" i="3" l="1"/>
  <c r="D657" i="3"/>
  <c r="C657" i="3"/>
  <c r="B657" i="3"/>
  <c r="A658" i="3"/>
  <c r="E655" i="6"/>
  <c r="D655" i="6"/>
  <c r="C655" i="6"/>
  <c r="B655" i="6"/>
  <c r="F655" i="6"/>
  <c r="A656" i="6"/>
  <c r="C658" i="3" l="1"/>
  <c r="B658" i="3"/>
  <c r="D658" i="3"/>
  <c r="E658" i="3"/>
  <c r="A659" i="3"/>
  <c r="F656" i="6"/>
  <c r="E656" i="6"/>
  <c r="D656" i="6"/>
  <c r="C656" i="6"/>
  <c r="B656" i="6"/>
  <c r="A657" i="6"/>
  <c r="E659" i="3" l="1"/>
  <c r="D659" i="3"/>
  <c r="C659" i="3"/>
  <c r="B659" i="3"/>
  <c r="A660" i="3"/>
  <c r="F657" i="6"/>
  <c r="E657" i="6"/>
  <c r="D657" i="6"/>
  <c r="C657" i="6"/>
  <c r="B657" i="6"/>
  <c r="A658" i="6"/>
  <c r="B660" i="3" l="1"/>
  <c r="D660" i="3"/>
  <c r="C660" i="3"/>
  <c r="E660" i="3"/>
  <c r="A661" i="3"/>
  <c r="C658" i="6"/>
  <c r="B658" i="6"/>
  <c r="F658" i="6"/>
  <c r="E658" i="6"/>
  <c r="D658" i="6"/>
  <c r="A659" i="6"/>
  <c r="D661" i="3" l="1"/>
  <c r="C661" i="3"/>
  <c r="E661" i="3"/>
  <c r="B661" i="3"/>
  <c r="A662" i="3"/>
  <c r="E659" i="6"/>
  <c r="D659" i="6"/>
  <c r="C659" i="6"/>
  <c r="B659" i="6"/>
  <c r="F659" i="6"/>
  <c r="A660" i="6"/>
  <c r="B662" i="3" l="1"/>
  <c r="D662" i="3"/>
  <c r="C662" i="3"/>
  <c r="E662" i="3"/>
  <c r="A663" i="3"/>
  <c r="F660" i="6"/>
  <c r="E660" i="6"/>
  <c r="D660" i="6"/>
  <c r="C660" i="6"/>
  <c r="B660" i="6"/>
  <c r="A661" i="6"/>
  <c r="B663" i="3" l="1"/>
  <c r="E663" i="3"/>
  <c r="D663" i="3"/>
  <c r="C663" i="3"/>
  <c r="A664" i="3"/>
  <c r="F661" i="6"/>
  <c r="E661" i="6"/>
  <c r="D661" i="6"/>
  <c r="C661" i="6"/>
  <c r="B661" i="6"/>
  <c r="A662" i="6"/>
  <c r="E664" i="3" l="1"/>
  <c r="D664" i="3"/>
  <c r="B664" i="3"/>
  <c r="C664" i="3"/>
  <c r="A665" i="3"/>
  <c r="C662" i="6"/>
  <c r="B662" i="6"/>
  <c r="F662" i="6"/>
  <c r="E662" i="6"/>
  <c r="D662" i="6"/>
  <c r="A663" i="6"/>
  <c r="E665" i="3" l="1"/>
  <c r="D665" i="3"/>
  <c r="B665" i="3"/>
  <c r="C665" i="3"/>
  <c r="A666" i="3"/>
  <c r="E663" i="6"/>
  <c r="D663" i="6"/>
  <c r="C663" i="6"/>
  <c r="B663" i="6"/>
  <c r="F663" i="6"/>
  <c r="A664" i="6"/>
  <c r="C666" i="3" l="1"/>
  <c r="B666" i="3"/>
  <c r="D666" i="3"/>
  <c r="E666" i="3"/>
  <c r="A667" i="3"/>
  <c r="F664" i="6"/>
  <c r="E664" i="6"/>
  <c r="D664" i="6"/>
  <c r="C664" i="6"/>
  <c r="B664" i="6"/>
  <c r="A665" i="6"/>
  <c r="E667" i="3" l="1"/>
  <c r="B667" i="3"/>
  <c r="D667" i="3"/>
  <c r="C667" i="3"/>
  <c r="A668" i="3"/>
  <c r="F665" i="6"/>
  <c r="E665" i="6"/>
  <c r="D665" i="6"/>
  <c r="C665" i="6"/>
  <c r="B665" i="6"/>
  <c r="A666" i="6"/>
  <c r="D668" i="3" l="1"/>
  <c r="E668" i="3"/>
  <c r="C668" i="3"/>
  <c r="B668" i="3"/>
  <c r="A669" i="3"/>
  <c r="C666" i="6"/>
  <c r="B666" i="6"/>
  <c r="F666" i="6"/>
  <c r="E666" i="6"/>
  <c r="D666" i="6"/>
  <c r="A667" i="6"/>
  <c r="D669" i="3" l="1"/>
  <c r="C669" i="3"/>
  <c r="E669" i="3"/>
  <c r="B669" i="3"/>
  <c r="A670" i="3"/>
  <c r="E667" i="6"/>
  <c r="D667" i="6"/>
  <c r="C667" i="6"/>
  <c r="B667" i="6"/>
  <c r="F667" i="6"/>
  <c r="A668" i="6"/>
  <c r="B670" i="3" l="1"/>
  <c r="E670" i="3"/>
  <c r="D670" i="3"/>
  <c r="C670" i="3"/>
  <c r="A671" i="3"/>
  <c r="F668" i="6"/>
  <c r="E668" i="6"/>
  <c r="D668" i="6"/>
  <c r="C668" i="6"/>
  <c r="B668" i="6"/>
  <c r="A669" i="6"/>
  <c r="E671" i="3" l="1"/>
  <c r="B671" i="3"/>
  <c r="D671" i="3"/>
  <c r="C671" i="3"/>
  <c r="A672" i="3"/>
  <c r="F669" i="6"/>
  <c r="E669" i="6"/>
  <c r="D669" i="6"/>
  <c r="C669" i="6"/>
  <c r="B669" i="6"/>
  <c r="A670" i="6"/>
  <c r="E672" i="3" l="1"/>
  <c r="D672" i="3"/>
  <c r="B672" i="3"/>
  <c r="C672" i="3"/>
  <c r="A673" i="3"/>
  <c r="C670" i="6"/>
  <c r="B670" i="6"/>
  <c r="F670" i="6"/>
  <c r="E670" i="6"/>
  <c r="D670" i="6"/>
  <c r="A671" i="6"/>
  <c r="C673" i="3" l="1"/>
  <c r="E673" i="3"/>
  <c r="D673" i="3"/>
  <c r="B673" i="3"/>
  <c r="A674" i="3"/>
  <c r="E671" i="6"/>
  <c r="D671" i="6"/>
  <c r="C671" i="6"/>
  <c r="B671" i="6"/>
  <c r="F671" i="6"/>
  <c r="A672" i="6"/>
  <c r="C674" i="3" l="1"/>
  <c r="B674" i="3"/>
  <c r="E674" i="3"/>
  <c r="D674" i="3"/>
  <c r="A675" i="3"/>
  <c r="F672" i="6"/>
  <c r="E672" i="6"/>
  <c r="D672" i="6"/>
  <c r="C672" i="6"/>
  <c r="B672" i="6"/>
  <c r="A673" i="6"/>
  <c r="E675" i="3" l="1"/>
  <c r="D675" i="3"/>
  <c r="B675" i="3"/>
  <c r="C675" i="3"/>
  <c r="A676" i="3"/>
  <c r="F673" i="6"/>
  <c r="E673" i="6"/>
  <c r="D673" i="6"/>
  <c r="C673" i="6"/>
  <c r="B673" i="6"/>
  <c r="A674" i="6"/>
  <c r="D676" i="3" l="1"/>
  <c r="E676" i="3"/>
  <c r="C676" i="3"/>
  <c r="B676" i="3"/>
  <c r="A677" i="3"/>
  <c r="C674" i="6"/>
  <c r="B674" i="6"/>
  <c r="F674" i="6"/>
  <c r="E674" i="6"/>
  <c r="D674" i="6"/>
  <c r="A675" i="6"/>
  <c r="D677" i="3" l="1"/>
  <c r="C677" i="3"/>
  <c r="B677" i="3"/>
  <c r="E677" i="3"/>
  <c r="A678" i="3"/>
  <c r="E675" i="6"/>
  <c r="D675" i="6"/>
  <c r="C675" i="6"/>
  <c r="B675" i="6"/>
  <c r="F675" i="6"/>
  <c r="A676" i="6"/>
  <c r="B678" i="3" l="1"/>
  <c r="E678" i="3"/>
  <c r="D678" i="3"/>
  <c r="C678" i="3"/>
  <c r="A679" i="3"/>
  <c r="F676" i="6"/>
  <c r="E676" i="6"/>
  <c r="D676" i="6"/>
  <c r="C676" i="6"/>
  <c r="B676" i="6"/>
  <c r="A677" i="6"/>
  <c r="E679" i="3" l="1"/>
  <c r="B679" i="3"/>
  <c r="C679" i="3"/>
  <c r="D679" i="3"/>
  <c r="A680" i="3"/>
  <c r="F677" i="6"/>
  <c r="E677" i="6"/>
  <c r="D677" i="6"/>
  <c r="C677" i="6"/>
  <c r="B677" i="6"/>
  <c r="A678" i="6"/>
  <c r="E680" i="3" l="1"/>
  <c r="D680" i="3"/>
  <c r="C680" i="3"/>
  <c r="B680" i="3"/>
  <c r="A681" i="3"/>
  <c r="C678" i="6"/>
  <c r="B678" i="6"/>
  <c r="F678" i="6"/>
  <c r="E678" i="6"/>
  <c r="D678" i="6"/>
  <c r="A679" i="6"/>
  <c r="C681" i="3" l="1"/>
  <c r="E681" i="3"/>
  <c r="D681" i="3"/>
  <c r="B681" i="3"/>
  <c r="A682" i="3"/>
  <c r="E679" i="6"/>
  <c r="D679" i="6"/>
  <c r="C679" i="6"/>
  <c r="B679" i="6"/>
  <c r="F679" i="6"/>
  <c r="A680" i="6"/>
  <c r="F680" i="6" l="1"/>
  <c r="E680" i="6"/>
  <c r="D680" i="6"/>
  <c r="C680" i="6"/>
  <c r="B680" i="6"/>
  <c r="C682" i="3"/>
  <c r="B682" i="3"/>
  <c r="D682" i="3"/>
  <c r="E682" i="3"/>
  <c r="A683" i="3"/>
  <c r="A681" i="6"/>
  <c r="A682" i="6" l="1"/>
  <c r="E683" i="3"/>
  <c r="D683" i="3"/>
  <c r="C683" i="3"/>
  <c r="B683" i="3"/>
  <c r="A684" i="3"/>
  <c r="F681" i="6"/>
  <c r="E681" i="6"/>
  <c r="D681" i="6"/>
  <c r="C681" i="6"/>
  <c r="B681" i="6"/>
  <c r="A683" i="6" l="1"/>
  <c r="C682" i="6"/>
  <c r="B682" i="6"/>
  <c r="F682" i="6"/>
  <c r="E682" i="6"/>
  <c r="D682" i="6"/>
  <c r="D684" i="3"/>
  <c r="C684" i="3"/>
  <c r="B684" i="3"/>
  <c r="E684" i="3"/>
  <c r="A685" i="3"/>
  <c r="D685" i="3" l="1"/>
  <c r="C685" i="3"/>
  <c r="B685" i="3"/>
  <c r="E685" i="3"/>
  <c r="A686" i="3"/>
  <c r="E683" i="6"/>
  <c r="D683" i="6"/>
  <c r="C683" i="6"/>
  <c r="B683" i="6"/>
  <c r="F683" i="6"/>
  <c r="A684" i="6"/>
  <c r="B686" i="3" l="1"/>
  <c r="E686" i="3"/>
  <c r="D686" i="3"/>
  <c r="C686" i="3"/>
  <c r="A687" i="3"/>
  <c r="D684" i="6"/>
  <c r="B684" i="6"/>
  <c r="F684" i="6"/>
  <c r="E684" i="6"/>
  <c r="C684" i="6"/>
  <c r="A685" i="6"/>
  <c r="E687" i="3" l="1"/>
  <c r="B687" i="3"/>
  <c r="D687" i="3"/>
  <c r="C687" i="3"/>
  <c r="A688" i="3"/>
  <c r="F685" i="6"/>
  <c r="D685" i="6"/>
  <c r="B685" i="6"/>
  <c r="E685" i="6"/>
  <c r="C685" i="6"/>
  <c r="A686" i="6"/>
  <c r="E688" i="3" l="1"/>
  <c r="D688" i="3"/>
  <c r="C688" i="3"/>
  <c r="B688" i="3"/>
  <c r="A689" i="3"/>
  <c r="F686" i="6"/>
  <c r="D686" i="6"/>
  <c r="E686" i="6"/>
  <c r="C686" i="6"/>
  <c r="B686" i="6"/>
  <c r="A687" i="6"/>
  <c r="C689" i="3" l="1"/>
  <c r="D689" i="3"/>
  <c r="B689" i="3"/>
  <c r="E689" i="3"/>
  <c r="A690" i="3"/>
  <c r="B687" i="6"/>
  <c r="F687" i="6"/>
  <c r="E687" i="6"/>
  <c r="D687" i="6"/>
  <c r="C687" i="6"/>
  <c r="A688" i="6"/>
  <c r="C690" i="3" l="1"/>
  <c r="B690" i="3"/>
  <c r="E690" i="3"/>
  <c r="D690" i="3"/>
  <c r="A691" i="3"/>
  <c r="D688" i="6"/>
  <c r="B688" i="6"/>
  <c r="F688" i="6"/>
  <c r="E688" i="6"/>
  <c r="C688" i="6"/>
  <c r="A689" i="6"/>
  <c r="E691" i="3" l="1"/>
  <c r="D691" i="3"/>
  <c r="C691" i="3"/>
  <c r="B691" i="3"/>
  <c r="A692" i="3"/>
  <c r="F689" i="6"/>
  <c r="D689" i="6"/>
  <c r="B689" i="6"/>
  <c r="E689" i="6"/>
  <c r="C689" i="6"/>
  <c r="A690" i="6"/>
  <c r="D692" i="3" l="1"/>
  <c r="B692" i="3"/>
  <c r="E692" i="3"/>
  <c r="C692" i="3"/>
  <c r="A693" i="3"/>
  <c r="F690" i="6"/>
  <c r="D690" i="6"/>
  <c r="B690" i="6"/>
  <c r="C690" i="6"/>
  <c r="E690" i="6"/>
  <c r="A691" i="6"/>
  <c r="D693" i="3" l="1"/>
  <c r="C693" i="3"/>
  <c r="E693" i="3"/>
  <c r="B693" i="3"/>
  <c r="A694" i="3"/>
  <c r="B691" i="6"/>
  <c r="F691" i="6"/>
  <c r="D691" i="6"/>
  <c r="E691" i="6"/>
  <c r="C691" i="6"/>
  <c r="A692" i="6"/>
  <c r="B694" i="3" l="1"/>
  <c r="D694" i="3"/>
  <c r="C694" i="3"/>
  <c r="E694" i="3"/>
  <c r="A695" i="3"/>
  <c r="D692" i="6"/>
  <c r="B692" i="6"/>
  <c r="F692" i="6"/>
  <c r="E692" i="6"/>
  <c r="C692" i="6"/>
  <c r="A693" i="6"/>
  <c r="E695" i="3" l="1"/>
  <c r="B695" i="3"/>
  <c r="C695" i="3"/>
  <c r="D695" i="3"/>
  <c r="A696" i="3"/>
  <c r="F693" i="6"/>
  <c r="D693" i="6"/>
  <c r="B693" i="6"/>
  <c r="E693" i="6"/>
  <c r="C693" i="6"/>
  <c r="A694" i="6"/>
  <c r="E696" i="3" l="1"/>
  <c r="D696" i="3"/>
  <c r="C696" i="3"/>
  <c r="B696" i="3"/>
  <c r="A697" i="3"/>
  <c r="F694" i="6"/>
  <c r="D694" i="6"/>
  <c r="B694" i="6"/>
  <c r="E694" i="6"/>
  <c r="C694" i="6"/>
  <c r="A695" i="6"/>
  <c r="C697" i="3" l="1"/>
  <c r="B697" i="3"/>
  <c r="E697" i="3"/>
  <c r="D697" i="3"/>
  <c r="A698" i="3"/>
  <c r="B695" i="6"/>
  <c r="F695" i="6"/>
  <c r="D695" i="6"/>
  <c r="E695" i="6"/>
  <c r="C695" i="6"/>
  <c r="A696" i="6"/>
  <c r="C698" i="3" l="1"/>
  <c r="B698" i="3"/>
  <c r="E698" i="3"/>
  <c r="D698" i="3"/>
  <c r="A699" i="3"/>
  <c r="D696" i="6"/>
  <c r="B696" i="6"/>
  <c r="F696" i="6"/>
  <c r="E696" i="6"/>
  <c r="C696" i="6"/>
  <c r="A697" i="6"/>
  <c r="E699" i="3" l="1"/>
  <c r="D699" i="3"/>
  <c r="C699" i="3"/>
  <c r="B699" i="3"/>
  <c r="A700" i="3"/>
  <c r="F697" i="6"/>
  <c r="D697" i="6"/>
  <c r="B697" i="6"/>
  <c r="E697" i="6"/>
  <c r="C697" i="6"/>
  <c r="A698" i="6"/>
  <c r="D700" i="3" l="1"/>
  <c r="C700" i="3"/>
  <c r="B700" i="3"/>
  <c r="E700" i="3"/>
  <c r="A701" i="3"/>
  <c r="F698" i="6"/>
  <c r="D698" i="6"/>
  <c r="B698" i="6"/>
  <c r="C698" i="6"/>
  <c r="E698" i="6"/>
  <c r="A699" i="6"/>
  <c r="D701" i="3" l="1"/>
  <c r="C701" i="3"/>
  <c r="E701" i="3"/>
  <c r="B701" i="3"/>
  <c r="A702" i="3"/>
  <c r="B699" i="6"/>
  <c r="F699" i="6"/>
  <c r="D699" i="6"/>
  <c r="E699" i="6"/>
  <c r="C699" i="6"/>
  <c r="A700" i="6"/>
  <c r="B702" i="3" l="1"/>
  <c r="C702" i="3"/>
  <c r="E702" i="3"/>
  <c r="D702" i="3"/>
  <c r="A703" i="3"/>
  <c r="D700" i="6"/>
  <c r="B700" i="6"/>
  <c r="F700" i="6"/>
  <c r="E700" i="6"/>
  <c r="C700" i="6"/>
  <c r="A701" i="6"/>
  <c r="E703" i="3" l="1"/>
  <c r="B703" i="3"/>
  <c r="D703" i="3"/>
  <c r="C703" i="3"/>
  <c r="A704" i="3"/>
  <c r="F701" i="6"/>
  <c r="D701" i="6"/>
  <c r="B701" i="6"/>
  <c r="E701" i="6"/>
  <c r="C701" i="6"/>
  <c r="A702" i="6"/>
  <c r="E704" i="3" l="1"/>
  <c r="D704" i="3"/>
  <c r="C704" i="3"/>
  <c r="B704" i="3"/>
  <c r="A705" i="3"/>
  <c r="F702" i="6"/>
  <c r="D702" i="6"/>
  <c r="B702" i="6"/>
  <c r="E702" i="6"/>
  <c r="C702" i="6"/>
  <c r="A703" i="6"/>
  <c r="C705" i="3" l="1"/>
  <c r="D705" i="3"/>
  <c r="B705" i="3"/>
  <c r="E705" i="3"/>
  <c r="A706" i="3"/>
  <c r="B703" i="6"/>
  <c r="F703" i="6"/>
  <c r="D703" i="6"/>
  <c r="E703" i="6"/>
  <c r="C703" i="6"/>
  <c r="A704" i="6"/>
  <c r="C706" i="3" l="1"/>
  <c r="B706" i="3"/>
  <c r="E706" i="3"/>
  <c r="D706" i="3"/>
  <c r="A707" i="3"/>
  <c r="D704" i="6"/>
  <c r="B704" i="6"/>
  <c r="F704" i="6"/>
  <c r="E704" i="6"/>
  <c r="C704" i="6"/>
  <c r="A705" i="6"/>
  <c r="E707" i="3" l="1"/>
  <c r="C707" i="3"/>
  <c r="B707" i="3"/>
  <c r="D707" i="3"/>
  <c r="A708" i="3"/>
  <c r="F705" i="6"/>
  <c r="D705" i="6"/>
  <c r="B705" i="6"/>
  <c r="E705" i="6"/>
  <c r="C705" i="6"/>
  <c r="A706" i="6"/>
  <c r="D708" i="3" l="1"/>
  <c r="B708" i="3"/>
  <c r="E708" i="3"/>
  <c r="C708" i="3"/>
  <c r="A709" i="3"/>
  <c r="F706" i="6"/>
  <c r="D706" i="6"/>
  <c r="B706" i="6"/>
  <c r="C706" i="6"/>
  <c r="E706" i="6"/>
  <c r="A707" i="6"/>
  <c r="D709" i="3" l="1"/>
  <c r="C709" i="3"/>
  <c r="E709" i="3"/>
  <c r="B709" i="3"/>
  <c r="A710" i="3"/>
  <c r="B707" i="6"/>
  <c r="F707" i="6"/>
  <c r="D707" i="6"/>
  <c r="E707" i="6"/>
  <c r="C707" i="6"/>
  <c r="A708" i="6"/>
  <c r="B710" i="3" l="1"/>
  <c r="D710" i="3"/>
  <c r="C710" i="3"/>
  <c r="E710" i="3"/>
  <c r="A711" i="3"/>
  <c r="D708" i="6"/>
  <c r="B708" i="6"/>
  <c r="F708" i="6"/>
  <c r="E708" i="6"/>
  <c r="C708" i="6"/>
  <c r="A709" i="6"/>
  <c r="E711" i="3" l="1"/>
  <c r="B711" i="3"/>
  <c r="D711" i="3"/>
  <c r="C711" i="3"/>
  <c r="A712" i="3"/>
  <c r="F709" i="6"/>
  <c r="D709" i="6"/>
  <c r="B709" i="6"/>
  <c r="E709" i="6"/>
  <c r="C709" i="6"/>
  <c r="A710" i="6"/>
  <c r="F710" i="6" l="1"/>
  <c r="D710" i="6"/>
  <c r="B710" i="6"/>
  <c r="E710" i="6"/>
  <c r="C710" i="6"/>
  <c r="E712" i="3"/>
  <c r="D712" i="3"/>
  <c r="C712" i="3"/>
  <c r="B712" i="3"/>
  <c r="A713" i="3"/>
  <c r="A711" i="6"/>
  <c r="A712" i="6" l="1"/>
  <c r="B711" i="6"/>
  <c r="F711" i="6"/>
  <c r="D711" i="6"/>
  <c r="E711" i="6"/>
  <c r="C711" i="6"/>
  <c r="C713" i="3"/>
  <c r="B713" i="3"/>
  <c r="E713" i="3"/>
  <c r="D713" i="3"/>
  <c r="A714" i="3"/>
  <c r="C714" i="3" l="1"/>
  <c r="B714" i="3"/>
  <c r="E714" i="3"/>
  <c r="D714" i="3"/>
  <c r="A715" i="3"/>
  <c r="D712" i="6"/>
  <c r="B712" i="6"/>
  <c r="F712" i="6"/>
  <c r="E712" i="6"/>
  <c r="C712" i="6"/>
  <c r="A713" i="6"/>
  <c r="E715" i="3" l="1"/>
  <c r="B715" i="3"/>
  <c r="D715" i="3"/>
  <c r="C715" i="3"/>
  <c r="A716" i="3"/>
  <c r="F713" i="6"/>
  <c r="D713" i="6"/>
  <c r="B713" i="6"/>
  <c r="E713" i="6"/>
  <c r="C713" i="6"/>
  <c r="A714" i="6"/>
  <c r="D716" i="3" l="1"/>
  <c r="E716" i="3"/>
  <c r="B716" i="3"/>
  <c r="C716" i="3"/>
  <c r="A717" i="3"/>
  <c r="F714" i="6"/>
  <c r="D714" i="6"/>
  <c r="B714" i="6"/>
  <c r="C714" i="6"/>
  <c r="E714" i="6"/>
  <c r="A715" i="6"/>
  <c r="D717" i="3" l="1"/>
  <c r="C717" i="3"/>
  <c r="E717" i="3"/>
  <c r="B717" i="3"/>
  <c r="A718" i="3"/>
  <c r="B715" i="6"/>
  <c r="F715" i="6"/>
  <c r="D715" i="6"/>
  <c r="E715" i="6"/>
  <c r="C715" i="6"/>
  <c r="A716" i="6"/>
  <c r="B718" i="3" l="1"/>
  <c r="C718" i="3"/>
  <c r="E718" i="3"/>
  <c r="D718" i="3"/>
  <c r="A719" i="3"/>
  <c r="D716" i="6"/>
  <c r="B716" i="6"/>
  <c r="F716" i="6"/>
  <c r="E716" i="6"/>
  <c r="C716" i="6"/>
  <c r="A717" i="6"/>
  <c r="E719" i="3" l="1"/>
  <c r="B719" i="3"/>
  <c r="D719" i="3"/>
  <c r="C719" i="3"/>
  <c r="A720" i="3"/>
  <c r="F717" i="6"/>
  <c r="D717" i="6"/>
  <c r="B717" i="6"/>
  <c r="E717" i="6"/>
  <c r="C717" i="6"/>
  <c r="A718" i="6"/>
  <c r="E720" i="3" l="1"/>
  <c r="D720" i="3"/>
  <c r="B720" i="3"/>
  <c r="C720" i="3"/>
  <c r="A721" i="3"/>
  <c r="F718" i="6"/>
  <c r="D718" i="6"/>
  <c r="B718" i="6"/>
  <c r="E718" i="6"/>
  <c r="C718" i="6"/>
  <c r="A719" i="6"/>
  <c r="C721" i="3" l="1"/>
  <c r="E721" i="3"/>
  <c r="D721" i="3"/>
  <c r="B721" i="3"/>
  <c r="A722" i="3"/>
  <c r="B719" i="6"/>
  <c r="F719" i="6"/>
  <c r="D719" i="6"/>
  <c r="E719" i="6"/>
  <c r="C719" i="6"/>
  <c r="A720" i="6"/>
  <c r="C722" i="3" l="1"/>
  <c r="B722" i="3"/>
  <c r="E722" i="3"/>
  <c r="D722" i="3"/>
  <c r="A723" i="3"/>
  <c r="D720" i="6"/>
  <c r="B720" i="6"/>
  <c r="F720" i="6"/>
  <c r="E720" i="6"/>
  <c r="C720" i="6"/>
  <c r="A721" i="6"/>
  <c r="E723" i="3" l="1"/>
  <c r="C723" i="3"/>
  <c r="B723" i="3"/>
  <c r="D723" i="3"/>
  <c r="A724" i="3"/>
  <c r="F721" i="6"/>
  <c r="D721" i="6"/>
  <c r="B721" i="6"/>
  <c r="E721" i="6"/>
  <c r="C721" i="6"/>
  <c r="A722" i="6"/>
  <c r="D724" i="3" l="1"/>
  <c r="E724" i="3"/>
  <c r="C724" i="3"/>
  <c r="B724" i="3"/>
  <c r="A725" i="3"/>
  <c r="F722" i="6"/>
  <c r="D722" i="6"/>
  <c r="B722" i="6"/>
  <c r="C722" i="6"/>
  <c r="E722" i="6"/>
  <c r="A723" i="6"/>
  <c r="D725" i="3" l="1"/>
  <c r="C725" i="3"/>
  <c r="B725" i="3"/>
  <c r="E725" i="3"/>
  <c r="A726" i="3"/>
  <c r="B723" i="6"/>
  <c r="F723" i="6"/>
  <c r="D723" i="6"/>
  <c r="E723" i="6"/>
  <c r="C723" i="6"/>
  <c r="A724" i="6"/>
  <c r="B726" i="3" l="1"/>
  <c r="E726" i="3"/>
  <c r="C726" i="3"/>
  <c r="D726" i="3"/>
  <c r="A727" i="3"/>
  <c r="D724" i="6"/>
  <c r="B724" i="6"/>
  <c r="F724" i="6"/>
  <c r="E724" i="6"/>
  <c r="C724" i="6"/>
  <c r="A725" i="6"/>
  <c r="E727" i="3" l="1"/>
  <c r="B727" i="3"/>
  <c r="D727" i="3"/>
  <c r="C727" i="3"/>
  <c r="A728" i="3"/>
  <c r="F725" i="6"/>
  <c r="E725" i="6"/>
  <c r="D725" i="6"/>
  <c r="C725" i="6"/>
  <c r="B725" i="6"/>
  <c r="A726" i="6"/>
  <c r="E728" i="3" l="1"/>
  <c r="D728" i="3"/>
  <c r="C728" i="3"/>
  <c r="B728" i="3"/>
  <c r="A729" i="3"/>
  <c r="F726" i="6"/>
  <c r="E726" i="6"/>
  <c r="D726" i="6"/>
  <c r="C726" i="6"/>
  <c r="B726" i="6"/>
  <c r="A727" i="6"/>
  <c r="C729" i="3" l="1"/>
  <c r="E729" i="3"/>
  <c r="D729" i="3"/>
  <c r="B729" i="3"/>
  <c r="A730" i="3"/>
  <c r="B727" i="6"/>
  <c r="F727" i="6"/>
  <c r="E727" i="6"/>
  <c r="D727" i="6"/>
  <c r="C727" i="6"/>
  <c r="A728" i="6"/>
  <c r="C730" i="3" l="1"/>
  <c r="B730" i="3"/>
  <c r="D730" i="3"/>
  <c r="E730" i="3"/>
  <c r="A731" i="3"/>
  <c r="D728" i="6"/>
  <c r="C728" i="6"/>
  <c r="B728" i="6"/>
  <c r="F728" i="6"/>
  <c r="E728" i="6"/>
  <c r="A729" i="6"/>
  <c r="E731" i="3" l="1"/>
  <c r="B731" i="3"/>
  <c r="D731" i="3"/>
  <c r="C731" i="3"/>
  <c r="A732" i="3"/>
  <c r="F729" i="6"/>
  <c r="E729" i="6"/>
  <c r="D729" i="6"/>
  <c r="C729" i="6"/>
  <c r="B729" i="6"/>
  <c r="A730" i="6"/>
  <c r="D732" i="3" l="1"/>
  <c r="E732" i="3"/>
  <c r="C732" i="3"/>
  <c r="B732" i="3"/>
  <c r="A733" i="3"/>
  <c r="F730" i="6"/>
  <c r="E730" i="6"/>
  <c r="D730" i="6"/>
  <c r="C730" i="6"/>
  <c r="B730" i="6"/>
  <c r="A731" i="6"/>
  <c r="D733" i="3" l="1"/>
  <c r="C733" i="3"/>
  <c r="E733" i="3"/>
  <c r="B733" i="3"/>
  <c r="A734" i="3"/>
  <c r="B731" i="6"/>
  <c r="F731" i="6"/>
  <c r="E731" i="6"/>
  <c r="D731" i="6"/>
  <c r="C731" i="6"/>
  <c r="A732" i="6"/>
  <c r="B734" i="3" l="1"/>
  <c r="E734" i="3"/>
  <c r="D734" i="3"/>
  <c r="C734" i="3"/>
  <c r="A735" i="3"/>
  <c r="D732" i="6"/>
  <c r="C732" i="6"/>
  <c r="B732" i="6"/>
  <c r="F732" i="6"/>
  <c r="E732" i="6"/>
  <c r="A733" i="6"/>
  <c r="E735" i="3" l="1"/>
  <c r="B735" i="3"/>
  <c r="D735" i="3"/>
  <c r="C735" i="3"/>
  <c r="A736" i="3"/>
  <c r="F733" i="6"/>
  <c r="E733" i="6"/>
  <c r="D733" i="6"/>
  <c r="C733" i="6"/>
  <c r="B733" i="6"/>
  <c r="A734" i="6"/>
  <c r="E736" i="3" l="1"/>
  <c r="D736" i="3"/>
  <c r="B736" i="3"/>
  <c r="C736" i="3"/>
  <c r="A737" i="3"/>
  <c r="F734" i="6"/>
  <c r="E734" i="6"/>
  <c r="D734" i="6"/>
  <c r="C734" i="6"/>
  <c r="B734" i="6"/>
  <c r="A735" i="6"/>
  <c r="C737" i="3" l="1"/>
  <c r="E737" i="3"/>
  <c r="D737" i="3"/>
  <c r="B737" i="3"/>
  <c r="A738" i="3"/>
  <c r="B735" i="6"/>
  <c r="F735" i="6"/>
  <c r="E735" i="6"/>
  <c r="D735" i="6"/>
  <c r="C735" i="6"/>
  <c r="A736" i="6"/>
  <c r="C738" i="3" l="1"/>
  <c r="B738" i="3"/>
  <c r="E738" i="3"/>
  <c r="D738" i="3"/>
  <c r="A739" i="3"/>
  <c r="D736" i="6"/>
  <c r="C736" i="6"/>
  <c r="B736" i="6"/>
  <c r="F736" i="6"/>
  <c r="E736" i="6"/>
  <c r="A737" i="6"/>
  <c r="E739" i="3" l="1"/>
  <c r="D739" i="3"/>
  <c r="C739" i="3"/>
  <c r="B739" i="3"/>
  <c r="A740" i="3"/>
  <c r="F737" i="6"/>
  <c r="E737" i="6"/>
  <c r="D737" i="6"/>
  <c r="C737" i="6"/>
  <c r="B737" i="6"/>
  <c r="A738" i="6"/>
  <c r="D740" i="3" l="1"/>
  <c r="E740" i="3"/>
  <c r="C740" i="3"/>
  <c r="B740" i="3"/>
  <c r="A741" i="3"/>
  <c r="F738" i="6"/>
  <c r="E738" i="6"/>
  <c r="D738" i="6"/>
  <c r="C738" i="6"/>
  <c r="B738" i="6"/>
  <c r="A739" i="6"/>
  <c r="D741" i="3" l="1"/>
  <c r="C741" i="3"/>
  <c r="B741" i="3"/>
  <c r="E741" i="3"/>
  <c r="A742" i="3"/>
  <c r="B739" i="6"/>
  <c r="F739" i="6"/>
  <c r="E739" i="6"/>
  <c r="D739" i="6"/>
  <c r="C739" i="6"/>
  <c r="A740" i="6"/>
  <c r="B742" i="3" l="1"/>
  <c r="E742" i="3"/>
  <c r="D742" i="3"/>
  <c r="C742" i="3"/>
  <c r="A743" i="3"/>
  <c r="D740" i="6"/>
  <c r="C740" i="6"/>
  <c r="B740" i="6"/>
  <c r="F740" i="6"/>
  <c r="E740" i="6"/>
  <c r="A741" i="6"/>
  <c r="E743" i="3" l="1"/>
  <c r="B743" i="3"/>
  <c r="C743" i="3"/>
  <c r="D743" i="3"/>
  <c r="A744" i="3"/>
  <c r="F741" i="6"/>
  <c r="E741" i="6"/>
  <c r="D741" i="6"/>
  <c r="C741" i="6"/>
  <c r="B741" i="6"/>
  <c r="A742" i="6"/>
  <c r="E744" i="3" l="1"/>
  <c r="D744" i="3"/>
  <c r="C744" i="3"/>
  <c r="B744" i="3"/>
  <c r="A745" i="3"/>
  <c r="F742" i="6"/>
  <c r="E742" i="6"/>
  <c r="D742" i="6"/>
  <c r="C742" i="6"/>
  <c r="B742" i="6"/>
  <c r="A743" i="6"/>
  <c r="C745" i="3" l="1"/>
  <c r="E745" i="3"/>
  <c r="D745" i="3"/>
  <c r="B745" i="3"/>
  <c r="A746" i="3"/>
  <c r="B743" i="6"/>
  <c r="F743" i="6"/>
  <c r="E743" i="6"/>
  <c r="D743" i="6"/>
  <c r="C743" i="6"/>
  <c r="A744" i="6"/>
  <c r="C746" i="3" l="1"/>
  <c r="B746" i="3"/>
  <c r="D746" i="3"/>
  <c r="E746" i="3"/>
  <c r="A747" i="3"/>
  <c r="D744" i="6"/>
  <c r="C744" i="6"/>
  <c r="B744" i="6"/>
  <c r="F744" i="6"/>
  <c r="E744" i="6"/>
  <c r="A745" i="6"/>
  <c r="E747" i="3" l="1"/>
  <c r="D747" i="3"/>
  <c r="C747" i="3"/>
  <c r="B747" i="3"/>
  <c r="A748" i="3"/>
  <c r="F745" i="6"/>
  <c r="E745" i="6"/>
  <c r="D745" i="6"/>
  <c r="C745" i="6"/>
  <c r="B745" i="6"/>
  <c r="A746" i="6"/>
  <c r="D748" i="3" l="1"/>
  <c r="C748" i="3"/>
  <c r="B748" i="3"/>
  <c r="E748" i="3"/>
  <c r="A749" i="3"/>
  <c r="F746" i="6"/>
  <c r="E746" i="6"/>
  <c r="D746" i="6"/>
  <c r="C746" i="6"/>
  <c r="B746" i="6"/>
  <c r="A747" i="6"/>
  <c r="D749" i="3" l="1"/>
  <c r="C749" i="3"/>
  <c r="E749" i="3"/>
  <c r="B749" i="3"/>
  <c r="A750" i="3"/>
  <c r="B747" i="6"/>
  <c r="F747" i="6"/>
  <c r="E747" i="6"/>
  <c r="D747" i="6"/>
  <c r="C747" i="6"/>
  <c r="A748" i="6"/>
  <c r="B750" i="3" l="1"/>
  <c r="E750" i="3"/>
  <c r="D750" i="3"/>
  <c r="C750" i="3"/>
  <c r="A751" i="3"/>
  <c r="D748" i="6"/>
  <c r="C748" i="6"/>
  <c r="B748" i="6"/>
  <c r="F748" i="6"/>
  <c r="E748" i="6"/>
  <c r="A749" i="6"/>
  <c r="E751" i="3" l="1"/>
  <c r="B751" i="3"/>
  <c r="D751" i="3"/>
  <c r="C751" i="3"/>
  <c r="A752" i="3"/>
  <c r="F749" i="6"/>
  <c r="E749" i="6"/>
  <c r="D749" i="6"/>
  <c r="C749" i="6"/>
  <c r="B749" i="6"/>
  <c r="A750" i="6"/>
  <c r="E752" i="3" l="1"/>
  <c r="D752" i="3"/>
  <c r="C752" i="3"/>
  <c r="B752" i="3"/>
  <c r="A753" i="3"/>
  <c r="F750" i="6"/>
  <c r="E750" i="6"/>
  <c r="D750" i="6"/>
  <c r="C750" i="6"/>
  <c r="B750" i="6"/>
  <c r="A751" i="6"/>
  <c r="C753" i="3" l="1"/>
  <c r="E753" i="3"/>
  <c r="D753" i="3"/>
  <c r="B753" i="3"/>
  <c r="A754" i="3"/>
  <c r="B751" i="6"/>
  <c r="F751" i="6"/>
  <c r="E751" i="6"/>
  <c r="D751" i="6"/>
  <c r="C751" i="6"/>
  <c r="A752" i="6"/>
  <c r="D754" i="3" l="1"/>
  <c r="C754" i="3"/>
  <c r="B754" i="3"/>
  <c r="E754" i="3"/>
  <c r="A755" i="3"/>
  <c r="D752" i="6"/>
  <c r="C752" i="6"/>
  <c r="B752" i="6"/>
  <c r="F752" i="6"/>
  <c r="E752" i="6"/>
  <c r="A753" i="6"/>
  <c r="E755" i="3" l="1"/>
  <c r="D755" i="3"/>
  <c r="C755" i="3"/>
  <c r="B755" i="3"/>
  <c r="A756" i="3"/>
  <c r="F753" i="6"/>
  <c r="E753" i="6"/>
  <c r="D753" i="6"/>
  <c r="C753" i="6"/>
  <c r="B753" i="6"/>
  <c r="A754" i="6"/>
  <c r="D756" i="3" l="1"/>
  <c r="B756" i="3"/>
  <c r="E756" i="3"/>
  <c r="C756" i="3"/>
  <c r="A757" i="3"/>
  <c r="F754" i="6"/>
  <c r="E754" i="6"/>
  <c r="D754" i="6"/>
  <c r="C754" i="6"/>
  <c r="B754" i="6"/>
  <c r="A755" i="6"/>
  <c r="E757" i="3" l="1"/>
  <c r="D757" i="3"/>
  <c r="C757" i="3"/>
  <c r="B757" i="3"/>
  <c r="A758" i="3"/>
  <c r="B755" i="6"/>
  <c r="F755" i="6"/>
  <c r="E755" i="6"/>
  <c r="D755" i="6"/>
  <c r="C755" i="6"/>
  <c r="A756" i="6"/>
  <c r="B758" i="3" l="1"/>
  <c r="C758" i="3"/>
  <c r="D758" i="3"/>
  <c r="E758" i="3"/>
  <c r="A759" i="3"/>
  <c r="D756" i="6"/>
  <c r="C756" i="6"/>
  <c r="B756" i="6"/>
  <c r="F756" i="6"/>
  <c r="E756" i="6"/>
  <c r="A757" i="6"/>
  <c r="E759" i="3" l="1"/>
  <c r="D759" i="3"/>
  <c r="C759" i="3"/>
  <c r="B759" i="3"/>
  <c r="A760" i="3"/>
  <c r="F757" i="6"/>
  <c r="E757" i="6"/>
  <c r="D757" i="6"/>
  <c r="C757" i="6"/>
  <c r="B757" i="6"/>
  <c r="A758" i="6"/>
  <c r="E760" i="3" l="1"/>
  <c r="D760" i="3"/>
  <c r="C760" i="3"/>
  <c r="B760" i="3"/>
  <c r="A761" i="3"/>
  <c r="F758" i="6"/>
  <c r="E758" i="6"/>
  <c r="D758" i="6"/>
  <c r="C758" i="6"/>
  <c r="B758" i="6"/>
  <c r="A759" i="6"/>
  <c r="C761" i="3" l="1"/>
  <c r="B761" i="3"/>
  <c r="D761" i="3"/>
  <c r="E761" i="3"/>
  <c r="A762" i="3"/>
  <c r="B759" i="6"/>
  <c r="F759" i="6"/>
  <c r="E759" i="6"/>
  <c r="D759" i="6"/>
  <c r="C759" i="6"/>
  <c r="A760" i="6"/>
  <c r="E762" i="3" l="1"/>
  <c r="D762" i="3"/>
  <c r="C762" i="3"/>
  <c r="B762" i="3"/>
  <c r="A763" i="3"/>
  <c r="D760" i="6"/>
  <c r="C760" i="6"/>
  <c r="B760" i="6"/>
  <c r="F760" i="6"/>
  <c r="E760" i="6"/>
  <c r="A761" i="6"/>
  <c r="E763" i="3" l="1"/>
  <c r="D763" i="3"/>
  <c r="C763" i="3"/>
  <c r="B763" i="3"/>
  <c r="A764" i="3"/>
  <c r="F761" i="6"/>
  <c r="E761" i="6"/>
  <c r="D761" i="6"/>
  <c r="C761" i="6"/>
  <c r="B761" i="6"/>
  <c r="A762" i="6"/>
  <c r="D764" i="3" l="1"/>
  <c r="C764" i="3"/>
  <c r="B764" i="3"/>
  <c r="E764" i="3"/>
  <c r="A765" i="3"/>
  <c r="F762" i="6"/>
  <c r="E762" i="6"/>
  <c r="D762" i="6"/>
  <c r="C762" i="6"/>
  <c r="B762" i="6"/>
  <c r="A763" i="6"/>
  <c r="E765" i="3" l="1"/>
  <c r="D765" i="3"/>
  <c r="C765" i="3"/>
  <c r="B765" i="3"/>
  <c r="A766" i="3"/>
  <c r="B763" i="6"/>
  <c r="F763" i="6"/>
  <c r="E763" i="6"/>
  <c r="D763" i="6"/>
  <c r="C763" i="6"/>
  <c r="A764" i="6"/>
  <c r="B766" i="3" l="1"/>
  <c r="D766" i="3"/>
  <c r="C766" i="3"/>
  <c r="E766" i="3"/>
  <c r="A767" i="3"/>
  <c r="D764" i="6"/>
  <c r="C764" i="6"/>
  <c r="B764" i="6"/>
  <c r="F764" i="6"/>
  <c r="E764" i="6"/>
  <c r="A765" i="6"/>
  <c r="E767" i="3" l="1"/>
  <c r="D767" i="3"/>
  <c r="C767" i="3"/>
  <c r="B767" i="3"/>
  <c r="A768" i="3"/>
  <c r="F765" i="6"/>
  <c r="E765" i="6"/>
  <c r="D765" i="6"/>
  <c r="C765" i="6"/>
  <c r="B765" i="6"/>
  <c r="A766" i="6"/>
  <c r="E768" i="3" l="1"/>
  <c r="D768" i="3"/>
  <c r="C768" i="3"/>
  <c r="B768" i="3"/>
  <c r="A769" i="3"/>
  <c r="F766" i="6"/>
  <c r="E766" i="6"/>
  <c r="D766" i="6"/>
  <c r="C766" i="6"/>
  <c r="B766" i="6"/>
  <c r="A767" i="6"/>
  <c r="C769" i="3" l="1"/>
  <c r="B769" i="3"/>
  <c r="E769" i="3"/>
  <c r="D769" i="3"/>
  <c r="A770" i="3"/>
  <c r="B767" i="6"/>
  <c r="F767" i="6"/>
  <c r="E767" i="6"/>
  <c r="D767" i="6"/>
  <c r="C767" i="6"/>
  <c r="A768" i="6"/>
  <c r="E770" i="3" l="1"/>
  <c r="D770" i="3"/>
  <c r="C770" i="3"/>
  <c r="B770" i="3"/>
  <c r="A771" i="3"/>
  <c r="D768" i="6"/>
  <c r="C768" i="6"/>
  <c r="B768" i="6"/>
  <c r="F768" i="6"/>
  <c r="E768" i="6"/>
  <c r="A769" i="6"/>
  <c r="D771" i="3" l="1"/>
  <c r="B771" i="3"/>
  <c r="E771" i="3"/>
  <c r="C771" i="3"/>
  <c r="A772" i="3"/>
  <c r="F769" i="6"/>
  <c r="E769" i="6"/>
  <c r="D769" i="6"/>
  <c r="C769" i="6"/>
  <c r="B769" i="6"/>
  <c r="A770" i="6"/>
  <c r="E772" i="3" l="1"/>
  <c r="D772" i="3"/>
  <c r="C772" i="3"/>
  <c r="B772" i="3"/>
  <c r="A773" i="3"/>
  <c r="F770" i="6"/>
  <c r="E770" i="6"/>
  <c r="D770" i="6"/>
  <c r="C770" i="6"/>
  <c r="B770" i="6"/>
  <c r="A771" i="6"/>
  <c r="B773" i="3" l="1"/>
  <c r="D773" i="3"/>
  <c r="E773" i="3"/>
  <c r="C773" i="3"/>
  <c r="A774" i="3"/>
  <c r="B771" i="6"/>
  <c r="F771" i="6"/>
  <c r="E771" i="6"/>
  <c r="D771" i="6"/>
  <c r="C771" i="6"/>
  <c r="A772" i="6"/>
  <c r="E774" i="3" l="1"/>
  <c r="D774" i="3"/>
  <c r="C774" i="3"/>
  <c r="B774" i="3"/>
  <c r="A775" i="3"/>
  <c r="D772" i="6"/>
  <c r="C772" i="6"/>
  <c r="B772" i="6"/>
  <c r="F772" i="6"/>
  <c r="E772" i="6"/>
  <c r="A773" i="6"/>
  <c r="E775" i="3" l="1"/>
  <c r="C775" i="3"/>
  <c r="D775" i="3"/>
  <c r="B775" i="3"/>
  <c r="A776" i="3"/>
  <c r="F773" i="6"/>
  <c r="E773" i="6"/>
  <c r="D773" i="6"/>
  <c r="C773" i="6"/>
  <c r="B773" i="6"/>
  <c r="A774" i="6"/>
  <c r="C776" i="3" l="1"/>
  <c r="E776" i="3"/>
  <c r="D776" i="3"/>
  <c r="B776" i="3"/>
  <c r="A777" i="3"/>
  <c r="F774" i="6"/>
  <c r="E774" i="6"/>
  <c r="D774" i="6"/>
  <c r="C774" i="6"/>
  <c r="B774" i="6"/>
  <c r="A775" i="6"/>
  <c r="E777" i="3" l="1"/>
  <c r="D777" i="3"/>
  <c r="B777" i="3"/>
  <c r="C777" i="3"/>
  <c r="A778" i="3"/>
  <c r="B775" i="6"/>
  <c r="F775" i="6"/>
  <c r="E775" i="6"/>
  <c r="D775" i="6"/>
  <c r="C775" i="6"/>
  <c r="A776" i="6"/>
  <c r="D778" i="3" l="1"/>
  <c r="C778" i="3"/>
  <c r="B778" i="3"/>
  <c r="E778" i="3"/>
  <c r="A779" i="3"/>
  <c r="D776" i="6"/>
  <c r="C776" i="6"/>
  <c r="B776" i="6"/>
  <c r="F776" i="6"/>
  <c r="E776" i="6"/>
  <c r="A777" i="6"/>
  <c r="D779" i="3" l="1"/>
  <c r="E779" i="3"/>
  <c r="C779" i="3"/>
  <c r="B779" i="3"/>
  <c r="A780" i="3"/>
  <c r="D777" i="6"/>
  <c r="F777" i="6"/>
  <c r="E777" i="6"/>
  <c r="C777" i="6"/>
  <c r="B777" i="6"/>
  <c r="A778" i="6"/>
  <c r="F778" i="6" l="1"/>
  <c r="D778" i="6"/>
  <c r="B778" i="6"/>
  <c r="C778" i="6"/>
  <c r="E778" i="6"/>
  <c r="C780" i="3"/>
  <c r="B780" i="3"/>
  <c r="E780" i="3"/>
  <c r="D780" i="3"/>
  <c r="A781" i="3"/>
  <c r="A779" i="6"/>
  <c r="F779" i="6" l="1"/>
  <c r="D779" i="6"/>
  <c r="B779" i="6"/>
  <c r="E779" i="6"/>
  <c r="C779" i="6"/>
  <c r="B781" i="3"/>
  <c r="E781" i="3"/>
  <c r="D781" i="3"/>
  <c r="C781" i="3"/>
  <c r="A782" i="3"/>
  <c r="A780" i="6"/>
  <c r="A781" i="6" l="1"/>
  <c r="B780" i="6"/>
  <c r="F780" i="6"/>
  <c r="D780" i="6"/>
  <c r="E780" i="6"/>
  <c r="C780" i="6"/>
  <c r="E782" i="3"/>
  <c r="B782" i="3"/>
  <c r="D782" i="3"/>
  <c r="C782" i="3"/>
  <c r="A783" i="3"/>
  <c r="E783" i="3" l="1"/>
  <c r="D783" i="3"/>
  <c r="C783" i="3"/>
  <c r="B783" i="3"/>
  <c r="A784" i="3"/>
  <c r="D781" i="6"/>
  <c r="B781" i="6"/>
  <c r="F781" i="6"/>
  <c r="E781" i="6"/>
  <c r="C781" i="6"/>
  <c r="A782" i="6"/>
  <c r="C784" i="3" l="1"/>
  <c r="D784" i="3"/>
  <c r="B784" i="3"/>
  <c r="E784" i="3"/>
  <c r="A785" i="3"/>
  <c r="F782" i="6"/>
  <c r="D782" i="6"/>
  <c r="B782" i="6"/>
  <c r="E782" i="6"/>
  <c r="C782" i="6"/>
  <c r="A783" i="6"/>
  <c r="E785" i="3" l="1"/>
  <c r="D785" i="3"/>
  <c r="C785" i="3"/>
  <c r="B785" i="3"/>
  <c r="A786" i="3"/>
  <c r="F783" i="6"/>
  <c r="D783" i="6"/>
  <c r="B783" i="6"/>
  <c r="E783" i="6"/>
  <c r="C783" i="6"/>
  <c r="A784" i="6"/>
  <c r="E786" i="3" l="1"/>
  <c r="C786" i="3"/>
  <c r="B786" i="3"/>
  <c r="D786" i="3"/>
  <c r="A787" i="3"/>
  <c r="B784" i="6"/>
  <c r="F784" i="6"/>
  <c r="D784" i="6"/>
  <c r="E784" i="6"/>
  <c r="C784" i="6"/>
  <c r="A785" i="6"/>
  <c r="D787" i="3" l="1"/>
  <c r="E787" i="3"/>
  <c r="C787" i="3"/>
  <c r="B787" i="3"/>
  <c r="A788" i="3"/>
  <c r="D785" i="6"/>
  <c r="B785" i="6"/>
  <c r="F785" i="6"/>
  <c r="E785" i="6"/>
  <c r="C785" i="6"/>
  <c r="A786" i="6"/>
  <c r="E788" i="3" l="1"/>
  <c r="D788" i="3"/>
  <c r="B788" i="3"/>
  <c r="C788" i="3"/>
  <c r="A789" i="3"/>
  <c r="F786" i="6"/>
  <c r="D786" i="6"/>
  <c r="B786" i="6"/>
  <c r="C786" i="6"/>
  <c r="E786" i="6"/>
  <c r="A787" i="6"/>
  <c r="B789" i="3" l="1"/>
  <c r="D789" i="3"/>
  <c r="C789" i="3"/>
  <c r="E789" i="3"/>
  <c r="A790" i="3"/>
  <c r="F787" i="6"/>
  <c r="D787" i="6"/>
  <c r="B787" i="6"/>
  <c r="E787" i="6"/>
  <c r="C787" i="6"/>
  <c r="A788" i="6"/>
  <c r="E790" i="3" l="1"/>
  <c r="D790" i="3"/>
  <c r="C790" i="3"/>
  <c r="B790" i="3"/>
  <c r="A791" i="3"/>
  <c r="B788" i="6"/>
  <c r="F788" i="6"/>
  <c r="D788" i="6"/>
  <c r="E788" i="6"/>
  <c r="C788" i="6"/>
  <c r="A789" i="6"/>
  <c r="C791" i="3" l="1"/>
  <c r="B791" i="3"/>
  <c r="E791" i="3"/>
  <c r="D791" i="3"/>
  <c r="A792" i="3"/>
  <c r="D789" i="6"/>
  <c r="B789" i="6"/>
  <c r="F789" i="6"/>
  <c r="E789" i="6"/>
  <c r="C789" i="6"/>
  <c r="A790" i="6"/>
  <c r="C792" i="3" l="1"/>
  <c r="E792" i="3"/>
  <c r="D792" i="3"/>
  <c r="B792" i="3"/>
  <c r="A793" i="3"/>
  <c r="F790" i="6"/>
  <c r="D790" i="6"/>
  <c r="B790" i="6"/>
  <c r="E790" i="6"/>
  <c r="C790" i="6"/>
  <c r="A791" i="6"/>
  <c r="B793" i="3" l="1"/>
  <c r="D793" i="3"/>
  <c r="C793" i="3"/>
  <c r="E793" i="3"/>
  <c r="A794" i="3"/>
  <c r="F791" i="6"/>
  <c r="D791" i="6"/>
  <c r="B791" i="6"/>
  <c r="E791" i="6"/>
  <c r="C791" i="6"/>
  <c r="A792" i="6"/>
  <c r="E794" i="3" l="1"/>
  <c r="D794" i="3"/>
  <c r="C794" i="3"/>
  <c r="B794" i="3"/>
  <c r="A795" i="3"/>
  <c r="B792" i="6"/>
  <c r="F792" i="6"/>
  <c r="D792" i="6"/>
  <c r="E792" i="6"/>
  <c r="C792" i="6"/>
  <c r="A793" i="6"/>
  <c r="D795" i="3" l="1"/>
  <c r="C795" i="3"/>
  <c r="E795" i="3"/>
  <c r="B795" i="3"/>
  <c r="A796" i="3"/>
  <c r="D793" i="6"/>
  <c r="B793" i="6"/>
  <c r="F793" i="6"/>
  <c r="E793" i="6"/>
  <c r="C793" i="6"/>
  <c r="A794" i="6"/>
  <c r="E796" i="3" l="1"/>
  <c r="D796" i="3"/>
  <c r="C796" i="3"/>
  <c r="B796" i="3"/>
  <c r="A797" i="3"/>
  <c r="F794" i="6"/>
  <c r="D794" i="6"/>
  <c r="B794" i="6"/>
  <c r="C794" i="6"/>
  <c r="E794" i="6"/>
  <c r="A795" i="6"/>
  <c r="B797" i="3" l="1"/>
  <c r="E797" i="3"/>
  <c r="C797" i="3"/>
  <c r="D797" i="3"/>
  <c r="A798" i="3"/>
  <c r="F795" i="6"/>
  <c r="D795" i="6"/>
  <c r="B795" i="6"/>
  <c r="E795" i="6"/>
  <c r="C795" i="6"/>
  <c r="A796" i="6"/>
  <c r="E798" i="3" l="1"/>
  <c r="D798" i="3"/>
  <c r="C798" i="3"/>
  <c r="B798" i="3"/>
  <c r="A799" i="3"/>
  <c r="B796" i="6"/>
  <c r="F796" i="6"/>
  <c r="D796" i="6"/>
  <c r="E796" i="6"/>
  <c r="C796" i="6"/>
  <c r="A797" i="6"/>
  <c r="E799" i="3" l="1"/>
  <c r="D799" i="3"/>
  <c r="B799" i="3"/>
  <c r="C799" i="3"/>
  <c r="A800" i="3"/>
  <c r="D797" i="6"/>
  <c r="B797" i="6"/>
  <c r="F797" i="6"/>
  <c r="E797" i="6"/>
  <c r="C797" i="6"/>
  <c r="A798" i="6"/>
  <c r="C800" i="3" l="1"/>
  <c r="D800" i="3"/>
  <c r="B800" i="3"/>
  <c r="E800" i="3"/>
  <c r="A801" i="3"/>
  <c r="F798" i="6"/>
  <c r="D798" i="6"/>
  <c r="B798" i="6"/>
  <c r="E798" i="6"/>
  <c r="C798" i="6"/>
  <c r="A799" i="6"/>
  <c r="E801" i="3" l="1"/>
  <c r="D801" i="3"/>
  <c r="C801" i="3"/>
  <c r="B801" i="3"/>
  <c r="A802" i="3"/>
  <c r="F799" i="6"/>
  <c r="D799" i="6"/>
  <c r="B799" i="6"/>
  <c r="E799" i="6"/>
  <c r="C799" i="6"/>
  <c r="A800" i="6"/>
  <c r="C802" i="3" l="1"/>
  <c r="B802" i="3"/>
  <c r="E802" i="3"/>
  <c r="D802" i="3"/>
  <c r="A803" i="3"/>
  <c r="B800" i="6"/>
  <c r="F800" i="6"/>
  <c r="D800" i="6"/>
  <c r="E800" i="6"/>
  <c r="C800" i="6"/>
  <c r="A801" i="6"/>
  <c r="D803" i="3" l="1"/>
  <c r="E803" i="3"/>
  <c r="C803" i="3"/>
  <c r="B803" i="3"/>
  <c r="A804" i="3"/>
  <c r="D801" i="6"/>
  <c r="B801" i="6"/>
  <c r="F801" i="6"/>
  <c r="E801" i="6"/>
  <c r="C801" i="6"/>
  <c r="A802" i="6"/>
  <c r="B804" i="3" l="1"/>
  <c r="D804" i="3"/>
  <c r="E804" i="3"/>
  <c r="C804" i="3"/>
  <c r="A805" i="3"/>
  <c r="F802" i="6"/>
  <c r="D802" i="6"/>
  <c r="B802" i="6"/>
  <c r="C802" i="6"/>
  <c r="E802" i="6"/>
  <c r="A803" i="6"/>
  <c r="B805" i="3" l="1"/>
  <c r="E805" i="3"/>
  <c r="D805" i="3"/>
  <c r="C805" i="3"/>
  <c r="A806" i="3"/>
  <c r="F803" i="6"/>
  <c r="D803" i="6"/>
  <c r="B803" i="6"/>
  <c r="E803" i="6"/>
  <c r="C803" i="6"/>
  <c r="A804" i="6"/>
  <c r="E806" i="3" l="1"/>
  <c r="C806" i="3"/>
  <c r="B806" i="3"/>
  <c r="D806" i="3"/>
  <c r="A807" i="3"/>
  <c r="B804" i="6"/>
  <c r="F804" i="6"/>
  <c r="D804" i="6"/>
  <c r="E804" i="6"/>
  <c r="C804" i="6"/>
  <c r="A805" i="6"/>
  <c r="E807" i="3" l="1"/>
  <c r="D807" i="3"/>
  <c r="C807" i="3"/>
  <c r="B807" i="3"/>
  <c r="A808" i="3"/>
  <c r="D805" i="6"/>
  <c r="B805" i="6"/>
  <c r="F805" i="6"/>
  <c r="E805" i="6"/>
  <c r="C805" i="6"/>
  <c r="A806" i="6"/>
  <c r="C808" i="3" l="1"/>
  <c r="D808" i="3"/>
  <c r="B808" i="3"/>
  <c r="E808" i="3"/>
  <c r="A809" i="3"/>
  <c r="F806" i="6"/>
  <c r="D806" i="6"/>
  <c r="B806" i="6"/>
  <c r="E806" i="6"/>
  <c r="C806" i="6"/>
  <c r="A807" i="6"/>
  <c r="D809" i="3" l="1"/>
  <c r="E809" i="3"/>
  <c r="C809" i="3"/>
  <c r="B809" i="3"/>
  <c r="A810" i="3"/>
  <c r="F807" i="6"/>
  <c r="D807" i="6"/>
  <c r="B807" i="6"/>
  <c r="E807" i="6"/>
  <c r="C807" i="6"/>
  <c r="A808" i="6"/>
  <c r="B810" i="3" l="1"/>
  <c r="D810" i="3"/>
  <c r="E810" i="3"/>
  <c r="C810" i="3"/>
  <c r="A811" i="3"/>
  <c r="B808" i="6"/>
  <c r="F808" i="6"/>
  <c r="D808" i="6"/>
  <c r="E808" i="6"/>
  <c r="C808" i="6"/>
  <c r="A809" i="6"/>
  <c r="B811" i="3" l="1"/>
  <c r="D811" i="3"/>
  <c r="E811" i="3"/>
  <c r="C811" i="3"/>
  <c r="A812" i="3"/>
  <c r="D809" i="6"/>
  <c r="B809" i="6"/>
  <c r="F809" i="6"/>
  <c r="E809" i="6"/>
  <c r="C809" i="6"/>
  <c r="A810" i="6"/>
  <c r="E812" i="3" l="1"/>
  <c r="B812" i="3"/>
  <c r="D812" i="3"/>
  <c r="C812" i="3"/>
  <c r="A813" i="3"/>
  <c r="F810" i="6"/>
  <c r="D810" i="6"/>
  <c r="B810" i="6"/>
  <c r="C810" i="6"/>
  <c r="E810" i="6"/>
  <c r="A811" i="6"/>
  <c r="B813" i="3" l="1"/>
  <c r="E813" i="3"/>
  <c r="D813" i="3"/>
  <c r="C813" i="3"/>
  <c r="A814" i="3"/>
  <c r="F811" i="6"/>
  <c r="D811" i="6"/>
  <c r="B811" i="6"/>
  <c r="E811" i="6"/>
  <c r="C811" i="6"/>
  <c r="A812" i="6"/>
  <c r="C814" i="3" l="1"/>
  <c r="E814" i="3"/>
  <c r="B814" i="3"/>
  <c r="D814" i="3"/>
  <c r="A815" i="3"/>
  <c r="B812" i="6"/>
  <c r="F812" i="6"/>
  <c r="D812" i="6"/>
  <c r="E812" i="6"/>
  <c r="C812" i="6"/>
  <c r="A813" i="6"/>
  <c r="E815" i="3" l="1"/>
  <c r="D815" i="3"/>
  <c r="C815" i="3"/>
  <c r="B815" i="3"/>
  <c r="A816" i="3"/>
  <c r="D813" i="6"/>
  <c r="C813" i="6"/>
  <c r="B813" i="6"/>
  <c r="F813" i="6"/>
  <c r="E813" i="6"/>
  <c r="A814" i="6"/>
  <c r="C816" i="3" l="1"/>
  <c r="D816" i="3"/>
  <c r="B816" i="3"/>
  <c r="E816" i="3"/>
  <c r="A817" i="3"/>
  <c r="F814" i="6"/>
  <c r="E814" i="6"/>
  <c r="D814" i="6"/>
  <c r="C814" i="6"/>
  <c r="B814" i="6"/>
  <c r="A815" i="6"/>
  <c r="D817" i="3" l="1"/>
  <c r="E817" i="3"/>
  <c r="C817" i="3"/>
  <c r="B817" i="3"/>
  <c r="A818" i="3"/>
  <c r="F815" i="6"/>
  <c r="E815" i="6"/>
  <c r="D815" i="6"/>
  <c r="B815" i="6"/>
  <c r="C815" i="6"/>
  <c r="A816" i="6"/>
  <c r="D818" i="3" l="1"/>
  <c r="C818" i="3"/>
  <c r="B818" i="3"/>
  <c r="E818" i="3"/>
  <c r="A819" i="3"/>
  <c r="B816" i="6"/>
  <c r="F816" i="6"/>
  <c r="E816" i="6"/>
  <c r="D816" i="6"/>
  <c r="C816" i="6"/>
  <c r="A817" i="6"/>
  <c r="B819" i="3" l="1"/>
  <c r="D819" i="3"/>
  <c r="E819" i="3"/>
  <c r="C819" i="3"/>
  <c r="A820" i="3"/>
  <c r="D817" i="6"/>
  <c r="C817" i="6"/>
  <c r="B817" i="6"/>
  <c r="F817" i="6"/>
  <c r="E817" i="6"/>
  <c r="A818" i="6"/>
  <c r="E820" i="3" l="1"/>
  <c r="D820" i="3"/>
  <c r="C820" i="3"/>
  <c r="B820" i="3"/>
  <c r="A821" i="3"/>
  <c r="F818" i="6"/>
  <c r="E818" i="6"/>
  <c r="D818" i="6"/>
  <c r="C818" i="6"/>
  <c r="B818" i="6"/>
  <c r="A819" i="6"/>
  <c r="B821" i="3" l="1"/>
  <c r="E821" i="3"/>
  <c r="C821" i="3"/>
  <c r="D821" i="3"/>
  <c r="A822" i="3"/>
  <c r="F819" i="6"/>
  <c r="E819" i="6"/>
  <c r="D819" i="6"/>
  <c r="C819" i="6"/>
  <c r="B819" i="6"/>
  <c r="A820" i="6"/>
  <c r="C822" i="3" l="1"/>
  <c r="E822" i="3"/>
  <c r="D822" i="3"/>
  <c r="B822" i="3"/>
  <c r="A823" i="3"/>
  <c r="B820" i="6"/>
  <c r="F820" i="6"/>
  <c r="E820" i="6"/>
  <c r="D820" i="6"/>
  <c r="C820" i="6"/>
  <c r="A821" i="6"/>
  <c r="E823" i="3" l="1"/>
  <c r="C823" i="3"/>
  <c r="B823" i="3"/>
  <c r="D823" i="3"/>
  <c r="A824" i="3"/>
  <c r="D821" i="6"/>
  <c r="C821" i="6"/>
  <c r="B821" i="6"/>
  <c r="F821" i="6"/>
  <c r="E821" i="6"/>
  <c r="A822" i="6"/>
  <c r="C824" i="3" l="1"/>
  <c r="E824" i="3"/>
  <c r="D824" i="3"/>
  <c r="B824" i="3"/>
  <c r="A825" i="3"/>
  <c r="F822" i="6"/>
  <c r="E822" i="6"/>
  <c r="D822" i="6"/>
  <c r="C822" i="6"/>
  <c r="B822" i="6"/>
  <c r="A823" i="6"/>
  <c r="D825" i="3" l="1"/>
  <c r="C825" i="3"/>
  <c r="B825" i="3"/>
  <c r="E825" i="3"/>
  <c r="A826" i="3"/>
  <c r="F823" i="6"/>
  <c r="E823" i="6"/>
  <c r="D823" i="6"/>
  <c r="C823" i="6"/>
  <c r="B823" i="6"/>
  <c r="A824" i="6"/>
  <c r="E826" i="3" l="1"/>
  <c r="D826" i="3"/>
  <c r="C826" i="3"/>
  <c r="B826" i="3"/>
  <c r="A827" i="3"/>
  <c r="C824" i="6"/>
  <c r="B824" i="6"/>
  <c r="F824" i="6"/>
  <c r="E824" i="6"/>
  <c r="D824" i="6"/>
  <c r="A825" i="6"/>
  <c r="B827" i="3" l="1"/>
  <c r="D827" i="3"/>
  <c r="E827" i="3"/>
  <c r="C827" i="3"/>
  <c r="A828" i="3"/>
  <c r="E825" i="6"/>
  <c r="D825" i="6"/>
  <c r="C825" i="6"/>
  <c r="B825" i="6"/>
  <c r="F825" i="6"/>
  <c r="A826" i="6"/>
  <c r="E828" i="3" l="1"/>
  <c r="D828" i="3"/>
  <c r="C828" i="3"/>
  <c r="B828" i="3"/>
  <c r="A829" i="3"/>
  <c r="F826" i="6"/>
  <c r="E826" i="6"/>
  <c r="D826" i="6"/>
  <c r="C826" i="6"/>
  <c r="B826" i="6"/>
  <c r="A827" i="6"/>
  <c r="D829" i="3" l="1"/>
  <c r="B829" i="3"/>
  <c r="E829" i="3"/>
  <c r="C829" i="3"/>
  <c r="A830" i="3"/>
  <c r="F827" i="6"/>
  <c r="E827" i="6"/>
  <c r="D827" i="6"/>
  <c r="C827" i="6"/>
  <c r="B827" i="6"/>
  <c r="A828" i="6"/>
  <c r="C830" i="3" l="1"/>
  <c r="E830" i="3"/>
  <c r="B830" i="3"/>
  <c r="D830" i="3"/>
  <c r="A831" i="3"/>
  <c r="C828" i="6"/>
  <c r="B828" i="6"/>
  <c r="F828" i="6"/>
  <c r="E828" i="6"/>
  <c r="D828" i="6"/>
  <c r="A829" i="6"/>
  <c r="B831" i="3" l="1"/>
  <c r="E831" i="3"/>
  <c r="D831" i="3"/>
  <c r="C831" i="3"/>
  <c r="A832" i="3"/>
  <c r="E829" i="6"/>
  <c r="D829" i="6"/>
  <c r="C829" i="6"/>
  <c r="B829" i="6"/>
  <c r="F829" i="6"/>
  <c r="A830" i="6"/>
  <c r="E832" i="3" l="1"/>
  <c r="C832" i="3"/>
  <c r="B832" i="3"/>
  <c r="D832" i="3"/>
  <c r="A833" i="3"/>
  <c r="F830" i="6"/>
  <c r="E830" i="6"/>
  <c r="D830" i="6"/>
  <c r="C830" i="6"/>
  <c r="B830" i="6"/>
  <c r="A831" i="6"/>
  <c r="D833" i="3" l="1"/>
  <c r="E833" i="3"/>
  <c r="C833" i="3"/>
  <c r="B833" i="3"/>
  <c r="A834" i="3"/>
  <c r="F831" i="6"/>
  <c r="E831" i="6"/>
  <c r="D831" i="6"/>
  <c r="C831" i="6"/>
  <c r="B831" i="6"/>
  <c r="A832" i="6"/>
  <c r="C834" i="3" l="1"/>
  <c r="E834" i="3"/>
  <c r="D834" i="3"/>
  <c r="B834" i="3"/>
  <c r="A835" i="3"/>
  <c r="C832" i="6"/>
  <c r="B832" i="6"/>
  <c r="F832" i="6"/>
  <c r="E832" i="6"/>
  <c r="D832" i="6"/>
  <c r="A833" i="6"/>
  <c r="B835" i="3" l="1"/>
  <c r="D835" i="3"/>
  <c r="C835" i="3"/>
  <c r="E835" i="3"/>
  <c r="A836" i="3"/>
  <c r="E833" i="6"/>
  <c r="D833" i="6"/>
  <c r="C833" i="6"/>
  <c r="B833" i="6"/>
  <c r="F833" i="6"/>
  <c r="A834" i="6"/>
  <c r="E836" i="3" l="1"/>
  <c r="D836" i="3"/>
  <c r="C836" i="3"/>
  <c r="B836" i="3"/>
  <c r="A837" i="3"/>
  <c r="F834" i="6"/>
  <c r="E834" i="6"/>
  <c r="D834" i="6"/>
  <c r="C834" i="6"/>
  <c r="B834" i="6"/>
  <c r="A835" i="6"/>
  <c r="D837" i="3" l="1"/>
  <c r="B837" i="3"/>
  <c r="C837" i="3"/>
  <c r="E837" i="3"/>
  <c r="A838" i="3"/>
  <c r="F835" i="6"/>
  <c r="E835" i="6"/>
  <c r="D835" i="6"/>
  <c r="C835" i="6"/>
  <c r="B835" i="6"/>
  <c r="A836" i="6"/>
  <c r="C838" i="3" l="1"/>
  <c r="E838" i="3"/>
  <c r="D838" i="3"/>
  <c r="B838" i="3"/>
  <c r="A839" i="3"/>
  <c r="C836" i="6"/>
  <c r="B836" i="6"/>
  <c r="F836" i="6"/>
  <c r="E836" i="6"/>
  <c r="D836" i="6"/>
  <c r="A837" i="6"/>
  <c r="B839" i="3" l="1"/>
  <c r="E839" i="3"/>
  <c r="D839" i="3"/>
  <c r="C839" i="3"/>
  <c r="A840" i="3"/>
  <c r="E837" i="6"/>
  <c r="D837" i="6"/>
  <c r="C837" i="6"/>
  <c r="B837" i="6"/>
  <c r="F837" i="6"/>
  <c r="A838" i="6"/>
  <c r="E840" i="3" l="1"/>
  <c r="C840" i="3"/>
  <c r="D840" i="3"/>
  <c r="B840" i="3"/>
  <c r="A841" i="3"/>
  <c r="F838" i="6"/>
  <c r="E838" i="6"/>
  <c r="D838" i="6"/>
  <c r="C838" i="6"/>
  <c r="B838" i="6"/>
  <c r="A839" i="6"/>
  <c r="D841" i="3" l="1"/>
  <c r="E841" i="3"/>
  <c r="C841" i="3"/>
  <c r="B841" i="3"/>
  <c r="A842" i="3"/>
  <c r="F839" i="6"/>
  <c r="E839" i="6"/>
  <c r="D839" i="6"/>
  <c r="C839" i="6"/>
  <c r="B839" i="6"/>
  <c r="A840" i="6"/>
  <c r="C842" i="3" l="1"/>
  <c r="D842" i="3"/>
  <c r="B842" i="3"/>
  <c r="E842" i="3"/>
  <c r="A843" i="3"/>
  <c r="C840" i="6"/>
  <c r="B840" i="6"/>
  <c r="F840" i="6"/>
  <c r="E840" i="6"/>
  <c r="D840" i="6"/>
  <c r="A841" i="6"/>
  <c r="B843" i="3" l="1"/>
  <c r="D843" i="3"/>
  <c r="E843" i="3"/>
  <c r="C843" i="3"/>
  <c r="A844" i="3"/>
  <c r="E841" i="6"/>
  <c r="D841" i="6"/>
  <c r="C841" i="6"/>
  <c r="B841" i="6"/>
  <c r="F841" i="6"/>
  <c r="A842" i="6"/>
  <c r="E844" i="3" l="1"/>
  <c r="D844" i="3"/>
  <c r="C844" i="3"/>
  <c r="B844" i="3"/>
  <c r="A845" i="3"/>
  <c r="F842" i="6"/>
  <c r="E842" i="6"/>
  <c r="D842" i="6"/>
  <c r="C842" i="6"/>
  <c r="B842" i="6"/>
  <c r="A843" i="6"/>
  <c r="D845" i="3" l="1"/>
  <c r="B845" i="3"/>
  <c r="E845" i="3"/>
  <c r="C845" i="3"/>
  <c r="A846" i="3"/>
  <c r="F843" i="6"/>
  <c r="E843" i="6"/>
  <c r="D843" i="6"/>
  <c r="C843" i="6"/>
  <c r="B843" i="6"/>
  <c r="A844" i="6"/>
  <c r="C846" i="3" l="1"/>
  <c r="E846" i="3"/>
  <c r="D846" i="3"/>
  <c r="B846" i="3"/>
  <c r="A847" i="3"/>
  <c r="C844" i="6"/>
  <c r="B844" i="6"/>
  <c r="F844" i="6"/>
  <c r="E844" i="6"/>
  <c r="D844" i="6"/>
  <c r="A845" i="6"/>
  <c r="B847" i="3" l="1"/>
  <c r="D847" i="3"/>
  <c r="C847" i="3"/>
  <c r="E847" i="3"/>
  <c r="A848" i="3"/>
  <c r="E845" i="6"/>
  <c r="D845" i="6"/>
  <c r="C845" i="6"/>
  <c r="B845" i="6"/>
  <c r="F845" i="6"/>
  <c r="A846" i="6"/>
  <c r="E848" i="3" l="1"/>
  <c r="C848" i="3"/>
  <c r="B848" i="3"/>
  <c r="D848" i="3"/>
  <c r="A849" i="3"/>
  <c r="F846" i="6"/>
  <c r="E846" i="6"/>
  <c r="D846" i="6"/>
  <c r="C846" i="6"/>
  <c r="B846" i="6"/>
  <c r="A847" i="6"/>
  <c r="D849" i="3" l="1"/>
  <c r="E849" i="3"/>
  <c r="C849" i="3"/>
  <c r="B849" i="3"/>
  <c r="A850" i="3"/>
  <c r="F847" i="6"/>
  <c r="E847" i="6"/>
  <c r="D847" i="6"/>
  <c r="C847" i="6"/>
  <c r="B847" i="6"/>
  <c r="A848" i="6"/>
  <c r="C850" i="3" l="1"/>
  <c r="B850" i="3"/>
  <c r="E850" i="3"/>
  <c r="D850" i="3"/>
  <c r="A851" i="3"/>
  <c r="C848" i="6"/>
  <c r="B848" i="6"/>
  <c r="F848" i="6"/>
  <c r="E848" i="6"/>
  <c r="D848" i="6"/>
  <c r="A849" i="6"/>
  <c r="B851" i="3" l="1"/>
  <c r="D851" i="3"/>
  <c r="E851" i="3"/>
  <c r="C851" i="3"/>
  <c r="A852" i="3"/>
  <c r="E849" i="6"/>
  <c r="D849" i="6"/>
  <c r="C849" i="6"/>
  <c r="B849" i="6"/>
  <c r="F849" i="6"/>
  <c r="A850" i="6"/>
  <c r="E852" i="3" l="1"/>
  <c r="D852" i="3"/>
  <c r="C852" i="3"/>
  <c r="B852" i="3"/>
  <c r="A853" i="3"/>
  <c r="F850" i="6"/>
  <c r="E850" i="6"/>
  <c r="D850" i="6"/>
  <c r="C850" i="6"/>
  <c r="B850" i="6"/>
  <c r="A851" i="6"/>
  <c r="D853" i="3" l="1"/>
  <c r="B853" i="3"/>
  <c r="C853" i="3"/>
  <c r="E853" i="3"/>
  <c r="A854" i="3"/>
  <c r="F851" i="6"/>
  <c r="E851" i="6"/>
  <c r="D851" i="6"/>
  <c r="C851" i="6"/>
  <c r="B851" i="6"/>
  <c r="A852" i="6"/>
  <c r="C854" i="3" l="1"/>
  <c r="E854" i="3"/>
  <c r="D854" i="3"/>
  <c r="B854" i="3"/>
  <c r="A855" i="3"/>
  <c r="C852" i="6"/>
  <c r="B852" i="6"/>
  <c r="F852" i="6"/>
  <c r="E852" i="6"/>
  <c r="D852" i="6"/>
  <c r="A853" i="6"/>
  <c r="B855" i="3" l="1"/>
  <c r="C855" i="3"/>
  <c r="E855" i="3"/>
  <c r="D855" i="3"/>
  <c r="A856" i="3"/>
  <c r="E853" i="6"/>
  <c r="D853" i="6"/>
  <c r="C853" i="6"/>
  <c r="B853" i="6"/>
  <c r="F853" i="6"/>
  <c r="A854" i="6"/>
  <c r="E856" i="3" l="1"/>
  <c r="C856" i="3"/>
  <c r="D856" i="3"/>
  <c r="B856" i="3"/>
  <c r="A857" i="3"/>
  <c r="F854" i="6"/>
  <c r="E854" i="6"/>
  <c r="D854" i="6"/>
  <c r="C854" i="6"/>
  <c r="B854" i="6"/>
  <c r="A855" i="6"/>
  <c r="D857" i="3" l="1"/>
  <c r="E857" i="3"/>
  <c r="C857" i="3"/>
  <c r="B857" i="3"/>
  <c r="A858" i="3"/>
  <c r="F855" i="6"/>
  <c r="E855" i="6"/>
  <c r="D855" i="6"/>
  <c r="C855" i="6"/>
  <c r="B855" i="6"/>
  <c r="A856" i="6"/>
  <c r="C858" i="3" l="1"/>
  <c r="D858" i="3"/>
  <c r="E858" i="3"/>
  <c r="B858" i="3"/>
  <c r="A859" i="3"/>
  <c r="C856" i="6"/>
  <c r="B856" i="6"/>
  <c r="F856" i="6"/>
  <c r="E856" i="6"/>
  <c r="D856" i="6"/>
  <c r="A857" i="6"/>
  <c r="B859" i="3" l="1"/>
  <c r="D859" i="3"/>
  <c r="E859" i="3"/>
  <c r="C859" i="3"/>
  <c r="A860" i="3"/>
  <c r="E857" i="6"/>
  <c r="D857" i="6"/>
  <c r="C857" i="6"/>
  <c r="B857" i="6"/>
  <c r="F857" i="6"/>
  <c r="A858" i="6"/>
  <c r="E860" i="3" l="1"/>
  <c r="C860" i="3"/>
  <c r="B860" i="3"/>
  <c r="D860" i="3"/>
  <c r="A861" i="3"/>
  <c r="D858" i="6"/>
  <c r="B858" i="6"/>
  <c r="F858" i="6"/>
  <c r="E858" i="6"/>
  <c r="C858" i="6"/>
  <c r="A859" i="6"/>
  <c r="D861" i="3" l="1"/>
  <c r="B861" i="3"/>
  <c r="E861" i="3"/>
  <c r="C861" i="3"/>
  <c r="A862" i="3"/>
  <c r="F859" i="6"/>
  <c r="D859" i="6"/>
  <c r="B859" i="6"/>
  <c r="E859" i="6"/>
  <c r="C859" i="6"/>
  <c r="A860" i="6"/>
  <c r="C862" i="3" l="1"/>
  <c r="E862" i="3"/>
  <c r="D862" i="3"/>
  <c r="B862" i="3"/>
  <c r="A863" i="3"/>
  <c r="F860" i="6"/>
  <c r="D860" i="6"/>
  <c r="E860" i="6"/>
  <c r="C860" i="6"/>
  <c r="B860" i="6"/>
  <c r="A861" i="6"/>
  <c r="B863" i="3" l="1"/>
  <c r="D863" i="3"/>
  <c r="C863" i="3"/>
  <c r="E863" i="3"/>
  <c r="A864" i="3"/>
  <c r="B861" i="6"/>
  <c r="F861" i="6"/>
  <c r="E861" i="6"/>
  <c r="D861" i="6"/>
  <c r="C861" i="6"/>
  <c r="A862" i="6"/>
  <c r="E864" i="3" l="1"/>
  <c r="C864" i="3"/>
  <c r="D864" i="3"/>
  <c r="B864" i="3"/>
  <c r="A865" i="3"/>
  <c r="D862" i="6"/>
  <c r="B862" i="6"/>
  <c r="F862" i="6"/>
  <c r="E862" i="6"/>
  <c r="C862" i="6"/>
  <c r="A863" i="6"/>
  <c r="D865" i="3" l="1"/>
  <c r="C865" i="3"/>
  <c r="B865" i="3"/>
  <c r="E865" i="3"/>
  <c r="A866" i="3"/>
  <c r="F863" i="6"/>
  <c r="D863" i="6"/>
  <c r="B863" i="6"/>
  <c r="E863" i="6"/>
  <c r="C863" i="6"/>
  <c r="A864" i="6"/>
  <c r="C866" i="3" l="1"/>
  <c r="E866" i="3"/>
  <c r="B866" i="3"/>
  <c r="D866" i="3"/>
  <c r="A867" i="3"/>
  <c r="F864" i="6"/>
  <c r="D864" i="6"/>
  <c r="E864" i="6"/>
  <c r="C864" i="6"/>
  <c r="B864" i="6"/>
  <c r="A865" i="6"/>
  <c r="B867" i="3" l="1"/>
  <c r="D867" i="3"/>
  <c r="E867" i="3"/>
  <c r="C867" i="3"/>
  <c r="A868" i="3"/>
  <c r="B865" i="6"/>
  <c r="F865" i="6"/>
  <c r="E865" i="6"/>
  <c r="D865" i="6"/>
  <c r="C865" i="6"/>
  <c r="A866" i="6"/>
  <c r="E868" i="3" l="1"/>
  <c r="B868" i="3"/>
  <c r="D868" i="3"/>
  <c r="C868" i="3"/>
  <c r="A869" i="3"/>
  <c r="D866" i="6"/>
  <c r="B866" i="6"/>
  <c r="F866" i="6"/>
  <c r="E866" i="6"/>
  <c r="C866" i="6"/>
  <c r="A867" i="6"/>
  <c r="D869" i="3" l="1"/>
  <c r="B869" i="3"/>
  <c r="E869" i="3"/>
  <c r="C869" i="3"/>
  <c r="A870" i="3"/>
  <c r="F867" i="6"/>
  <c r="D867" i="6"/>
  <c r="B867" i="6"/>
  <c r="E867" i="6"/>
  <c r="C867" i="6"/>
  <c r="A868" i="6"/>
  <c r="C870" i="3" l="1"/>
  <c r="E870" i="3"/>
  <c r="D870" i="3"/>
  <c r="B870" i="3"/>
  <c r="A871" i="3"/>
  <c r="F868" i="6"/>
  <c r="D868" i="6"/>
  <c r="B868" i="6"/>
  <c r="E868" i="6"/>
  <c r="C868" i="6"/>
  <c r="A869" i="6"/>
  <c r="B871" i="3" l="1"/>
  <c r="E871" i="3"/>
  <c r="C871" i="3"/>
  <c r="D871" i="3"/>
  <c r="A872" i="3"/>
  <c r="B869" i="6"/>
  <c r="F869" i="6"/>
  <c r="E869" i="6"/>
  <c r="D869" i="6"/>
  <c r="C869" i="6"/>
  <c r="A870" i="6"/>
  <c r="E872" i="3" l="1"/>
  <c r="C872" i="3"/>
  <c r="D872" i="3"/>
  <c r="B872" i="3"/>
  <c r="A873" i="3"/>
  <c r="D870" i="6"/>
  <c r="B870" i="6"/>
  <c r="C870" i="6"/>
  <c r="F870" i="6"/>
  <c r="E870" i="6"/>
  <c r="A871" i="6"/>
  <c r="D873" i="3" l="1"/>
  <c r="B873" i="3"/>
  <c r="E873" i="3"/>
  <c r="C873" i="3"/>
  <c r="A874" i="3"/>
  <c r="F871" i="6"/>
  <c r="E871" i="6"/>
  <c r="D871" i="6"/>
  <c r="B871" i="6"/>
  <c r="C871" i="6"/>
  <c r="A872" i="6"/>
  <c r="C874" i="3" l="1"/>
  <c r="E874" i="3"/>
  <c r="D874" i="3"/>
  <c r="B874" i="3"/>
  <c r="A875" i="3"/>
  <c r="F872" i="6"/>
  <c r="D872" i="6"/>
  <c r="E872" i="6"/>
  <c r="C872" i="6"/>
  <c r="B872" i="6"/>
  <c r="A873" i="6"/>
  <c r="B875" i="3" l="1"/>
  <c r="D875" i="3"/>
  <c r="E875" i="3"/>
  <c r="C875" i="3"/>
  <c r="A876" i="3"/>
  <c r="B873" i="6"/>
  <c r="F873" i="6"/>
  <c r="E873" i="6"/>
  <c r="D873" i="6"/>
  <c r="C873" i="6"/>
  <c r="A874" i="6"/>
  <c r="E876" i="3" l="1"/>
  <c r="C876" i="3"/>
  <c r="B876" i="3"/>
  <c r="D876" i="3"/>
  <c r="A877" i="3"/>
  <c r="D874" i="6"/>
  <c r="C874" i="6"/>
  <c r="B874" i="6"/>
  <c r="F874" i="6"/>
  <c r="E874" i="6"/>
  <c r="A875" i="6"/>
  <c r="D877" i="3" l="1"/>
  <c r="B877" i="3"/>
  <c r="E877" i="3"/>
  <c r="C877" i="3"/>
  <c r="A878" i="3"/>
  <c r="F875" i="6"/>
  <c r="E875" i="6"/>
  <c r="D875" i="6"/>
  <c r="C875" i="6"/>
  <c r="B875" i="6"/>
  <c r="A876" i="6"/>
  <c r="C878" i="3" l="1"/>
  <c r="E878" i="3"/>
  <c r="B878" i="3"/>
  <c r="D878" i="3"/>
  <c r="A879" i="3"/>
  <c r="F876" i="6"/>
  <c r="E876" i="6"/>
  <c r="D876" i="6"/>
  <c r="C876" i="6"/>
  <c r="B876" i="6"/>
  <c r="A877" i="6"/>
  <c r="B879" i="3" l="1"/>
  <c r="E879" i="3"/>
  <c r="D879" i="3"/>
  <c r="C879" i="3"/>
  <c r="A880" i="3"/>
  <c r="B877" i="6"/>
  <c r="F877" i="6"/>
  <c r="E877" i="6"/>
  <c r="C877" i="6"/>
  <c r="D877" i="6"/>
  <c r="A878" i="6"/>
  <c r="E880" i="3" l="1"/>
  <c r="C880" i="3"/>
  <c r="D880" i="3"/>
  <c r="B880" i="3"/>
  <c r="A881" i="3"/>
  <c r="D878" i="6"/>
  <c r="C878" i="6"/>
  <c r="B878" i="6"/>
  <c r="F878" i="6"/>
  <c r="E878" i="6"/>
  <c r="A879" i="6"/>
  <c r="D881" i="3" l="1"/>
  <c r="C881" i="3"/>
  <c r="E881" i="3"/>
  <c r="B881" i="3"/>
  <c r="A882" i="3"/>
  <c r="F879" i="6"/>
  <c r="E879" i="6"/>
  <c r="D879" i="6"/>
  <c r="C879" i="6"/>
  <c r="B879" i="6"/>
  <c r="A880" i="6"/>
  <c r="C882" i="3" l="1"/>
  <c r="E882" i="3"/>
  <c r="D882" i="3"/>
  <c r="B882" i="3"/>
  <c r="A883" i="3"/>
  <c r="F880" i="6"/>
  <c r="E880" i="6"/>
  <c r="D880" i="6"/>
  <c r="C880" i="6"/>
  <c r="B880" i="6"/>
  <c r="A881" i="6"/>
  <c r="B883" i="3" l="1"/>
  <c r="D883" i="3"/>
  <c r="C883" i="3"/>
  <c r="E883" i="3"/>
  <c r="A884" i="3"/>
  <c r="B881" i="6"/>
  <c r="F881" i="6"/>
  <c r="E881" i="6"/>
  <c r="D881" i="6"/>
  <c r="C881" i="6"/>
  <c r="A882" i="6"/>
  <c r="E884" i="3" l="1"/>
  <c r="D884" i="3"/>
  <c r="B884" i="3"/>
  <c r="C884" i="3"/>
  <c r="A885" i="3"/>
  <c r="D882" i="6"/>
  <c r="C882" i="6"/>
  <c r="B882" i="6"/>
  <c r="E882" i="6"/>
  <c r="F882" i="6"/>
  <c r="A883" i="6"/>
  <c r="D885" i="3" l="1"/>
  <c r="B885" i="3"/>
  <c r="E885" i="3"/>
  <c r="C885" i="3"/>
  <c r="A886" i="3"/>
  <c r="F883" i="6"/>
  <c r="E883" i="6"/>
  <c r="D883" i="6"/>
  <c r="C883" i="6"/>
  <c r="B883" i="6"/>
  <c r="A884" i="6"/>
  <c r="C886" i="3" l="1"/>
  <c r="E886" i="3"/>
  <c r="D886" i="3"/>
  <c r="B886" i="3"/>
  <c r="A887" i="3"/>
  <c r="F884" i="6"/>
  <c r="E884" i="6"/>
  <c r="D884" i="6"/>
  <c r="C884" i="6"/>
  <c r="B884" i="6"/>
  <c r="A885" i="6"/>
  <c r="B887" i="3" l="1"/>
  <c r="E887" i="3"/>
  <c r="D887" i="3"/>
  <c r="C887" i="3"/>
  <c r="A888" i="3"/>
  <c r="B885" i="6"/>
  <c r="F885" i="6"/>
  <c r="E885" i="6"/>
  <c r="D885" i="6"/>
  <c r="C885" i="6"/>
  <c r="A886" i="6"/>
  <c r="D886" i="6" l="1"/>
  <c r="C886" i="6"/>
  <c r="B886" i="6"/>
  <c r="F886" i="6"/>
  <c r="E886" i="6"/>
  <c r="E888" i="3"/>
  <c r="C888" i="3"/>
  <c r="D888" i="3"/>
  <c r="B888" i="3"/>
  <c r="A889" i="3"/>
  <c r="A887" i="6"/>
  <c r="D889" i="3" l="1"/>
  <c r="E889" i="3"/>
  <c r="B889" i="3"/>
  <c r="C889" i="3"/>
  <c r="A890" i="3"/>
  <c r="A888" i="6"/>
  <c r="F887" i="6"/>
  <c r="E887" i="6"/>
  <c r="D887" i="6"/>
  <c r="C887" i="6"/>
  <c r="B887" i="6"/>
  <c r="F888" i="6" l="1"/>
  <c r="B888" i="6"/>
  <c r="E888" i="6"/>
  <c r="D888" i="6"/>
  <c r="C888" i="6"/>
  <c r="C890" i="3"/>
  <c r="E890" i="3"/>
  <c r="D890" i="3"/>
  <c r="B890" i="3"/>
  <c r="A891" i="3"/>
  <c r="A889" i="6"/>
  <c r="B891" i="3" l="1"/>
  <c r="D891" i="3"/>
  <c r="E891" i="3"/>
  <c r="C891" i="3"/>
  <c r="A892" i="3"/>
  <c r="A890" i="6"/>
  <c r="D889" i="6"/>
  <c r="E889" i="6"/>
  <c r="C889" i="6"/>
  <c r="B889" i="6"/>
  <c r="F889" i="6"/>
  <c r="E892" i="3" l="1"/>
  <c r="D892" i="3"/>
  <c r="C892" i="3"/>
  <c r="B892" i="3"/>
  <c r="A893" i="3"/>
  <c r="B890" i="6"/>
  <c r="F890" i="6"/>
  <c r="E890" i="6"/>
  <c r="D890" i="6"/>
  <c r="C890" i="6"/>
  <c r="A891" i="6"/>
  <c r="D893" i="3" l="1"/>
  <c r="B893" i="3"/>
  <c r="E893" i="3"/>
  <c r="C893" i="3"/>
  <c r="A894" i="3"/>
  <c r="D891" i="6"/>
  <c r="C891" i="6"/>
  <c r="B891" i="6"/>
  <c r="F891" i="6"/>
  <c r="E891" i="6"/>
  <c r="A892" i="6"/>
  <c r="C894" i="3" l="1"/>
  <c r="E894" i="3"/>
  <c r="B894" i="3"/>
  <c r="D894" i="3"/>
  <c r="A895" i="3"/>
  <c r="F892" i="6"/>
  <c r="B892" i="6"/>
  <c r="E892" i="6"/>
  <c r="D892" i="6"/>
  <c r="C892" i="6"/>
  <c r="A893" i="6"/>
  <c r="B895" i="3" l="1"/>
  <c r="E895" i="3"/>
  <c r="D895" i="3"/>
  <c r="C895" i="3"/>
  <c r="A896" i="3"/>
  <c r="D893" i="6"/>
  <c r="B893" i="6"/>
  <c r="F893" i="6"/>
  <c r="E893" i="6"/>
  <c r="C893" i="6"/>
  <c r="A894" i="6"/>
  <c r="B894" i="6" l="1"/>
  <c r="F894" i="6"/>
  <c r="E894" i="6"/>
  <c r="D894" i="6"/>
  <c r="C894" i="6"/>
  <c r="E896" i="3"/>
  <c r="C896" i="3"/>
  <c r="B896" i="3"/>
  <c r="D896" i="3"/>
  <c r="A897" i="3"/>
  <c r="A895" i="6"/>
  <c r="D897" i="3" l="1"/>
  <c r="E897" i="3"/>
  <c r="C897" i="3"/>
  <c r="B897" i="3"/>
  <c r="A898" i="3"/>
  <c r="D895" i="6"/>
  <c r="F895" i="6"/>
  <c r="E895" i="6"/>
  <c r="B895" i="6"/>
  <c r="C895" i="6"/>
  <c r="A896" i="6"/>
  <c r="C898" i="3" l="1"/>
  <c r="E898" i="3"/>
  <c r="D898" i="3"/>
  <c r="B898" i="3"/>
  <c r="A899" i="3"/>
  <c r="F896" i="6"/>
  <c r="B896" i="6"/>
  <c r="E896" i="6"/>
  <c r="D896" i="6"/>
  <c r="C896" i="6"/>
  <c r="A897" i="6"/>
  <c r="B899" i="3" l="1"/>
  <c r="D899" i="3"/>
  <c r="C899" i="3"/>
  <c r="E899" i="3"/>
  <c r="A900" i="3"/>
  <c r="D897" i="6"/>
  <c r="F897" i="6"/>
  <c r="E897" i="6"/>
  <c r="C897" i="6"/>
  <c r="B897" i="6"/>
  <c r="A898" i="6"/>
  <c r="E900" i="3" l="1"/>
  <c r="D900" i="3"/>
  <c r="C900" i="3"/>
  <c r="B900" i="3"/>
  <c r="A901" i="3"/>
  <c r="B898" i="6"/>
  <c r="F898" i="6"/>
  <c r="D898" i="6"/>
  <c r="C898" i="6"/>
  <c r="E898" i="6"/>
  <c r="A899" i="6"/>
  <c r="D901" i="3" l="1"/>
  <c r="B901" i="3"/>
  <c r="C901" i="3"/>
  <c r="E901" i="3"/>
  <c r="A902" i="3"/>
  <c r="D899" i="6"/>
  <c r="F899" i="6"/>
  <c r="E899" i="6"/>
  <c r="C899" i="6"/>
  <c r="B899" i="6"/>
  <c r="A900" i="6"/>
  <c r="C902" i="3" l="1"/>
  <c r="E902" i="3"/>
  <c r="D902" i="3"/>
  <c r="B902" i="3"/>
  <c r="A903" i="3"/>
  <c r="F900" i="6"/>
  <c r="B900" i="6"/>
  <c r="C900" i="6"/>
  <c r="E900" i="6"/>
  <c r="D900" i="6"/>
  <c r="A901" i="6"/>
  <c r="B903" i="3" l="1"/>
  <c r="E903" i="3"/>
  <c r="D903" i="3"/>
  <c r="C903" i="3"/>
  <c r="A904" i="3"/>
  <c r="D901" i="6"/>
  <c r="F901" i="6"/>
  <c r="E901" i="6"/>
  <c r="C901" i="6"/>
  <c r="B901" i="6"/>
  <c r="A902" i="6"/>
  <c r="E904" i="3" l="1"/>
  <c r="C904" i="3"/>
  <c r="D904" i="3"/>
  <c r="B904" i="3"/>
  <c r="A905" i="3"/>
  <c r="B902" i="6"/>
  <c r="F902" i="6"/>
  <c r="E902" i="6"/>
  <c r="C902" i="6"/>
  <c r="D902" i="6"/>
  <c r="A903" i="6"/>
  <c r="D903" i="6" l="1"/>
  <c r="F903" i="6"/>
  <c r="E903" i="6"/>
  <c r="C903" i="6"/>
  <c r="B903" i="6"/>
  <c r="D905" i="3"/>
  <c r="E905" i="3"/>
  <c r="C905" i="3"/>
  <c r="B905" i="3"/>
  <c r="A906" i="3"/>
  <c r="A904" i="6"/>
  <c r="F904" i="6" l="1"/>
  <c r="B904" i="6"/>
  <c r="E904" i="6"/>
  <c r="D904" i="6"/>
  <c r="C904" i="6"/>
  <c r="C906" i="3"/>
  <c r="D906" i="3"/>
  <c r="B906" i="3"/>
  <c r="E906" i="3"/>
  <c r="A907" i="3"/>
  <c r="A905" i="6"/>
  <c r="D905" i="6" l="1"/>
  <c r="E905" i="6"/>
  <c r="C905" i="6"/>
  <c r="B905" i="6"/>
  <c r="F905" i="6"/>
  <c r="A906" i="6"/>
  <c r="B907" i="3"/>
  <c r="D907" i="3"/>
  <c r="E907" i="3"/>
  <c r="C907" i="3"/>
  <c r="A908" i="3"/>
  <c r="B906" i="6" l="1"/>
  <c r="F906" i="6"/>
  <c r="E906" i="6"/>
  <c r="D906" i="6"/>
  <c r="C906" i="6"/>
  <c r="E908" i="3"/>
  <c r="D908" i="3"/>
  <c r="C908" i="3"/>
  <c r="B908" i="3"/>
  <c r="A909" i="3"/>
  <c r="A907" i="6"/>
  <c r="D907" i="6" l="1"/>
  <c r="C907" i="6"/>
  <c r="B907" i="6"/>
  <c r="F907" i="6"/>
  <c r="E907" i="6"/>
  <c r="A908" i="6"/>
  <c r="D909" i="3"/>
  <c r="B909" i="3"/>
  <c r="E909" i="3"/>
  <c r="C909" i="3"/>
  <c r="A910" i="3"/>
  <c r="F908" i="6" l="1"/>
  <c r="B908" i="6"/>
  <c r="E908" i="6"/>
  <c r="D908" i="6"/>
  <c r="C908" i="6"/>
  <c r="C910" i="3"/>
  <c r="E910" i="3"/>
  <c r="D910" i="3"/>
  <c r="B910" i="3"/>
  <c r="A911" i="3"/>
  <c r="A909" i="6"/>
  <c r="A910" i="6" l="1"/>
  <c r="D909" i="6"/>
  <c r="B909" i="6"/>
  <c r="F909" i="6"/>
  <c r="C909" i="6"/>
  <c r="E909" i="6"/>
  <c r="B911" i="3"/>
  <c r="D911" i="3"/>
  <c r="C911" i="3"/>
  <c r="E911" i="3"/>
  <c r="A912" i="3"/>
  <c r="E912" i="3" l="1"/>
  <c r="C912" i="3"/>
  <c r="B912" i="3"/>
  <c r="D912" i="3"/>
  <c r="A913" i="3"/>
  <c r="B910" i="6"/>
  <c r="F910" i="6"/>
  <c r="E910" i="6"/>
  <c r="D910" i="6"/>
  <c r="C910" i="6"/>
  <c r="A911" i="6"/>
  <c r="D913" i="3" l="1"/>
  <c r="E913" i="3"/>
  <c r="C913" i="3"/>
  <c r="B913" i="3"/>
  <c r="A914" i="3"/>
  <c r="D911" i="6"/>
  <c r="F911" i="6"/>
  <c r="E911" i="6"/>
  <c r="C911" i="6"/>
  <c r="B911" i="6"/>
  <c r="A912" i="6"/>
  <c r="F912" i="6" l="1"/>
  <c r="B912" i="6"/>
  <c r="E912" i="6"/>
  <c r="D912" i="6"/>
  <c r="C912" i="6"/>
  <c r="C914" i="3"/>
  <c r="B914" i="3"/>
  <c r="E914" i="3"/>
  <c r="D914" i="3"/>
  <c r="A915" i="3"/>
  <c r="A913" i="6"/>
  <c r="A914" i="6" l="1"/>
  <c r="B915" i="3"/>
  <c r="D915" i="3"/>
  <c r="E915" i="3"/>
  <c r="C915" i="3"/>
  <c r="A916" i="3"/>
  <c r="D913" i="6"/>
  <c r="F913" i="6"/>
  <c r="E913" i="6"/>
  <c r="C913" i="6"/>
  <c r="B913" i="6"/>
  <c r="A915" i="6" l="1"/>
  <c r="B914" i="6"/>
  <c r="F914" i="6"/>
  <c r="D914" i="6"/>
  <c r="C914" i="6"/>
  <c r="E914" i="6"/>
  <c r="E916" i="3"/>
  <c r="D916" i="3"/>
  <c r="C916" i="3"/>
  <c r="B916" i="3"/>
  <c r="A917" i="3"/>
  <c r="D917" i="3" l="1"/>
  <c r="B917" i="3"/>
  <c r="C917" i="3"/>
  <c r="E917" i="3"/>
  <c r="A918" i="3"/>
  <c r="D915" i="6"/>
  <c r="F915" i="6"/>
  <c r="E915" i="6"/>
  <c r="C915" i="6"/>
  <c r="B915" i="6"/>
  <c r="A916" i="6"/>
  <c r="C918" i="3" l="1"/>
  <c r="E918" i="3"/>
  <c r="D918" i="3"/>
  <c r="B918" i="3"/>
  <c r="A919" i="3"/>
  <c r="F916" i="6"/>
  <c r="B916" i="6"/>
  <c r="C916" i="6"/>
  <c r="D916" i="6"/>
  <c r="E916" i="6"/>
  <c r="A917" i="6"/>
  <c r="D919" i="3" l="1"/>
  <c r="B919" i="3"/>
  <c r="E919" i="3"/>
  <c r="C919" i="3"/>
  <c r="A920" i="3"/>
  <c r="D917" i="6"/>
  <c r="F917" i="6"/>
  <c r="E917" i="6"/>
  <c r="C917" i="6"/>
  <c r="B917" i="6"/>
  <c r="A918" i="6"/>
  <c r="E920" i="3" l="1"/>
  <c r="C920" i="3"/>
  <c r="D920" i="3"/>
  <c r="B920" i="3"/>
  <c r="A921" i="3"/>
  <c r="B918" i="6"/>
  <c r="F918" i="6"/>
  <c r="E918" i="6"/>
  <c r="D918" i="6"/>
  <c r="C918" i="6"/>
  <c r="A919" i="6"/>
  <c r="D921" i="3" l="1"/>
  <c r="B921" i="3"/>
  <c r="E921" i="3"/>
  <c r="C921" i="3"/>
  <c r="A922" i="3"/>
  <c r="D919" i="6"/>
  <c r="F919" i="6"/>
  <c r="E919" i="6"/>
  <c r="C919" i="6"/>
  <c r="B919" i="6"/>
  <c r="A920" i="6"/>
  <c r="E922" i="3" l="1"/>
  <c r="C922" i="3"/>
  <c r="D922" i="3"/>
  <c r="B922" i="3"/>
  <c r="A923" i="3"/>
  <c r="F920" i="6"/>
  <c r="B920" i="6"/>
  <c r="E920" i="6"/>
  <c r="D920" i="6"/>
  <c r="C920" i="6"/>
  <c r="A921" i="6"/>
  <c r="B923" i="3" l="1"/>
  <c r="D923" i="3"/>
  <c r="C923" i="3"/>
  <c r="E923" i="3"/>
  <c r="A924" i="3"/>
  <c r="D921" i="6"/>
  <c r="E921" i="6"/>
  <c r="C921" i="6"/>
  <c r="B921" i="6"/>
  <c r="F921" i="6"/>
  <c r="A922" i="6"/>
  <c r="E924" i="3" l="1"/>
  <c r="D924" i="3"/>
  <c r="C924" i="3"/>
  <c r="B924" i="3"/>
  <c r="A925" i="3"/>
  <c r="B922" i="6"/>
  <c r="F922" i="6"/>
  <c r="E922" i="6"/>
  <c r="D922" i="6"/>
  <c r="C922" i="6"/>
  <c r="A923" i="6"/>
  <c r="D925" i="3" l="1"/>
  <c r="B925" i="3"/>
  <c r="E925" i="3"/>
  <c r="C925" i="3"/>
  <c r="A926" i="3"/>
  <c r="D923" i="6"/>
  <c r="C923" i="6"/>
  <c r="B923" i="6"/>
  <c r="E923" i="6"/>
  <c r="F923" i="6"/>
  <c r="A924" i="6"/>
  <c r="C926" i="3" l="1"/>
  <c r="B926" i="3"/>
  <c r="E926" i="3"/>
  <c r="D926" i="3"/>
  <c r="A927" i="3"/>
  <c r="F924" i="6"/>
  <c r="B924" i="6"/>
  <c r="E924" i="6"/>
  <c r="D924" i="6"/>
  <c r="C924" i="6"/>
  <c r="A925" i="6"/>
  <c r="E927" i="3" l="1"/>
  <c r="D927" i="3"/>
  <c r="B927" i="3"/>
  <c r="C927" i="3"/>
  <c r="A928" i="3"/>
  <c r="D925" i="6"/>
  <c r="B925" i="6"/>
  <c r="F925" i="6"/>
  <c r="E925" i="6"/>
  <c r="C925" i="6"/>
  <c r="A926" i="6"/>
  <c r="E928" i="3" l="1"/>
  <c r="C928" i="3"/>
  <c r="D928" i="3"/>
  <c r="B928" i="3"/>
  <c r="A929" i="3"/>
  <c r="B926" i="6"/>
  <c r="F926" i="6"/>
  <c r="E926" i="6"/>
  <c r="D926" i="6"/>
  <c r="C926" i="6"/>
  <c r="A927" i="6"/>
  <c r="D929" i="3" l="1"/>
  <c r="C929" i="3"/>
  <c r="B929" i="3"/>
  <c r="E929" i="3"/>
  <c r="A930" i="3"/>
  <c r="D927" i="6"/>
  <c r="F927" i="6"/>
  <c r="E927" i="6"/>
  <c r="C927" i="6"/>
  <c r="B927" i="6"/>
  <c r="A928" i="6"/>
  <c r="E930" i="3" l="1"/>
  <c r="C930" i="3"/>
  <c r="D930" i="3"/>
  <c r="B930" i="3"/>
  <c r="A931" i="3"/>
  <c r="F928" i="6"/>
  <c r="B928" i="6"/>
  <c r="E928" i="6"/>
  <c r="D928" i="6"/>
  <c r="C928" i="6"/>
  <c r="A929" i="6"/>
  <c r="B931" i="3" l="1"/>
  <c r="D931" i="3"/>
  <c r="E931" i="3"/>
  <c r="C931" i="3"/>
  <c r="A932" i="3"/>
  <c r="D929" i="6"/>
  <c r="F929" i="6"/>
  <c r="E929" i="6"/>
  <c r="C929" i="6"/>
  <c r="B929" i="6"/>
  <c r="A930" i="6"/>
  <c r="E932" i="3" l="1"/>
  <c r="D932" i="3"/>
  <c r="C932" i="3"/>
  <c r="B932" i="3"/>
  <c r="A933" i="3"/>
  <c r="B930" i="6"/>
  <c r="F930" i="6"/>
  <c r="D930" i="6"/>
  <c r="C930" i="6"/>
  <c r="E930" i="6"/>
  <c r="A931" i="6"/>
  <c r="D933" i="3" l="1"/>
  <c r="B933" i="3"/>
  <c r="E933" i="3"/>
  <c r="C933" i="3"/>
  <c r="A934" i="3"/>
  <c r="D931" i="6"/>
  <c r="F931" i="6"/>
  <c r="E931" i="6"/>
  <c r="C931" i="6"/>
  <c r="B931" i="6"/>
  <c r="A932" i="6"/>
  <c r="C934" i="3" l="1"/>
  <c r="B934" i="3"/>
  <c r="E934" i="3"/>
  <c r="D934" i="3"/>
  <c r="A935" i="3"/>
  <c r="F932" i="6"/>
  <c r="B932" i="6"/>
  <c r="C932" i="6"/>
  <c r="E932" i="6"/>
  <c r="D932" i="6"/>
  <c r="A933" i="6"/>
  <c r="E935" i="3" l="1"/>
  <c r="D935" i="3"/>
  <c r="B935" i="3"/>
  <c r="C935" i="3"/>
  <c r="A936" i="3"/>
  <c r="D933" i="6"/>
  <c r="F933" i="6"/>
  <c r="E933" i="6"/>
  <c r="C933" i="6"/>
  <c r="B933" i="6"/>
  <c r="A934" i="6"/>
  <c r="E936" i="3" l="1"/>
  <c r="C936" i="3"/>
  <c r="B936" i="3"/>
  <c r="D936" i="3"/>
  <c r="A937" i="3"/>
  <c r="B934" i="6"/>
  <c r="F934" i="6"/>
  <c r="E934" i="6"/>
  <c r="D934" i="6"/>
  <c r="C934" i="6"/>
  <c r="A935" i="6"/>
  <c r="D937" i="3" l="1"/>
  <c r="C937" i="3"/>
  <c r="B937" i="3"/>
  <c r="E937" i="3"/>
  <c r="A938" i="3"/>
  <c r="D935" i="6"/>
  <c r="F935" i="6"/>
  <c r="E935" i="6"/>
  <c r="C935" i="6"/>
  <c r="B935" i="6"/>
  <c r="A936" i="6"/>
  <c r="E938" i="3" l="1"/>
  <c r="C938" i="3"/>
  <c r="D938" i="3"/>
  <c r="B938" i="3"/>
  <c r="A939" i="3"/>
  <c r="F936" i="6"/>
  <c r="B936" i="6"/>
  <c r="E936" i="6"/>
  <c r="D936" i="6"/>
  <c r="C936" i="6"/>
  <c r="A937" i="6"/>
  <c r="B939" i="3" l="1"/>
  <c r="D939" i="3"/>
  <c r="E939" i="3"/>
  <c r="C939" i="3"/>
  <c r="A940" i="3"/>
  <c r="D937" i="6"/>
  <c r="E937" i="6"/>
  <c r="C937" i="6"/>
  <c r="B937" i="6"/>
  <c r="F937" i="6"/>
  <c r="A938" i="6"/>
  <c r="E940" i="3" l="1"/>
  <c r="D940" i="3"/>
  <c r="C940" i="3"/>
  <c r="B940" i="3"/>
  <c r="A941" i="3"/>
  <c r="B938" i="6"/>
  <c r="F938" i="6"/>
  <c r="E938" i="6"/>
  <c r="D938" i="6"/>
  <c r="C938" i="6"/>
  <c r="A939" i="6"/>
  <c r="D941" i="3" l="1"/>
  <c r="B941" i="3"/>
  <c r="C941" i="3"/>
  <c r="E941" i="3"/>
  <c r="A942" i="3"/>
  <c r="D939" i="6"/>
  <c r="C939" i="6"/>
  <c r="B939" i="6"/>
  <c r="F939" i="6"/>
  <c r="E939" i="6"/>
  <c r="A940" i="6"/>
  <c r="C942" i="3" l="1"/>
  <c r="B942" i="3"/>
  <c r="E942" i="3"/>
  <c r="D942" i="3"/>
  <c r="A943" i="3"/>
  <c r="F940" i="6"/>
  <c r="B940" i="6"/>
  <c r="E940" i="6"/>
  <c r="D940" i="6"/>
  <c r="C940" i="6"/>
  <c r="A941" i="6"/>
  <c r="E943" i="3" l="1"/>
  <c r="D943" i="3"/>
  <c r="B943" i="3"/>
  <c r="C943" i="3"/>
  <c r="A944" i="3"/>
  <c r="D941" i="6"/>
  <c r="B941" i="6"/>
  <c r="F941" i="6"/>
  <c r="E941" i="6"/>
  <c r="C941" i="6"/>
  <c r="A942" i="6"/>
  <c r="E944" i="3" l="1"/>
  <c r="C944" i="3"/>
  <c r="D944" i="3"/>
  <c r="B944" i="3"/>
  <c r="A945" i="3"/>
  <c r="B942" i="6"/>
  <c r="F942" i="6"/>
  <c r="E942" i="6"/>
  <c r="D942" i="6"/>
  <c r="C942" i="6"/>
  <c r="A943" i="6"/>
  <c r="D945" i="3" l="1"/>
  <c r="C945" i="3"/>
  <c r="B945" i="3"/>
  <c r="E945" i="3"/>
  <c r="A946" i="3"/>
  <c r="D943" i="6"/>
  <c r="F943" i="6"/>
  <c r="E943" i="6"/>
  <c r="C943" i="6"/>
  <c r="B943" i="6"/>
  <c r="A944" i="6"/>
  <c r="E946" i="3" l="1"/>
  <c r="C946" i="3"/>
  <c r="D946" i="3"/>
  <c r="B946" i="3"/>
  <c r="A947" i="3"/>
  <c r="F944" i="6"/>
  <c r="B944" i="6"/>
  <c r="E944" i="6"/>
  <c r="D944" i="6"/>
  <c r="C944" i="6"/>
  <c r="A945" i="6"/>
  <c r="D945" i="6" l="1"/>
  <c r="F945" i="6"/>
  <c r="E945" i="6"/>
  <c r="C945" i="6"/>
  <c r="B945" i="6"/>
  <c r="B947" i="3"/>
  <c r="D947" i="3"/>
  <c r="E947" i="3"/>
  <c r="C947" i="3"/>
  <c r="A948" i="3"/>
  <c r="A946" i="6"/>
  <c r="A947" i="6" l="1"/>
  <c r="E948" i="3"/>
  <c r="D948" i="3"/>
  <c r="C948" i="3"/>
  <c r="B948" i="3"/>
  <c r="A949" i="3"/>
  <c r="B946" i="6"/>
  <c r="F946" i="6"/>
  <c r="D946" i="6"/>
  <c r="C946" i="6"/>
  <c r="E946" i="6"/>
  <c r="A948" i="6" l="1"/>
  <c r="D947" i="6"/>
  <c r="F947" i="6"/>
  <c r="E947" i="6"/>
  <c r="C947" i="6"/>
  <c r="B947" i="6"/>
  <c r="D949" i="3"/>
  <c r="B949" i="3"/>
  <c r="E949" i="3"/>
  <c r="C949" i="3"/>
  <c r="A950" i="3"/>
  <c r="F948" i="6" l="1"/>
  <c r="B948" i="6"/>
  <c r="C948" i="6"/>
  <c r="E948" i="6"/>
  <c r="D948" i="6"/>
  <c r="C950" i="3"/>
  <c r="B950" i="3"/>
  <c r="E950" i="3"/>
  <c r="D950" i="3"/>
  <c r="A951" i="3"/>
  <c r="A949" i="6"/>
  <c r="A950" i="6" l="1"/>
  <c r="D949" i="6"/>
  <c r="F949" i="6"/>
  <c r="E949" i="6"/>
  <c r="C949" i="6"/>
  <c r="B949" i="6"/>
  <c r="E951" i="3"/>
  <c r="D951" i="3"/>
  <c r="B951" i="3"/>
  <c r="C951" i="3"/>
  <c r="A952" i="3"/>
  <c r="E952" i="3" l="1"/>
  <c r="C952" i="3"/>
  <c r="D952" i="3"/>
  <c r="B952" i="3"/>
  <c r="A953" i="3"/>
  <c r="A951" i="6"/>
  <c r="B950" i="6"/>
  <c r="F950" i="6"/>
  <c r="E950" i="6"/>
  <c r="D950" i="6"/>
  <c r="C950" i="6"/>
  <c r="D953" i="3" l="1"/>
  <c r="C953" i="3"/>
  <c r="B953" i="3"/>
  <c r="E953" i="3"/>
  <c r="A954" i="3"/>
  <c r="D951" i="6"/>
  <c r="F951" i="6"/>
  <c r="E951" i="6"/>
  <c r="C951" i="6"/>
  <c r="B951" i="6"/>
  <c r="A952" i="6"/>
  <c r="E954" i="3" l="1"/>
  <c r="C954" i="3"/>
  <c r="B954" i="3"/>
  <c r="D954" i="3"/>
  <c r="A955" i="3"/>
  <c r="F952" i="6"/>
  <c r="B952" i="6"/>
  <c r="E952" i="6"/>
  <c r="D952" i="6"/>
  <c r="C952" i="6"/>
  <c r="A953" i="6"/>
  <c r="B955" i="3" l="1"/>
  <c r="D955" i="3"/>
  <c r="E955" i="3"/>
  <c r="C955" i="3"/>
  <c r="A956" i="3"/>
  <c r="D953" i="6"/>
  <c r="E953" i="6"/>
  <c r="C953" i="6"/>
  <c r="B953" i="6"/>
  <c r="F953" i="6"/>
  <c r="A954" i="6"/>
  <c r="E956" i="3" l="1"/>
  <c r="D956" i="3"/>
  <c r="C956" i="3"/>
  <c r="B956" i="3"/>
  <c r="A957" i="3"/>
  <c r="B954" i="6"/>
  <c r="F954" i="6"/>
  <c r="E954" i="6"/>
  <c r="D954" i="6"/>
  <c r="C954" i="6"/>
  <c r="A955" i="6"/>
  <c r="D957" i="3" l="1"/>
  <c r="B957" i="3"/>
  <c r="C957" i="3"/>
  <c r="E957" i="3"/>
  <c r="A958" i="3"/>
  <c r="D955" i="6"/>
  <c r="C955" i="6"/>
  <c r="B955" i="6"/>
  <c r="F955" i="6"/>
  <c r="E955" i="6"/>
  <c r="A956" i="6"/>
  <c r="C958" i="3" l="1"/>
  <c r="B958" i="3"/>
  <c r="E958" i="3"/>
  <c r="D958" i="3"/>
  <c r="A959" i="3"/>
  <c r="F956" i="6"/>
  <c r="B956" i="6"/>
  <c r="E956" i="6"/>
  <c r="D956" i="6"/>
  <c r="C956" i="6"/>
  <c r="A957" i="6"/>
  <c r="D957" i="6" l="1"/>
  <c r="B957" i="6"/>
  <c r="F957" i="6"/>
  <c r="E957" i="6"/>
  <c r="C957" i="6"/>
  <c r="E959" i="3"/>
  <c r="D959" i="3"/>
  <c r="B959" i="3"/>
  <c r="C959" i="3"/>
  <c r="A960" i="3"/>
  <c r="A958" i="6"/>
  <c r="A959" i="6" l="1"/>
  <c r="B958" i="6"/>
  <c r="F958" i="6"/>
  <c r="E958" i="6"/>
  <c r="D958" i="6"/>
  <c r="C958" i="6"/>
  <c r="E960" i="3"/>
  <c r="C960" i="3"/>
  <c r="D960" i="3"/>
  <c r="B960" i="3"/>
  <c r="A961" i="3"/>
  <c r="D961" i="3" l="1"/>
  <c r="C961" i="3"/>
  <c r="B961" i="3"/>
  <c r="E961" i="3"/>
  <c r="A962" i="3"/>
  <c r="D959" i="6"/>
  <c r="F959" i="6"/>
  <c r="E959" i="6"/>
  <c r="B959" i="6"/>
  <c r="C959" i="6"/>
  <c r="A960" i="6"/>
  <c r="E962" i="3" l="1"/>
  <c r="C962" i="3"/>
  <c r="D962" i="3"/>
  <c r="B962" i="3"/>
  <c r="A963" i="3"/>
  <c r="F960" i="6"/>
  <c r="B960" i="6"/>
  <c r="E960" i="6"/>
  <c r="D960" i="6"/>
  <c r="C960" i="6"/>
  <c r="A961" i="6"/>
  <c r="B963" i="3" l="1"/>
  <c r="D963" i="3"/>
  <c r="E963" i="3"/>
  <c r="C963" i="3"/>
  <c r="A964" i="3"/>
  <c r="D961" i="6"/>
  <c r="F961" i="6"/>
  <c r="E961" i="6"/>
  <c r="C961" i="6"/>
  <c r="B961" i="6"/>
  <c r="A962" i="6"/>
  <c r="E964" i="3" l="1"/>
  <c r="D964" i="3"/>
  <c r="C964" i="3"/>
  <c r="B964" i="3"/>
  <c r="A965" i="3"/>
  <c r="B962" i="6"/>
  <c r="F962" i="6"/>
  <c r="D962" i="6"/>
  <c r="C962" i="6"/>
  <c r="E962" i="6"/>
  <c r="A963" i="6"/>
  <c r="D963" i="6" l="1"/>
  <c r="F963" i="6"/>
  <c r="E963" i="6"/>
  <c r="C963" i="6"/>
  <c r="B963" i="6"/>
  <c r="D965" i="3"/>
  <c r="B965" i="3"/>
  <c r="E965" i="3"/>
  <c r="C965" i="3"/>
  <c r="A966" i="3"/>
  <c r="A964" i="6"/>
  <c r="A965" i="6" l="1"/>
  <c r="F964" i="6"/>
  <c r="B964" i="6"/>
  <c r="C964" i="6"/>
  <c r="E964" i="6"/>
  <c r="D964" i="6"/>
  <c r="C966" i="3"/>
  <c r="B966" i="3"/>
  <c r="E966" i="3"/>
  <c r="D966" i="3"/>
  <c r="A967" i="3"/>
  <c r="E967" i="3" l="1"/>
  <c r="D967" i="3"/>
  <c r="B967" i="3"/>
  <c r="C967" i="3"/>
  <c r="A968" i="3"/>
  <c r="D965" i="6"/>
  <c r="F965" i="6"/>
  <c r="E965" i="6"/>
  <c r="C965" i="6"/>
  <c r="B965" i="6"/>
  <c r="A966" i="6"/>
  <c r="E968" i="3" l="1"/>
  <c r="C968" i="3"/>
  <c r="D968" i="3"/>
  <c r="B968" i="3"/>
  <c r="A969" i="3"/>
  <c r="B966" i="6"/>
  <c r="F966" i="6"/>
  <c r="E966" i="6"/>
  <c r="C966" i="6"/>
  <c r="D966" i="6"/>
  <c r="A967" i="6"/>
  <c r="D969" i="3" l="1"/>
  <c r="C969" i="3"/>
  <c r="B969" i="3"/>
  <c r="E969" i="3"/>
  <c r="A970" i="3"/>
  <c r="D967" i="6"/>
  <c r="F967" i="6"/>
  <c r="E967" i="6"/>
  <c r="C967" i="6"/>
  <c r="B967" i="6"/>
  <c r="A968" i="6"/>
  <c r="E970" i="3" l="1"/>
  <c r="C970" i="3"/>
  <c r="B970" i="3"/>
  <c r="D970" i="3"/>
  <c r="A971" i="3"/>
  <c r="F968" i="6"/>
  <c r="B968" i="6"/>
  <c r="E968" i="6"/>
  <c r="D968" i="6"/>
  <c r="C968" i="6"/>
  <c r="A969" i="6"/>
  <c r="B971" i="3" l="1"/>
  <c r="D971" i="3"/>
  <c r="C971" i="3"/>
  <c r="E971" i="3"/>
  <c r="A972" i="3"/>
  <c r="D969" i="6"/>
  <c r="E969" i="6"/>
  <c r="C969" i="6"/>
  <c r="B969" i="6"/>
  <c r="F969" i="6"/>
  <c r="A970" i="6"/>
  <c r="E972" i="3" l="1"/>
  <c r="D972" i="3"/>
  <c r="C972" i="3"/>
  <c r="B972" i="3"/>
  <c r="A973" i="3"/>
  <c r="B970" i="6"/>
  <c r="F970" i="6"/>
  <c r="E970" i="6"/>
  <c r="D970" i="6"/>
  <c r="C970" i="6"/>
  <c r="A971" i="6"/>
  <c r="D973" i="3" l="1"/>
  <c r="B973" i="3"/>
  <c r="E973" i="3"/>
  <c r="C973" i="3"/>
  <c r="A974" i="3"/>
  <c r="D971" i="6"/>
  <c r="C971" i="6"/>
  <c r="B971" i="6"/>
  <c r="F971" i="6"/>
  <c r="E971" i="6"/>
  <c r="A972" i="6"/>
  <c r="C974" i="3" l="1"/>
  <c r="B974" i="3"/>
  <c r="E974" i="3"/>
  <c r="D974" i="3"/>
  <c r="A975" i="3"/>
  <c r="F972" i="6"/>
  <c r="B972" i="6"/>
  <c r="E972" i="6"/>
  <c r="D972" i="6"/>
  <c r="C972" i="6"/>
  <c r="A973" i="6"/>
  <c r="E975" i="3" l="1"/>
  <c r="D975" i="3"/>
  <c r="B975" i="3"/>
  <c r="C975" i="3"/>
  <c r="A976" i="3"/>
  <c r="D973" i="6"/>
  <c r="B973" i="6"/>
  <c r="F973" i="6"/>
  <c r="C973" i="6"/>
  <c r="E973" i="6"/>
  <c r="A974" i="6"/>
  <c r="E976" i="3" l="1"/>
  <c r="C976" i="3"/>
  <c r="D976" i="3"/>
  <c r="B976" i="3"/>
  <c r="A977" i="3"/>
  <c r="B974" i="6"/>
  <c r="F974" i="6"/>
  <c r="E974" i="6"/>
  <c r="D974" i="6"/>
  <c r="C974" i="6"/>
  <c r="A975" i="6"/>
  <c r="D977" i="3" l="1"/>
  <c r="C977" i="3"/>
  <c r="B977" i="3"/>
  <c r="E977" i="3"/>
  <c r="A978" i="3"/>
  <c r="D975" i="6"/>
  <c r="F975" i="6"/>
  <c r="E975" i="6"/>
  <c r="C975" i="6"/>
  <c r="B975" i="6"/>
  <c r="A976" i="6"/>
  <c r="E978" i="3" l="1"/>
  <c r="C978" i="3"/>
  <c r="D978" i="3"/>
  <c r="B978" i="3"/>
  <c r="A979" i="3"/>
  <c r="F976" i="6"/>
  <c r="B976" i="6"/>
  <c r="E976" i="6"/>
  <c r="D976" i="6"/>
  <c r="C976" i="6"/>
  <c r="A977" i="6"/>
  <c r="B979" i="3" l="1"/>
  <c r="D979" i="3"/>
  <c r="E979" i="3"/>
  <c r="C979" i="3"/>
  <c r="A980" i="3"/>
  <c r="D977" i="6"/>
  <c r="F977" i="6"/>
  <c r="E977" i="6"/>
  <c r="C977" i="6"/>
  <c r="B977" i="6"/>
  <c r="A978" i="6"/>
  <c r="E980" i="3" l="1"/>
  <c r="D980" i="3"/>
  <c r="C980" i="3"/>
  <c r="B980" i="3"/>
  <c r="A981" i="3"/>
  <c r="B978" i="6"/>
  <c r="F978" i="6"/>
  <c r="D978" i="6"/>
  <c r="C978" i="6"/>
  <c r="E978" i="6"/>
  <c r="A979" i="6"/>
  <c r="D981" i="3" l="1"/>
  <c r="B981" i="3"/>
  <c r="E981" i="3"/>
  <c r="C981" i="3"/>
  <c r="A982" i="3"/>
  <c r="D979" i="6"/>
  <c r="F979" i="6"/>
  <c r="E979" i="6"/>
  <c r="C979" i="6"/>
  <c r="B979" i="6"/>
  <c r="A980" i="6"/>
  <c r="C982" i="3" l="1"/>
  <c r="B982" i="3"/>
  <c r="E982" i="3"/>
  <c r="D982" i="3"/>
  <c r="A983" i="3"/>
  <c r="F980" i="6"/>
  <c r="B980" i="6"/>
  <c r="C980" i="6"/>
  <c r="D980" i="6"/>
  <c r="E980" i="6"/>
  <c r="A981" i="6"/>
  <c r="E983" i="3" l="1"/>
  <c r="D983" i="3"/>
  <c r="B983" i="3"/>
  <c r="C983" i="3"/>
  <c r="A984" i="3"/>
  <c r="D981" i="6"/>
  <c r="F981" i="6"/>
  <c r="E981" i="6"/>
  <c r="C981" i="6"/>
  <c r="B981" i="6"/>
  <c r="A982" i="6"/>
  <c r="E984" i="3" l="1"/>
  <c r="C984" i="3"/>
  <c r="B984" i="3"/>
  <c r="D984" i="3"/>
  <c r="A985" i="3"/>
  <c r="B982" i="6"/>
  <c r="F982" i="6"/>
  <c r="E982" i="6"/>
  <c r="D982" i="6"/>
  <c r="C982" i="6"/>
  <c r="A983" i="6"/>
  <c r="D985" i="3" l="1"/>
  <c r="C985" i="3"/>
  <c r="B985" i="3"/>
  <c r="E985" i="3"/>
  <c r="A986" i="3"/>
  <c r="D983" i="6"/>
  <c r="F983" i="6"/>
  <c r="E983" i="6"/>
  <c r="C983" i="6"/>
  <c r="B983" i="6"/>
  <c r="A984" i="6"/>
  <c r="E986" i="3" l="1"/>
  <c r="C986" i="3"/>
  <c r="D986" i="3"/>
  <c r="B986" i="3"/>
  <c r="A987" i="3"/>
  <c r="F984" i="6"/>
  <c r="B984" i="6"/>
  <c r="E984" i="6"/>
  <c r="D984" i="6"/>
  <c r="C984" i="6"/>
  <c r="A985" i="6"/>
  <c r="B987" i="3" l="1"/>
  <c r="D987" i="3"/>
  <c r="C987" i="3"/>
  <c r="E987" i="3"/>
  <c r="A988" i="3"/>
  <c r="D985" i="6"/>
  <c r="E985" i="6"/>
  <c r="C985" i="6"/>
  <c r="B985" i="6"/>
  <c r="F985" i="6"/>
  <c r="A986" i="6"/>
  <c r="E988" i="3" l="1"/>
  <c r="D988" i="3"/>
  <c r="C988" i="3"/>
  <c r="B988" i="3"/>
  <c r="A989" i="3"/>
  <c r="B986" i="6"/>
  <c r="F986" i="6"/>
  <c r="E986" i="6"/>
  <c r="D986" i="6"/>
  <c r="C986" i="6"/>
  <c r="A987" i="6"/>
  <c r="D989" i="3" l="1"/>
  <c r="B989" i="3"/>
  <c r="E989" i="3"/>
  <c r="C989" i="3"/>
  <c r="A990" i="3"/>
  <c r="D987" i="6"/>
  <c r="C987" i="6"/>
  <c r="B987" i="6"/>
  <c r="E987" i="6"/>
  <c r="F987" i="6"/>
  <c r="A988" i="6"/>
  <c r="C990" i="3" l="1"/>
  <c r="B990" i="3"/>
  <c r="E990" i="3"/>
  <c r="D990" i="3"/>
  <c r="A991" i="3"/>
  <c r="F988" i="6"/>
  <c r="B988" i="6"/>
  <c r="E988" i="6"/>
  <c r="D988" i="6"/>
  <c r="C988" i="6"/>
  <c r="A989" i="6"/>
  <c r="E991" i="3" l="1"/>
  <c r="D991" i="3"/>
  <c r="B991" i="3"/>
  <c r="C991" i="3"/>
  <c r="A992" i="3"/>
  <c r="D989" i="6"/>
  <c r="B989" i="6"/>
  <c r="F989" i="6"/>
  <c r="E989" i="6"/>
  <c r="C989" i="6"/>
  <c r="A990" i="6"/>
  <c r="E992" i="3" l="1"/>
  <c r="C992" i="3"/>
  <c r="D992" i="3"/>
  <c r="B992" i="3"/>
  <c r="A993" i="3"/>
  <c r="B990" i="6"/>
  <c r="F990" i="6"/>
  <c r="E990" i="6"/>
  <c r="D990" i="6"/>
  <c r="C990" i="6"/>
  <c r="A991" i="6"/>
  <c r="D993" i="3" l="1"/>
  <c r="C993" i="3"/>
  <c r="B993" i="3"/>
  <c r="E993" i="3"/>
  <c r="A994" i="3"/>
  <c r="D991" i="6"/>
  <c r="F991" i="6"/>
  <c r="E991" i="6"/>
  <c r="C991" i="6"/>
  <c r="B991" i="6"/>
  <c r="A992" i="6"/>
  <c r="E994" i="3" l="1"/>
  <c r="D994" i="3"/>
  <c r="C994" i="3"/>
  <c r="B994" i="3"/>
  <c r="A995" i="3"/>
  <c r="F992" i="6"/>
  <c r="B992" i="6"/>
  <c r="E992" i="6"/>
  <c r="D992" i="6"/>
  <c r="C992" i="6"/>
  <c r="A993" i="6"/>
  <c r="B995" i="3" l="1"/>
  <c r="D995" i="3"/>
  <c r="E995" i="3"/>
  <c r="C995" i="3"/>
  <c r="A996" i="3"/>
  <c r="D993" i="6"/>
  <c r="F993" i="6"/>
  <c r="E993" i="6"/>
  <c r="C993" i="6"/>
  <c r="B993" i="6"/>
  <c r="A994" i="6"/>
  <c r="E996" i="3" l="1"/>
  <c r="D996" i="3"/>
  <c r="C996" i="3"/>
  <c r="B996" i="3"/>
  <c r="A997" i="3"/>
  <c r="B994" i="6"/>
  <c r="F994" i="6"/>
  <c r="E994" i="6"/>
  <c r="D994" i="6"/>
  <c r="C994" i="6"/>
  <c r="A995" i="6"/>
  <c r="E997" i="3" l="1"/>
  <c r="D997" i="3"/>
  <c r="B997" i="3"/>
  <c r="C997" i="3"/>
  <c r="A998" i="3"/>
  <c r="D995" i="6"/>
  <c r="F995" i="6"/>
  <c r="E995" i="6"/>
  <c r="C995" i="6"/>
  <c r="B995" i="6"/>
  <c r="A996" i="6"/>
  <c r="D998" i="3" l="1"/>
  <c r="C998" i="3"/>
  <c r="B998" i="3"/>
  <c r="E998" i="3"/>
  <c r="A999" i="3"/>
  <c r="F996" i="6"/>
  <c r="B996" i="6"/>
  <c r="D996" i="6"/>
  <c r="C996" i="6"/>
  <c r="E996" i="6"/>
  <c r="A997" i="6"/>
  <c r="E999" i="3" l="1"/>
  <c r="D999" i="3"/>
  <c r="C999" i="3"/>
  <c r="B999" i="3"/>
  <c r="A1000" i="3"/>
  <c r="D997" i="6"/>
  <c r="F997" i="6"/>
  <c r="E997" i="6"/>
  <c r="C997" i="6"/>
  <c r="B997" i="6"/>
  <c r="A998" i="6"/>
  <c r="B1000" i="3" l="1"/>
  <c r="E1000" i="3"/>
  <c r="D1000" i="3"/>
  <c r="C1000" i="3"/>
  <c r="B6" i="1"/>
  <c r="B998" i="6"/>
  <c r="F998" i="6"/>
  <c r="C998" i="6"/>
  <c r="E998" i="6"/>
  <c r="D998" i="6"/>
  <c r="A999" i="6"/>
  <c r="D999" i="6" l="1"/>
  <c r="C999" i="6"/>
  <c r="F999" i="6"/>
  <c r="E999" i="6"/>
  <c r="B999" i="6"/>
  <c r="A1000" i="6"/>
  <c r="F1000" i="6" l="1"/>
  <c r="E1000" i="6"/>
  <c r="D1000" i="6"/>
  <c r="C1000" i="6"/>
  <c r="B1000" i="6"/>
  <c r="B7" i="1"/>
</calcChain>
</file>

<file path=xl/sharedStrings.xml><?xml version="1.0" encoding="utf-8"?>
<sst xmlns="http://schemas.openxmlformats.org/spreadsheetml/2006/main" count="17209" uniqueCount="2801">
  <si>
    <t>CONTROLE DE CARREGAMENTO ULTRAPÃO</t>
  </si>
  <si>
    <t>RESUMO GERAL</t>
  </si>
  <si>
    <t>ESTATÍSTICAS POR VEÍCULO</t>
  </si>
  <si>
    <t>Total de Itens Bipados:</t>
  </si>
  <si>
    <t>Veículo</t>
  </si>
  <si>
    <t>Itens Carregados</t>
  </si>
  <si>
    <t>Total de Itens Carregados:</t>
  </si>
  <si>
    <t>Total de Itens Únicos:</t>
  </si>
  <si>
    <t>Total de Divergências:</t>
  </si>
  <si>
    <t>ACESSO RÁPIDO ÀS ABAS</t>
  </si>
  <si>
    <t>BASE</t>
  </si>
  <si>
    <t>Cadastro de produtos bipados</t>
  </si>
  <si>
    <t>CONFERENCIA</t>
  </si>
  <si>
    <t>Conferência sem repetir códigos</t>
  </si>
  <si>
    <t>EXTRATO</t>
  </si>
  <si>
    <t>Relação de itens carregados</t>
  </si>
  <si>
    <t>ROMANEIO POR ITEM</t>
  </si>
  <si>
    <t>Conferência com romaneio</t>
  </si>
  <si>
    <t>DIVERGÊNCIAS</t>
  </si>
  <si>
    <t>Lista de divergências encontradas</t>
  </si>
  <si>
    <t>INSTRUÇÕES DE USO</t>
  </si>
  <si>
    <t>1. Na aba BASE, registre todos os produtos bipados com código de barras, produto, quantidade, data/hora, veículo e status</t>
  </si>
  <si>
    <t>2. A aba CONFERENCIA consolida automaticamente os itens sem repetir códigos de barras</t>
  </si>
  <si>
    <t>3. A aba EXTRATO mostra apenas os itens com status 'CARREGADO'</t>
  </si>
  <si>
    <t>4. Na aba ROMANEIO POR ITEM, insira manualmente a quantidade do romaneio na coluna D para comparar</t>
  </si>
  <si>
    <t>5. A aba DIVERGÊNCIAS mostra automaticamente todas as diferenças encontradas</t>
  </si>
  <si>
    <t>CÓDIGO DE BARRAS</t>
  </si>
  <si>
    <t>PRODUTO</t>
  </si>
  <si>
    <t>QUANTIDADE</t>
  </si>
  <si>
    <t>DATA/HORA</t>
  </si>
  <si>
    <t>VEÍCULO</t>
  </si>
  <si>
    <t>STATUS</t>
  </si>
  <si>
    <t>QUANTIDADE TOTAL</t>
  </si>
  <si>
    <t>ÚLTIMA DATA/HORA</t>
  </si>
  <si>
    <t>QUANTIDADE BIPADA</t>
  </si>
  <si>
    <t>QUANTIDADE ROMANEIO</t>
  </si>
  <si>
    <t>DIFERENÇA</t>
  </si>
  <si>
    <t>TIPO</t>
  </si>
  <si>
    <t>Data de cadastro</t>
  </si>
  <si>
    <t>Id roteiro</t>
  </si>
  <si>
    <t>Identificador da rota</t>
  </si>
  <si>
    <t>Id viagem faturada</t>
  </si>
  <si>
    <t>Entrega estimada</t>
  </si>
  <si>
    <t>Placa</t>
  </si>
  <si>
    <t>Pedido</t>
  </si>
  <si>
    <t>Código cliente</t>
  </si>
  <si>
    <t>Cliente</t>
  </si>
  <si>
    <t>Tipo cliente</t>
  </si>
  <si>
    <t>Transportadora</t>
  </si>
  <si>
    <t>Endereço</t>
  </si>
  <si>
    <t>Bairro</t>
  </si>
  <si>
    <t>Cidade</t>
  </si>
  <si>
    <t>Código do produto</t>
  </si>
  <si>
    <t>Descrição do produto</t>
  </si>
  <si>
    <t>Quantidade do produto</t>
  </si>
  <si>
    <t>Qtd. caixas</t>
  </si>
  <si>
    <t>Unidade de medida do produto</t>
  </si>
  <si>
    <t>Peso bruto pedido</t>
  </si>
  <si>
    <t>Início previsto</t>
  </si>
  <si>
    <t>Unidade</t>
  </si>
  <si>
    <t>Valor total pedido</t>
  </si>
  <si>
    <t>Peso do veículo</t>
  </si>
  <si>
    <t>ULP0002</t>
  </si>
  <si>
    <t>CD Guarulhos (Ultrapão)</t>
  </si>
  <si>
    <t>Ultrapão Transportes</t>
  </si>
  <si>
    <t>Avenida Faustino Ramalho</t>
  </si>
  <si>
    <t>Vila Galvão</t>
  </si>
  <si>
    <t>Guarulhos</t>
  </si>
  <si>
    <t>01.01.0001</t>
  </si>
  <si>
    <t>MASSA CONGELADA DE PAO FRANCES RAPIDA - 5KG</t>
  </si>
  <si>
    <t>PT</t>
  </si>
  <si>
    <t>CD Pouso Alegre Ultrapão</t>
  </si>
  <si>
    <t>01.02.0007</t>
  </si>
  <si>
    <t>MASSA CONGELADA DE PAO FRANCES COM GRAOS RAPIDA - 5KG</t>
  </si>
  <si>
    <t>01.04.0008</t>
  </si>
  <si>
    <t>PAO DE QUEIJO EMPANADO 30G - CX 10KG</t>
  </si>
  <si>
    <t>CX</t>
  </si>
  <si>
    <t>01.10.0004</t>
  </si>
  <si>
    <t>CIABATTA COM GRAOS LEVIASSA 220G</t>
  </si>
  <si>
    <t>01.10.0014</t>
  </si>
  <si>
    <t>CIABATTA TRADICIONAL LEVIASSA- PT 0,220 KG- CX 2,64 KG- 12 UN</t>
  </si>
  <si>
    <t>40 - GRU - PINHEIROS</t>
  </si>
  <si>
    <t>SEG0002</t>
  </si>
  <si>
    <t>VILA MARIANA</t>
  </si>
  <si>
    <t>São Paulo</t>
  </si>
  <si>
    <t>01.06.0001</t>
  </si>
  <si>
    <t>CD Guarulhos Ultrapão (Distribuidora)</t>
  </si>
  <si>
    <t>01.10.0003</t>
  </si>
  <si>
    <t>CIABATTA TRADICIONAL LEVIASSA 220 G</t>
  </si>
  <si>
    <t>14 - PPY - VARGINHA</t>
  </si>
  <si>
    <t>Supermercado</t>
  </si>
  <si>
    <t>01.02.0001</t>
  </si>
  <si>
    <t>MASSA CONGELADA DE MINI PAO FRANCES RAPIDA - 5KG</t>
  </si>
  <si>
    <t>01.02.0005</t>
  </si>
  <si>
    <t>MASSA CONGELADA DE PAO FRANCES INTEGRAL RAPIDA - 5KG</t>
  </si>
  <si>
    <t>Varejo</t>
  </si>
  <si>
    <t>CENTRO</t>
  </si>
  <si>
    <t>01.02.0009</t>
  </si>
  <si>
    <t>MASSA CONGELADA DE BAGUETE RAPIDA - 5KG</t>
  </si>
  <si>
    <t>01.02.0011</t>
  </si>
  <si>
    <t>MASSA CONGELADA DE MINI BAGUETE RAPIDA - 5KG</t>
  </si>
  <si>
    <t>01.04.0058</t>
  </si>
  <si>
    <t>MASSA CONGELADA DE PÃO DE QUEIJO TRADICIONAL PEQUENO ? CX 10 KG - 5 UN DE 2 KG</t>
  </si>
  <si>
    <t>02.01.0007</t>
  </si>
  <si>
    <t>MASSA CONGELADA DE PALITO 3 QUEIJOS - CX 12 KG - PT 06 UN</t>
  </si>
  <si>
    <t>02.03.0001</t>
  </si>
  <si>
    <t>PAO DE SONHO CONGELADO - CX 2,5KG</t>
  </si>
  <si>
    <t>01.03.0019</t>
  </si>
  <si>
    <t>MASSA CONGELADA DE ROSCA LISA (PAO DE LEITE) - CX 10 KG - 2 UN DE 5KG</t>
  </si>
  <si>
    <t>01.01.0002</t>
  </si>
  <si>
    <t>MASSA CONGELADA DE PAO FRANCES MEDIA - 5KG</t>
  </si>
  <si>
    <t>01.04.0002</t>
  </si>
  <si>
    <t>MASSA CONGELADA DE PAO DE QUEIJO TRADICIONAL GRANDE 90G - 7KG</t>
  </si>
  <si>
    <t>01.09.0007</t>
  </si>
  <si>
    <t>CIABATTA HOMEBAKE TRADICIONAL 3,6KG - 12 UNIDADES 300G</t>
  </si>
  <si>
    <t>01.09.0008</t>
  </si>
  <si>
    <t>CIABATTA HOMEBAKE COM GRAOS 3,6KG - 12 UNIDADES 300G</t>
  </si>
  <si>
    <t>01.09.0009</t>
  </si>
  <si>
    <t>MINI PAO ITALIANO HOMEBAKE 4,2KG - 14 UNIDADES 300G</t>
  </si>
  <si>
    <t>01.09.0012</t>
  </si>
  <si>
    <t>PAO FRANCES HOMEBAKE 3,24KG - 12 UNIDADES 270G</t>
  </si>
  <si>
    <t>01.04.0005</t>
  </si>
  <si>
    <t>MASSA CONGELADA DE PAO DE QUEIJO RECHEADO COM GOIABADA BENJAMIN DE 100G - 1KG</t>
  </si>
  <si>
    <t>01.04.0006</t>
  </si>
  <si>
    <t>MASSA CONGELADA DE PAO DE QUEIJO RECHEADO COM REQUEIJAO BENJAMIN DE 100G - 1KG</t>
  </si>
  <si>
    <t>01.09.0010</t>
  </si>
  <si>
    <t>MINI BAGUETE LANCHE HOMEBAKE 3,6KG - 12 UNIDADES 300G</t>
  </si>
  <si>
    <t>GAF9F72</t>
  </si>
  <si>
    <t>01.04.0020</t>
  </si>
  <si>
    <t>MASSA CONGELADA DE BISCOITO PALITO 3 QUEIJOS 45G - 4KG</t>
  </si>
  <si>
    <t>01.04.0010</t>
  </si>
  <si>
    <t>MASSA CONGELADA DE PAO DE QUEIJO TRADICIONAL CLASSE A 30G - 8 PCT DE 1KG</t>
  </si>
  <si>
    <t>FR</t>
  </si>
  <si>
    <t>01.04.0062</t>
  </si>
  <si>
    <t>MASSA CONGELADA DE PÃO DE QUEIJO TRADICIONAL GRANDE - CX 10 KG - 5 UN DE 2 KG</t>
  </si>
  <si>
    <t>02.03.1010</t>
  </si>
  <si>
    <t>MASSA CONGELADA DE PÃO DE MILHO CAIXA 4X2,5KG 10KG</t>
  </si>
  <si>
    <t>02.03.1012</t>
  </si>
  <si>
    <t>MASSA CONGELADA DE PÃO DE BATATA CAIXA 4X2,5KG 10KG</t>
  </si>
  <si>
    <t>FQQ1H88</t>
  </si>
  <si>
    <t>Carlos de Mattos transportes</t>
  </si>
  <si>
    <t>01.02.0003</t>
  </si>
  <si>
    <t>MASSA CONGELADA DE MINI PAO FRANCES INTEGRAL RAPIDA - 5KG</t>
  </si>
  <si>
    <t>01.06.0059</t>
  </si>
  <si>
    <t>UN</t>
  </si>
  <si>
    <t>02.04.0002</t>
  </si>
  <si>
    <t>MASSA CONGELADA DE PÃO DE HOT DOG 60G - 50 UNIDADES - 3,000 KG</t>
  </si>
  <si>
    <t>02.04.0003</t>
  </si>
  <si>
    <t>MASSA CONGELADA DE HAMBÚRGUER 70G - 35 UNIDADES - 2,450 KG</t>
  </si>
  <si>
    <t>02.04.0012</t>
  </si>
  <si>
    <t>PAO DE MILHO BOLEADO - 5 KG</t>
  </si>
  <si>
    <t>02.04.0013</t>
  </si>
  <si>
    <t>PAO DE BATATA BOLEADO - 5 KG</t>
  </si>
  <si>
    <t>02.04.0014</t>
  </si>
  <si>
    <t>PAO DE CEBOLA BOLEADO - 5 KG</t>
  </si>
  <si>
    <t>Carrefour</t>
  </si>
  <si>
    <t>01.04.0009</t>
  </si>
  <si>
    <t>PAO DE QUEIJO MULTIGRAOS EMPANADO 30G - CX 10KG</t>
  </si>
  <si>
    <t>SWY3E25</t>
  </si>
  <si>
    <t>Oxxo</t>
  </si>
  <si>
    <t>Centro</t>
  </si>
  <si>
    <t>02.01.0004</t>
  </si>
  <si>
    <t>PAO DE QUEIJO FORNO DE MINAS ASSADO CONGELADO RECHEADO REQUEIJAO MAX LANCHE</t>
  </si>
  <si>
    <t>02.01.0005</t>
  </si>
  <si>
    <t>PAO DE QUEIJO FORNO DE MINAS ASSADO CONGELADO MAX LANCHE</t>
  </si>
  <si>
    <t>02.03.0041</t>
  </si>
  <si>
    <t>BOLO DE CENOURA C/ COBERTURA - 2UN</t>
  </si>
  <si>
    <t>02.03.0043</t>
  </si>
  <si>
    <t>BAGUETE GERGELIM CARNE MOIDA - CX 10UN</t>
  </si>
  <si>
    <t>01.04.0066</t>
  </si>
  <si>
    <t>MASSA CONGELADA DE PÃO DE QUEIJO RECHEADO DE REQUEIJÃO 65G ? CX 10 KG ? 5 UN DE 2 KG</t>
  </si>
  <si>
    <t>02.03.0042</t>
  </si>
  <si>
    <t>BAGUETE DE PERNIL 160G</t>
  </si>
  <si>
    <t>02.02.0029</t>
  </si>
  <si>
    <t>RISOLES LAMINADO FRITO DE FRANGO 150G</t>
  </si>
  <si>
    <t>02.03.0039</t>
  </si>
  <si>
    <t>BAGUETE CALABRESA COM CEBOLA CARAMELIZADA 140G</t>
  </si>
  <si>
    <t>02.02.0028</t>
  </si>
  <si>
    <t>ESPETO DE FRANGO FRITO 90G - CX 40 UN</t>
  </si>
  <si>
    <t>36 - GRU - ACLIMAÇÃO</t>
  </si>
  <si>
    <t>SWI6E54</t>
  </si>
  <si>
    <t>Pão de Açucar</t>
  </si>
  <si>
    <t>Minuto Pão de Açucar</t>
  </si>
  <si>
    <t>01.10.0006</t>
  </si>
  <si>
    <t>MINI BAGUETE FRANCESA LEVIASSA - 240 G</t>
  </si>
  <si>
    <t>Vila Mariana</t>
  </si>
  <si>
    <t>OXXO CAPITU</t>
  </si>
  <si>
    <t>Rua Gaspar Lourenco, 100</t>
  </si>
  <si>
    <t>Ana Rosa</t>
  </si>
  <si>
    <t>01.10.0013</t>
  </si>
  <si>
    <t>MINI BAGUETE FRANCESA LEVIASSA - PT 0,240 KG - CX 2,88 KG - 12 UN</t>
  </si>
  <si>
    <t>OXXO JOAQUIM TAVORA</t>
  </si>
  <si>
    <t>OXXO LACERDA TAVARES</t>
  </si>
  <si>
    <t>RUA ANTÔNIO TAVARES, 242 E 244</t>
  </si>
  <si>
    <t>Vila Independência</t>
  </si>
  <si>
    <t>Aclimação</t>
  </si>
  <si>
    <t>OXXO OFF</t>
  </si>
  <si>
    <t>RUA TAMANDARÉ, 796</t>
  </si>
  <si>
    <t>Liberdade/São Joaquim</t>
  </si>
  <si>
    <t>OXXO METRO VILA MARIANA</t>
  </si>
  <si>
    <t>RUA DOMINGOS DE MORAIS, 1495</t>
  </si>
  <si>
    <t>33 - GRU - REPÚBLICA</t>
  </si>
  <si>
    <t>SSV3J72</t>
  </si>
  <si>
    <t>OXXO METRO REPUBLICA</t>
  </si>
  <si>
    <t>PRAÇA DA REPÚBLICA, 76</t>
  </si>
  <si>
    <t>República</t>
  </si>
  <si>
    <t>Mini Extra</t>
  </si>
  <si>
    <t>CERQUEIRA CESAR</t>
  </si>
  <si>
    <t>OXXO REPUBLICA - DOM JOSE</t>
  </si>
  <si>
    <t>RUA BRÁULIO GOMES, 44</t>
  </si>
  <si>
    <t>Parque Dom Pedro</t>
  </si>
  <si>
    <t>Ladeira Da Memória</t>
  </si>
  <si>
    <t>OXXO REGO FREITAS</t>
  </si>
  <si>
    <t>R. REGO FREITAS, 363</t>
  </si>
  <si>
    <t>Bela Vista</t>
  </si>
  <si>
    <t>OXXO MARIA PAULA</t>
  </si>
  <si>
    <t>RUA MARIA PAULA, 229</t>
  </si>
  <si>
    <t>OXXO PEDRO AMERICO</t>
  </si>
  <si>
    <t>43 - GRU - SAÚDE</t>
  </si>
  <si>
    <t>FED2A32</t>
  </si>
  <si>
    <t>Saúde</t>
  </si>
  <si>
    <t>OXXO CÔPINHO</t>
  </si>
  <si>
    <t>OXXO METRO HSP</t>
  </si>
  <si>
    <t>Vila Clementino</t>
  </si>
  <si>
    <t>OXXO GONCALO DA CUNHA</t>
  </si>
  <si>
    <t>Bosque da Saúde</t>
  </si>
  <si>
    <t>Mirandópolis</t>
  </si>
  <si>
    <t>OXXO SHOPPING SANTA CRUZ</t>
  </si>
  <si>
    <t>121 - GRU - LITORAL</t>
  </si>
  <si>
    <t>EOF7G31</t>
  </si>
  <si>
    <t>OXXO LEOMIL</t>
  </si>
  <si>
    <t>Pitangueiras</t>
  </si>
  <si>
    <t>Guaruja</t>
  </si>
  <si>
    <t>OXXO ANTIBES</t>
  </si>
  <si>
    <t>Avenida Dom Pedro I</t>
  </si>
  <si>
    <t>ENSEADA</t>
  </si>
  <si>
    <t>Santos</t>
  </si>
  <si>
    <t>FBV9B83</t>
  </si>
  <si>
    <t>Vinicius Fernandes</t>
  </si>
  <si>
    <t>58 - GRU - SANTANA</t>
  </si>
  <si>
    <t>SEG0001</t>
  </si>
  <si>
    <t>OXXO NOVA VOLUNTÁRIOS</t>
  </si>
  <si>
    <t>R. VOLUNTÁRIOS DA PÁTRIA, 2940</t>
  </si>
  <si>
    <t>Alfredo Pujol</t>
  </si>
  <si>
    <t>Jardim São Paulo</t>
  </si>
  <si>
    <t>OXXO CAMILO MARKET</t>
  </si>
  <si>
    <t>R VOLUNTARIOS DA PATRIA, 3614</t>
  </si>
  <si>
    <t>Vila Maria Alta</t>
  </si>
  <si>
    <t>Mandaqui</t>
  </si>
  <si>
    <t>OXXO STAMATIS CORNER</t>
  </si>
  <si>
    <t>Vila Constança</t>
  </si>
  <si>
    <t>OXXO PITTA</t>
  </si>
  <si>
    <t>Cachoeirinha</t>
  </si>
  <si>
    <t>71 - GRU - PENHA</t>
  </si>
  <si>
    <t>Tatuapé</t>
  </si>
  <si>
    <t>Penha</t>
  </si>
  <si>
    <t>Vila Matilde</t>
  </si>
  <si>
    <t>OXXO BETTIN</t>
  </si>
  <si>
    <t>R COSTA BARROS, 1890</t>
  </si>
  <si>
    <t>Parque São Lucas</t>
  </si>
  <si>
    <t>OXXO DURVAL</t>
  </si>
  <si>
    <t>OXXO LAPENAC</t>
  </si>
  <si>
    <t>Rio Verde</t>
  </si>
  <si>
    <t>OXXO PLANALTO CRUZ</t>
  </si>
  <si>
    <t>JARDIM ADUTORA</t>
  </si>
  <si>
    <t>SVZ2D07</t>
  </si>
  <si>
    <t>SVZ3G77</t>
  </si>
  <si>
    <t>01.04.0024</t>
  </si>
  <si>
    <t>MASSA CONGELADA DE CHIPA TRADICIONAL 35G - 2KG</t>
  </si>
  <si>
    <t>02.03.0013</t>
  </si>
  <si>
    <t>PAO DE MINI SONHO CONGELADO - 100UN - CX 2,5KG</t>
  </si>
  <si>
    <t>OXXO ROTISSEIRE</t>
  </si>
  <si>
    <t>R. CONS. MOREIRA DE BARROS, 1473</t>
  </si>
  <si>
    <t>Tietê</t>
  </si>
  <si>
    <t>Extra Super</t>
  </si>
  <si>
    <t>37 - GRU - CONSOLAÇÃO</t>
  </si>
  <si>
    <t>SXM5I76</t>
  </si>
  <si>
    <t>OXXO MARTINIANO YOU JR</t>
  </si>
  <si>
    <t>R. MARTINIANO DE CARVALHO, 473</t>
  </si>
  <si>
    <t>PARAISO</t>
  </si>
  <si>
    <t>01.04.0022</t>
  </si>
  <si>
    <t>MASSA CONGELADA DE PÃO DE QUEIJO RECHEADO DE REQUEIJÃO 65G - 2KG</t>
  </si>
  <si>
    <t>39 - GRU - LAPA</t>
  </si>
  <si>
    <t>SVA5J31</t>
  </si>
  <si>
    <t>Alto Padrão (OPL)</t>
  </si>
  <si>
    <t>Lapa</t>
  </si>
  <si>
    <t>PINHEIROS</t>
  </si>
  <si>
    <t>VILA ROMANA</t>
  </si>
  <si>
    <t>EZO8E62</t>
  </si>
  <si>
    <t>Boqueirão</t>
  </si>
  <si>
    <t>OXXO DOURADO MAR</t>
  </si>
  <si>
    <t>Vila Matias</t>
  </si>
  <si>
    <t>OXXO HERCULANO</t>
  </si>
  <si>
    <t>49 - GRU - MORUMBI</t>
  </si>
  <si>
    <t>Butantã</t>
  </si>
  <si>
    <t>OXXO PQ ORQUIDEAS</t>
  </si>
  <si>
    <t>RUA JARACATIÁ 102</t>
  </si>
  <si>
    <t>Jardim Umarizal</t>
  </si>
  <si>
    <t>REDE INTEGRADA DE LOJAS DE CONVENIENCIA</t>
  </si>
  <si>
    <t>OXXO SENG</t>
  </si>
  <si>
    <t>Vila Sônia</t>
  </si>
  <si>
    <t>Osasco</t>
  </si>
  <si>
    <t>42 - GRU - MOEMA</t>
  </si>
  <si>
    <t>Brooklin</t>
  </si>
  <si>
    <t>Vila Olímpia</t>
  </si>
  <si>
    <t>OXXO PADRE ANTONIO</t>
  </si>
  <si>
    <t>AV. PADRE ANTÔNIO JOSÉ DOS SANTOS, 1020</t>
  </si>
  <si>
    <t>OXXO SANSÃO DRY</t>
  </si>
  <si>
    <t>RUA SANSÃO ALVES DOS SANTOS 185</t>
  </si>
  <si>
    <t>Berrini - Vila Funchal</t>
  </si>
  <si>
    <t>Santo Amaro</t>
  </si>
  <si>
    <t>OXXO VIVA BENX</t>
  </si>
  <si>
    <t>AV TULIO TEODORO DE CAMPOS, 68</t>
  </si>
  <si>
    <t>Vila Santa Catarina</t>
  </si>
  <si>
    <t>OXXO QUEIXADA</t>
  </si>
  <si>
    <t>Jardim Aeroporto</t>
  </si>
  <si>
    <t>OXXO CANCIONEIRO</t>
  </si>
  <si>
    <t>Rua Cancioneiro Popular</t>
  </si>
  <si>
    <t>Granja Julieta</t>
  </si>
  <si>
    <t>MOEMA</t>
  </si>
  <si>
    <t>SWB3F77</t>
  </si>
  <si>
    <t>Vila Gumercindo</t>
  </si>
  <si>
    <t>IPIRANGA</t>
  </si>
  <si>
    <t>FSS4C66</t>
  </si>
  <si>
    <t>Joya Transportadora</t>
  </si>
  <si>
    <t>OXXO TABARÉ</t>
  </si>
  <si>
    <t>Vila Sabará</t>
  </si>
  <si>
    <t>OXXO MIGUEL BEST</t>
  </si>
  <si>
    <t>Usina Piratininga</t>
  </si>
  <si>
    <t>Jardim Marajoara</t>
  </si>
  <si>
    <t>OXXO ALAMEDA</t>
  </si>
  <si>
    <t>ALAMEDA STO AMARO, N249-LOJA A, SN</t>
  </si>
  <si>
    <t>FTF2H12</t>
  </si>
  <si>
    <t>Vila Madalena</t>
  </si>
  <si>
    <t>OXXO ESTACAO MADALENA</t>
  </si>
  <si>
    <t>VILA BUARQUE</t>
  </si>
  <si>
    <t>DTD1C82</t>
  </si>
  <si>
    <t>Campestre</t>
  </si>
  <si>
    <t>Santo André</t>
  </si>
  <si>
    <t>Moinho Velho</t>
  </si>
  <si>
    <t>STS8F92</t>
  </si>
  <si>
    <t>Praia Grande</t>
  </si>
  <si>
    <t>São Vicente</t>
  </si>
  <si>
    <t>OXXO BARTOLOMEU DIAS</t>
  </si>
  <si>
    <t>RUA BARTOLOMEU DIAS, 109, LOTE 21</t>
  </si>
  <si>
    <t>Aviação</t>
  </si>
  <si>
    <t>OXXO MARLO</t>
  </si>
  <si>
    <t>Mirim</t>
  </si>
  <si>
    <t>OXXO MARIA TOGNINI</t>
  </si>
  <si>
    <t>Caiçara</t>
  </si>
  <si>
    <t>OXXO MONTEIRO DIAS</t>
  </si>
  <si>
    <t>Ocian</t>
  </si>
  <si>
    <t>OXXO CAICARINHA</t>
  </si>
  <si>
    <t>AVENIDA NOSSA SENHORA DE FATIMA, 234, LOJA 01 E 02</t>
  </si>
  <si>
    <t>OXXO OTO MANEIRA</t>
  </si>
  <si>
    <t>RUA A R MANEIRA, 24</t>
  </si>
  <si>
    <t>Cidade Ocian</t>
  </si>
  <si>
    <t>OXXO ITARAREIA</t>
  </si>
  <si>
    <t>Boa Vista</t>
  </si>
  <si>
    <t>Guilhermina</t>
  </si>
  <si>
    <t>OXXO BRANCO CAST</t>
  </si>
  <si>
    <t>Avenida Presidente Castelo Branco</t>
  </si>
  <si>
    <t>OXXO GOMESAMADO</t>
  </si>
  <si>
    <t>Vila Assuncao</t>
  </si>
  <si>
    <t>OXXO BOLIVIA</t>
  </si>
  <si>
    <t>RUA BOLIVIA, 219</t>
  </si>
  <si>
    <t>OXXO DUQUE MAR</t>
  </si>
  <si>
    <t>OXXO GONCALO MONTEIRO</t>
  </si>
  <si>
    <t>Centro,</t>
  </si>
  <si>
    <t>OXXO CAETES</t>
  </si>
  <si>
    <t>Rua Caetés</t>
  </si>
  <si>
    <t>TUPI</t>
  </si>
  <si>
    <t>45 - GRU - MOOCA</t>
  </si>
  <si>
    <t>SXN4A56</t>
  </si>
  <si>
    <t>VILA REGENTE FEIJO</t>
  </si>
  <si>
    <t>Brás</t>
  </si>
  <si>
    <t>Belém</t>
  </si>
  <si>
    <t>MOOCA</t>
  </si>
  <si>
    <t>02.02.0032</t>
  </si>
  <si>
    <t>MASSA CONGELADA DE CROISSANT DE 3 QUEIJOS - CX 11 KG - PT 05 UN</t>
  </si>
  <si>
    <t>02.02.0034</t>
  </si>
  <si>
    <t>MASSA CONGELADA DE CROISSANT DE FRANGO COM REQUEIJAO - CX 11 KG - PT 05 UN</t>
  </si>
  <si>
    <t>FUO2I21</t>
  </si>
  <si>
    <t>02.04.0001</t>
  </si>
  <si>
    <t>MASSA CONGELADA DE PÃO FRANCÊS BOLA 62,5G - 50 UNIDADES - 3,125 KG</t>
  </si>
  <si>
    <t>SXN5F36</t>
  </si>
  <si>
    <t>02.03.1016</t>
  </si>
  <si>
    <t>MASSA CONGELADA DE FORROZINHO COM CREME E CHOCOLATE CAIXA 4X2,5KG 10KG</t>
  </si>
  <si>
    <t>02.03.1017</t>
  </si>
  <si>
    <t>MASSA CONGELADA DE FORROZINHO COM CREME E COCO CAIXA 4X2,5KG 10KG</t>
  </si>
  <si>
    <t>01.04.0001</t>
  </si>
  <si>
    <t>MASSA CONGELADA DE PAO DE QUEIJO TRADICIONAL PEQUENO 30G - 7KG</t>
  </si>
  <si>
    <t>01.03.0004</t>
  </si>
  <si>
    <t>01.04.0003</t>
  </si>
  <si>
    <t>01.04.0004</t>
  </si>
  <si>
    <t>01.04.0011</t>
  </si>
  <si>
    <t>01.04.0019</t>
  </si>
  <si>
    <t>MASSA CONGELADA DE CHIPA QUEIJO CANASTRA 45G - 4KG</t>
  </si>
  <si>
    <t>01.04.0021</t>
  </si>
  <si>
    <t>MASSA CONGELADA DE PÃO DE QUEIJO RECHEADO DE GOIABADA 65G - 2KG</t>
  </si>
  <si>
    <t>01.04.0031</t>
  </si>
  <si>
    <t>01.04.0032</t>
  </si>
  <si>
    <t>M. CONG. DE PAO DE QUEIJO CHEIRIN BAO 80G - CX 10KG - 10 UN DE 1KG</t>
  </si>
  <si>
    <t>01.06.0002</t>
  </si>
  <si>
    <t>01.06.0022</t>
  </si>
  <si>
    <t>01.06.0024</t>
  </si>
  <si>
    <t>01.06.0027</t>
  </si>
  <si>
    <t>01.06.0058</t>
  </si>
  <si>
    <t>02.01.0002</t>
  </si>
  <si>
    <t>MASSA CONGELADA DE PALITO 3 QUEIJOS - 2KG</t>
  </si>
  <si>
    <t>02.01.0006</t>
  </si>
  <si>
    <t>02.02.0001</t>
  </si>
  <si>
    <t>MASSA CONGELADA DE CROISSANT DE FRANGO COM REQUEIJAO - 20 UN</t>
  </si>
  <si>
    <t>02.02.0005</t>
  </si>
  <si>
    <t>MASSA CONGELADA DE CROISSANT DE CHOCOLATE - 20 UN</t>
  </si>
  <si>
    <t>02.02.0019</t>
  </si>
  <si>
    <t>EMPADA DE FRANGO COM REQUEIJAO - 20 UN</t>
  </si>
  <si>
    <t>02.02.0021</t>
  </si>
  <si>
    <t>MASSA CONGELADA DE CROISSANT SEM RECHEIO - 20 UN</t>
  </si>
  <si>
    <t>02.02.0026</t>
  </si>
  <si>
    <t>MASSA CONGELADA DE CROISSANT DE QUEIJO E PRESUNTO FATIADO - 20 UN</t>
  </si>
  <si>
    <t>02.02.0027</t>
  </si>
  <si>
    <t>MASSA CONGELADA DE CROISSANT DE 3 QUEIJOS - 20 UN</t>
  </si>
  <si>
    <t>02.02.0031</t>
  </si>
  <si>
    <t>EMPADA DE FRANGO COM REQUEIJÃO - CX 8 KG - PT 04 UN</t>
  </si>
  <si>
    <t>02.02.0033</t>
  </si>
  <si>
    <t>MASSA CONGELADA DE CROISSANT DE CHOCOLATE - CX 11 KG - PT 05 UN</t>
  </si>
  <si>
    <t>02.02.0035</t>
  </si>
  <si>
    <t>MASSA CONGELADA DE CROISSANT DE QUEIJO E PRESUNTO FATIADO - CX 11 KG - PT 05 UN</t>
  </si>
  <si>
    <t>02.02.0036</t>
  </si>
  <si>
    <t>MASSA CONGELADA DE CROISSANT SEM RECHEIO - CX 12 KG - PT 06 UN</t>
  </si>
  <si>
    <t>02.03.0002</t>
  </si>
  <si>
    <t>02.03.0038</t>
  </si>
  <si>
    <t>02.04.0004</t>
  </si>
  <si>
    <t>FILAO DE LEITE 300G - 6 UNIDADES - 1,800KG</t>
  </si>
  <si>
    <t>02.04.0005</t>
  </si>
  <si>
    <t>PAO SOVADO 400G - 4 UNIDADES - 1,600KG</t>
  </si>
  <si>
    <t>02.04.0006</t>
  </si>
  <si>
    <t>BASTAO DOCE 160G - 10 UNIDADES - 1,600KG</t>
  </si>
  <si>
    <t>02.04.0007</t>
  </si>
  <si>
    <t>PAO TATU 250G - 10 UNIDADES - 2,500KG</t>
  </si>
  <si>
    <t>02.04.0008</t>
  </si>
  <si>
    <t>PAO TATUZINHO 60G - 50 UNIDADES - 3,000KG</t>
  </si>
  <si>
    <t>02.04.0018</t>
  </si>
  <si>
    <t>02.04.0019</t>
  </si>
  <si>
    <t>02.04.0021</t>
  </si>
  <si>
    <t>PAO CARACOL</t>
  </si>
  <si>
    <t>02.04.0023</t>
  </si>
  <si>
    <t>PAO TRANÇA</t>
  </si>
  <si>
    <t>02.04.0024</t>
  </si>
  <si>
    <t xml:space="preserve">GRAMPEADOR </t>
  </si>
  <si>
    <t xml:space="preserve">kit baloes </t>
  </si>
  <si>
    <t>Centro de Custo</t>
  </si>
  <si>
    <t>Função</t>
  </si>
  <si>
    <t>Colaborador</t>
  </si>
  <si>
    <t>Transporte GRU</t>
  </si>
  <si>
    <t>Abdul Karim Pereira Sharify</t>
  </si>
  <si>
    <t>ABDUL KARIM PEREIRA SHARIFY</t>
  </si>
  <si>
    <t>Abner Vaes da Silva</t>
  </si>
  <si>
    <t>ABNER VAES DA SILVA</t>
  </si>
  <si>
    <t>Afonso dos Santos Silva</t>
  </si>
  <si>
    <t>AFONSO DOS SANTOS SILVA</t>
  </si>
  <si>
    <t>Armazenagem GRU</t>
  </si>
  <si>
    <t>Conferente</t>
  </si>
  <si>
    <t>ALEXANDRO BISPO SANTANA</t>
  </si>
  <si>
    <t>Motorista</t>
  </si>
  <si>
    <t>Alvin Felix dos Santos Junior</t>
  </si>
  <si>
    <t>ALVIN FELIX DOS SANTOS JUNIOR</t>
  </si>
  <si>
    <t>ANTONIO VERTANO DA SILVA FILHO</t>
  </si>
  <si>
    <t>coordenadora</t>
  </si>
  <si>
    <t>Astrogildo Rodrigues Dos S</t>
  </si>
  <si>
    <t>Augusto Jorge De Souza</t>
  </si>
  <si>
    <t>Auxiliar de Logística</t>
  </si>
  <si>
    <t>BRUNO BARROS DE OLIVEIRA</t>
  </si>
  <si>
    <t>DANIEL GAVINHO DA SILVA</t>
  </si>
  <si>
    <t>Danilo Braga Da Silva</t>
  </si>
  <si>
    <t>Danilo Dos Santos P Da Silva</t>
  </si>
  <si>
    <t>Diego Virgino Adriani Isidoro</t>
  </si>
  <si>
    <t>DIEGO VIRGINO ADRIANI ISIDORO</t>
  </si>
  <si>
    <t>Djalma Santino Da Silva</t>
  </si>
  <si>
    <t>DOUGLAS RAPHAEL MARQUES DE QUEIROZ</t>
  </si>
  <si>
    <t>Transporte PPY</t>
  </si>
  <si>
    <t>EDEVALDO DONIZETE NEGRAO</t>
  </si>
  <si>
    <t>Operador de Empilhadeira</t>
  </si>
  <si>
    <t>EDI CARLOS ROSENDE BORGES</t>
  </si>
  <si>
    <t>Eduardo Ferreira dos Santos</t>
  </si>
  <si>
    <t>EDUARDO FERREIRA DOS SANTOS</t>
  </si>
  <si>
    <t>aux de estoque</t>
  </si>
  <si>
    <t>Eduardo Silva De Sousa</t>
  </si>
  <si>
    <t>Edvar Pereira Soares</t>
  </si>
  <si>
    <t>EDVAR PEREIRA SOARES</t>
  </si>
  <si>
    <t>Fabricio Pereira Da Silva</t>
  </si>
  <si>
    <t>Felipe Aparecido Carneiro</t>
  </si>
  <si>
    <t>Gabriel Henrique dos Santos</t>
  </si>
  <si>
    <t>GABRIEL HENRIQUE DOS SANTOS</t>
  </si>
  <si>
    <t>Gabriel Yuri Lazarin De Sousa</t>
  </si>
  <si>
    <t>Igor Gomes Dos Santos Rosa</t>
  </si>
  <si>
    <t>Isabela Conceição da Silva Santos</t>
  </si>
  <si>
    <t>ISABELA CONCEIÇÃO DA Silva SANTOS</t>
  </si>
  <si>
    <t>Israel Camilo Barbosa</t>
  </si>
  <si>
    <t>ISRAEL CAMILO BARBOSA</t>
  </si>
  <si>
    <t>ITALO MATHEUS PEREIRA LIMA CRUZ</t>
  </si>
  <si>
    <t>Joao Vitor Bispo Da Silva</t>
  </si>
  <si>
    <t>Joaquim Martins dos Santos</t>
  </si>
  <si>
    <t>JOAQUIM MARTINS DOS SANTOS</t>
  </si>
  <si>
    <t>Jorge Eduardo Rezende</t>
  </si>
  <si>
    <t>Joyce Cabral Do Nascimento</t>
  </si>
  <si>
    <t>Kauan Guilherme Dos Santos Lib</t>
  </si>
  <si>
    <t>Leandro M Ferreira Dos Santos</t>
  </si>
  <si>
    <t>Luciano Domenices</t>
  </si>
  <si>
    <t>LUCIANO DOMENICES</t>
  </si>
  <si>
    <t>Luciano Machado de Freitas</t>
  </si>
  <si>
    <t>LUCIANO MACHADO DE FREITAS</t>
  </si>
  <si>
    <t>Maifranio Gomes Xavier</t>
  </si>
  <si>
    <t>MAIFRANIO GOMES XAVIER</t>
  </si>
  <si>
    <t>Marcelo de Moura Ricaaccacio</t>
  </si>
  <si>
    <t>MARCELO DE MOURA RICAACCACIO</t>
  </si>
  <si>
    <t>Marcelo Silva De Medeiros</t>
  </si>
  <si>
    <t>Marcio Aparecido dos Santos</t>
  </si>
  <si>
    <t>MARCIO APARECIDO DOS SANTOS</t>
  </si>
  <si>
    <t>Marcone Gomes Do Nascimento</t>
  </si>
  <si>
    <t>Marcos Manoel Dos Santos</t>
  </si>
  <si>
    <t>Paulo Cesar Jesus Da Costa</t>
  </si>
  <si>
    <t>PEDRO MARCOS ALVARENGA DAS NEVES RODRIGUES</t>
  </si>
  <si>
    <t>Reinaldo Alves Furtado</t>
  </si>
  <si>
    <t>REINALDO ALVES FURTADO</t>
  </si>
  <si>
    <t>Robson de Souza Silveira</t>
  </si>
  <si>
    <t>ROBSON DE SOUZA SILVEIRA</t>
  </si>
  <si>
    <t>Rodrigo dos Santos Silva</t>
  </si>
  <si>
    <t>RODRIGO DOS SANTOS SILVA</t>
  </si>
  <si>
    <t>Rogerio Vieira Barbosa</t>
  </si>
  <si>
    <t>VALTER FERREIRA DOS SANTOS</t>
  </si>
  <si>
    <t>ver RH</t>
  </si>
  <si>
    <t>FABIO IAN COUTINHO ASSIS</t>
  </si>
  <si>
    <t>GISNALDO ALMEIDA ALENCAR</t>
  </si>
  <si>
    <t>JOAO VICTOR MONTEIRO GONCALVES</t>
  </si>
  <si>
    <t>JOSÉ MARCOS CORREA</t>
  </si>
  <si>
    <t>KAIQUE ESTEVÃO DA SILVA SANTOS</t>
  </si>
  <si>
    <t>KAWAN APARECIDO PEDROSO DA SILVA</t>
  </si>
  <si>
    <t>MARCOS MANOEL DOS SANTOS</t>
  </si>
  <si>
    <t>REINALDO SENA SODRE JUNIOR</t>
  </si>
  <si>
    <t>THIAGO DA SILVA RICAACCACIO</t>
  </si>
  <si>
    <t>Welberty Duylhem Ribeiro Olive</t>
  </si>
  <si>
    <t>Yuri Ravell Feitoza do Nascimento</t>
  </si>
  <si>
    <t>YURI RAVELL FEITOZA DO NASCIMENTO</t>
  </si>
  <si>
    <t>Diego</t>
  </si>
  <si>
    <t>Rodízio</t>
  </si>
  <si>
    <t>Quarta-feira</t>
  </si>
  <si>
    <t>Segunda-feira</t>
  </si>
  <si>
    <t>Quinta-feira</t>
  </si>
  <si>
    <t>Terça-feira</t>
  </si>
  <si>
    <t>Sexta-feira</t>
  </si>
  <si>
    <t>FROTA</t>
  </si>
  <si>
    <t>PROPRIA</t>
  </si>
  <si>
    <t>AGREGADO</t>
  </si>
  <si>
    <t>TERCEIRO</t>
  </si>
  <si>
    <t>PLACA:</t>
  </si>
  <si>
    <t>ENI7G21</t>
  </si>
  <si>
    <t>RFS3I44</t>
  </si>
  <si>
    <t>IXM3E88</t>
  </si>
  <si>
    <t>EWJ3E57</t>
  </si>
  <si>
    <t>ELQ2549</t>
  </si>
  <si>
    <t>EMU1F41</t>
  </si>
  <si>
    <t>EFW3195</t>
  </si>
  <si>
    <t>FSS4C65</t>
  </si>
  <si>
    <t>HBN8E36</t>
  </si>
  <si>
    <t>FUO8F70</t>
  </si>
  <si>
    <t>EUG6C39</t>
  </si>
  <si>
    <t>ONL6155</t>
  </si>
  <si>
    <t>QOP3C00</t>
  </si>
  <si>
    <t>RMZ8E94</t>
  </si>
  <si>
    <t>RTV5C90</t>
  </si>
  <si>
    <t>CAPACIDADE:</t>
  </si>
  <si>
    <t>4500/ 3 Palet</t>
  </si>
  <si>
    <t>4500/ 8 Palet</t>
  </si>
  <si>
    <t>1500 / 2 Palet</t>
  </si>
  <si>
    <t>TIPO:</t>
  </si>
  <si>
    <t>TRUCK</t>
  </si>
  <si>
    <t>VUC</t>
  </si>
  <si>
    <t>VAN</t>
  </si>
  <si>
    <t>FIORINO</t>
  </si>
  <si>
    <t>HR</t>
  </si>
  <si>
    <t>Codigo</t>
  </si>
  <si>
    <t>Descricao</t>
  </si>
  <si>
    <t>Tipo</t>
  </si>
  <si>
    <t>Ult. Preco</t>
  </si>
  <si>
    <t>Ult. Compra</t>
  </si>
  <si>
    <t>Peso Bruto</t>
  </si>
  <si>
    <t>Peso Liquido</t>
  </si>
  <si>
    <t>Peso Cubado</t>
  </si>
  <si>
    <t>Cod. EAN-13</t>
  </si>
  <si>
    <t>Cod. DUN-14</t>
  </si>
  <si>
    <t>ME</t>
  </si>
  <si>
    <t>17898694171201</t>
  </si>
  <si>
    <t>17898694171218</t>
  </si>
  <si>
    <t>01.01.0003</t>
  </si>
  <si>
    <t>MASSA CONGELADA DE PAO FRANCES RAPIDA 65G - 5KG</t>
  </si>
  <si>
    <t/>
  </si>
  <si>
    <t>7898694171365</t>
  </si>
  <si>
    <t>01.01.0004</t>
  </si>
  <si>
    <t>MASSA CONGELADA DE PAO FRANCES MEDIA 65G - 5KG</t>
  </si>
  <si>
    <t>7898694171372</t>
  </si>
  <si>
    <t>01.01.0005</t>
  </si>
  <si>
    <t>MASSA CONGELADA DE PAO FRANCES BENJAMIN - 5KG</t>
  </si>
  <si>
    <t>7898694171228</t>
  </si>
  <si>
    <t>01.01.0006</t>
  </si>
  <si>
    <t>MASSA CONGELADA DE PAO FRANCES RAPIDA - 10KG</t>
  </si>
  <si>
    <t>01.01.0007</t>
  </si>
  <si>
    <t>MASSA CONGELADA DE PAO FRANCES RAPIDA - CX 20KG - 4 UN DE 5KG</t>
  </si>
  <si>
    <t>37898694171205</t>
  </si>
  <si>
    <t>01.01.0008</t>
  </si>
  <si>
    <t>MASSA CONGELADA DE PAO FRANCES RAPIDA - 10 KG</t>
  </si>
  <si>
    <t>01.01.1001</t>
  </si>
  <si>
    <t>MASSA CONGELADA DE PAO FRANCES RAPIDA (KG)</t>
  </si>
  <si>
    <t>KG</t>
  </si>
  <si>
    <t>7898694172805</t>
  </si>
  <si>
    <t>01.01.1002</t>
  </si>
  <si>
    <t>MASSA CONGELADA DE PAO FRANCES MEDIA (KG)</t>
  </si>
  <si>
    <t>7898694173512</t>
  </si>
  <si>
    <t>17898694171263</t>
  </si>
  <si>
    <t>01.02.0002</t>
  </si>
  <si>
    <t>MASSA CONGELADA DE MINI PAO FRANCES MEDIA - 5KG</t>
  </si>
  <si>
    <t>7898694171402</t>
  </si>
  <si>
    <t>17898694171270</t>
  </si>
  <si>
    <t>01.02.0004</t>
  </si>
  <si>
    <t>MASSA CONGELADA DE MINI PAO FRANCES INTEGRAL MEDIA - 5KG</t>
  </si>
  <si>
    <t>7898694171433</t>
  </si>
  <si>
    <t>17898694171232</t>
  </si>
  <si>
    <t>01.02.0006</t>
  </si>
  <si>
    <t>MASSA CONGELADA DE PAO FRANCES INTEGRAL MEDIA - 5KG</t>
  </si>
  <si>
    <t>7898694171242</t>
  </si>
  <si>
    <t>7898694171341</t>
  </si>
  <si>
    <t>01.02.0008</t>
  </si>
  <si>
    <t>MASSA CONGELADA DE PAO FRANCES COM GRAOS MEDIA - 5KG</t>
  </si>
  <si>
    <t>7898694171464</t>
  </si>
  <si>
    <t>7898694171327</t>
  </si>
  <si>
    <t>01.02.0010</t>
  </si>
  <si>
    <t>MASSA CONGELADA DE BAGUETE MEDIA - 5KG</t>
  </si>
  <si>
    <t>7898694171426</t>
  </si>
  <si>
    <t>7898694171280</t>
  </si>
  <si>
    <t>01.02.0012</t>
  </si>
  <si>
    <t>MASSA CONGELADA DE MINI BAGUETE MEDIA - 5KG</t>
  </si>
  <si>
    <t>7898694171419</t>
  </si>
  <si>
    <t>01.02.0013</t>
  </si>
  <si>
    <t>MASSA CONGELADA DE BAGUETE INTEGRAL RAPIDA - 5KG</t>
  </si>
  <si>
    <t>7898694171396</t>
  </si>
  <si>
    <t>01.02.0014</t>
  </si>
  <si>
    <t>MASSA CONGELADA DE BAGUETE INTEGRAL MEDIA - 5KG</t>
  </si>
  <si>
    <t>7898694171457</t>
  </si>
  <si>
    <t>01.02.0015</t>
  </si>
  <si>
    <t>MASSA CONGELADA DE MINI BAGUETE INTEGRAL RAPIDA - 5KG</t>
  </si>
  <si>
    <t>7898694171297</t>
  </si>
  <si>
    <t>01.02.0016</t>
  </si>
  <si>
    <t>MASSA CONGELADA DE MINI BAGUETE INTEGRAL MEDIA - 5KG</t>
  </si>
  <si>
    <t>7898694171440</t>
  </si>
  <si>
    <t>01.02.0017</t>
  </si>
  <si>
    <t>MASSA CONGELADA DE PAO FRANCES BOLA RAPIDA - 5KG</t>
  </si>
  <si>
    <t>01.02.0018</t>
  </si>
  <si>
    <t>MASSA CONGELADA DE BENZINHO BENJAMIN - 4KG</t>
  </si>
  <si>
    <t>01.02.0019</t>
  </si>
  <si>
    <t>MASSA CONGELADA DE BENZINHO BENJAMIN - 5KG</t>
  </si>
  <si>
    <t>7898694171389</t>
  </si>
  <si>
    <t>01.02.0020</t>
  </si>
  <si>
    <t>MASSA CONGELADA DE PAO FRANCES INTEGRAL BENJAMIN - 5KG</t>
  </si>
  <si>
    <t>7898694171259</t>
  </si>
  <si>
    <t>01.02.0021</t>
  </si>
  <si>
    <t>MASSA CONGELADA DE PAO FRANCES COM GRAOS BENJAMIN - 5KG</t>
  </si>
  <si>
    <t>01.02.0022</t>
  </si>
  <si>
    <t>MASSA CONGELADA DE MINI BAGUETE BENJAMIN - 5KG</t>
  </si>
  <si>
    <t>7898694171303</t>
  </si>
  <si>
    <t>01.02.0023</t>
  </si>
  <si>
    <t>MASSA CONGELADA DE MINI BAGUETE INTEGRAL BENJAMIN - 5KG</t>
  </si>
  <si>
    <t>7898694171310</t>
  </si>
  <si>
    <t>01.02.0024</t>
  </si>
  <si>
    <t>MASSA CONGELADA DE MINI BAGUETE COM PARMESAO BENJAMIN - 5KG</t>
  </si>
  <si>
    <t>01.02.0025</t>
  </si>
  <si>
    <t>MASSA CONGELADA DE PAO FRANCES INTEGRAL RAPIDA - 10KG</t>
  </si>
  <si>
    <t>01.02.0026</t>
  </si>
  <si>
    <t>MASSA CONGELADA DE PAO FRANCES COM GRAOS RAPIDA - CX 10KG - 2 UN DE 5KG</t>
  </si>
  <si>
    <t>178986941713486</t>
  </si>
  <si>
    <t>78986941713418</t>
  </si>
  <si>
    <t>01.02.0027</t>
  </si>
  <si>
    <t>MASSA CONGELADA DE MINI PAO FRANCES RAPIDA - CX 10KG - 2 UN DE 5KG</t>
  </si>
  <si>
    <t>01.02.0028</t>
  </si>
  <si>
    <t>MASSA CONGELADA DE BAGUETE RAPIDA - CX 10KG - 2 UN DE 5KG</t>
  </si>
  <si>
    <t>27898694171321</t>
  </si>
  <si>
    <t>01.02.0029</t>
  </si>
  <si>
    <t>MASSA CONGELADA DE MINI BAGUETE RAPIDA - CX 10KG - 2 UN DE 5KG</t>
  </si>
  <si>
    <t>47898694171288</t>
  </si>
  <si>
    <t>01.02.0030</t>
  </si>
  <si>
    <t>MASSA CONGELADA DE PAO FRANCES BOLA RAPIDA - CX - 10 KG</t>
  </si>
  <si>
    <t>01.02.1001</t>
  </si>
  <si>
    <t>MASSA CONGELADA DE MINI PAO FRANCES RAPIDA (KG)</t>
  </si>
  <si>
    <t>7898694173529</t>
  </si>
  <si>
    <t>01.02.1003</t>
  </si>
  <si>
    <t>MASSA CONGELADA DE MINI PAO FRANCES INTEGRAL RAPIDA (KG)</t>
  </si>
  <si>
    <t>7898694173536</t>
  </si>
  <si>
    <t>01.02.1005</t>
  </si>
  <si>
    <t>MASSA CONGELADA DE PAO FRANCES INTEGRAL RAPIDA (KG)</t>
  </si>
  <si>
    <t>7898694172843</t>
  </si>
  <si>
    <t>01.02.1007</t>
  </si>
  <si>
    <t>MASSA CONGELADA DE PAO FRANCES COM GRAOS RAPIDA (KG)</t>
  </si>
  <si>
    <t>7898694172850</t>
  </si>
  <si>
    <t>01.02.1009</t>
  </si>
  <si>
    <t>MASSA CONGELADA DE BAGUTE RAPIDA (KG)</t>
  </si>
  <si>
    <t>7898694173543</t>
  </si>
  <si>
    <t>01.02.1011</t>
  </si>
  <si>
    <t>MASSA CONGELADA DE MINI BAGUETE RAPIDA (KG)</t>
  </si>
  <si>
    <t>7898694173550</t>
  </si>
  <si>
    <t>01.03.0001</t>
  </si>
  <si>
    <t>MASSA CONGELADA DE PAO DE MILHO BOLEADO - 5KG</t>
  </si>
  <si>
    <t>01.03.0002</t>
  </si>
  <si>
    <t>MASSA CONGELADA DE PAO DE BATATA BOLEADO - 5KG</t>
  </si>
  <si>
    <t>01.03.0003</t>
  </si>
  <si>
    <t>MASSA CONGELADA DE PAO DE CEBOLA BOLEADO - 5KG</t>
  </si>
  <si>
    <t>MASSA CONGELADA DE ROSCA LISA - 5KG</t>
  </si>
  <si>
    <t>7898694173567</t>
  </si>
  <si>
    <t>01.03.0005</t>
  </si>
  <si>
    <t>MASSA CONGELADA DE ROSCA TRANCADA PEQUENA - 5KG</t>
  </si>
  <si>
    <t>01.03.0006</t>
  </si>
  <si>
    <t>MASSA CONGELADA DE ROSCA TRANCADA GRANDE - 5KG</t>
  </si>
  <si>
    <t>01.03.0007</t>
  </si>
  <si>
    <t>MASSA CONGELADA DE ROSCA CARACOL - 5KG</t>
  </si>
  <si>
    <t>01.03.0008</t>
  </si>
  <si>
    <t>MASSA CONGELADA DE FORROZINHO COM CREME E COCO - 5KG</t>
  </si>
  <si>
    <t>01.03.0009</t>
  </si>
  <si>
    <t>MASSA CONGELADA DE FORROZINHO COM CREME COCO E CHOCOLATE - 5KG</t>
  </si>
  <si>
    <t>01.03.0010</t>
  </si>
  <si>
    <t>MASSA CONGELADA DE PAO FOFINHO - 5KG</t>
  </si>
  <si>
    <t>01.03.0011</t>
  </si>
  <si>
    <t>MASSA CONGELADA DE PAO CASEIRAO - 5KG</t>
  </si>
  <si>
    <t>01.03.0012</t>
  </si>
  <si>
    <t>MASSA CONGELADA DE PÃO CASEIRINHO - 5KG</t>
  </si>
  <si>
    <t>01.03.0013</t>
  </si>
  <si>
    <t>MASSA CONGELADA DE PAO HOT DOG - 5KG</t>
  </si>
  <si>
    <t>01.03.0014</t>
  </si>
  <si>
    <t>MASSA CONGELADA DE PAO DE HAMBURGUER - 5KG</t>
  </si>
  <si>
    <t>01.03.0015</t>
  </si>
  <si>
    <t>MASSA CONGELADA DE PAO DA FAZENDA - 5KG</t>
  </si>
  <si>
    <t>01.03.0016</t>
  </si>
  <si>
    <t>MASSA CONGELADA DE CROISSANT SEMI FOLHADO 370G - 5KG</t>
  </si>
  <si>
    <t>27898694170805</t>
  </si>
  <si>
    <t>01.03.1004</t>
  </si>
  <si>
    <t>MASSA CONGELADA DE ROSCA LISA (PAO DE LEITE) (KG)</t>
  </si>
  <si>
    <t>01.03.1021</t>
  </si>
  <si>
    <t>MASSA CONGELADA DE PAO DE RABANADA - 25 KG</t>
  </si>
  <si>
    <t>7898694172294</t>
  </si>
  <si>
    <t>MASSA CONGELADA DE PAO DE QUEIJO EMPANADO BENJAMIN DE 15G - 4KG</t>
  </si>
  <si>
    <t>MASSA CONGELADA DE PAO DE QUEIJO EMPANADO BENJAMIN DE 100G - 4KG</t>
  </si>
  <si>
    <t>01.04.0007</t>
  </si>
  <si>
    <t>PAO DE QUEIJO TRADICIONAL 30G - CX 10KG</t>
  </si>
  <si>
    <t>7898966947360</t>
  </si>
  <si>
    <t>MASSA CONGELADA DE PAO DE QUEIJO PREMIUM CLASSE A 30G - 20 PCT DE 400G</t>
  </si>
  <si>
    <t>01.04.0012</t>
  </si>
  <si>
    <t>MASSA CONGELADA DE PAO DE QUEIJO 15G NATURAL DA TERRA - CX 8KG - 20 UN DE 400G</t>
  </si>
  <si>
    <t>7898694171815</t>
  </si>
  <si>
    <t>01.04.0013</t>
  </si>
  <si>
    <t>MASSA CONGELADA DE PAO DE QUEIJO 30G NATURAL DA TERRA - CX 8KG - 20 UN DE 400G</t>
  </si>
  <si>
    <t>7898694171808</t>
  </si>
  <si>
    <t>01.04.0014</t>
  </si>
  <si>
    <t>MASSA CONGELADA DE PAO DE QUEIJO ST MARCHE 30G - CX 8KG - 20 UN DE 400G</t>
  </si>
  <si>
    <t>7898694172591</t>
  </si>
  <si>
    <t>01.04.0015</t>
  </si>
  <si>
    <t>MASSA CONGELADA DE BISCOITO DE POLVILHO - 5KG</t>
  </si>
  <si>
    <t>01.04.0016</t>
  </si>
  <si>
    <t>MASSA CONGELADA DE PAO DE QUEIJO 30G NATURAL DA TERRA - CX 10KG - 10 UN DE 1KG</t>
  </si>
  <si>
    <t>7898694171914</t>
  </si>
  <si>
    <t>01.04.0017</t>
  </si>
  <si>
    <t>MASSA CONGELADA DE PAO DE QUEIJO MULTIGRAOS EMPANADO - 80G - 4KG</t>
  </si>
  <si>
    <t>01.04.0018</t>
  </si>
  <si>
    <t>MASSA CONGELADA DE PAO DE QUEIJO TRADICIONAL 30G - CX 10KG - PCT 1KG</t>
  </si>
  <si>
    <t>01.04.0023</t>
  </si>
  <si>
    <t>MASSA CONGELADA DE PAO DE QUEIJO EMPANADO PREMIUM 35G - 4KG</t>
  </si>
  <si>
    <t>01.04.0025</t>
  </si>
  <si>
    <t>MASSA CONGELADA DE CHIPA QUEIJO CANASTRA ST MARCHE 45G  - 20 PCTS DE 400G</t>
  </si>
  <si>
    <t>7898694172140</t>
  </si>
  <si>
    <t>01.04.0026</t>
  </si>
  <si>
    <t>MASSA CONGELADA DE BISCOITO PALITO 3 QUEIJOS ST MARCHE 45G - 20 PCTS DE 400G</t>
  </si>
  <si>
    <t>7898694172157</t>
  </si>
  <si>
    <t>01.04.0027</t>
  </si>
  <si>
    <t>M. CONG. DE PAO DE QUEIJO RECHEADO DE GOIABADA ST MARCHE 65G - 20 PCTS DE 400G</t>
  </si>
  <si>
    <t>01.04.0028</t>
  </si>
  <si>
    <t>M. CONG. DE PAO DE QUEIJO RECHEADO DE REQUEIJAO ST MARCHE 65G - 20 PCTS DE 400G</t>
  </si>
  <si>
    <t>01.04.0029</t>
  </si>
  <si>
    <t>M. CONG. DE PAO DE QUEIJO CANASTRA CHEIRIN BAO 15G - CX 10KG - 10 UN DE 1KG</t>
  </si>
  <si>
    <t>01.04.0030</t>
  </si>
  <si>
    <t>M. CONG. DE PAO DE QUEIJO CANASTRA CHEIRIN BAO 80G - CX 10KG - 10 UN DE 1KG</t>
  </si>
  <si>
    <t>M. CONG. DE PAO DE QUEIJO CHEIRIN BAO 15G - CX 10KG - 10 UN DE 1KG</t>
  </si>
  <si>
    <t>7898694172515</t>
  </si>
  <si>
    <t>7898694172522</t>
  </si>
  <si>
    <t>01.04.0033</t>
  </si>
  <si>
    <t>MASSA CONG. DE PAO DE QUEIJO EMPORIO SANTA MARIA 30G - FR 8KG - 20 UN DE 400G</t>
  </si>
  <si>
    <t>01.04.0054</t>
  </si>
  <si>
    <t>MASSA CONGELADA DE PÃO DE QUEIJO RECHEADO DE GOIABADA 30 G ST MARCHE - PT 0,4 KG</t>
  </si>
  <si>
    <t>7898694171952</t>
  </si>
  <si>
    <t>01.04.0055</t>
  </si>
  <si>
    <t>MASSA CONGELADA DE PAO DE QUEIJO RECHEADO DE REQUEIJÃO 30G ST MARCHE - PT 0,4 KG</t>
  </si>
  <si>
    <t>7898694172171</t>
  </si>
  <si>
    <t>01.04.0056</t>
  </si>
  <si>
    <t>MASSA CONGELADA DE PAO DE QUEIJO COM BACON 30 G - PT 2 KG - CX 10 KG</t>
  </si>
  <si>
    <t>01.04.0057</t>
  </si>
  <si>
    <t>MASSA CONGELADA DE PÃO DE QUEIJO RECHEADO COM REQUEIJÃO 30 G OXXO - 30 G</t>
  </si>
  <si>
    <t>7898694173741</t>
  </si>
  <si>
    <t>17898694173748</t>
  </si>
  <si>
    <t>MASSA CONGELADA DE PÃO DE QUEIJO TRADICIONAL PEQUENO – CX 10 KG - 5 UN DE 2 KG</t>
  </si>
  <si>
    <t>7898694173758</t>
  </si>
  <si>
    <t>17898694173755</t>
  </si>
  <si>
    <t>01.04.0059</t>
  </si>
  <si>
    <t>MASSA CONGELADA DE PAO DE QUEIJO RECHEADO COM GOIABADA - CX 10 KG – 5 UN DE 2 KG</t>
  </si>
  <si>
    <t>7898694173772</t>
  </si>
  <si>
    <t>17898694173779</t>
  </si>
  <si>
    <t>01.04.0060</t>
  </si>
  <si>
    <t>MASSA CONGELADA DE PAO DE QUEIJO RECHEADO COM REQUEIJAO - CX 10 KG - 5 UN DE 2 KG</t>
  </si>
  <si>
    <t>7898694173789</t>
  </si>
  <si>
    <t>17898694173786</t>
  </si>
  <si>
    <t>01.04.0061</t>
  </si>
  <si>
    <t>MASSA CONGELADA DE CHIPA TRADICIONAL - CX 10 KG - 5 UN DE 2 KG</t>
  </si>
  <si>
    <t>7898694172126</t>
  </si>
  <si>
    <t>17898694172123</t>
  </si>
  <si>
    <t>7898694173765</t>
  </si>
  <si>
    <t>17898694173762</t>
  </si>
  <si>
    <t>MASSA CONGELADA DE PÃO DE QUEIJO RECHEADO DE REQUEIJÃO 65G – CX 10 KG – 5 UN DE 2 KG</t>
  </si>
  <si>
    <t>17898694173793</t>
  </si>
  <si>
    <t>7898694173796</t>
  </si>
  <si>
    <t>01.04.1001</t>
  </si>
  <si>
    <t>MASSA CONGELADA DE PAO DE QUEIJO TRADICIONAL  (KG)</t>
  </si>
  <si>
    <t>7898694173000</t>
  </si>
  <si>
    <t>01.04.1002</t>
  </si>
  <si>
    <t>MASSA CONGELADA DE PAO DE QUEIJO TRADICIONAL LANCHE (KG)</t>
  </si>
  <si>
    <t>7898694173017</t>
  </si>
  <si>
    <t>01.04.1003</t>
  </si>
  <si>
    <t>MASSA CONGELADA DE PAO DE QUEIJO EMPANADO COQUETEL (KG)</t>
  </si>
  <si>
    <t>7898694173024</t>
  </si>
  <si>
    <t>01.04.1004</t>
  </si>
  <si>
    <t>MASSA CONGELADA DE PAO DE QUEIJO EMPANADO LANCHE (KG)</t>
  </si>
  <si>
    <t>7898694173031</t>
  </si>
  <si>
    <t>01.04.1005</t>
  </si>
  <si>
    <t>MASSA CONGELADA DE PAO DE QUEIJO RECHEADO COM GOIABADA LANCHE (KG)</t>
  </si>
  <si>
    <t>7898694173574</t>
  </si>
  <si>
    <t>01.04.1006</t>
  </si>
  <si>
    <t>MASSA CONGELADA DE PAO DE QUEIJO RECHEADO COM REQUEIJAO LANCHE  (KG)</t>
  </si>
  <si>
    <t>7898694173581</t>
  </si>
  <si>
    <t>01.04.1008</t>
  </si>
  <si>
    <t>MASSA CONGELADA DE PAO DE QUEIJO EMPANADO TRADICIONAL (KG)</t>
  </si>
  <si>
    <t>7898694173048</t>
  </si>
  <si>
    <t>01.04.1009</t>
  </si>
  <si>
    <t>MASSA CONGELADA DE PAO DE QUEIJO EMPANADO MULTIGRAOS TRADICIONAL (KG)</t>
  </si>
  <si>
    <t>7898694173055</t>
  </si>
  <si>
    <t>01.04.1019</t>
  </si>
  <si>
    <t>MASSA CONGELADA DE CHIPA QUEIJO CANASTRA 45 G (KG)</t>
  </si>
  <si>
    <t>7898694173093</t>
  </si>
  <si>
    <t>01.04.1020</t>
  </si>
  <si>
    <t>MASSA CONGELADA DE BISCOITO PALITO 3 QUEIJOS 45 G (KG)</t>
  </si>
  <si>
    <t>7898694173109</t>
  </si>
  <si>
    <t>01.04.1021</t>
  </si>
  <si>
    <t>MASSA CONGELADA DE PAO DE QUEIJO RECHEADO COM GOIABADA TRADICIONAL (KG)</t>
  </si>
  <si>
    <t>7898694173116</t>
  </si>
  <si>
    <t>01.04.1022</t>
  </si>
  <si>
    <t>MASSA CONGELADA DE PAO DE QUEIJO RECHEADO COM REQUEIJAO TRADICIONAL (KG)</t>
  </si>
  <si>
    <t>7898694173123</t>
  </si>
  <si>
    <t>01.04.1024</t>
  </si>
  <si>
    <t>MASSA CONGELADA DE CHIPA TRADICIONAL 35 G (KG)</t>
  </si>
  <si>
    <t>01.04.1056</t>
  </si>
  <si>
    <t>MASSA CONGELADA DE PAO DE QUEIJO COM BACON TRADICIONAL (KG)</t>
  </si>
  <si>
    <t>7898694173598</t>
  </si>
  <si>
    <t>01.05.0001</t>
  </si>
  <si>
    <t>MASSA CONGELADA DE BROA CAXAMBU COM GOTAS DE CHOCOLATE - 4KG</t>
  </si>
  <si>
    <t>01.05.0002</t>
  </si>
  <si>
    <t>MASSA CONGELADA DE BROA CAXAMBU COM GOIABADA - 4KG</t>
  </si>
  <si>
    <t>01.05.0003</t>
  </si>
  <si>
    <t>MASSA CONGELADA DE PAULISTINHA - 5KG</t>
  </si>
  <si>
    <t>01.05.0004</t>
  </si>
  <si>
    <t>MASSA CONGELADA DE BROA DE MILHO - 4KG</t>
  </si>
  <si>
    <t>CIABATTA TRADICIONAL - PCT 1 KG - CX 4 KG</t>
  </si>
  <si>
    <t>CIABATTA MULTIGRAOS -  PCT 1 KG - CX 4 KG</t>
  </si>
  <si>
    <t>17898694173175</t>
  </si>
  <si>
    <t>01.06.0003</t>
  </si>
  <si>
    <t>CIABATTA COM CALABRESA - PCT 1 KG - CX 4 KG</t>
  </si>
  <si>
    <t>01.06.0004</t>
  </si>
  <si>
    <t>CIABATTA AZEITONA PRETA - PCT 1 KG - CX 4 KG</t>
  </si>
  <si>
    <t>01.06.0005</t>
  </si>
  <si>
    <t>CIABATTA 100% INTEGRAL - PCT 1 KG - CX 4 KG</t>
  </si>
  <si>
    <t>01.06.0006</t>
  </si>
  <si>
    <t>CIABATTA TOMATE SECO - 10 UN - 1KG</t>
  </si>
  <si>
    <t>01.06.0007</t>
  </si>
  <si>
    <t>FOCACCIA - PCT 1,1KG - CX 5,5 KG</t>
  </si>
  <si>
    <t>01.06.0008</t>
  </si>
  <si>
    <t>BAGATELLE TRADICIONAL - PCT 1,8KG - CX 5,4 KG</t>
  </si>
  <si>
    <t>01.06.0009</t>
  </si>
  <si>
    <t>MINI BAGATELLE TRADICIONAL - PCT 1,8KG - CX 3,6</t>
  </si>
  <si>
    <t>01.06.0010</t>
  </si>
  <si>
    <t>BAGATELLE COM ALECRIM - PCT 1,8 KG - CX 3,6 KG</t>
  </si>
  <si>
    <t>01.06.0011</t>
  </si>
  <si>
    <t>BAGATELLE CHOCOLATE E LARANJA - PCT 1,8 KG - CX 5,4 KG</t>
  </si>
  <si>
    <t>01.06.0012</t>
  </si>
  <si>
    <t>BAGATELLE PARISIENSE - A DEFINIR</t>
  </si>
  <si>
    <t>01.06.0013</t>
  </si>
  <si>
    <t>PAO ITALIANO BOLA - PCT 0,720 KG - CX 5,04 KG</t>
  </si>
  <si>
    <t>01.06.0014</t>
  </si>
  <si>
    <t>PAO ITALIANO FILAO - PCT 0,720 KG - CX 5,04 KG</t>
  </si>
  <si>
    <t>01.06.0015</t>
  </si>
  <si>
    <t>PAO DE HAMBURGUER CROCANTE COM FUBA - 1KG</t>
  </si>
  <si>
    <t>01.06.0016</t>
  </si>
  <si>
    <t>PAO DE CACAU E MASCAVO - PCT 1,8KG - CX 5,4 KG</t>
  </si>
  <si>
    <t>01.06.0017</t>
  </si>
  <si>
    <t>PAO BOLA COM CALABRESA - PCT 2KG - CX 4 KG</t>
  </si>
  <si>
    <t>01.06.0018</t>
  </si>
  <si>
    <t>PAO BOLA COM GORGONZOLA - PCT 2 KG - CX 4 KG</t>
  </si>
  <si>
    <t>01.06.0019</t>
  </si>
  <si>
    <t>PAO DE CENTEIO - PCT 2KG - CX 6 KG</t>
  </si>
  <si>
    <t>01.06.0020</t>
  </si>
  <si>
    <t>PAO DE SEMENTE DE GIRASSOL - PCT 2 KG - CX 6 KG</t>
  </si>
  <si>
    <t>01.06.0021</t>
  </si>
  <si>
    <t>PAO DE AZEITONA 150G - 3KG</t>
  </si>
  <si>
    <t>PAO DE AZEITONA - PCT 3 KG - CX 6 KG</t>
  </si>
  <si>
    <t>17898694173618</t>
  </si>
  <si>
    <t>01.06.0023</t>
  </si>
  <si>
    <t>PAO DE CALABRESA 150G - 3KG</t>
  </si>
  <si>
    <t>PAO DE CALABRESA  - PCT 3 KG - CX 6 KG</t>
  </si>
  <si>
    <t>01.06.0025</t>
  </si>
  <si>
    <t>PAO DE CASTANHA COM PASSAS 150G - 3KG</t>
  </si>
  <si>
    <t>01.06.0026</t>
  </si>
  <si>
    <t>PAO DE CASTANHA COM PASSAS  - PCT 3 KG - CX 6 KG</t>
  </si>
  <si>
    <t>PAO DE 3 CHOCOLATES - PCT 3 KG - CX 6 KG</t>
  </si>
  <si>
    <t>01.06.0028</t>
  </si>
  <si>
    <t>BAGUETE TOSCANA - PCT 3 KG - CX 6 KG</t>
  </si>
  <si>
    <t>01.06.0029</t>
  </si>
  <si>
    <t>MINI BAGUETE FRANCESA TRADICIONAL - 5KG</t>
  </si>
  <si>
    <t>01.06.0030</t>
  </si>
  <si>
    <t>MINI BAGUETE RUSTICA TRADICIONAL - 5 KG</t>
  </si>
  <si>
    <t>01.06.0031</t>
  </si>
  <si>
    <t>MINI BAGUETE RUSTICA INTEGRAL - 5 KG</t>
  </si>
  <si>
    <t>01.06.0032</t>
  </si>
  <si>
    <t>MINI BAGUETE RUSTICA COM GRAOS - 5 KG</t>
  </si>
  <si>
    <t>01.06.0033</t>
  </si>
  <si>
    <t>BAGUETE FRANCESA TRADICIONAL - 6KG</t>
  </si>
  <si>
    <t>01.06.0034</t>
  </si>
  <si>
    <t>BAGUETE FRANCESA COM GRAOS - 6KG</t>
  </si>
  <si>
    <t>01.06.0035</t>
  </si>
  <si>
    <t>MINI BAGUETE FRANCESA TRADICIONAL - 10 UN - 1KG</t>
  </si>
  <si>
    <t>01.06.0036</t>
  </si>
  <si>
    <t>MINI BAGUETE FRANCESA COM PARMESAO - 10UN - 1KG</t>
  </si>
  <si>
    <t>01.06.0037</t>
  </si>
  <si>
    <t>MINI BAGUETE FRANCESA COM PARMESAO - 6KG</t>
  </si>
  <si>
    <t>01.06.0038</t>
  </si>
  <si>
    <t>CIABATTA TRADICIONAL - 5KG</t>
  </si>
  <si>
    <t>01.06.0039</t>
  </si>
  <si>
    <t>MINI CIABATTA TRADICIONAL - 6 KG</t>
  </si>
  <si>
    <t>01.06.0040</t>
  </si>
  <si>
    <t>CIABATTA MULTIGRAOS - 5KG</t>
  </si>
  <si>
    <t>01.06.0041</t>
  </si>
  <si>
    <t>MINI CIABATTA MULTIGRAOS - 6 KG</t>
  </si>
  <si>
    <t>01.06.0042</t>
  </si>
  <si>
    <t>CIABATTA COM CALABRESA - 5KG</t>
  </si>
  <si>
    <t>01.06.0043</t>
  </si>
  <si>
    <t>MINI CIABATTA COM CALABRESA - 6 KG</t>
  </si>
  <si>
    <t>01.06.0044</t>
  </si>
  <si>
    <t>PAO RUSTICO DE AZEITONAS - 6 KG</t>
  </si>
  <si>
    <t>01.06.0045</t>
  </si>
  <si>
    <t>MINI PAO RUSTICO DE AZEITONAS - 6 KG</t>
  </si>
  <si>
    <t>01.06.0046</t>
  </si>
  <si>
    <t>PAO RUSTICO DE CHOCOLATE E LARANJA - 6 KG</t>
  </si>
  <si>
    <t>01.06.0047</t>
  </si>
  <si>
    <t>MINI PAO RUSTICO DE CHOCOLATE E LARANJA - 6 KG</t>
  </si>
  <si>
    <t>01.06.0048</t>
  </si>
  <si>
    <t>PAO RUSTICO DE CURRY COM PASSAS - 6 KG</t>
  </si>
  <si>
    <t>01.06.0049</t>
  </si>
  <si>
    <t>MINI PAO RUSTICO DE CURRY COM PASSAS - 6 KG</t>
  </si>
  <si>
    <t>01.06.0050</t>
  </si>
  <si>
    <t>PAO RUSTICO DE PEPITA DE GIRASSOL - 6 KG</t>
  </si>
  <si>
    <t>01.06.0051</t>
  </si>
  <si>
    <t>MINI PAO RUSTICO DE PEPITA DE GIRASSOL - 6 KG</t>
  </si>
  <si>
    <t>01.06.0052</t>
  </si>
  <si>
    <t>PAO RUSTICO DE PROVOLONE - 6 KG</t>
  </si>
  <si>
    <t>01.06.0053</t>
  </si>
  <si>
    <t>MINI PAO RUSTICO DE PROVOLONE - 6 KG</t>
  </si>
  <si>
    <t>01.06.0054</t>
  </si>
  <si>
    <t>MINI CIABATTA TRADICIONAL BENJAMIN 300G - 12 UN</t>
  </si>
  <si>
    <t>01.06.0055</t>
  </si>
  <si>
    <t>MINI CIABATTA COM GRAOS BENJAMIN 300G - 12 UN</t>
  </si>
  <si>
    <t>01.06.0056</t>
  </si>
  <si>
    <t>PAO FRANCES COM FERMENTACAO NATURAL 300G - 12 UN</t>
  </si>
  <si>
    <t>7898694170665</t>
  </si>
  <si>
    <t>01.06.0057</t>
  </si>
  <si>
    <t>BAGUETE RECHEADA COM CALABRESA - 10 UN - 1,6KG</t>
  </si>
  <si>
    <t>PAO ITALIANO FILAO 720G - 7 UNIDADES</t>
  </si>
  <si>
    <t>PAO ITALIANO BOLA 720G - 7 UNIDADES</t>
  </si>
  <si>
    <t>17898694171669</t>
  </si>
  <si>
    <t>01.06.0060</t>
  </si>
  <si>
    <t>CIABATTA TRADICIONAL - 3 PCTS C/ 10 UN - CX 3,645KG</t>
  </si>
  <si>
    <t>01.06.0061</t>
  </si>
  <si>
    <t>CIABATTA CALABRESA - 5 PCTS C/ 10 UN - CX 5,675KG</t>
  </si>
  <si>
    <t>01.06.0062</t>
  </si>
  <si>
    <t>PAO BOLA COM CALABRESA - CX 4KG - 2 UN DE 2KG</t>
  </si>
  <si>
    <t>01.06.0063</t>
  </si>
  <si>
    <t>PAO DE 3 CHOCOLATES - 2 PCTS C/ 10 UN - CX 6,650KG</t>
  </si>
  <si>
    <t>01.06.0064</t>
  </si>
  <si>
    <t>BAGATELLE COM ALECRIM - 2 PCTS C/ 6 UN - CX 4,250KG</t>
  </si>
  <si>
    <t>01.06.0065</t>
  </si>
  <si>
    <t>BISNAGUINHA DE CREME E COCO CSV - 250G - FARDO - 6 UN</t>
  </si>
  <si>
    <t>01.06.0067</t>
  </si>
  <si>
    <t>MINI CIABATTA DE ALECRIM BENJAMIN - CX 5KG - 1UN DE 5KG</t>
  </si>
  <si>
    <t>01.06.0068</t>
  </si>
  <si>
    <t>MINI CIABATTA DE PARMESAO BENJAMIN - CX 5KG - 1UN DE 5KG</t>
  </si>
  <si>
    <t>01.06.1001</t>
  </si>
  <si>
    <t>CIABATTA TRADICIONAL (KG)</t>
  </si>
  <si>
    <t>7898694173161</t>
  </si>
  <si>
    <t>01.06.1002</t>
  </si>
  <si>
    <t>CIABATTA MULTIGRAOS (KG)</t>
  </si>
  <si>
    <t>7898694173178</t>
  </si>
  <si>
    <t>01.06.1003</t>
  </si>
  <si>
    <t>CIABATTA COM CALABRESA (KG)</t>
  </si>
  <si>
    <t>7898694173185</t>
  </si>
  <si>
    <t>01.06.1010</t>
  </si>
  <si>
    <t>BAGATELLE COM ALECRIM (KG)</t>
  </si>
  <si>
    <t>7898694173604</t>
  </si>
  <si>
    <t>01.06.1022</t>
  </si>
  <si>
    <t>PAO DE AZEITONA (KG)</t>
  </si>
  <si>
    <t>7898694173611</t>
  </si>
  <si>
    <t>01.06.1024</t>
  </si>
  <si>
    <t>PAO DE CALABRESA (KG)</t>
  </si>
  <si>
    <t>7898694173628</t>
  </si>
  <si>
    <t>01.06.1027</t>
  </si>
  <si>
    <t>PAO 3 CHOCOLATES (KG)</t>
  </si>
  <si>
    <t>7898694173635</t>
  </si>
  <si>
    <t>01.06.1030</t>
  </si>
  <si>
    <t>MINI BAGUETE RUSTICA TRADICIONAL (KG)</t>
  </si>
  <si>
    <t>7898694173642</t>
  </si>
  <si>
    <t>01.06.1031</t>
  </si>
  <si>
    <t>MINI BAGUETE RUSTICA INTEGRAL (KG)</t>
  </si>
  <si>
    <t>7898694173659</t>
  </si>
  <si>
    <t>01.06.1033</t>
  </si>
  <si>
    <t>BAGUETE FRANCESA TRADICIONAL (KG)</t>
  </si>
  <si>
    <t>7898694173666</t>
  </si>
  <si>
    <t>01.06.1034</t>
  </si>
  <si>
    <t>BAGUETE FRANCESA COM GRAOS (KG)</t>
  </si>
  <si>
    <t>7898694173673</t>
  </si>
  <si>
    <t>01.06.1035</t>
  </si>
  <si>
    <t>CIABATTA TRADICIONAL CHERIN BAO - PT 1 KG - CX 4 KG</t>
  </si>
  <si>
    <t>7898694173390</t>
  </si>
  <si>
    <t>01.06.1058</t>
  </si>
  <si>
    <t>PAO ITALIANO FILAO 360 G (KG)</t>
  </si>
  <si>
    <t>7898694173680</t>
  </si>
  <si>
    <t>01.06.1059</t>
  </si>
  <si>
    <t>PAO ITALIANO BOLA (KG)</t>
  </si>
  <si>
    <t>7898694173697</t>
  </si>
  <si>
    <t>01.07.0001</t>
  </si>
  <si>
    <t>BISNAGA AUSTRALIANO - 6 UN - 300G</t>
  </si>
  <si>
    <t>01.07.0002</t>
  </si>
  <si>
    <t>BISNAGA DE BETERRABA  - 8 UN DE 600G  - CX 4,8 KG</t>
  </si>
  <si>
    <t>01.07.0003</t>
  </si>
  <si>
    <t>BISNAGA BRIOCHE - 8 UN DE 600G - CX 4,8 KG</t>
  </si>
  <si>
    <t>01.07.0004</t>
  </si>
  <si>
    <t>BISNAGA DE FUBA - 6 UN - 300G</t>
  </si>
  <si>
    <t>01.07.0005</t>
  </si>
  <si>
    <t>BISNAGA DE MANDIOQUINHA - 8 UN DE 600G - CX 4,8 KG</t>
  </si>
  <si>
    <t>01.07.0006</t>
  </si>
  <si>
    <t>PAO DE FORMA BRIOCHE - 5 UN DE 990G - CX 4,950 KG</t>
  </si>
  <si>
    <t>01.07.0007</t>
  </si>
  <si>
    <t>PAO DE FORMA BRIOCHE GRAOS - 5 UN DE 990G - CX 4,950 KG</t>
  </si>
  <si>
    <t>01.07.0008</t>
  </si>
  <si>
    <t>PAO DE FORMA CENTEIO - 3 UN - 990G</t>
  </si>
  <si>
    <t>01.07.0009</t>
  </si>
  <si>
    <t>PAO DE HAMBURGUER  BRIOCHE - 2 UN - 140G</t>
  </si>
  <si>
    <t>01.07.0010</t>
  </si>
  <si>
    <t>PAO DE HOT DOG - 2 UN - 600G</t>
  </si>
  <si>
    <t>01.07.0011</t>
  </si>
  <si>
    <t>ROSCA DE CHOCOLATE COM CASTANHA E NOZES - 500G</t>
  </si>
  <si>
    <t>01.07.0012</t>
  </si>
  <si>
    <t>BISNAGUINHA DE CREME  315G - 18 UNIDADES</t>
  </si>
  <si>
    <t>01.07.0013</t>
  </si>
  <si>
    <t>BISNAGUINHA DE CREME E COCO 325G - 18 UNIDADES</t>
  </si>
  <si>
    <t>01.07.0014</t>
  </si>
  <si>
    <t>PAO DE HAMBURGUER BRIOCHE - 5KG</t>
  </si>
  <si>
    <t>01.07.0015</t>
  </si>
  <si>
    <t>PAO DE HAMBURGUER AUSTRALIANO - 5KG</t>
  </si>
  <si>
    <t>01.08.0001</t>
  </si>
  <si>
    <t>BOLO INGLES BENJAMIN SABOR BANANA COM GRANOLA 270G - 6 UNIDADES</t>
  </si>
  <si>
    <t>01.08.0002</t>
  </si>
  <si>
    <t>BOLO INGLES BENJAMIN SABOR CENOURA 270G - 6 UNIDADES</t>
  </si>
  <si>
    <t>01.08.0003</t>
  </si>
  <si>
    <t>BOLO INGLES BENJAMIN SABOR FUBA 270G - 6 UNIDADES</t>
  </si>
  <si>
    <t>01.08.0004</t>
  </si>
  <si>
    <t>BOLO INGLES BENJAMIN SABOR LARANJA 270G - 6 UNIDADES</t>
  </si>
  <si>
    <t>01.09.0001</t>
  </si>
  <si>
    <t>CIABATTA HOMEBAKE TRADICIONAL 300G - 12 UNIDADES</t>
  </si>
  <si>
    <t>01.09.0002</t>
  </si>
  <si>
    <t>CIABATTA HOMEBAKE COM GRAOS 300G - 12 UNIDADES</t>
  </si>
  <si>
    <t>01.09.0003</t>
  </si>
  <si>
    <t>MINI PAO ITALIANO HOMEBAKE 300G - 14 UNIDADES</t>
  </si>
  <si>
    <t>01.09.0004</t>
  </si>
  <si>
    <t>MINI BAGUETE LANCHE HOMEBAKE 300G - 12 UNIDADES</t>
  </si>
  <si>
    <t>01.09.0005</t>
  </si>
  <si>
    <t>PAO DE HAMBURGUER HOMEBAKE CROC 260G - 12 UNIDADES</t>
  </si>
  <si>
    <t>01.09.0006</t>
  </si>
  <si>
    <t>PAO FRANCES HOMEBAKE 270G - 12 UNIDADES</t>
  </si>
  <si>
    <t>7898694170009</t>
  </si>
  <si>
    <t>7898694170016</t>
  </si>
  <si>
    <t>7898694170047</t>
  </si>
  <si>
    <t>7898694170054</t>
  </si>
  <si>
    <t>01.09.0011</t>
  </si>
  <si>
    <t>PAO DE HAMBURGUER HOMEBAKE CROC 3,12KG - 12 UNIDADES 260G</t>
  </si>
  <si>
    <t>7898694170061</t>
  </si>
  <si>
    <t>7898694171884</t>
  </si>
  <si>
    <t>01.09.1001</t>
  </si>
  <si>
    <t>MINI CIABATTA TRADICIONAL ST MARCHE - PT 0,300 KG - CX 3,6 KG</t>
  </si>
  <si>
    <t>7898694173406</t>
  </si>
  <si>
    <t>01.09.1002</t>
  </si>
  <si>
    <t>MINI CIABATTA COM GRAOS ST MARCHE - PT 0,300 KG - CX 3,6 KG</t>
  </si>
  <si>
    <t>7898694173413</t>
  </si>
  <si>
    <t>01.09.1003</t>
  </si>
  <si>
    <t>MINI PAO ITALIANO ST MARCHE - PT 0,300 KG - CX 4,2 KG</t>
  </si>
  <si>
    <t>7898694173420</t>
  </si>
  <si>
    <t>01.09.1004</t>
  </si>
  <si>
    <t>MINI BAGUETE ST MARCHE - PT 0,300 KG - CX 3,6 KG</t>
  </si>
  <si>
    <t>7898694173437</t>
  </si>
  <si>
    <t>01.09.1005</t>
  </si>
  <si>
    <t>PAO DE HAMBURGUER ST MARCHE - PT 0,260 KG - CX 3,12 KG</t>
  </si>
  <si>
    <t>7898694173444</t>
  </si>
  <si>
    <t>01.09.1006</t>
  </si>
  <si>
    <t>MINI PAO FRANCES ST MARCHE - PT 0,270 KG - CX 3,24 KG</t>
  </si>
  <si>
    <t>7898694173451</t>
  </si>
  <si>
    <t>01.10.0001</t>
  </si>
  <si>
    <t>PÃO ITALIANO FILÃO - CX 5,04 KG - 14 UN DE 360G</t>
  </si>
  <si>
    <t>01.10.0002</t>
  </si>
  <si>
    <t>CIABATTA TRADICIONAL - 6 UN - 300G PCT</t>
  </si>
  <si>
    <t>7898694172621</t>
  </si>
  <si>
    <t>7898694173703</t>
  </si>
  <si>
    <t>01.10.0005</t>
  </si>
  <si>
    <t>MINI PÃO ITALIANO LEVIASSA 240G</t>
  </si>
  <si>
    <t>7898694172638</t>
  </si>
  <si>
    <t>7898694173505</t>
  </si>
  <si>
    <t>01.10.0008</t>
  </si>
  <si>
    <t>CIABATTA TRADICIONAL LEVIASSA - PT 220G</t>
  </si>
  <si>
    <t>01.10.0009</t>
  </si>
  <si>
    <t>CIABATTA COM GRAOS LEVIASSA - PT 220G</t>
  </si>
  <si>
    <t>01.10.0010</t>
  </si>
  <si>
    <t>MINI PAO ITALIANO LEVIASSA - PT 240G</t>
  </si>
  <si>
    <t>01.10.0011</t>
  </si>
  <si>
    <t>MINI BAGUETE FRANCESA LEVIASSA - PT 240G</t>
  </si>
  <si>
    <t>01.10.0012</t>
  </si>
  <si>
    <t>MINI PAO FRANCES LEVIASSA - PT 200G</t>
  </si>
  <si>
    <t>MINI BAGUETE FRANCESA LEVIASSA - PT 0,220 KG- CX 3,17 KG</t>
  </si>
  <si>
    <t>27898694173509</t>
  </si>
  <si>
    <t>CIABATTA TRADICIONAL LEVIASSA- PT 0,220 KG- CX 3,17 KG</t>
  </si>
  <si>
    <t>27898694172625</t>
  </si>
  <si>
    <t>01.11.0001</t>
  </si>
  <si>
    <t>FARINHA DE ROSCA</t>
  </si>
  <si>
    <t>7898694173468</t>
  </si>
  <si>
    <t>01.99.0001</t>
  </si>
  <si>
    <t>AMOSTRA P&amp;D</t>
  </si>
  <si>
    <t>01.99.0002</t>
  </si>
  <si>
    <t>AMOSTRA QUALIDADE</t>
  </si>
  <si>
    <t>01.99.0003</t>
  </si>
  <si>
    <t>AMOSTRA COMERCIAL</t>
  </si>
  <si>
    <t>02.01.0001</t>
  </si>
  <si>
    <t>MASSA CONGELADA DE CHIPA - 2KG</t>
  </si>
  <si>
    <t>PÃO DE QUEIJO DE CALABRESA-FORNO DE MINAS</t>
  </si>
  <si>
    <t>7896074607381</t>
  </si>
  <si>
    <t>17898958973398</t>
  </si>
  <si>
    <t>02.01.0008</t>
  </si>
  <si>
    <t>PQ FORNO DE MINAS TRADICIONAL VJ 26X400G - CX 10,400 KG - PT 26 UN</t>
  </si>
  <si>
    <t>47896074600991</t>
  </si>
  <si>
    <t>02.02.0002</t>
  </si>
  <si>
    <t>MASSA CONGELADA DE MINI CROISSANT DE FRANGO - 2KG</t>
  </si>
  <si>
    <t>02.02.0003</t>
  </si>
  <si>
    <t>MASSA CONGELADA DE CROISSANT DE PRESUNTO E QUEIJO - 20 UN</t>
  </si>
  <si>
    <t>02.02.0004</t>
  </si>
  <si>
    <t>MASSA CONGELADA DE MINI CROISSANT DE PRESUNTO E QUEIJO - 2KG</t>
  </si>
  <si>
    <t>02.02.0006</t>
  </si>
  <si>
    <t>MASSA CONGELADA DE BAGUETE FOLHADA DE FRANGO - 20 UN</t>
  </si>
  <si>
    <t>02.02.0007</t>
  </si>
  <si>
    <t>MASSA CONGELADA DE BAGUETE FOLHADA DE CALABRESA - 20 UN</t>
  </si>
  <si>
    <t>02.02.0008</t>
  </si>
  <si>
    <t>MASSA CONGELADA DE MINI FOLHADO PIZZA - 2KG</t>
  </si>
  <si>
    <t>02.02.0009</t>
  </si>
  <si>
    <t>MASSA CONGELADA DE MINI FOLHADO GOIABADA - 2KG</t>
  </si>
  <si>
    <t>02.02.0010</t>
  </si>
  <si>
    <t>MASSA CONGELADA DE ESFIHA DE CARNE - 20 UN</t>
  </si>
  <si>
    <t>02.02.0011</t>
  </si>
  <si>
    <t>MASSA CONGELADA DE ESFIHA DE CALABRESA - 20 UN</t>
  </si>
  <si>
    <t>02.02.0012</t>
  </si>
  <si>
    <t>MASSA CONGELADA DE HAMBURGUER COM CHEDDAR - 15 UN</t>
  </si>
  <si>
    <t>02.02.0013</t>
  </si>
  <si>
    <t>MASSA CONGELADA DE PAO DE BATATA COM CALABRESA - 20 UN</t>
  </si>
  <si>
    <t>02.02.0014</t>
  </si>
  <si>
    <t>MASSA CONGELADA DE PAO DE BATATA FRANGO COM REQUEIJAO - 20 UN</t>
  </si>
  <si>
    <t>02.02.0015</t>
  </si>
  <si>
    <t>MASSA CONGELADA DE PAO DE BATATA COM REQUEIJAO - 20 UN</t>
  </si>
  <si>
    <t>02.02.0016</t>
  </si>
  <si>
    <t>MASSA CONGELADA DE MINI KIBE - 2KG</t>
  </si>
  <si>
    <t>02.02.0017</t>
  </si>
  <si>
    <t>MASSA CONGELADA DE MINI COXINHA - 2 KG</t>
  </si>
  <si>
    <t>02.02.0018</t>
  </si>
  <si>
    <t>MASSA CONGELADA DE MINI BOLINHA DE QUEIJO - 2 KG</t>
  </si>
  <si>
    <t>02.02.0020</t>
  </si>
  <si>
    <t>EMPADA DE PALMITO - 20 UN</t>
  </si>
  <si>
    <t>02.02.0022</t>
  </si>
  <si>
    <t>PAO BAGUETTE CALABRESA PREASSADA - 20 UN</t>
  </si>
  <si>
    <t>02.02.0023</t>
  </si>
  <si>
    <t>MASSA CONGELADA DE MINI COXINHA FRITA - 2 KG</t>
  </si>
  <si>
    <t>02.02.0030</t>
  </si>
  <si>
    <t>RISOLES LAMINADO FRITO DE CARNE 150G</t>
  </si>
  <si>
    <t>37898958973712</t>
  </si>
  <si>
    <t>17898663032786</t>
  </si>
  <si>
    <t>17898663031918</t>
  </si>
  <si>
    <t>17898663031925</t>
  </si>
  <si>
    <t>17898663032793</t>
  </si>
  <si>
    <t>17898958973978</t>
  </si>
  <si>
    <t>02.02.0037</t>
  </si>
  <si>
    <t>PASTEL DE QUEIJO 150G - CX 4,5KG - PT 30 UN</t>
  </si>
  <si>
    <t>17898602744725</t>
  </si>
  <si>
    <t>02.02.0038</t>
  </si>
  <si>
    <t>EMPANADA DE CARNE 80G - CX 2,400 - PCT 30 UN</t>
  </si>
  <si>
    <t>10631430691352</t>
  </si>
  <si>
    <t>02.02.0039</t>
  </si>
  <si>
    <t>PASTEL DE CARNE FRITO 100GR - CX 4KG - 40 UN</t>
  </si>
  <si>
    <t>17898640290819</t>
  </si>
  <si>
    <t>02.02.0040</t>
  </si>
  <si>
    <t>PIZZA FATIA CALABRESA  140G - CX 3,6KG - 30 UN</t>
  </si>
  <si>
    <t>17898640290642</t>
  </si>
  <si>
    <t>02.02.0041</t>
  </si>
  <si>
    <t>PIZZA FATIA MUSSARELA  120G - CX 3,3KG - 30 UN</t>
  </si>
  <si>
    <t>17898640290802</t>
  </si>
  <si>
    <t>02.02.0042</t>
  </si>
  <si>
    <t>BIG COXINHA DE FRANGO COM REQUEIJÃO SUP CROCANTE FRITA 240G (2629)</t>
  </si>
  <si>
    <t>02.02.0043</t>
  </si>
  <si>
    <t>PASTEL DE CARNE FRITO 110G (24)</t>
  </si>
  <si>
    <t>7898602740102</t>
  </si>
  <si>
    <t>97898602742147</t>
  </si>
  <si>
    <t>02.02.0044</t>
  </si>
  <si>
    <t>RISOLES LAMINADO DE PRESUNTO E QUEIJO FRITO 150G (2946)</t>
  </si>
  <si>
    <t>02.02.0045</t>
  </si>
  <si>
    <t>RISOLES LAMINADO DE CARNE EMPANADAO COM LINHAÇA 150GR - FRITO</t>
  </si>
  <si>
    <t>7898602745107</t>
  </si>
  <si>
    <t>17898602745104</t>
  </si>
  <si>
    <t>02.02.0046</t>
  </si>
  <si>
    <t>EMPADA DE FRANGO MASSA TUNG C/ 12 UND CAIXA C/ 6 PCTS</t>
  </si>
  <si>
    <t>7898663935028</t>
  </si>
  <si>
    <t>17898663035022</t>
  </si>
  <si>
    <t>BISNAGA DE CREME DE CONFEITEIRO - 1,1 KG</t>
  </si>
  <si>
    <t>02.03.0003</t>
  </si>
  <si>
    <t>BOLO GELADO BRIGADEIRO - 1KG - CAIXA 2KG</t>
  </si>
  <si>
    <t>02.03.0004</t>
  </si>
  <si>
    <t>BOLO GELADO MORANGO - 1KG - CAIXA 2KG</t>
  </si>
  <si>
    <t>02.03.0005</t>
  </si>
  <si>
    <t>BOLO GELADO PRESTIGIO - 1KG - CAIXA 2KG</t>
  </si>
  <si>
    <t>02.03.0006</t>
  </si>
  <si>
    <t>MEDIALUNA AMANTEIGADA - 180UN</t>
  </si>
  <si>
    <t>02.03.0007</t>
  </si>
  <si>
    <t>CROISSANT - 72UN</t>
  </si>
  <si>
    <t>02.03.0008</t>
  </si>
  <si>
    <t>FAVO DE MARMELO - 72UN</t>
  </si>
  <si>
    <t>02.03.0009</t>
  </si>
  <si>
    <t>FOLHEADO DE CREME CONFEITEIRO - 72UN</t>
  </si>
  <si>
    <t>02.03.0010</t>
  </si>
  <si>
    <t>DONUTS RECHEADOS DE DOCE DE LEITE COM COBERTURA DE GLACE - 48UN</t>
  </si>
  <si>
    <t>02.03.0011</t>
  </si>
  <si>
    <t>DONUT RECHEADO COM SABOR CHOCOLATE COM COBERTURA DE GLACE - 48UN</t>
  </si>
  <si>
    <t>02.03.0012</t>
  </si>
  <si>
    <t>SONHO SIMPLES - 48UN</t>
  </si>
  <si>
    <t>02.03.0019</t>
  </si>
  <si>
    <t>02.03.0028</t>
  </si>
  <si>
    <t>BOLO DE LARANJA  - 300 G 6 UN - 1,8 KG</t>
  </si>
  <si>
    <t>02.03.0029</t>
  </si>
  <si>
    <t>BOLO DE CENOURA  - 300 G 6 UN - 1,8 KG</t>
  </si>
  <si>
    <t>02.03.0030</t>
  </si>
  <si>
    <t>BOLO DE CHOCOLATE COM GOTAS  - 300 G 6 UN - 1,8 KG</t>
  </si>
  <si>
    <t>02.03.0031</t>
  </si>
  <si>
    <t>PÃO DE MILHO - 300G  6 UN - 1,8 KG</t>
  </si>
  <si>
    <t>02.03.0032</t>
  </si>
  <si>
    <t>PAO SOVADO - 400G  5 UN - 2 KG</t>
  </si>
  <si>
    <t>02.03.0033</t>
  </si>
  <si>
    <t>BOLO CONFEITADO SABOR BRIGADEIRO - 2 UN - 1 KG</t>
  </si>
  <si>
    <t>02.03.0034</t>
  </si>
  <si>
    <t>BOLO CONFEITADO SABOR SENSAÇÃO - 2 UN - 1 KG</t>
  </si>
  <si>
    <t>02.03.0035</t>
  </si>
  <si>
    <t>BOLO CONFEITADO SABOR TRUFADO FLORESTA NEGRA - 2 UN - 1 KG</t>
  </si>
  <si>
    <t>02.03.0036</t>
  </si>
  <si>
    <t>BOLO CONFEITADO SABOR TRUFADO - 2 UN - 1 KG</t>
  </si>
  <si>
    <t>02.03.0037</t>
  </si>
  <si>
    <t>BOLO CONFEITADO SABOR LEITINHO - 2 UN - 0,950 KG</t>
  </si>
  <si>
    <t>SANDUICHE BAGUETE MORTADELA - CX 10 UN</t>
  </si>
  <si>
    <t>37898652584283</t>
  </si>
  <si>
    <t>02.03.0040</t>
  </si>
  <si>
    <t>BOLO SABOR PAÇOCA - 2UN</t>
  </si>
  <si>
    <t>BAGUETE PARMESAO PERNIL - CX10UN</t>
  </si>
  <si>
    <t>17898914427828</t>
  </si>
  <si>
    <t>17898914427811</t>
  </si>
  <si>
    <t>02.03.0050</t>
  </si>
  <si>
    <t>HB BOVINO COM COSTELA SEM TEMPERO 120G- CX 2,880 KG- PT 24 UN</t>
  </si>
  <si>
    <t>27896103806031</t>
  </si>
  <si>
    <t>02.03.0051</t>
  </si>
  <si>
    <t>WAFFLE FM ASSADO CONGELADO TRADICIONAL - CX 4,200 KG - PT 15 UN</t>
  </si>
  <si>
    <t>17896074606510</t>
  </si>
  <si>
    <t>02.03.0052</t>
  </si>
  <si>
    <t>BOLO FATIA DE CENOURA KIT KAT - 12UN 100G - CX 1,2 KG</t>
  </si>
  <si>
    <t>17908407501543</t>
  </si>
  <si>
    <t>02.03.0053</t>
  </si>
  <si>
    <t>BOLO FATIA DE LARANJA - 12UN 100G - CX 1,2 KG</t>
  </si>
  <si>
    <t>17908407501550</t>
  </si>
  <si>
    <t>02.03.0054</t>
  </si>
  <si>
    <t>BOLO FATIA COM BRIGADEIRO - 20UN - 130G</t>
  </si>
  <si>
    <t>7892396161150</t>
  </si>
  <si>
    <t>02.03.1003</t>
  </si>
  <si>
    <t>MASSA CONGELADA DE FILAO DE LEITE CAIXA 4X2,5KG 10KG</t>
  </si>
  <si>
    <t>7898967145642</t>
  </si>
  <si>
    <t>17898967145649</t>
  </si>
  <si>
    <t>02.03.1004</t>
  </si>
  <si>
    <t>MASSA CONGELADA DE BISNAGUINHA CAIXA 4X2,5KG 10KG</t>
  </si>
  <si>
    <t>7898967145666</t>
  </si>
  <si>
    <t>17898967145663</t>
  </si>
  <si>
    <t>02.03.1005</t>
  </si>
  <si>
    <t>MASSA CONGELADA DE BENGALA CAIXA 4X2,5KG 10KG</t>
  </si>
  <si>
    <t>7898967145659</t>
  </si>
  <si>
    <t>17898967145656</t>
  </si>
  <si>
    <t>02.03.1006</t>
  </si>
  <si>
    <t>MASSA CONGELADA TATUZÃO CAIXA 4X2,5KG 10KG</t>
  </si>
  <si>
    <t>7898967145673</t>
  </si>
  <si>
    <t>17898967145670</t>
  </si>
  <si>
    <t>02.03.1007</t>
  </si>
  <si>
    <t>MASSA CONGELADA TATU CAIXA 4X2,5KG 10KG</t>
  </si>
  <si>
    <t>7898967145680</t>
  </si>
  <si>
    <t>17898967145687</t>
  </si>
  <si>
    <t>02.03.1008</t>
  </si>
  <si>
    <t>MASSA CONGELADA ROSCA CARACOL CAIXA 4X2,5KG 10KG</t>
  </si>
  <si>
    <t>7898967145697</t>
  </si>
  <si>
    <t>17898967145694</t>
  </si>
  <si>
    <t>02.03.1009</t>
  </si>
  <si>
    <t>MASSA CONGELADA ROSCA TRANÇADA GRANDE CAIXA 4X2,5KG 10KG</t>
  </si>
  <si>
    <t>7898967145703</t>
  </si>
  <si>
    <t>17898967145700</t>
  </si>
  <si>
    <t>7898967145710</t>
  </si>
  <si>
    <t>17898967145717</t>
  </si>
  <si>
    <t>02.03.1011</t>
  </si>
  <si>
    <t>MASSA CONGELADA DE PÃO DE CEBOLA CAIXA 4X2,5KG 10KG</t>
  </si>
  <si>
    <t>7898967145727</t>
  </si>
  <si>
    <t>17898967145724</t>
  </si>
  <si>
    <t>7898967145734</t>
  </si>
  <si>
    <t>17898967145731</t>
  </si>
  <si>
    <t>02.03.1013</t>
  </si>
  <si>
    <t>MASSA CONGELADA DE PÃO DA FAZENDA CAIXA 4X2,5KG 10KG</t>
  </si>
  <si>
    <t>7898967145741</t>
  </si>
  <si>
    <t>17898967145748</t>
  </si>
  <si>
    <t>02.03.1014</t>
  </si>
  <si>
    <t>MASSA CONGELADA DE HOT DOG CAIXA 4X2,5KG 10KG</t>
  </si>
  <si>
    <t>7898967145758</t>
  </si>
  <si>
    <t>17898967145755</t>
  </si>
  <si>
    <t>02.03.1015</t>
  </si>
  <si>
    <t>MASSA CONGELADA DE PÃO DE HAMBURGUÉR CAIXA 4X2,5KG 10KG</t>
  </si>
  <si>
    <t>7898967145765</t>
  </si>
  <si>
    <t>17898967145762</t>
  </si>
  <si>
    <t>7898967145772</t>
  </si>
  <si>
    <t>17898967145779</t>
  </si>
  <si>
    <t>7898967145789</t>
  </si>
  <si>
    <t>17898967145786</t>
  </si>
  <si>
    <t>7898059712714</t>
  </si>
  <si>
    <t>7898059712721</t>
  </si>
  <si>
    <t>7898059712738</t>
  </si>
  <si>
    <t>7898059712745</t>
  </si>
  <si>
    <t>7898059712660</t>
  </si>
  <si>
    <t>7898059712677</t>
  </si>
  <si>
    <t>7898059712752</t>
  </si>
  <si>
    <t>7898059712684</t>
  </si>
  <si>
    <t>02.04.0009</t>
  </si>
  <si>
    <t>PAO DE MILHO 70G - 50 UNIDADES - 3,500KG</t>
  </si>
  <si>
    <t>02.04.0010</t>
  </si>
  <si>
    <t>MINI BAGUETE 73G- 40 UNIDADES - PT 2,920KG</t>
  </si>
  <si>
    <t>02.04.0011</t>
  </si>
  <si>
    <t>PAO DE LEITE 60G - 50 UNIDADES - PT 3,0KG</t>
  </si>
  <si>
    <t>7898059712615</t>
  </si>
  <si>
    <t>7898059712622</t>
  </si>
  <si>
    <t>7898059712639</t>
  </si>
  <si>
    <t>02.04.0017</t>
  </si>
  <si>
    <t>MASSA CONGELADA DE ROSCA BOLEADA - PT 5 KG</t>
  </si>
  <si>
    <t>FATIA HUNGARA CHOCOLATE</t>
  </si>
  <si>
    <t>FATIA HUNGARA COCO</t>
  </si>
  <si>
    <t>02.04.0020</t>
  </si>
  <si>
    <t>FATIA HUNGARA DOCE DE LEITE</t>
  </si>
  <si>
    <t>7908409001129</t>
  </si>
  <si>
    <t>7908409001099</t>
  </si>
  <si>
    <t>02.04.0022</t>
  </si>
  <si>
    <t>PAO CERVEJINHA</t>
  </si>
  <si>
    <t>7908409001136</t>
  </si>
  <si>
    <t>7908409001082</t>
  </si>
  <si>
    <t>MASSA CONGELADA DE ROSCA TRANÇADA- 5KG (160G)</t>
  </si>
  <si>
    <t>78986941737346</t>
  </si>
  <si>
    <t>7908409001174</t>
  </si>
  <si>
    <t>02.06.0001</t>
  </si>
  <si>
    <t>MOUSSE CHOCOLATE AO LEITE 80G - CX COM 12</t>
  </si>
  <si>
    <t>02.06.0002</t>
  </si>
  <si>
    <t>TORTA HOLANDESA 70G - CX COM 12</t>
  </si>
  <si>
    <t>02.06.0003</t>
  </si>
  <si>
    <t>BRIGADEIRO TRADICIONAL COM LEITE MOÇA 40G</t>
  </si>
  <si>
    <t>02.06.0004</t>
  </si>
  <si>
    <t>BRIGADEIRO OXXO - 10G</t>
  </si>
  <si>
    <t>02.07.0001</t>
  </si>
  <si>
    <t>MANTEIGA TABLETE COM SAL 200G PRESIDENT</t>
  </si>
  <si>
    <t>02.07.0002</t>
  </si>
  <si>
    <t>QUEIJO MUSSARELA FATIADO 28 X 150G PRESIDENT</t>
  </si>
  <si>
    <t>02.07.0003</t>
  </si>
  <si>
    <t>CREME DE RICOTA TRADICIONAL PRESIDENTE 200G</t>
  </si>
  <si>
    <t>02.07.0004</t>
  </si>
  <si>
    <t>QUEIJO PRATO FATIADO 28 X 150G PRESIDENT</t>
  </si>
  <si>
    <t>02.07.0005</t>
  </si>
  <si>
    <t>QUEIJO MINAS PADRAO FATIADO 150G PRESIDENT</t>
  </si>
  <si>
    <t>02.07.0006</t>
  </si>
  <si>
    <t>NESTLE BICAM IOGURTE MORANGO 28 X 150G</t>
  </si>
  <si>
    <t>02.07.0007</t>
  </si>
  <si>
    <t>NESTLE IOGURTE NATURAL DESNATADO 28 X 160G</t>
  </si>
  <si>
    <t>02.07.0008</t>
  </si>
  <si>
    <t>NESTLE IOGURTE MORANGO 12 X 1,250KG</t>
  </si>
  <si>
    <t>02.07.0009</t>
  </si>
  <si>
    <t>NESTLÉ IOGURTE MORANGO 24 X 170G</t>
  </si>
  <si>
    <t>02.07.0010</t>
  </si>
  <si>
    <t>NESTLE IOGURTE NATURAL 28 X 170G</t>
  </si>
  <si>
    <t>02.07.0011</t>
  </si>
  <si>
    <t>NESTLE IOGURTE NATURAL MEL 28 X 170G</t>
  </si>
  <si>
    <t>02.07.0012</t>
  </si>
  <si>
    <t>CHAMBINHO POUCH IOGURTE MORANGO 24 X 100G</t>
  </si>
  <si>
    <t>02.07.0013</t>
  </si>
  <si>
    <t>CHANDELLE CHOCOLATE 24 X 180G</t>
  </si>
  <si>
    <t>02.07.0014</t>
  </si>
  <si>
    <t>CHAMYTO LEITE FERMENTADO 21 - 6 X 75G</t>
  </si>
  <si>
    <t>06.12.0036</t>
  </si>
  <si>
    <t>PARAFUSO AÇO SEXTAVADO 8-8 MA 8X60</t>
  </si>
  <si>
    <t>06.12.0037</t>
  </si>
  <si>
    <t>SPRAY DESENGRIPANTE OPER LUB</t>
  </si>
  <si>
    <t>06.12.0038</t>
  </si>
  <si>
    <t>ENGATE RÁPIDO 1/4 ACO ROSCA FEMEA 1/4</t>
  </si>
  <si>
    <t>06.12.0039</t>
  </si>
  <si>
    <t>PINO DE ENGATE RAPIDO 1/4 COM ROSCA FEMEA 1/4</t>
  </si>
  <si>
    <t>06.12.0040</t>
  </si>
  <si>
    <t>PINO CONECTOR PARA ENGATE RAPIDO 11/4 COM ROSCA MACHO 1/4</t>
  </si>
  <si>
    <t>06.14.0009</t>
  </si>
  <si>
    <t>RODIZIO MESA 7639</t>
  </si>
  <si>
    <t>06.14.0010</t>
  </si>
  <si>
    <t>CABO DE SILICONE</t>
  </si>
  <si>
    <t>06.14.0011</t>
  </si>
  <si>
    <t>MOTOR 5,5 CV TRIFASICA 380V</t>
  </si>
  <si>
    <t>06.14.0012</t>
  </si>
  <si>
    <t>MOTOR OM4A 5,5HP 220VT 60HZ</t>
  </si>
  <si>
    <t>06.14.0013</t>
  </si>
  <si>
    <t>GUARDA CORPO INOX</t>
  </si>
  <si>
    <t>06.14.0014</t>
  </si>
  <si>
    <t>CONTATOR TRIPOLAR 32A - AC3 50/60HZ 220V</t>
  </si>
  <si>
    <t>06.14.0015</t>
  </si>
  <si>
    <t>DISJUNTOR MONOPOLAR 32A</t>
  </si>
  <si>
    <t>06.14.0016</t>
  </si>
  <si>
    <t>RESISTENCIA CAMARA CLIMATICA</t>
  </si>
  <si>
    <t>06.14.0017</t>
  </si>
  <si>
    <t>MANG BORRACHA REF 206 SILICONE 8X12 8MM</t>
  </si>
  <si>
    <t>06.14.0018</t>
  </si>
  <si>
    <t>BOIA CAIXA VAPOR CLIMATICA</t>
  </si>
  <si>
    <t>06.14.0019</t>
  </si>
  <si>
    <t>VALVULA SIMPLES PA EVA 220V 50 60HZ ATOXICA</t>
  </si>
  <si>
    <t>06.14.0020</t>
  </si>
  <si>
    <t>PORTA DOCUMENTOS PARA PAINEL</t>
  </si>
  <si>
    <t>06.14.0021</t>
  </si>
  <si>
    <t>KIT BARRAMENTO</t>
  </si>
  <si>
    <t>09.01.0001</t>
  </si>
  <si>
    <t>PI</t>
  </si>
  <si>
    <t>09.01.0002</t>
  </si>
  <si>
    <t>09.01.0003</t>
  </si>
  <si>
    <t>09.01.0004</t>
  </si>
  <si>
    <t>09.01.0005</t>
  </si>
  <si>
    <t>09.01.000R</t>
  </si>
  <si>
    <t>MASSA PÃO FRANCÊS CONGELADO RÁPIDA - RETRABALHO</t>
  </si>
  <si>
    <t>09.02.0001</t>
  </si>
  <si>
    <t>09.02.0002</t>
  </si>
  <si>
    <t>09.02.0003</t>
  </si>
  <si>
    <t>09.02.0004</t>
  </si>
  <si>
    <t>09.02.0005</t>
  </si>
  <si>
    <t>09.02.0006</t>
  </si>
  <si>
    <t>09.02.0007</t>
  </si>
  <si>
    <t>09.02.0008</t>
  </si>
  <si>
    <t>09.02.0009</t>
  </si>
  <si>
    <t>09.02.0010</t>
  </si>
  <si>
    <t>09.02.0011</t>
  </si>
  <si>
    <t>09.02.0012</t>
  </si>
  <si>
    <t>09.02.0013</t>
  </si>
  <si>
    <t>09.02.0014</t>
  </si>
  <si>
    <t>09.02.0015</t>
  </si>
  <si>
    <t>09.02.0016</t>
  </si>
  <si>
    <t>09.02.0017</t>
  </si>
  <si>
    <t>09.02.0018</t>
  </si>
  <si>
    <t>09.02.0019</t>
  </si>
  <si>
    <t>09.02.0020</t>
  </si>
  <si>
    <t>09.02.0021</t>
  </si>
  <si>
    <t>09.02.0022</t>
  </si>
  <si>
    <t>09.02.0023</t>
  </si>
  <si>
    <t>09.02.0024</t>
  </si>
  <si>
    <t>09.03.0001</t>
  </si>
  <si>
    <t>09.03.0002</t>
  </si>
  <si>
    <t>09.03.0003</t>
  </si>
  <si>
    <t>09.03.0004</t>
  </si>
  <si>
    <t>09.03.0005</t>
  </si>
  <si>
    <t>09.03.0006</t>
  </si>
  <si>
    <t>09.03.0007</t>
  </si>
  <si>
    <t>09.03.0008</t>
  </si>
  <si>
    <t>09.03.0009</t>
  </si>
  <si>
    <t>09.03.0010</t>
  </si>
  <si>
    <t>09.04.0001</t>
  </si>
  <si>
    <t>09.04.0002</t>
  </si>
  <si>
    <t>09.04.0003</t>
  </si>
  <si>
    <t>09.04.0004</t>
  </si>
  <si>
    <t>09.04.0005</t>
  </si>
  <si>
    <t>09.04.0006</t>
  </si>
  <si>
    <t>09.04.0007</t>
  </si>
  <si>
    <t>09.04.0008</t>
  </si>
  <si>
    <t>09.04.0009</t>
  </si>
  <si>
    <t>09.04.0010</t>
  </si>
  <si>
    <t>09.04.0011</t>
  </si>
  <si>
    <t>09.04.0012</t>
  </si>
  <si>
    <t>MASSA CONGELADA DE PAO DE QUEIJO COQUETEL NATURAL DA TERRA 15G - 20 PCT DE 400G</t>
  </si>
  <si>
    <t>09.04.0013</t>
  </si>
  <si>
    <t>MASSA CONGELADA DE PAO DE QUEIJO TRADICIONAL NATURAL DA TERRA 30G - 20 PCT 400G</t>
  </si>
  <si>
    <t>09.04.0014</t>
  </si>
  <si>
    <t>MASSA CONGELADA DE PAO DE QUEIJO ST MARCHE 30G - 20 PCT DE 400G</t>
  </si>
  <si>
    <t>09.04.0015</t>
  </si>
  <si>
    <t>09.05.0001</t>
  </si>
  <si>
    <t>09.05.0002</t>
  </si>
  <si>
    <t>09.05.0003</t>
  </si>
  <si>
    <t>09.06.0001</t>
  </si>
  <si>
    <t>CIABATTA TRADICIONAL - 10UN - 1KG</t>
  </si>
  <si>
    <t>09.06.0002</t>
  </si>
  <si>
    <t>CIABATTA MULTIGRAOS - 10UN - 1KG</t>
  </si>
  <si>
    <t>09.06.0003</t>
  </si>
  <si>
    <t>CIABATTA COM CALABRESA - 10UN - 1 KG</t>
  </si>
  <si>
    <t>09.06.0004</t>
  </si>
  <si>
    <t>CIABATTA AZEITONA PRETA - 10 UN - 1KG</t>
  </si>
  <si>
    <t>09.06.0005</t>
  </si>
  <si>
    <t>CIABATTA 100% INTEGRAL - 10 UN - 1KG</t>
  </si>
  <si>
    <t>09.06.0006</t>
  </si>
  <si>
    <t>09.06.0007</t>
  </si>
  <si>
    <t>FOCACCIA - 1 UN - 1,1KG</t>
  </si>
  <si>
    <t>09.06.0008</t>
  </si>
  <si>
    <t>BAGATELLE TRADICIONAL - 6 UN - 1,8KG</t>
  </si>
  <si>
    <t>09.06.0009</t>
  </si>
  <si>
    <t>MINI BAGATELLE TRADICIONAL - 10 UN - 1,8KG</t>
  </si>
  <si>
    <t>09.06.0010</t>
  </si>
  <si>
    <t>BAGATELLE COM ALECRIM - 6 UN - 1,8KG</t>
  </si>
  <si>
    <t>09.06.0011</t>
  </si>
  <si>
    <t>BAGATELLE CHOCOLATE E LARANJA - 6 UN - 1,8KG</t>
  </si>
  <si>
    <t>09.06.0012</t>
  </si>
  <si>
    <t>09.06.0013</t>
  </si>
  <si>
    <t>PAO ITALIANO BOLA 360G - 2 UN</t>
  </si>
  <si>
    <t>09.06.0014</t>
  </si>
  <si>
    <t>PAO ITALIANO FILAO 360G - 2 UN</t>
  </si>
  <si>
    <t>09.06.0015</t>
  </si>
  <si>
    <t>09.06.0016</t>
  </si>
  <si>
    <t>PAO DE CACAU E MASCAVO 300G - 1,8KG</t>
  </si>
  <si>
    <t>09.06.0017</t>
  </si>
  <si>
    <t>PAO BOLA COM CALABRESA 350G - 2KG</t>
  </si>
  <si>
    <t>09.06.0018</t>
  </si>
  <si>
    <t>PAO BOLA COM GORGONZOLA 350G - 2KG</t>
  </si>
  <si>
    <t>09.06.0019</t>
  </si>
  <si>
    <t>PAO DE CENTEIO 500G - 2KG</t>
  </si>
  <si>
    <t>09.06.0020</t>
  </si>
  <si>
    <t>PAO DE SEMENTE DE GIRASSOL 500G - 2KG</t>
  </si>
  <si>
    <t>09.06.0021</t>
  </si>
  <si>
    <t>09.06.0022</t>
  </si>
  <si>
    <t>PAO DE AZEITONA 500G - 3KG</t>
  </si>
  <si>
    <t>09.06.0023</t>
  </si>
  <si>
    <t>09.06.0024</t>
  </si>
  <si>
    <t>PAO DE CALABRESA 500G - 3KG</t>
  </si>
  <si>
    <t>09.06.0025</t>
  </si>
  <si>
    <t>09.06.0026</t>
  </si>
  <si>
    <t>PAO DE CASTANHA COM PASSAS 500G - 3KG</t>
  </si>
  <si>
    <t>09.06.0027</t>
  </si>
  <si>
    <t>PAO DE 3 CHOCOLATES - 10 UN - 3KG</t>
  </si>
  <si>
    <t>09.06.0028</t>
  </si>
  <si>
    <t>BAGUETE TOSCANA - 3KG</t>
  </si>
  <si>
    <t>09.06.0029</t>
  </si>
  <si>
    <t>09.06.0030</t>
  </si>
  <si>
    <t>09.06.0031</t>
  </si>
  <si>
    <t>09.06.0032</t>
  </si>
  <si>
    <t>09.06.0033</t>
  </si>
  <si>
    <t>09.06.0034</t>
  </si>
  <si>
    <t>09.06.0035</t>
  </si>
  <si>
    <t>09.06.0036</t>
  </si>
  <si>
    <t>09.06.0037</t>
  </si>
  <si>
    <t>09.06.0038</t>
  </si>
  <si>
    <t>CIABATTA TRADICIONAL - 6 KG</t>
  </si>
  <si>
    <t>09.06.0039</t>
  </si>
  <si>
    <t>09.06.0040</t>
  </si>
  <si>
    <t>CIABATTA MULTIGRAOS - 6 KG</t>
  </si>
  <si>
    <t>09.06.0041</t>
  </si>
  <si>
    <t>09.06.0042</t>
  </si>
  <si>
    <t>CIABATTA COM CALABRESA - 6 KG</t>
  </si>
  <si>
    <t>09.06.0043</t>
  </si>
  <si>
    <t>09.06.0044</t>
  </si>
  <si>
    <t>09.06.0045</t>
  </si>
  <si>
    <t>09.06.0046</t>
  </si>
  <si>
    <t>09.06.0047</t>
  </si>
  <si>
    <t>09.06.0048</t>
  </si>
  <si>
    <t>09.06.0049</t>
  </si>
  <si>
    <t>09.06.0050</t>
  </si>
  <si>
    <t>09.06.0051</t>
  </si>
  <si>
    <t>09.06.0052</t>
  </si>
  <si>
    <t>09.06.0053</t>
  </si>
  <si>
    <t>09.06.0054</t>
  </si>
  <si>
    <t>09.06.0055</t>
  </si>
  <si>
    <t>09.06.0056</t>
  </si>
  <si>
    <t>09.07.0001</t>
  </si>
  <si>
    <t>09.07.0002</t>
  </si>
  <si>
    <t>BISNAGA DE BETERRABA  - 2 UN - 600G</t>
  </si>
  <si>
    <t>09.07.0003</t>
  </si>
  <si>
    <t>BISNAGA BRIOCHE - 6 UN - 300G</t>
  </si>
  <si>
    <t>09.07.0004</t>
  </si>
  <si>
    <t>09.07.0005</t>
  </si>
  <si>
    <t>BISNAGA DE MANDIOQUINHA - 2 UN - 600G</t>
  </si>
  <si>
    <t>09.07.0006</t>
  </si>
  <si>
    <t>PAO DE FORMA BRIOCHE - 3 UN - 990G</t>
  </si>
  <si>
    <t>09.07.0007</t>
  </si>
  <si>
    <t>PAO DE FORMA BRIOCHE GRAOS - 3 UN - 990G</t>
  </si>
  <si>
    <t>09.07.0008</t>
  </si>
  <si>
    <t>09.07.0009</t>
  </si>
  <si>
    <t>09.07.0010</t>
  </si>
  <si>
    <t>09.07.0011</t>
  </si>
  <si>
    <t>09.08.0001</t>
  </si>
  <si>
    <t>09.08.0002</t>
  </si>
  <si>
    <t>09.08.0003</t>
  </si>
  <si>
    <t>09.08.0004</t>
  </si>
  <si>
    <t>09.09.0001</t>
  </si>
  <si>
    <t>09.09.0002</t>
  </si>
  <si>
    <t>09.09.0003</t>
  </si>
  <si>
    <t>09.09.0004</t>
  </si>
  <si>
    <t>09.09.0005</t>
  </si>
  <si>
    <t>09.09.0006</t>
  </si>
  <si>
    <t>09.09.0007</t>
  </si>
  <si>
    <t>09.09.0008</t>
  </si>
  <si>
    <t>09.09.0009</t>
  </si>
  <si>
    <t>09.09.0010</t>
  </si>
  <si>
    <t>09.09.0011</t>
  </si>
  <si>
    <t>09.09.0012</t>
  </si>
  <si>
    <t>10.01.0001</t>
  </si>
  <si>
    <t>TEMPERO PAO FRANCES RAPIDA - M75KG</t>
  </si>
  <si>
    <t>10.01.0002</t>
  </si>
  <si>
    <t>TEMPERO FERMENTO PAO FRANCES RAPIDA - M75KG</t>
  </si>
  <si>
    <t>10.01.0003</t>
  </si>
  <si>
    <t>TEMPERO PAO FRANCES RAPIDA - M100KG</t>
  </si>
  <si>
    <t>10.01.0004</t>
  </si>
  <si>
    <t>TEMPERO FERMENTO PAO FRANCES RAPIDA - M100KG</t>
  </si>
  <si>
    <t>10.01.0005</t>
  </si>
  <si>
    <t>TEMPERO PAO FRANCES MEDIA - M100KG</t>
  </si>
  <si>
    <t>10.01.0006</t>
  </si>
  <si>
    <t>TEMPERO FERMENTO PAO FRANCES MEDIA - M100KG</t>
  </si>
  <si>
    <t>10.01.0007</t>
  </si>
  <si>
    <t>TEMPERO PAO FRANCES BENJAMIN - M100KG</t>
  </si>
  <si>
    <t>10.01.0008</t>
  </si>
  <si>
    <t>TEMPERO FERMENTO PAO FRANCES BENJAMIN - M100KG</t>
  </si>
  <si>
    <t>10.01.0009</t>
  </si>
  <si>
    <t>TEMPERO PAO FRANCES MEDIA - M75KG</t>
  </si>
  <si>
    <t>10.01.0010</t>
  </si>
  <si>
    <t>TEMPERO FERMENTO PAO FRANCES MEDIA - M75KG</t>
  </si>
  <si>
    <t>10.01.0011</t>
  </si>
  <si>
    <t>TEMPERO PAO FRANCES INTEGRAL RAPIDA - M75KG</t>
  </si>
  <si>
    <t>10.01.0012</t>
  </si>
  <si>
    <t>TEMPERO FERMENTO PAO FRANCES INTEGRAL RAPIDA - M75KG</t>
  </si>
  <si>
    <t>10.01.0013</t>
  </si>
  <si>
    <t>TEMPERO PAO FRANCES INTEGRAL RAPIDA - M100KG</t>
  </si>
  <si>
    <t>10.01.0014</t>
  </si>
  <si>
    <t>TEMPERO FERMENTO PAO FRANCES INTEGRAL RAPIDA - M100KG</t>
  </si>
  <si>
    <t>10.01.0015</t>
  </si>
  <si>
    <t>TEMPERO PAO FRANCES INTEGRAL MEDIA - M75KG</t>
  </si>
  <si>
    <t>10.01.0016</t>
  </si>
  <si>
    <t>TEMPERO FERMENTO PAO FRANCES INTEGRAL MEDIA - M75KG</t>
  </si>
  <si>
    <t>10.01.0017</t>
  </si>
  <si>
    <t>TEMPERO PAO FRANCES INTEGRAL BENJAMIN - M75KG</t>
  </si>
  <si>
    <t>10.01.0018</t>
  </si>
  <si>
    <t>TEMPERO FERMENTO PAO FRANCES INTEGRAL BENJAMIN - M75KG</t>
  </si>
  <si>
    <t>10.01.0019</t>
  </si>
  <si>
    <t>TEMPERO PAO FRANCES BENJAMIN - M75KG</t>
  </si>
  <si>
    <t>10.01.0020</t>
  </si>
  <si>
    <t>TEMPERO FERMENTO PAO FRANCES BENJAMIN - M75KG</t>
  </si>
  <si>
    <t>10.01.0021</t>
  </si>
  <si>
    <t>TEMPERO PAO FRANCES MULTIGRAOS - M75KG</t>
  </si>
  <si>
    <t>10.01.0022</t>
  </si>
  <si>
    <t>TEMPERO FERMENTO PAO FRANCES MULTIGRAOS - M75KG</t>
  </si>
  <si>
    <t>10.01.0023</t>
  </si>
  <si>
    <t>TEMPERO GRAOS PAO FRANCES MULTIGRAOS - M75KG</t>
  </si>
  <si>
    <t>10.01.0024</t>
  </si>
  <si>
    <t>TEMPERO PAO FRANCES MULTIGRAOS BENJAMIN - M75KG</t>
  </si>
  <si>
    <t>10.01.0025</t>
  </si>
  <si>
    <t>TEMPERO FERMENTO PAO FRANCES MULTIGRAOS BENJAMIN - M75KG</t>
  </si>
  <si>
    <t>10.01.0026</t>
  </si>
  <si>
    <t>TEMPERO GRAOS PAO FRANCES MULTIGRAOS BENJAMIN - M75KG</t>
  </si>
  <si>
    <t>10.01.0027</t>
  </si>
  <si>
    <t>TEMPERO BENZINHO - M75KG</t>
  </si>
  <si>
    <t>10.01.0028</t>
  </si>
  <si>
    <t>TEMPERO FERMENTO BENZINHO - M75KG</t>
  </si>
  <si>
    <t>10.01.0029</t>
  </si>
  <si>
    <t>TEMPERO MINI BAGUETE BENJAMIN - M75KG</t>
  </si>
  <si>
    <t>10.01.0030</t>
  </si>
  <si>
    <t>TEMPERO FERMENTO MINI BAGUETE BENJAMIN - M75KG</t>
  </si>
  <si>
    <t>10.01.0031</t>
  </si>
  <si>
    <t>TEMPERO MINI BAGUETE PARMESAO BENJAMIN - M75KG</t>
  </si>
  <si>
    <t>10.01.0032</t>
  </si>
  <si>
    <t>TEMPERO FERMENTO MINI BAGUETE PARMESAO BENJAMIN - M75KG</t>
  </si>
  <si>
    <t>10.01.0033</t>
  </si>
  <si>
    <t>TEMPERO MINI BAGUETE - M75KG</t>
  </si>
  <si>
    <t>10.01.0034</t>
  </si>
  <si>
    <t>TEMPERO FERMENTO MINI BAGUETE - M75KG</t>
  </si>
  <si>
    <t>10.01.0035</t>
  </si>
  <si>
    <t>TEMPERO BAGUETE - M75KG</t>
  </si>
  <si>
    <t>10.01.0036</t>
  </si>
  <si>
    <t>TEMPERO FERMENTO BAGUETE -M75KG</t>
  </si>
  <si>
    <t>10.01.0037</t>
  </si>
  <si>
    <t>TEMPERO MINI PAO - M75KG</t>
  </si>
  <si>
    <t>10.01.0038</t>
  </si>
  <si>
    <t>TEMPERO FERMENTO MINI PAO - M75KG</t>
  </si>
  <si>
    <t>10.01.0039</t>
  </si>
  <si>
    <t>TEMPERO MINI PAO INTEGRAL - M75KG</t>
  </si>
  <si>
    <t>10.01.0040</t>
  </si>
  <si>
    <t>TEMPERO FERMENTO MINI PAO INTEGRAL - M75KG</t>
  </si>
  <si>
    <t>10.01.0041</t>
  </si>
  <si>
    <t>TEMPERO MINI BAGUETE INTEGRAL BENJAMIN - M75KG</t>
  </si>
  <si>
    <t>10.01.0042</t>
  </si>
  <si>
    <t>TEMPERO FERMENTO MINI BAGUETE INTEGRAL BENJAMIN - M75KG</t>
  </si>
  <si>
    <t>10.01.0043</t>
  </si>
  <si>
    <t>TEMPERO BAGUETE INTEGRAL - M75KG</t>
  </si>
  <si>
    <t>10.01.0044</t>
  </si>
  <si>
    <t>TEMPERO FERMENTO BAGUETE INTEGRAL - M75KG</t>
  </si>
  <si>
    <t>10.01.0045</t>
  </si>
  <si>
    <t>TEMPERO MINI BAGUETE INTEGRAL RAPIDA  - M75KG</t>
  </si>
  <si>
    <t>10.01.0046</t>
  </si>
  <si>
    <t>TEMPERO FERMENTO MINI BAGUETE INTEGRAL RAPIDA - M75KG</t>
  </si>
  <si>
    <t>10.01.0047</t>
  </si>
  <si>
    <t>TEMPERO ROSCA LISA - M75KG</t>
  </si>
  <si>
    <t>10.01.0048</t>
  </si>
  <si>
    <t>TEMPERO FERMENTO ROSCA LISA - M75KG</t>
  </si>
  <si>
    <t>10.01.0049</t>
  </si>
  <si>
    <t>TEMPERO MARGARINA ROSCA LISA - M75KG</t>
  </si>
  <si>
    <t>10.01.0050</t>
  </si>
  <si>
    <t>TEMPERO PAO FRANCES RAPIDA - M50KG</t>
  </si>
  <si>
    <t>10.01.0051</t>
  </si>
  <si>
    <t>TEMPERO FERMENTO PAO FRANCES RAPIDA - M50KG</t>
  </si>
  <si>
    <t>10.01.0052</t>
  </si>
  <si>
    <t>TEMPERO PAO FRANCES MEDIA - M50KG</t>
  </si>
  <si>
    <t>10.01.0053</t>
  </si>
  <si>
    <t>TEMPERO FERMENTO PAO FRANCES MEDIA - M50KG</t>
  </si>
  <si>
    <t>10.01.0054</t>
  </si>
  <si>
    <t>TEMPERO PAO FRANCES INTEGRAL RAPIDA - M50KG</t>
  </si>
  <si>
    <t>10.01.0055</t>
  </si>
  <si>
    <t>TEMPERO FERMENTO PAO FRANCES INTEGRAL RAPIDA - M50KG</t>
  </si>
  <si>
    <t>10.01.0056</t>
  </si>
  <si>
    <t>TEMPERO ROSCA LISA - M50KG</t>
  </si>
  <si>
    <t>10.01.0057</t>
  </si>
  <si>
    <t>TEMPERO FERMENTO ROSCA LISA - M50KG</t>
  </si>
  <si>
    <t>10.01.0058</t>
  </si>
  <si>
    <t>TEMPERO MARGARINA ROSCA LISA - M50KG</t>
  </si>
  <si>
    <t>10.01.0059</t>
  </si>
  <si>
    <t>TEMPERO BAGUETE - M50KG</t>
  </si>
  <si>
    <t>10.01.0060</t>
  </si>
  <si>
    <t>TEMPERO FERMENTO BAGUETE - M50KG</t>
  </si>
  <si>
    <t>10.01.0061</t>
  </si>
  <si>
    <t>TEMPERO MINI PAO - M50KG</t>
  </si>
  <si>
    <t>10.01.0062</t>
  </si>
  <si>
    <t>TEMPERO FERMENTO MINI PAO - M50KG</t>
  </si>
  <si>
    <t>10.01.0063</t>
  </si>
  <si>
    <t>TEMPERO 1 PAO FOFINHO - M25KG</t>
  </si>
  <si>
    <t>10.01.0064</t>
  </si>
  <si>
    <t>TEMPERO 2 PAO FOFINHO - M25KG</t>
  </si>
  <si>
    <t>10.01.0065</t>
  </si>
  <si>
    <t>TEMPERO FERMENTO PAO FOFINHO - M25KG</t>
  </si>
  <si>
    <t>10.01.0066</t>
  </si>
  <si>
    <t>TEMPERO PAO DE QUEIJO EMPANADO BENJAMIN 15G (4KG) - M50KG</t>
  </si>
  <si>
    <t>10.01.0067</t>
  </si>
  <si>
    <t>TEMPERO PAO DE QUEIJO EMPANADO BENJAMIN 100G (4KG) - M50KG</t>
  </si>
  <si>
    <t>10.01.0068</t>
  </si>
  <si>
    <t>TEMPERO PAO DE QUEIJO EMPANADO DIA - M50KG</t>
  </si>
  <si>
    <t>10.01.0069</t>
  </si>
  <si>
    <t>TEMPERO PAO DE QUEIJO EMPANADO - M50KG</t>
  </si>
  <si>
    <t>10.01.0070</t>
  </si>
  <si>
    <t>TEMPERO PAO DE QUEIJO MULTIGRAOS - M50KG</t>
  </si>
  <si>
    <t>10.01.0071</t>
  </si>
  <si>
    <t>TEMPERO PAO DE QUEIJO MULTIGRAOS GPA - M50KG</t>
  </si>
  <si>
    <t>10.01.0072</t>
  </si>
  <si>
    <t>TEMPERO PAO DE QUEIJO EMPANADO RECHEADO DE REQUEIJAO - M50KG</t>
  </si>
  <si>
    <t>10.01.0073</t>
  </si>
  <si>
    <t>TEMPERO PAO DE QUEIJO EMPANADO RECHEADO DE GOIABADA - M50KG</t>
  </si>
  <si>
    <t>10.01.0074</t>
  </si>
  <si>
    <t>TEMPERO PAO DE QUEIJO EMPANADO ST MARCHE - M50KG</t>
  </si>
  <si>
    <t>10.01.0075</t>
  </si>
  <si>
    <t>TEMPERO PAO DE QUEIJO PREMIUM CLASSE A - M50KG</t>
  </si>
  <si>
    <t>10.01.0076</t>
  </si>
  <si>
    <t>TEMPERO PAO DE QUEIJO TRADICIONAL 30G - M50KG</t>
  </si>
  <si>
    <t>10.01.0077</t>
  </si>
  <si>
    <t>TEMPERO PAO DE QUEIJO TRADICIONAL 90G - M50KG</t>
  </si>
  <si>
    <t>10.01.0078</t>
  </si>
  <si>
    <t>TEMPERO PAO DE QUEIJO TRADICIONAL CLASSE A - M50KG</t>
  </si>
  <si>
    <t>10.01.0079</t>
  </si>
  <si>
    <t>TEMPERO PAO DE QUEIJO TRADICIONAL 30G - M180KG</t>
  </si>
  <si>
    <t>10.01.0080</t>
  </si>
  <si>
    <t>TEMPERO PAO DE QUEIJO TRADICIONAL 90G - M180KG</t>
  </si>
  <si>
    <t>10.01.0081</t>
  </si>
  <si>
    <t>TEMPERO PAO DE QUEIJO TRADICIONAL CLASSE A - M180KG</t>
  </si>
  <si>
    <t>10.01.0082</t>
  </si>
  <si>
    <t>TEMPERO PAO DE QUEIJO TRADICIONAL NATURAL DA TERRA 30G - M50KG</t>
  </si>
  <si>
    <t>10.01.0083</t>
  </si>
  <si>
    <t>TEMPERO PAO DE QUEIJO COQUETEL NATURAL DA TERRA 15G - M50KG</t>
  </si>
  <si>
    <t>10.01.0084</t>
  </si>
  <si>
    <t>TEMPERO PAO DE QUEIJO TRADICIONAL 30G - 10KG (DIA) - M180KG</t>
  </si>
  <si>
    <t>10.01.0085</t>
  </si>
  <si>
    <t>TEMPERO MARGARINA FORROZINHO CREME E COCO - M25KG</t>
  </si>
  <si>
    <t>10.01.0086</t>
  </si>
  <si>
    <t>TEMPERO SAL FORROZINHO CREME E COCO - M25KG</t>
  </si>
  <si>
    <t>10.01.0087</t>
  </si>
  <si>
    <t>TEMPERO ACUCAR FORROZINHO CREME E COCO - M25KG</t>
  </si>
  <si>
    <t>10.01.0088</t>
  </si>
  <si>
    <t>TEMPERO MELHORADORES FORROZINHO CREME E COCO - M25KG</t>
  </si>
  <si>
    <t>10.01.0089</t>
  </si>
  <si>
    <t>TEMPERO FERMENTO DOCE FORROZINHO CREME E COCO - M25KG</t>
  </si>
  <si>
    <t>10.01.0090</t>
  </si>
  <si>
    <t>TEMPERO CREME DE CONFEITEIRO FORROZINHO CREME E COCO - M25KG</t>
  </si>
  <si>
    <t>10.01.0091</t>
  </si>
  <si>
    <t>TEMPERO COCO RALADO FORROZINHO CREME E COCO - M25KG</t>
  </si>
  <si>
    <t>10.01.0092</t>
  </si>
  <si>
    <t>TEMPERO MARGARINA FORROZINHO CREME COCO E CHOCOLATE - M25KG</t>
  </si>
  <si>
    <t>10.01.0093</t>
  </si>
  <si>
    <t>TEMPERO SAL FORROZINHO CREME COCO E CHOCOLATE - M25KG</t>
  </si>
  <si>
    <t>10.01.0094</t>
  </si>
  <si>
    <t>TEMPERO ACUCAR FORROZINHO CREME COCO E CHOCOLATE - M25KG</t>
  </si>
  <si>
    <t>10.01.0095</t>
  </si>
  <si>
    <t>TEMPERO MELHORADORES FORROZINHO CREME COCO E CHOCOLATE - M25KG</t>
  </si>
  <si>
    <t>10.01.0096</t>
  </si>
  <si>
    <t>TEMPERO FERMENTO DOCE FORROZINHO CREME COCO E CHOCOLATE - M25KG</t>
  </si>
  <si>
    <t>10.01.0097</t>
  </si>
  <si>
    <t>TEMPERO CREME DE CONFEITEIRO FORROZINHO CREME COCO E CHOCOLATE - M25KG</t>
  </si>
  <si>
    <t>10.01.0098</t>
  </si>
  <si>
    <t>TEMPERO GOTAS DE CHOCOLATE FORROZINHO CREME COCO E CHOCOLATE - M25KG</t>
  </si>
  <si>
    <t>10.01.0099</t>
  </si>
  <si>
    <t>TEMPERO COCO RALADO FORROZINHO CREME COCO E CHOCOLATE - M25KG</t>
  </si>
  <si>
    <t>10.01.0100</t>
  </si>
  <si>
    <t>TEMPERO PAO DE CEBOLA BOLEADO - M25KG</t>
  </si>
  <si>
    <t>10.01.0101</t>
  </si>
  <si>
    <t>TEMPERO PAO DE BATATA BOLEADO - M25KG</t>
  </si>
  <si>
    <t>10.01.0102</t>
  </si>
  <si>
    <t>TEMPERO PAO DE MILHO BOLEADO - M25KG</t>
  </si>
  <si>
    <t>10.01.0103</t>
  </si>
  <si>
    <t>TEMPERO PAULISTINHA - M25KG</t>
  </si>
  <si>
    <t>10.01.0104</t>
  </si>
  <si>
    <t>TEMPERO MARGARINA PAULISTINHA - M25KG</t>
  </si>
  <si>
    <t>10.01.0105</t>
  </si>
  <si>
    <t>TEMPERO INDEGEL BROA CAXAMBU GOIABADA - M50KG</t>
  </si>
  <si>
    <t>10.01.0106</t>
  </si>
  <si>
    <t>TEMPERO FERMENTO QUIMICO BROA CAXAMBU GOIABADA - M50KG</t>
  </si>
  <si>
    <t>10.01.0107</t>
  </si>
  <si>
    <t>TEMPERO MARGARINA BROA CAXAMBU GOIABADA - M50KG</t>
  </si>
  <si>
    <t>10.01.0108</t>
  </si>
  <si>
    <t>TEMPERO INDEGEL BROA CAXAMBU GOTAS DE CHOCOLATE - M50KG</t>
  </si>
  <si>
    <t>10.01.0109</t>
  </si>
  <si>
    <t>TEMPERO FERMENTO QUIMICO BROA CAXAMBU GOTAS DE CHOCOLATE - M50KG</t>
  </si>
  <si>
    <t>10.01.0110</t>
  </si>
  <si>
    <t>TEMPERO MARGARINA BROA CAXAMBU GOTAS DE CHOCOLATE - M50KG</t>
  </si>
  <si>
    <t>10.01.0111</t>
  </si>
  <si>
    <t>TEMPERO GOTAS DE CHOCOLATE BROA CAXAMBU GOTAS DE CHOCOLATE - M50KG</t>
  </si>
  <si>
    <t>10.01.0112</t>
  </si>
  <si>
    <t>TEMPERO ROSCA TRANCADA PEQUENA - M25KG</t>
  </si>
  <si>
    <t>10.01.0113</t>
  </si>
  <si>
    <t>TEMPERO FERMENTO ROSCA TRANCADA PEQUENA - M25KG</t>
  </si>
  <si>
    <t>10.01.0114</t>
  </si>
  <si>
    <t>TEMPERO MARGARINA ROSCA TRANCADA PEQUENA - M25KG</t>
  </si>
  <si>
    <t>10.01.0115</t>
  </si>
  <si>
    <t>TEMPERO ROSCA TRANCADA GRANDE - M25KG</t>
  </si>
  <si>
    <t>10.01.0116</t>
  </si>
  <si>
    <t>TEMPERO FERMENTO ROSCA TRANCADA GRANDE - M25KG</t>
  </si>
  <si>
    <t>10.01.0117</t>
  </si>
  <si>
    <t>TEMPERO MARGARINA ROSCA TRANCADA GRANDE - M25KG</t>
  </si>
  <si>
    <t>10.01.0118</t>
  </si>
  <si>
    <t>TEMPERO ROSCA CARACOL - M25KG</t>
  </si>
  <si>
    <t>10.01.0119</t>
  </si>
  <si>
    <t>TEMPERO FERMENTO ROSCA CARACOL - M25KG</t>
  </si>
  <si>
    <t>10.01.0120</t>
  </si>
  <si>
    <t>TEMPERO MARGARINA ROSCA CARACOL - M25KG</t>
  </si>
  <si>
    <t>10.01.0121</t>
  </si>
  <si>
    <t>TEMPERO BISCOITAO - M25KG</t>
  </si>
  <si>
    <t>10.01.0122</t>
  </si>
  <si>
    <t>TEMPERO ESCALDO BISCOITAO - M25KG</t>
  </si>
  <si>
    <t>10.01.0123</t>
  </si>
  <si>
    <t>TEMPERO PAO FRANCES BOLA RAPIDA - 25KG</t>
  </si>
  <si>
    <t>10.01.0124</t>
  </si>
  <si>
    <t>TEMPERO FERMENTO PAO FRANCES BOLA RAPIDA - 25KG</t>
  </si>
  <si>
    <t>10.01.0125</t>
  </si>
  <si>
    <t>TEMPERO PAO FRANCES RAPIDA 65G - M75KG</t>
  </si>
  <si>
    <t>10.01.0126</t>
  </si>
  <si>
    <t>TEMPERO FERMENTO PAO FRANCES RAPIDA 65G - M75KG</t>
  </si>
  <si>
    <t>10.01.0127</t>
  </si>
  <si>
    <t>TEMPERO PAO FRANCES MEDIA 65G - M75KG</t>
  </si>
  <si>
    <t>10.01.0128</t>
  </si>
  <si>
    <t>TEMPERO FERMENTO PAO FRANCES MEDIA 65G - M75KG</t>
  </si>
  <si>
    <t>10.01.0129</t>
  </si>
  <si>
    <t>TEMPERO PAO FRANCES RAPIDA 65G - M100KG</t>
  </si>
  <si>
    <t>10.01.0130</t>
  </si>
  <si>
    <t>TEMPERO FERMENTO PAO FRANCES RAPIDA 65G - M100KG</t>
  </si>
  <si>
    <t>10.01.0131</t>
  </si>
  <si>
    <t>TEMPERO PAO FRANCES MEDIA 65G - M100KG</t>
  </si>
  <si>
    <t>10.01.0132</t>
  </si>
  <si>
    <t>TEMPERO FERMENTO PAO FRANCES MEDIA 65G - M100KG</t>
  </si>
  <si>
    <t>10.01.0133</t>
  </si>
  <si>
    <t>TEMPERO GRAOS PAO DE QUEIJO MULTIGRAOS - M50KG</t>
  </si>
  <si>
    <t>10.01.0134</t>
  </si>
  <si>
    <t>TEMPERO GRAOS PAO DE QUEIJO MULTIGRAOS GPA - M50KG</t>
  </si>
  <si>
    <t>10.01.0135</t>
  </si>
  <si>
    <t>TEMPERO CIABATTA HOMEBAKE TRADICIONAL 300G - M25KG</t>
  </si>
  <si>
    <t>10.01.0136</t>
  </si>
  <si>
    <t>TEMPERO FERMENTO CIABATTA HOMEBAKE TRADICIONAL 300G - M25KG</t>
  </si>
  <si>
    <t>10.01.0137</t>
  </si>
  <si>
    <t>10.01.0138</t>
  </si>
  <si>
    <t>10.01.0139</t>
  </si>
  <si>
    <t>TEMPERO CIABATTA HOMEBAKE COM GRAOS 300G - M25KG</t>
  </si>
  <si>
    <t>10.01.0140</t>
  </si>
  <si>
    <t>TEMPERO FERMENTO CIABATTA HOMEBAKE COM GRAOS 300G - M25KG</t>
  </si>
  <si>
    <t>10.01.0141</t>
  </si>
  <si>
    <t>TEMPERO GRAOS CIABATTA HOMEBAKE COM GRAOS 300G - M25KG</t>
  </si>
  <si>
    <t>10.01.0142</t>
  </si>
  <si>
    <t>10.01.0143</t>
  </si>
  <si>
    <t>10.01.0144</t>
  </si>
  <si>
    <t>10.01.0145</t>
  </si>
  <si>
    <t>TEMPERO MINI PAO ITALIANO HOMEBAKE  300G - M25KG</t>
  </si>
  <si>
    <t>10.01.0146</t>
  </si>
  <si>
    <t>TEMPERO FERMENTO MINI PAO ITALIANO HOMEBAKE  300G - M25KG</t>
  </si>
  <si>
    <t>10.01.0147</t>
  </si>
  <si>
    <t>10.01.0148</t>
  </si>
  <si>
    <t>10.01.0149</t>
  </si>
  <si>
    <t>TEMPERO PAO DE HAMBURGUER CROC. 260G HOMEBAKE  300G - M25KG</t>
  </si>
  <si>
    <t>10.01.0150</t>
  </si>
  <si>
    <t>TEMPERO FERMENTO PAO DE HAMBURGUER CROC. 260G HOMEBAKE  300G - M25KG</t>
  </si>
  <si>
    <t>10.01.0151</t>
  </si>
  <si>
    <t>10.01.0152</t>
  </si>
  <si>
    <t>10.01.0153</t>
  </si>
  <si>
    <t>TEMPERO MINI BAGUETE LANCHE HOMEBAKE 300G - M25KG</t>
  </si>
  <si>
    <t>10.01.0154</t>
  </si>
  <si>
    <t>TEMPERO FERMENTO MINI BAGUETE LANCHE HOMEBAKE 300G - M25KG</t>
  </si>
  <si>
    <t>10.01.0155</t>
  </si>
  <si>
    <t>10.01.0156</t>
  </si>
  <si>
    <t>10.01.0157</t>
  </si>
  <si>
    <t>TEMPERO BAGUETE FRANCESA COM GRAOS - M25KG</t>
  </si>
  <si>
    <t>10.01.0158</t>
  </si>
  <si>
    <t>TEMPERO FERMENTO BAGUETE FRANCESA COM GRAOS - M25KG</t>
  </si>
  <si>
    <t>10.01.0159</t>
  </si>
  <si>
    <t>TEMPERO COBERTURA GRAOS BAGUETE FRANCESA COM GRAOS - M25KG</t>
  </si>
  <si>
    <t>10.01.0160</t>
  </si>
  <si>
    <t>TEMPERO BAGUETE FRANCESA TRADICIONAL -  M25KG</t>
  </si>
  <si>
    <t>10.01.0161</t>
  </si>
  <si>
    <t>TEMPERO FERMENTO BAGUETE FRANCESA TRADICIONAL - M25KG</t>
  </si>
  <si>
    <t>10.01.0162</t>
  </si>
  <si>
    <t>TEMPERO BAGUETE TOSCANA - M25KG</t>
  </si>
  <si>
    <t>10.01.0163</t>
  </si>
  <si>
    <t>TEMPERO FERMENTO BAGUETE TOSCANA - M25KG</t>
  </si>
  <si>
    <t>10.01.0164</t>
  </si>
  <si>
    <t>TEMPERO BISNAGA AUSTRALIANO - M25KG</t>
  </si>
  <si>
    <t>10.01.0165</t>
  </si>
  <si>
    <t>TEMPERO FERMENTO BISNAGA AUSTRALIANO - M25KG</t>
  </si>
  <si>
    <t>10.01.0166</t>
  </si>
  <si>
    <t>TEMPERO BISNAGA BRIOCHE - M25KG</t>
  </si>
  <si>
    <t>10.01.0167</t>
  </si>
  <si>
    <t>TEMPERO FERMENTO BISNAGA BRIOCHE - M25KG</t>
  </si>
  <si>
    <t>10.01.0168</t>
  </si>
  <si>
    <t>TEMPERO BISNAGA DE BETERRABA - M25KG</t>
  </si>
  <si>
    <t>10.01.0169</t>
  </si>
  <si>
    <t>TEMPERO FERMENTO BISNAGA DE BETERRABA - M25KG</t>
  </si>
  <si>
    <t>10.01.0170</t>
  </si>
  <si>
    <t>TEMPERO BISNAGA DE MANDIOQUINHA - M25KG</t>
  </si>
  <si>
    <t>10.01.0171</t>
  </si>
  <si>
    <t>TEMPERO FERMENTO BISNAGA DE MANDIOQUINHA - M25KG</t>
  </si>
  <si>
    <t>10.01.0172</t>
  </si>
  <si>
    <t>TEMPERO BISNAGA DE FUBA - M25KG</t>
  </si>
  <si>
    <t>10.01.0173</t>
  </si>
  <si>
    <t>TEMPERO FERMENTO BISNAGA DE FUBA - M25KG</t>
  </si>
  <si>
    <t>10.01.0174</t>
  </si>
  <si>
    <t>TEMPERO BOLO DE BANANA COM GRANOLA - M25KG</t>
  </si>
  <si>
    <t>10.01.0175</t>
  </si>
  <si>
    <t>TEMPERO BOLO DE CENOURA - M25KG</t>
  </si>
  <si>
    <t>10.01.0176</t>
  </si>
  <si>
    <t>TEMPERO BOLO DE FUBA - M25KG</t>
  </si>
  <si>
    <t>10.01.0177</t>
  </si>
  <si>
    <t>TEMPERO BOLO DE LARANJA - M25KG</t>
  </si>
  <si>
    <t>10.01.0178</t>
  </si>
  <si>
    <t>TEMPERO CIABATTA COM CALABRESA - M25KG</t>
  </si>
  <si>
    <t>10.01.0179</t>
  </si>
  <si>
    <t>TEMPERO FERMENTO CIABATTA COM CALABRESA - M25KG</t>
  </si>
  <si>
    <t>10.01.0180</t>
  </si>
  <si>
    <t>TEMPERO CIABATTA MULTIGRAOS - M25KG</t>
  </si>
  <si>
    <t>10.01.0181</t>
  </si>
  <si>
    <t>TEMPERO FERMENTO CIABATTA MULTIGRAOS - M25KG</t>
  </si>
  <si>
    <t>10.01.0182</t>
  </si>
  <si>
    <t>TEMPERO GRAOS CIABATTA MULTIGRAOS - M25KG</t>
  </si>
  <si>
    <t>10.01.0183</t>
  </si>
  <si>
    <t>TEMPERO CIABATTA TRADICIONAL - M25KG</t>
  </si>
  <si>
    <t>10.01.0184</t>
  </si>
  <si>
    <t>TEMPERO FERMENTO CIABATTA TRADICIONAL - M25KG</t>
  </si>
  <si>
    <t>10.01.0185</t>
  </si>
  <si>
    <t>TEMPERO MINI BAGUETE FRANCESA TRADICIONAL - M25KG</t>
  </si>
  <si>
    <t>10.01.0186</t>
  </si>
  <si>
    <t>TEMPERO FERMENTO MINI BAGUETE FRANCESA TRADICIONAL - M25KG</t>
  </si>
  <si>
    <t>10.01.0187</t>
  </si>
  <si>
    <t>TEMPERO MINI BAGUETE RUSTICA COM GRAOS - M25KG</t>
  </si>
  <si>
    <t>10.01.0188</t>
  </si>
  <si>
    <t>TEMPERO FERMENTO MINI BAGUETE RUSTICA COM GRAOS - M25KG</t>
  </si>
  <si>
    <t>10.01.0189</t>
  </si>
  <si>
    <t>TEMPERO GRAOS MINI BAGUETE RUSTICA COM GRAOS - M25KG</t>
  </si>
  <si>
    <t>10.01.0190</t>
  </si>
  <si>
    <t>TEMPERO MINI BAGUETE RUSTICA INTEGRAL - M25KG</t>
  </si>
  <si>
    <t>10.01.0191</t>
  </si>
  <si>
    <t>TEMPERO FERMENTO MINI BAGUETE RUSTICA INTEGRAL - M25KG</t>
  </si>
  <si>
    <t>10.01.0192</t>
  </si>
  <si>
    <t>TEMPERO MINI BAGUETE RUSTICA TRADICIONAL - M25KG</t>
  </si>
  <si>
    <t>10.01.0193</t>
  </si>
  <si>
    <t>TEMPERO FERMENTO MINI BAGUETE RUSTICA TRADICIONAL - M25KG</t>
  </si>
  <si>
    <t>10.01.0194</t>
  </si>
  <si>
    <t>TEMPERO MINI CIABATTA CALABRESA - M25KG</t>
  </si>
  <si>
    <t>10.01.0195</t>
  </si>
  <si>
    <t>TEMPERO FERMENTO MINI CIABATTA CALABRESA - M25KG</t>
  </si>
  <si>
    <t>10.01.0196</t>
  </si>
  <si>
    <t>TEMPERO MINI CIABATTA GRAOS BENJAMIN - M25KG</t>
  </si>
  <si>
    <t>10.01.0197</t>
  </si>
  <si>
    <t>TEMPERO FERMENTO MINI CIABATTA GRAOS BENJAMIN - M25KG</t>
  </si>
  <si>
    <t>10.01.0198</t>
  </si>
  <si>
    <t>TEMPERO GRAOS MINI CIABATTA GRAOS BEMJAMIN - M25KG</t>
  </si>
  <si>
    <t>10.01.0199</t>
  </si>
  <si>
    <t>TEMPERO MINI CIABATTA TRADICIONAL BENJAMIN - M25KG</t>
  </si>
  <si>
    <t>10.01.0200</t>
  </si>
  <si>
    <t>TEMPERO FERMENTO MINI CIABATTA TRADICIONAL BENJAMIN - M25KG</t>
  </si>
  <si>
    <t>10.01.0201</t>
  </si>
  <si>
    <t>TEMPERO MINI PAO RUSTICO DE AZEITONAS - M25KG</t>
  </si>
  <si>
    <t>10.01.0202</t>
  </si>
  <si>
    <t>TEMPERO MINI FERMENTO PAO RUSTICO DE AZEITONAS - M25KG</t>
  </si>
  <si>
    <t>10.01.0203</t>
  </si>
  <si>
    <t>TEMPERO MINI PAO RUSTICO DE PROVOLONE - M25KG</t>
  </si>
  <si>
    <t>10.01.0204</t>
  </si>
  <si>
    <t>TEMPERO MINI FERMENTO PAO RUSTICO DE PROVOLONE - M25KG</t>
  </si>
  <si>
    <t>10.01.0205</t>
  </si>
  <si>
    <t>TEMPERO MINI PAO RUSTICO CHOCOLATE E LARANJA - M25KG</t>
  </si>
  <si>
    <t>10.01.0206</t>
  </si>
  <si>
    <t>TEMPERO MINI FERMENTO PAO RUSTICO CHOCOLATE E LARANJA - M25KG</t>
  </si>
  <si>
    <t>10.01.0207</t>
  </si>
  <si>
    <t>TEMPERO MINI PAO RUSTICO DE CURRY COM PASSAS - M25KG</t>
  </si>
  <si>
    <t>10.01.0208</t>
  </si>
  <si>
    <t>TEMPERO MINI FERMENTO PAO RUSTICO DE CURRY COM PASSAS - M25KG</t>
  </si>
  <si>
    <t>10.01.0209</t>
  </si>
  <si>
    <t>TEMPERO MINI PAO RUSTICO PEPITA DE GIRASSOL - M25KG</t>
  </si>
  <si>
    <t>10.01.0210</t>
  </si>
  <si>
    <t>TEMPERO MINI FERMENTO PAO RUSTICO PEPITA DE GIRASSOL - M25KG</t>
  </si>
  <si>
    <t>10.01.0211</t>
  </si>
  <si>
    <t>TEMPERO PAO DE AZEITONA - M25KG</t>
  </si>
  <si>
    <t>10.01.0212</t>
  </si>
  <si>
    <t>TEMPERO FERMENTO PAO DE AZEITONA - M25KG</t>
  </si>
  <si>
    <t>10.01.0213</t>
  </si>
  <si>
    <t>TEMPERO PAO DE CALABRESA 150G  - M25KG</t>
  </si>
  <si>
    <t>10.01.0214</t>
  </si>
  <si>
    <t>TEMPERO TEMPERO PAO DE CALABRESA 150G  - M25KG</t>
  </si>
  <si>
    <t>10.01.0215</t>
  </si>
  <si>
    <t>TEMPERO PAO DE CALABRESA 500G  - M25KG</t>
  </si>
  <si>
    <t>10.01.0216</t>
  </si>
  <si>
    <t>TEMPERO TEMPERO PAO DE CALABRESA 500G  - M25KG</t>
  </si>
  <si>
    <t>10.01.0217</t>
  </si>
  <si>
    <t>TEMPERO PAO DE CASTANHA COM PASSAS - M25KG</t>
  </si>
  <si>
    <t>10.01.0218</t>
  </si>
  <si>
    <t>TEMPERO FERMENTO PAO DE CASTANHA COM PASSAS - M25KG</t>
  </si>
  <si>
    <t>10.01.0219</t>
  </si>
  <si>
    <t>TEMPERO PAO DE CACAU E MASCAVO - M25KG</t>
  </si>
  <si>
    <t>10.01.0220</t>
  </si>
  <si>
    <t>TEMPERO FERMENTO PAO DE CACAU E MASCAVO - M25KG</t>
  </si>
  <si>
    <t>10.01.0221</t>
  </si>
  <si>
    <t>TEMPERO PAO DE CENTEIO - M25KG</t>
  </si>
  <si>
    <t>10.01.0222</t>
  </si>
  <si>
    <t>TEMPERO FERMENTO PAO DE CENTEIO - M25KG</t>
  </si>
  <si>
    <t>10.01.0223</t>
  </si>
  <si>
    <t>TEMPERO PAO SEMENTE DE GIRASSOL - M25KG</t>
  </si>
  <si>
    <t>10.01.0224</t>
  </si>
  <si>
    <t>TEMPERO FERMENTO PAO SEMENTE SEMENTE DE GIRASSOL - M25KG</t>
  </si>
  <si>
    <t>10.01.0225</t>
  </si>
  <si>
    <t>TEMPERO PAO 3 CHOCOLATES - M25KG</t>
  </si>
  <si>
    <t>10.01.0226</t>
  </si>
  <si>
    <t>TEMPERO FERMENTO PAO 3 CHOCOLATES - M25KG</t>
  </si>
  <si>
    <t>10.01.0227</t>
  </si>
  <si>
    <t>TEMPERO PAO DE FORMA BRIOCHE - M25KG</t>
  </si>
  <si>
    <t>10.01.0228</t>
  </si>
  <si>
    <t>TEMPERO FERMENTO PAO DE FORMA BRIOCHE - M25KG</t>
  </si>
  <si>
    <t>10.01.0229</t>
  </si>
  <si>
    <t>TEMPERO PAO DE FORMA BRIOCHE GRAOS - M25KG</t>
  </si>
  <si>
    <t>10.01.0230</t>
  </si>
  <si>
    <t>TEMPERO FERMENTO PAO DE FORMA BRIOCHE GRAOS - M25KG</t>
  </si>
  <si>
    <t>10.01.0231</t>
  </si>
  <si>
    <t>TEMPERO GRAOS PAO DE FORMA BRIOCHE GRAOS - M25KG</t>
  </si>
  <si>
    <t>10.01.0232</t>
  </si>
  <si>
    <t>TEMPERO PAO DE HAMBURGUER BRIOCHE - M25KG</t>
  </si>
  <si>
    <t>10.01.0233</t>
  </si>
  <si>
    <t>TEMPERO FERMENTO PAO DE HAMBURGUER BRIOCHE - M25KG</t>
  </si>
  <si>
    <t>10.01.0234</t>
  </si>
  <si>
    <t>TEMPERO PAO DE FORMA CENTEIO - M25KG</t>
  </si>
  <si>
    <t>10.01.0235</t>
  </si>
  <si>
    <t>TEMPERO FERMENTO PAO DE FORMA CENTEIO - M25KG</t>
  </si>
  <si>
    <t>10.01.0236</t>
  </si>
  <si>
    <t>TEMPERO PAO DE HOT DOG -M25KG</t>
  </si>
  <si>
    <t>10.01.0237</t>
  </si>
  <si>
    <t>TEMPERO FERMENTO PAO DE HOT DOG -M25KG</t>
  </si>
  <si>
    <t>10.01.0238</t>
  </si>
  <si>
    <t>TEMPERO PAO ITALIANO BOLA - M25KG</t>
  </si>
  <si>
    <t>10.01.0239</t>
  </si>
  <si>
    <t>TEMPERO FERMENTO PAO ITALIANO BOLA - M25KG</t>
  </si>
  <si>
    <t>10.01.0240</t>
  </si>
  <si>
    <t>TEMPERO PAO ITALIANO FILAO - M25KG</t>
  </si>
  <si>
    <t>10.01.0241</t>
  </si>
  <si>
    <t>TEMPERO FERMENTO PAO ITALIANO FILAO - M25KG</t>
  </si>
  <si>
    <t>10.01.0242</t>
  </si>
  <si>
    <t>TEMPERO PAO RUSTICO DE AZEITONAS - M25KG</t>
  </si>
  <si>
    <t>10.01.0243</t>
  </si>
  <si>
    <t>TEMPERO FERMENTO PAO RUSTICO DE AZEITONAS - M25KG</t>
  </si>
  <si>
    <t>10.01.0244</t>
  </si>
  <si>
    <t>TEMPERO PAO RUSTICO DE PROVOLONE - M25KG</t>
  </si>
  <si>
    <t>10.01.0245</t>
  </si>
  <si>
    <t>TEMPERO FERMENTO PAO RUSTICO DE PROVOLONE - M25KG</t>
  </si>
  <si>
    <t>10.01.0246</t>
  </si>
  <si>
    <t>TEMPERO PAO RUSTICO DE CHOCOLATE E LARANJA - M25KG</t>
  </si>
  <si>
    <t>10.01.0247</t>
  </si>
  <si>
    <t>TEMPERO FERMENTO PAO RUSTICO DE CHOCOLATE E LARANJA - M25KG</t>
  </si>
  <si>
    <t>10.01.0248</t>
  </si>
  <si>
    <t>TEMPERO PAO RUSTICO DE CURRY COM PASSAS -M25KG</t>
  </si>
  <si>
    <t>10.01.0249</t>
  </si>
  <si>
    <t>TEMPERO FERMENTO PAO RUSTICO DE CURRY COM PASSAS -M25KG</t>
  </si>
  <si>
    <t>10.01.0250</t>
  </si>
  <si>
    <t>TEMPERO PAO RUSTICO PEPITA DE GIRASSOL - M25KG</t>
  </si>
  <si>
    <t>10.01.0251</t>
  </si>
  <si>
    <t>TEMPERO FERMENTO PAO RUSTICO PEPITA DE GIRASSOL - M25KG</t>
  </si>
  <si>
    <t>10.01.0252</t>
  </si>
  <si>
    <t>TEMPERO MASSA BRIOCHE - ROSCA CHOCOLATE COM NOZES - M25KG</t>
  </si>
  <si>
    <t>10.01.0253</t>
  </si>
  <si>
    <t>TEMPERO BOLO - ROSCA CHOCOLATE COM NOZES - M25KG</t>
  </si>
  <si>
    <t>10.01.0254</t>
  </si>
  <si>
    <t>TEMPERO RECHEIO - ROSCA CHOCOLATE COM NOZES - M25KG</t>
  </si>
  <si>
    <t>10.01.0255</t>
  </si>
  <si>
    <t>TEMPERO COBERTURA - ROSCA CHOCOLATE COM NOZES - M25KG</t>
  </si>
  <si>
    <t>10.01.0256</t>
  </si>
  <si>
    <t>TEMPERO PAO FRANCES FERM. NATURAL - M25KG</t>
  </si>
  <si>
    <t>10.01.0257</t>
  </si>
  <si>
    <t>TEMPERO FERMENTO PAO FRANCES FERM. NATURAL - M25KG</t>
  </si>
  <si>
    <t>10.01.0258</t>
  </si>
  <si>
    <t>TEMPERO MINI BAGUETE FRANCESA COM PARMESAO - M25KG</t>
  </si>
  <si>
    <t>10.01.0259</t>
  </si>
  <si>
    <t>TEMPERO FERMENTO MINI BAGUETE FRANCESA COM PARMESAO - M25KG</t>
  </si>
  <si>
    <t>10.01.0260</t>
  </si>
  <si>
    <t>TEMPERO PAO DE HAMB. CROC FUBA - M25KG</t>
  </si>
  <si>
    <t>10.01.0261</t>
  </si>
  <si>
    <t>TEMPERO FERMENTO PAO DE HAMB. CROC FUBA - M25KG</t>
  </si>
  <si>
    <t>10.01.0262</t>
  </si>
  <si>
    <t>TEMPERO PAO BOLA COM CALABRESA - M25KG</t>
  </si>
  <si>
    <t>10.01.0263</t>
  </si>
  <si>
    <t>TEMPERO FERMENTO PAO BOLA COM CALABRESA - M25KG</t>
  </si>
  <si>
    <t>10.01.0264</t>
  </si>
  <si>
    <t>TEMPERO PAO BOLA COM GORGONZOLA - M25KG</t>
  </si>
  <si>
    <t>10.01.0265</t>
  </si>
  <si>
    <t>TEMPERO FERMENTO PAO BOLA COM GORGONZOLA - M25KG</t>
  </si>
  <si>
    <t>10.01.0266</t>
  </si>
  <si>
    <t>TEMPERO BAGATELLE TRADICIONAL - M25KG</t>
  </si>
  <si>
    <t>10.01.0267</t>
  </si>
  <si>
    <t>TEMPERO FERMENTO BAGATELLE TRADICIONAL - M25KG</t>
  </si>
  <si>
    <t>10.01.0268</t>
  </si>
  <si>
    <t>TEMPERO BAGATELLE ALECRIM -M25KG</t>
  </si>
  <si>
    <t>10.01.0269</t>
  </si>
  <si>
    <t>TEMPERO FERMENTO BAGATELLE ALECRIM -M25KG</t>
  </si>
  <si>
    <t>10.01.0270</t>
  </si>
  <si>
    <t>TEMPERO BAGATELLE CHOCOLATE E LARANJA - M25KG</t>
  </si>
  <si>
    <t>10.01.0271</t>
  </si>
  <si>
    <t>TEMPERO FERMENTO BAGATELLE CHOCOLATE E LARANJA - M25KG</t>
  </si>
  <si>
    <t>10.01.0272</t>
  </si>
  <si>
    <t>TEMPERO MINI BAGATELLE TRAD. - M25KG</t>
  </si>
  <si>
    <t>10.01.0273</t>
  </si>
  <si>
    <t>TEMPERO FERMENTO MINI BAGATELLE TRAD. - M25KG</t>
  </si>
  <si>
    <t>10.01.0274</t>
  </si>
  <si>
    <t>TEMPERO FOCACCIA - M25KG</t>
  </si>
  <si>
    <t>10.01.0275</t>
  </si>
  <si>
    <t>TEMPERO FERMENTO FOCACCIA - M25KG</t>
  </si>
  <si>
    <t>10.01.0276</t>
  </si>
  <si>
    <t>TEMPERO CIABATTA 100% INTEGRAL - M25KG</t>
  </si>
  <si>
    <t>10.01.0277</t>
  </si>
  <si>
    <t>TEMPERO FERMENTO CIABATTA 100% INTEGRAL - M25KG</t>
  </si>
  <si>
    <t>10.01.0278</t>
  </si>
  <si>
    <t>TEMPERO CIABATTA AZEITONA PRETA - M25KG</t>
  </si>
  <si>
    <t>10.01.0279</t>
  </si>
  <si>
    <t>TEMPERO FERMENTO CIABATTA AZEITONA PRETA - M25KG</t>
  </si>
  <si>
    <t>10.01.0280</t>
  </si>
  <si>
    <t>TEMPERO CIABATTA TOMATE SECO - M25KG</t>
  </si>
  <si>
    <t>10.01.0281</t>
  </si>
  <si>
    <t>TEMPERO FERMENTO CIABATTA TOMATE SECO - M25KG</t>
  </si>
  <si>
    <t>10.02.0001</t>
  </si>
  <si>
    <t>RETRABALHO CIABATTA GRAOS</t>
  </si>
  <si>
    <t>Wesley Odilon Ribeiro</t>
  </si>
  <si>
    <t>83 - GRU - GUARULHOS</t>
  </si>
  <si>
    <t>OXXO EMILIO II</t>
  </si>
  <si>
    <t>Gopouva</t>
  </si>
  <si>
    <t>Vicente Varela da Silva Junior</t>
  </si>
  <si>
    <t>OXXO JOÃO ZACHARIAS</t>
  </si>
  <si>
    <t>Macedo</t>
  </si>
  <si>
    <t>OXXO TIMÓTEO</t>
  </si>
  <si>
    <t>OXXO SERRA GRADUADA</t>
  </si>
  <si>
    <t>Picanço</t>
  </si>
  <si>
    <t>OXXO ROTA CELESTE</t>
  </si>
  <si>
    <t>Itapegica</t>
  </si>
  <si>
    <t>64 - GRU - SÃO CAETANO DO SUL</t>
  </si>
  <si>
    <t>OXXO QUINTINO GOIAS</t>
  </si>
  <si>
    <t>Barcelona</t>
  </si>
  <si>
    <t>São Caetano do Sul</t>
  </si>
  <si>
    <t>OXXO MERCES</t>
  </si>
  <si>
    <t>OXXO AMAROI</t>
  </si>
  <si>
    <t>R AMAZONAS, 422</t>
  </si>
  <si>
    <t>OXXO ATELIER</t>
  </si>
  <si>
    <t>R SAO PAULO, 881</t>
  </si>
  <si>
    <t>Santo Antônio</t>
  </si>
  <si>
    <t>OXXO MARICAE</t>
  </si>
  <si>
    <t>OXXO FATIMA CAETANO</t>
  </si>
  <si>
    <t>Santa Paula</t>
  </si>
  <si>
    <t>OXXO GOIAS CAFE</t>
  </si>
  <si>
    <t>OXXO MONTE ALEGRE</t>
  </si>
  <si>
    <t>OXXO PAIXÃO GUIDO</t>
  </si>
  <si>
    <t>Mauá</t>
  </si>
  <si>
    <t>OXXO SERAFIM ESTACAO</t>
  </si>
  <si>
    <t>Djalma Santino da silva</t>
  </si>
  <si>
    <t>OXXO RAMOS BATISTA</t>
  </si>
  <si>
    <t>R. RAMOS BATISTA, 284</t>
  </si>
  <si>
    <t>OXXO FIANDEIRAS AMANDEIRAS</t>
  </si>
  <si>
    <t>R. FIANDEIRAS, 219</t>
  </si>
  <si>
    <t>OXXO JURATÃS</t>
  </si>
  <si>
    <t>AV. ARATÃS, 98</t>
  </si>
  <si>
    <t>Moema</t>
  </si>
  <si>
    <t>MAMBO LOJA 209 - MOEMA</t>
  </si>
  <si>
    <t>Mambo</t>
  </si>
  <si>
    <t>RUA CANARIO N°390 408 E, 418</t>
  </si>
  <si>
    <t>RUA ALAMEDA MARACANTINS, 217</t>
  </si>
  <si>
    <t>INDIANOPOLIS</t>
  </si>
  <si>
    <t>Viera De Morais</t>
  </si>
  <si>
    <t>Bandeirantes</t>
  </si>
  <si>
    <t>OXXO IBIRA MALL</t>
  </si>
  <si>
    <t>ALAMEDA DOS JURUPIS, 1424</t>
  </si>
  <si>
    <t>OXXO CENTER MED</t>
  </si>
  <si>
    <t>AL DOS ARAPANES, 271,</t>
  </si>
  <si>
    <t>Rogério Vieira Barbosa</t>
  </si>
  <si>
    <t>OXXO STUDIO REAL PARQUE</t>
  </si>
  <si>
    <t>Real Parque</t>
  </si>
  <si>
    <t>OXXO VIDA BELA</t>
  </si>
  <si>
    <t>Rua Maria Rosa Fernandes, 1084</t>
  </si>
  <si>
    <t>Vila Sonia do Taboao</t>
  </si>
  <si>
    <t>Taboao da Serra</t>
  </si>
  <si>
    <t>Fabricio pereira da Silva</t>
  </si>
  <si>
    <t>Consolação</t>
  </si>
  <si>
    <t>OXXO BRIGA MAJOR LUIS ANTONIO</t>
  </si>
  <si>
    <t>AVENIDA BRIGADEIRO LUIS ANTONIO, N1174-, SN</t>
  </si>
  <si>
    <t>Bexiga</t>
  </si>
  <si>
    <t>OXXO SÍLVIA</t>
  </si>
  <si>
    <t>MAMBO CERQUEIRA CESAR/JARDINS</t>
  </si>
  <si>
    <t>AV REBOUCAS, 1001</t>
  </si>
  <si>
    <t>MAMBO LOJA 211 - HIGIENOPOLIS</t>
  </si>
  <si>
    <t>AVENIDA ANGELICA N°526 546 LOJA 1B2B3B4B5B6B7B, SN</t>
  </si>
  <si>
    <t>SANTA CECILIA</t>
  </si>
  <si>
    <t>OXXO BEXIGA</t>
  </si>
  <si>
    <t>RUA STO ANTONIO, 942</t>
  </si>
  <si>
    <t>OXXO CONSOLACAO TRUST</t>
  </si>
  <si>
    <t>RUA DA CONSOLAÇÃO, 2180</t>
  </si>
  <si>
    <t>OXXO PAIM</t>
  </si>
  <si>
    <t>RUA PAIM, 401</t>
  </si>
  <si>
    <t>OXXO SERTORIO</t>
  </si>
  <si>
    <t>OXXO MONSENHOR RANGEL</t>
  </si>
  <si>
    <t>AV. RANGEL PESTANA, 1153,1155</t>
  </si>
  <si>
    <t>Gasômetro</t>
  </si>
  <si>
    <t>OXXO MARTIM BURCHARD</t>
  </si>
  <si>
    <t>OXXO NATALINA</t>
  </si>
  <si>
    <t>Oratório</t>
  </si>
  <si>
    <t>84 - GRU - BARUERI</t>
  </si>
  <si>
    <t>Barueri</t>
  </si>
  <si>
    <t>MAMBO ALPHAVILLE YOJIRO 06</t>
  </si>
  <si>
    <t>Av. Yojiro Takaoka, 4630</t>
  </si>
  <si>
    <t>ALPHAVILLE CENTRO DE APOIO I</t>
  </si>
  <si>
    <t>Santana de Parnaiba</t>
  </si>
  <si>
    <t>38 - GRU - BARRA FUNDA</t>
  </si>
  <si>
    <t>Jonatan Damiao Marques Benitez</t>
  </si>
  <si>
    <t>Perdizes</t>
  </si>
  <si>
    <t>Bom Retiro</t>
  </si>
  <si>
    <t>OXXO PERICLES</t>
  </si>
  <si>
    <t>L. PADRE PÉRICLES, 120</t>
  </si>
  <si>
    <t>Água Branca</t>
  </si>
  <si>
    <t>OXXO JAC</t>
  </si>
  <si>
    <t>RUA CAIUBI, 1413</t>
  </si>
  <si>
    <t>PERDIZES</t>
  </si>
  <si>
    <t>OXXO LORES</t>
  </si>
  <si>
    <t>OXXO BOM RETIRO</t>
  </si>
  <si>
    <t>R JOSE PAULINO, 592</t>
  </si>
  <si>
    <t>Luz</t>
  </si>
  <si>
    <t>Puc</t>
  </si>
  <si>
    <t>OXXO BARTIRA YOU</t>
  </si>
  <si>
    <t>RUA BARTIRA, N224-TERREOLOJA A, SN</t>
  </si>
  <si>
    <t>MAMBO SANTANA</t>
  </si>
  <si>
    <t>R VOLUNTARIOS DA PATRIA C/ MANOEL DE SOBRAL, SN</t>
  </si>
  <si>
    <t>SANTANA</t>
  </si>
  <si>
    <t>OXXO MOREIRA RANIERI</t>
  </si>
  <si>
    <t>OXXO DIREHU</t>
  </si>
  <si>
    <t>AV. DIREITOS HUMANOS, 2681</t>
  </si>
  <si>
    <t>Imirim</t>
  </si>
  <si>
    <t>OXXO ALBERTO SAVOY</t>
  </si>
  <si>
    <t>Rua Alberto Savoy, N269-Loja A, SN</t>
  </si>
  <si>
    <t>OXXO LEONCIO</t>
  </si>
  <si>
    <t>Santana</t>
  </si>
  <si>
    <t>OXXO DUARTE EZEQUIEL</t>
  </si>
  <si>
    <t>Jefferson de Oliveira</t>
  </si>
  <si>
    <t>OXXO FETTA DI PANELL</t>
  </si>
  <si>
    <t>RUA PURPURINA, 96</t>
  </si>
  <si>
    <t>OXXO MARINA ROLL</t>
  </si>
  <si>
    <t>Lapa de baixo</t>
  </si>
  <si>
    <t>Jose Marcos Correa</t>
  </si>
  <si>
    <t>AVENIDA DOS AUTONOMISTAS, 1768</t>
  </si>
  <si>
    <t>OXXO PRACA DUQUE DE CAXIAS</t>
  </si>
  <si>
    <t>OXXO BECHARA DUBAI</t>
  </si>
  <si>
    <t>R SALEM BECHARA, 215</t>
  </si>
  <si>
    <t>OXXO KM 18</t>
  </si>
  <si>
    <t>Km 18</t>
  </si>
  <si>
    <t>OXXO PAULA FERREIRA</t>
  </si>
  <si>
    <t>AV. PAULA FERREIRA, 3800</t>
  </si>
  <si>
    <t>VILA PIRITUBA</t>
  </si>
  <si>
    <t>OXXO A C COSTA</t>
  </si>
  <si>
    <t>R CLAUDIO MANOEL DA COSTA, 25,</t>
  </si>
  <si>
    <t>Vila Osasco</t>
  </si>
  <si>
    <t>Pinheiros</t>
  </si>
  <si>
    <t>OXXO CAPRI ESTAÇÃO</t>
  </si>
  <si>
    <t>Rua Capri, 85</t>
  </si>
  <si>
    <t>OXXO CARCOW</t>
  </si>
  <si>
    <t>RUA CARD ARCOVERDE - 1710 - LOJA A, SN</t>
  </si>
  <si>
    <t>OXXO REBOUÇAS VIANA</t>
  </si>
  <si>
    <t>RUA CRISTIANO VIANA, 62</t>
  </si>
  <si>
    <t>Clínicas</t>
  </si>
  <si>
    <t>OXXO AUGUSTA FRANCA</t>
  </si>
  <si>
    <t>RUA AUGUSTA, N2282-LOJA A, SN</t>
  </si>
  <si>
    <t>Trianon</t>
  </si>
  <si>
    <t>OXXO CAMPO VERDE</t>
  </si>
  <si>
    <t>AVENIDA BRIG FARIA LIMA, N1974-LOJA B, SN</t>
  </si>
  <si>
    <t>Jardim Europa</t>
  </si>
  <si>
    <t>OXXO BARAO FARIA LIMA</t>
  </si>
  <si>
    <t>AVENIDA BRIG FARIA LIMA, 1235</t>
  </si>
  <si>
    <t>MAMBO LOJA 204 - VILA MADALENA</t>
  </si>
  <si>
    <t>RUA DEPUTADO LACERDA FRANCO 553,</t>
  </si>
  <si>
    <t>SUPERMERCADOS MAMBO LTDA</t>
  </si>
  <si>
    <t>R MEDEIROS DE ALBUQUERQUE, 352</t>
  </si>
  <si>
    <t>JARDIM DAS BANDEIRAS</t>
  </si>
  <si>
    <t>OXXO ARTHUR DE AZEVEDO</t>
  </si>
  <si>
    <t>RUA ARTUR DE AZEVEDO, 1508</t>
  </si>
  <si>
    <t>Jardim Paulistano</t>
  </si>
  <si>
    <t>66 - GRU - SANTO ANDRÉ</t>
  </si>
  <si>
    <t>CAMPESTRE</t>
  </si>
  <si>
    <t>São Bernardo do Campo</t>
  </si>
  <si>
    <t>OXXO MONTE CLUBES</t>
  </si>
  <si>
    <t>OXXO INDUGENES</t>
  </si>
  <si>
    <t>Jardim</t>
  </si>
  <si>
    <t>OXXO ADELAIDE</t>
  </si>
  <si>
    <t>AV SENADOR VERGUEIRO, 560</t>
  </si>
  <si>
    <t>AUTO POSTO SANTO ANDRE</t>
  </si>
  <si>
    <t>AVENIDA ANDRADE NEVES, 159</t>
  </si>
  <si>
    <t>VILA ALZIRA</t>
  </si>
  <si>
    <t>OXXO BAETA NEVES</t>
  </si>
  <si>
    <t>AV GETULIO VARGAS, 1310,</t>
  </si>
  <si>
    <t>Baeta Neves</t>
  </si>
  <si>
    <t>OXXO PALMEIRAS JARDIM</t>
  </si>
  <si>
    <t>OXXO CENTRO SALES</t>
  </si>
  <si>
    <t>RUA CAMPOS SALES, N652-, SN</t>
  </si>
  <si>
    <t>OXXO PORTUGAL DUPLO</t>
  </si>
  <si>
    <t>Jardim Bela Vista</t>
  </si>
  <si>
    <t>OXXO SENADOR VERGUEIRO</t>
  </si>
  <si>
    <t>Rudge Ramos</t>
  </si>
  <si>
    <t>47 - GRU - INTERLAGOS</t>
  </si>
  <si>
    <t>GPA EX JD SAO BERNARDO</t>
  </si>
  <si>
    <t>RUA SINFONIA ITALIANA, 100</t>
  </si>
  <si>
    <t>J S BERNAR</t>
  </si>
  <si>
    <t>Edvandro Aparecido</t>
  </si>
  <si>
    <t>OXXO JOAO BENX</t>
  </si>
  <si>
    <t>MAMBO BROOKLYN</t>
  </si>
  <si>
    <t>AVENIDA VEREADOR JOSE DINIZ N°2329, SN</t>
  </si>
  <si>
    <t>BROOKLIN PAULISTA</t>
  </si>
  <si>
    <t>OXXO VERDI</t>
  </si>
  <si>
    <t>AVENIDA CUPECE, 1681</t>
  </si>
  <si>
    <t>Cidade Ademar</t>
  </si>
  <si>
    <t>OXXO JACOB</t>
  </si>
  <si>
    <t>OXXO BARROCO</t>
  </si>
  <si>
    <t>RUA DO ESTILO BARROCO, N346-LOJA A, SN</t>
  </si>
  <si>
    <t>OXXO SABARÁ</t>
  </si>
  <si>
    <t>OXXO PORFIRIO DA PAZ</t>
  </si>
  <si>
    <t>Vila Bancaria</t>
  </si>
  <si>
    <t>Vinicius Fernandes Machado do Nascimento</t>
  </si>
  <si>
    <t>OXXO DELPINO</t>
  </si>
  <si>
    <t>Vila Dr. Eiras</t>
  </si>
  <si>
    <t>Vila Ema</t>
  </si>
  <si>
    <t>65 - GRU - SÃO BERNARDO</t>
  </si>
  <si>
    <t>Carlos de Mattos Candido</t>
  </si>
  <si>
    <t>OXXO AMERICO BELA</t>
  </si>
  <si>
    <t>RUA AMERICO BRASILIENSE, N671-, SN</t>
  </si>
  <si>
    <t>DEMARCHI</t>
  </si>
  <si>
    <t>OXXO MIRO VETORAZZO</t>
  </si>
  <si>
    <t>Demarchi</t>
  </si>
  <si>
    <t>OXXO DEODORO</t>
  </si>
  <si>
    <t>OXXO PELOSINI</t>
  </si>
  <si>
    <t>Nova Petrópolis</t>
  </si>
  <si>
    <t>OXXO FLOR DOS VIANAS</t>
  </si>
  <si>
    <t>OXXO TRAVESSA MUNICIPAL</t>
  </si>
  <si>
    <t>OXXO AQUATICA</t>
  </si>
  <si>
    <t>R BRASILIO MACHADO, 238</t>
  </si>
  <si>
    <t>OXXO WALLACE</t>
  </si>
  <si>
    <t>RUA PRINCESA MARIA AMELIA, 137</t>
  </si>
  <si>
    <t>OXXO BREDA</t>
  </si>
  <si>
    <t>EST DOS ALVARENGAS, 20</t>
  </si>
  <si>
    <t>Assunção</t>
  </si>
  <si>
    <t>OXXO CORINGA</t>
  </si>
  <si>
    <t>Raphael Elicipe Batista Beraldo</t>
  </si>
  <si>
    <t>OXXO MARTINELLI</t>
  </si>
  <si>
    <t>RUA LÍBERO BADARÓ, 512</t>
  </si>
  <si>
    <t>OXXO CONSOLAÇÃO</t>
  </si>
  <si>
    <t>RUA DA CONSOLAÇÃO, 397</t>
  </si>
  <si>
    <t>OXXO ANTERO</t>
  </si>
  <si>
    <t>RUA DOMINGOS AFONSO, 398</t>
  </si>
  <si>
    <t>Santa Clara</t>
  </si>
  <si>
    <t>OXXO ZE MANE</t>
  </si>
  <si>
    <t>OXXO TRIUNFO TATUAPÉ</t>
  </si>
  <si>
    <t>Piqueri/Parque São Jorge</t>
  </si>
  <si>
    <t>OXXO REGO BARROS</t>
  </si>
  <si>
    <t>Jardim Vila Formosa</t>
  </si>
  <si>
    <t>Ricardo Rocha</t>
  </si>
  <si>
    <t>OXXO FLECHAS</t>
  </si>
  <si>
    <t>OXXO MASCOTE ARAPA</t>
  </si>
  <si>
    <t>87 - GRU - COTIA</t>
  </si>
  <si>
    <t>MERCADINHO SP - VILA SONIA</t>
  </si>
  <si>
    <t>RODOVIA RAPOSO TAVARES, NS/N-KM 37 60</t>
  </si>
  <si>
    <t>SITIO BOA VISTA</t>
  </si>
  <si>
    <t>Cotia</t>
  </si>
  <si>
    <t>Wilton Gileno</t>
  </si>
  <si>
    <t>Marcos Manuel dos Santos</t>
  </si>
  <si>
    <t>OXXO JOAQUIM MOURA</t>
  </si>
  <si>
    <t>RUA SÃO JOAQUIM, 642</t>
  </si>
  <si>
    <t>OXXO JOSÉ GETÚLIO</t>
  </si>
  <si>
    <t>RUA JOSE GETÚLIO, 489</t>
  </si>
  <si>
    <t>OXXO ALTO LEOPOLDINA</t>
  </si>
  <si>
    <t>RUA DONA LEOPOLDINA, 93</t>
  </si>
  <si>
    <t>OXXO KING STORE</t>
  </si>
  <si>
    <t>OXXO JARDIM DA SAUDE</t>
  </si>
  <si>
    <t>Jardim Da Saúde</t>
  </si>
  <si>
    <t>OXXO FAGUNDES</t>
  </si>
  <si>
    <t>OXXO BETO</t>
  </si>
  <si>
    <t>RUA ASTORGA, 482 LOJA CJ 460 R JANDAIA SUL</t>
  </si>
  <si>
    <t>VILA GUILHERMINA</t>
  </si>
  <si>
    <t>OXXO SOLIDONIO</t>
  </si>
  <si>
    <t>OXXO HELO SALGADO</t>
  </si>
  <si>
    <t>Fundação,</t>
  </si>
  <si>
    <t>GRU - CD CONFIANÇA</t>
  </si>
  <si>
    <t>REDE CONFIANÇA DEPOSITO CENTRAL LJ 100</t>
  </si>
  <si>
    <t>RUA INACIO CONCEICAO VEIRA, 25-75</t>
  </si>
  <si>
    <t>VILA AVIACAO</t>
  </si>
  <si>
    <t>Bauru</t>
  </si>
  <si>
    <t>OXXO CARVALHO</t>
  </si>
  <si>
    <t>RUA DOUTOR CARVALHO DE MENDONCA - 453 - LOJA A, SN</t>
  </si>
  <si>
    <t>Vila Belmiro</t>
  </si>
  <si>
    <t>OXXO VILA CASCATINHA</t>
  </si>
  <si>
    <t>AV ANTONIO EMMERICK, 67</t>
  </si>
  <si>
    <t>Vila Cascatinha, São Vicente - SP</t>
  </si>
  <si>
    <t>OXXO BENEDITO</t>
  </si>
  <si>
    <t>AV DOM PEDRO I, 1009</t>
  </si>
  <si>
    <t>Balneário Cidade Atlântica</t>
  </si>
  <si>
    <t>OXXO CANTO DO FORTE</t>
  </si>
  <si>
    <t>Rua General Otelo Rodrigues Franco</t>
  </si>
  <si>
    <t>Canto Do Forte</t>
  </si>
  <si>
    <t>OXXO GENERAL CAMARA</t>
  </si>
  <si>
    <t>Rua Augusto Severo</t>
  </si>
  <si>
    <t>ST MARCHE SAO CAETANO</t>
  </si>
  <si>
    <t>ST Marche</t>
  </si>
  <si>
    <t>AL TERRACOTA, 545</t>
  </si>
  <si>
    <t>CERAMICA</t>
  </si>
  <si>
    <t>RZ GESTAO JAU</t>
  </si>
  <si>
    <t>Shell Select</t>
  </si>
  <si>
    <t>RUA JOAQUIM NABUCO, 506, CONJ B</t>
  </si>
  <si>
    <t>RZ GESTAO ESTONIA 3</t>
  </si>
  <si>
    <t>RUA SANTA FILOMENA, 751, CONJ B</t>
  </si>
  <si>
    <t>OXXO ABRAO SALOTTI</t>
  </si>
  <si>
    <t>R AFONSINA, 506</t>
  </si>
  <si>
    <t>OXXO LONDRINA</t>
  </si>
  <si>
    <t>70 - GRU - PARQUE DO CARMO</t>
  </si>
  <si>
    <t>CHAMA LOJA 08 JD BRASILIA</t>
  </si>
  <si>
    <t>Chama</t>
  </si>
  <si>
    <t>AV OSVALDO VALLE CORDEIRO, 152</t>
  </si>
  <si>
    <t>VILA MATILDE</t>
  </si>
  <si>
    <t>CHAMA LOJA 10 ARICANDUVA</t>
  </si>
  <si>
    <t>AV RIO DAS PEDRAS, 1176</t>
  </si>
  <si>
    <t>JD ARICANDUVA</t>
  </si>
  <si>
    <t>CHAMA LOJA 13 CENTENARIO</t>
  </si>
  <si>
    <t>R CORREGO DO BOM JESUS, 407</t>
  </si>
  <si>
    <t>CIDADE CENTENARIO</t>
  </si>
  <si>
    <t>CHAMA LOJA 07 JD STA MARIA 02</t>
  </si>
  <si>
    <t>RUA UXI, 43</t>
  </si>
  <si>
    <t>JARDIM SANTA MARIA</t>
  </si>
  <si>
    <t>OXXO OLIVER</t>
  </si>
  <si>
    <t>Aricanduva</t>
  </si>
  <si>
    <t>ST MARCHE ITAIM</t>
  </si>
  <si>
    <t>AVENIDA S GABRIEL, SN</t>
  </si>
  <si>
    <t>JARDIM PAULISA</t>
  </si>
  <si>
    <t>000508-20 SANTA MARIA EMPORIO LTDA</t>
  </si>
  <si>
    <t>AVENIDA CIDADE JARDIM, 790</t>
  </si>
  <si>
    <t>JARDIM PAULISTANO</t>
  </si>
  <si>
    <t>GPA LAVANDISCA</t>
  </si>
  <si>
    <t>AV. LAVANDISCA, 249</t>
  </si>
  <si>
    <t>OXXO IBIJAU</t>
  </si>
  <si>
    <t>AV. IBIJAÚ, 172</t>
  </si>
  <si>
    <t>OXXO ARCANJO GABRIEL</t>
  </si>
  <si>
    <t>AV S GABRIEL, 521</t>
  </si>
  <si>
    <t>Jardins</t>
  </si>
  <si>
    <t>EMPORIUM MARACANTINS LJ07</t>
  </si>
  <si>
    <t>OXXO ADEGA</t>
  </si>
  <si>
    <t>AV CONCEICAO, 2079</t>
  </si>
  <si>
    <t>Vila Isolina Mazzei</t>
  </si>
  <si>
    <t>OXXO PRAINHA</t>
  </si>
  <si>
    <t>GPA SHOP PARQUE MAIA</t>
  </si>
  <si>
    <t>Avenida Bartholomeu de Carlos</t>
  </si>
  <si>
    <t>JARDIM FLOR DA MONTANHA</t>
  </si>
  <si>
    <t>GPA VILA GUILHERME</t>
  </si>
  <si>
    <t>AV CONCEICAO, 1267</t>
  </si>
  <si>
    <t>CARANDIRU</t>
  </si>
  <si>
    <t>LOPES VILA AUGUSTA</t>
  </si>
  <si>
    <t>Lopes</t>
  </si>
  <si>
    <t>AVENIDA GUARULHOS, N1514-, SN</t>
  </si>
  <si>
    <t>VILA AUGUSTA</t>
  </si>
  <si>
    <t>LOPES EMÍLIO RIBAS</t>
  </si>
  <si>
    <t>AVENIDA DOUTOR EMILIO RIBAS, N2272-, SN</t>
  </si>
  <si>
    <t>JARDIM VILA GALVAO</t>
  </si>
  <si>
    <t>LOPES TRANQUILIDADE</t>
  </si>
  <si>
    <t>AVENIDA SAO PAULO, N299-, SN</t>
  </si>
  <si>
    <t>CIDADE BRASIL (JARDI</t>
  </si>
  <si>
    <t>OXXO PANETO</t>
  </si>
  <si>
    <t>OXXO DONA TECLA</t>
  </si>
  <si>
    <t>OXXO JOVITA II</t>
  </si>
  <si>
    <t>Vila Rio</t>
  </si>
  <si>
    <t>OXXO GUAPIRA PETRO</t>
  </si>
  <si>
    <t>Vila Gustavo</t>
  </si>
  <si>
    <t>OXXO EMI RIBAS</t>
  </si>
  <si>
    <t>AVENIDA EMÍLIO RIBAS 1850</t>
  </si>
  <si>
    <t>Jardim Vila Galvao</t>
  </si>
  <si>
    <t>OXXO AVANCARLOS</t>
  </si>
  <si>
    <t>Rua Avanhandava</t>
  </si>
  <si>
    <t>VILA GILDA</t>
  </si>
  <si>
    <t>RZ GESTAO ESTONIA 1</t>
  </si>
  <si>
    <t>AVENIDA DAS NACOES, 826, CONJ B</t>
  </si>
  <si>
    <t>PARQUE NOVO ORATORIO</t>
  </si>
  <si>
    <t>RZ GESTAO ESTONIA 2</t>
  </si>
  <si>
    <t>AVENIDA DOS ESTADOS, 6973, CONJ B</t>
  </si>
  <si>
    <t>PARQUE CAPUAVA</t>
  </si>
  <si>
    <t>RZ GESTAO ESTONIA 4</t>
  </si>
  <si>
    <t>AVENIDA DOM PEDRO II, 2180, CONJ B</t>
  </si>
  <si>
    <t>OXXO PADRE VIEIRA</t>
  </si>
  <si>
    <t>OXXO ALEMÃO</t>
  </si>
  <si>
    <t>R CONSELHEIRO JUSTINO, 475</t>
  </si>
  <si>
    <t>OXXO POTANDRE</t>
  </si>
  <si>
    <t>CHAMA - LOJA 02 CARVALHO</t>
  </si>
  <si>
    <t>Avenida Águia de Haia</t>
  </si>
  <si>
    <t>PARQUE PAINEIRAS</t>
  </si>
  <si>
    <t>CHAMA - LOJA 03 VILA DALILA</t>
  </si>
  <si>
    <t>AVENIDA WALDEMAR CARLOS PEREIRA N°76, SN</t>
  </si>
  <si>
    <t>OXXO AMADUENO</t>
  </si>
  <si>
    <t>Avenida Amador Bueno da Veiga</t>
  </si>
  <si>
    <t>CHAMA LOJA 05 JD DANFER</t>
  </si>
  <si>
    <t>RUA PASTORIL DE ITAPETINGA, 533</t>
  </si>
  <si>
    <t>JARDIM DANFER</t>
  </si>
  <si>
    <t>MAMBO LOJA 208 - TATUAPÉ</t>
  </si>
  <si>
    <t>RUA SERRA DE BOTUCATU N°1703, SN</t>
  </si>
  <si>
    <t>TATUAPE</t>
  </si>
  <si>
    <t>OXXO MELCHERT</t>
  </si>
  <si>
    <t>GPA ABILIO SOARES</t>
  </si>
  <si>
    <t>RUA ABILIO SOARES, N386-, SN</t>
  </si>
  <si>
    <t>GPA AFONSO CELSO</t>
  </si>
  <si>
    <t>RUA AFONSO CELSO, 771</t>
  </si>
  <si>
    <t>GPA VILA MONUMENTO</t>
  </si>
  <si>
    <t>Rua Pereira da Nóbrega</t>
  </si>
  <si>
    <t>VILA MONUMENTO</t>
  </si>
  <si>
    <t>OXXO TEJOTA</t>
  </si>
  <si>
    <t>Bosque Da Saúde</t>
  </si>
  <si>
    <t>OXXO BICATU</t>
  </si>
  <si>
    <t>R. BOTUCATU, 620</t>
  </si>
  <si>
    <t>OXXO BOSS</t>
  </si>
  <si>
    <t>R PIRES DA MOTA, 353</t>
  </si>
  <si>
    <t>112 - GRU - ARARAS</t>
  </si>
  <si>
    <t>REDE DE DISTRIBUICAO ZEFERINO LTDA</t>
  </si>
  <si>
    <t>Zeferino</t>
  </si>
  <si>
    <t>RUA MOGI MIRIM, 770</t>
  </si>
  <si>
    <t>DESMEMBRAMENTO ANTONIO MARTINS</t>
  </si>
  <si>
    <t>Conchal</t>
  </si>
  <si>
    <t>AVENIDA PRESIDENTE CASTELLO BRANCO,190</t>
  </si>
  <si>
    <t>CONJUNTO HABITACIONAL NARCISO GOMES</t>
  </si>
  <si>
    <t>Araras</t>
  </si>
  <si>
    <t>SEVAN SUPERMERCADOS LTDA - MATRIZ</t>
  </si>
  <si>
    <t>Sevan</t>
  </si>
  <si>
    <t>RUA PRIMEIRO DE MAIO, N620-, SN</t>
  </si>
  <si>
    <t>PARQUE DA FIQUEIRA</t>
  </si>
  <si>
    <t>Monte Mor</t>
  </si>
  <si>
    <t>SEVAN SUPERMERCADOS LTDA - FILIAL</t>
  </si>
  <si>
    <t>RUA MARECHAL DEODORO DA FONSECA, N25-, SN</t>
  </si>
  <si>
    <t>OXXO LARGO SAO FRANCISCO</t>
  </si>
  <si>
    <t>LARGO SÃO FRANCISCO, 12</t>
  </si>
  <si>
    <t>GPA BIOBEDAS</t>
  </si>
  <si>
    <t>R BIOBEDAS, 273</t>
  </si>
  <si>
    <t>PARQUE IMPERIAL</t>
  </si>
  <si>
    <t>GPA BOSQUE DA SAUDE</t>
  </si>
  <si>
    <t>AVENIDA BOSQUE DA SAUDE 1691</t>
  </si>
  <si>
    <t>SAUDE</t>
  </si>
  <si>
    <t>GPA BOSQUE DA SAUDE III</t>
  </si>
  <si>
    <t>AVENIDA BOSQUE DA SAUDE Nº: 532</t>
  </si>
  <si>
    <t>GPA CARNEIRO DA CUNHA</t>
  </si>
  <si>
    <t>RUA CARNEIRO DA CUNHA, S/N, SN</t>
  </si>
  <si>
    <t>GPA GUATAS - 1768</t>
  </si>
  <si>
    <t>ALAMEDA DOS GUATAS, 1261</t>
  </si>
  <si>
    <t>PLANALTO PAULISTA</t>
  </si>
  <si>
    <t>GPA LEONARDO DA VINCI</t>
  </si>
  <si>
    <t>AVENIDA LEONARDO DA VINCI, N391-, SN</t>
  </si>
  <si>
    <t>VILA GUARANI (Z SUL)</t>
  </si>
  <si>
    <t>OXXO PARACATU</t>
  </si>
  <si>
    <t>Av. Jabaquara, 2000</t>
  </si>
  <si>
    <t>MIRANDOPOLIS</t>
  </si>
  <si>
    <t>GPA PLANALTO PAULISTA</t>
  </si>
  <si>
    <t>Avenida José Maria Whitaker</t>
  </si>
  <si>
    <t>OXXO WIZ PARDELLI</t>
  </si>
  <si>
    <t>AV. SANTA INES, 6</t>
  </si>
  <si>
    <t>OXXO MANDAQUI</t>
  </si>
  <si>
    <t>CARREFOUR CASA VERDE</t>
  </si>
  <si>
    <t>RUA MARAMBAIA, 200</t>
  </si>
  <si>
    <t>CASA VERDE</t>
  </si>
  <si>
    <t>GPA CANTAREIRA 1291</t>
  </si>
  <si>
    <t>AV. NOVA CANTAREIRA, 240</t>
  </si>
  <si>
    <t>JD SAO PAULO</t>
  </si>
  <si>
    <t>OXXO ITABAIÃO</t>
  </si>
  <si>
    <t>FREGUESIA DO Ó</t>
  </si>
  <si>
    <t>OXXO PARADA MARACAIA</t>
  </si>
  <si>
    <t>AV. PARADA PINTO, 416</t>
  </si>
  <si>
    <t>OXXO RIO VERDE</t>
  </si>
  <si>
    <t>Vila Morro Grande</t>
  </si>
  <si>
    <t>OXXO GUIRLANDA</t>
  </si>
  <si>
    <t>Casa Verde</t>
  </si>
  <si>
    <t>ST MARCHE PERDIIZES COTOXÓ</t>
  </si>
  <si>
    <t>RUA COTOXO, 974</t>
  </si>
  <si>
    <t>GPA RUA DO BOSQUE</t>
  </si>
  <si>
    <t>RUA DO BOSQUE Nº: 922</t>
  </si>
  <si>
    <t>BARRA FUNDA</t>
  </si>
  <si>
    <t>MAMBO MARTIN FRANCISCO</t>
  </si>
  <si>
    <t>RUA MARTIM FRANCISCO, 753,</t>
  </si>
  <si>
    <t>OXXO GUAICURUS DECORA</t>
  </si>
  <si>
    <t>ST MARCHE ALDEIA DA SERRA</t>
  </si>
  <si>
    <t>Alexandre do Nascimento</t>
  </si>
  <si>
    <t>AVENIDA DOS PASSAROS, 451</t>
  </si>
  <si>
    <t>MORADA DOS LAGOS</t>
  </si>
  <si>
    <t>André Santos Menezes</t>
  </si>
  <si>
    <t>RZ GESTAO CAFE ITAHYE</t>
  </si>
  <si>
    <t>AVENIDA ALBERTO BYINGTON, 21</t>
  </si>
  <si>
    <t>CIDADE TAMBORE</t>
  </si>
  <si>
    <t>SAMS CLUB OSASCO WALMART</t>
  </si>
  <si>
    <t>CARREFOUR REBOUÇAS</t>
  </si>
  <si>
    <t>AVENIDA REBOUCAS, 3970</t>
  </si>
  <si>
    <t>ST MARCHE MOOCA SHOPPING</t>
  </si>
  <si>
    <t>RUA CAPITAO PACHECO E CHAVES, 313</t>
  </si>
  <si>
    <t>VILA PRUDENTE</t>
  </si>
  <si>
    <t>ST MARCHE TATUAPÉ</t>
  </si>
  <si>
    <t>RUA JOAO MIGLIARI, 02</t>
  </si>
  <si>
    <t>VILA GOMES CARDIM</t>
  </si>
  <si>
    <t>CHAMA - LOJA 14 TATUAPE</t>
  </si>
  <si>
    <t>RUA EMILIA MARENGO N°140, SN</t>
  </si>
  <si>
    <t>CHAMA LOJA 15 MOOCA</t>
  </si>
  <si>
    <t>RUA DO ORATORIO N°1166, SN</t>
  </si>
  <si>
    <t>CHAMA - LOJA 16 AGUA RASA</t>
  </si>
  <si>
    <t>RUA BARAO DE PENEDO N°102, SN</t>
  </si>
  <si>
    <t>AGUA RASA</t>
  </si>
  <si>
    <t>PAO DE CALABRESA 500G - PCT 3 KG - CX 6 KG</t>
  </si>
  <si>
    <t>LOPES LOJA 31 - TATUAPE</t>
  </si>
  <si>
    <t>RUA S JORGE, 168</t>
  </si>
  <si>
    <t>PARQUE SAO JORGE</t>
  </si>
  <si>
    <t>OXXO BELERVAL</t>
  </si>
  <si>
    <t>Rua Herval</t>
  </si>
  <si>
    <t>OXXO CELSO TUIUTI</t>
  </si>
  <si>
    <t>AV CELSO GARCIA, 3815</t>
  </si>
  <si>
    <t>OXXO BOTU CARIOCA</t>
  </si>
  <si>
    <t>R SERRA DE BOTUCATU, 747,</t>
  </si>
  <si>
    <t>41 - GRU - SANTO AMARO</t>
  </si>
  <si>
    <t>GPA BORBA GATO</t>
  </si>
  <si>
    <t>Rua do Estilo Barroco</t>
  </si>
  <si>
    <t>BROOKLIN</t>
  </si>
  <si>
    <t>GPA CANCIONEIRO POPULAR</t>
  </si>
  <si>
    <t>RUA CANCIONEIRO POPULAR, 402</t>
  </si>
  <si>
    <t>SANTO AMARO</t>
  </si>
  <si>
    <t>ST MARCHE BROOKLIN</t>
  </si>
  <si>
    <t>RUA NOVA YORK, 245</t>
  </si>
  <si>
    <t>BROOLIN PAULISTA</t>
  </si>
  <si>
    <t>OXXO PASCARIA</t>
  </si>
  <si>
    <t>OXXO BERNARDINO</t>
  </si>
  <si>
    <t>RUA BERNARDINO DE CAMPOS, 277</t>
  </si>
  <si>
    <t>Joaquim Nabuco</t>
  </si>
  <si>
    <t>OXXO MARGARIDA</t>
  </si>
  <si>
    <t>Vila Cordeiro</t>
  </si>
  <si>
    <t>CARREFOUR PINHEIROS</t>
  </si>
  <si>
    <t>AV DAS NACOES UNIDAS, 15187</t>
  </si>
  <si>
    <t>VILA GERTRUDES</t>
  </si>
  <si>
    <t>127 - GRU - GUARULHOS 2</t>
  </si>
  <si>
    <t>LOPES JARDIM DIOGO</t>
  </si>
  <si>
    <t>AVENIDA RIO DE JANEIRO, N1119-, SN</t>
  </si>
  <si>
    <t>JARDIM DIOGO</t>
  </si>
  <si>
    <t>GPA SANTOS DUMONT</t>
  </si>
  <si>
    <t>Avenida Santos Dumont</t>
  </si>
  <si>
    <t>CIDADE INDUSTRIAL SATELITE DE SAO PAULO</t>
  </si>
  <si>
    <t>LOPES PONTE GRANDE</t>
  </si>
  <si>
    <t>AVENIDA GUARULHOS, N4219-LOJA, SN</t>
  </si>
  <si>
    <t>PONTE GRANDE</t>
  </si>
  <si>
    <t>LOPES SÃO JOÃO</t>
  </si>
  <si>
    <t>AVENIDA FLORIANOPOLIS, N360-, SN</t>
  </si>
  <si>
    <t>J SAO JOAO</t>
  </si>
  <si>
    <t>LOPES AMÉLIA RODRIGUES</t>
  </si>
  <si>
    <t>RUA AMELIA RODRIGUES, N38-, SN</t>
  </si>
  <si>
    <t>JARDIM PRESIDENTE DUTRA</t>
  </si>
  <si>
    <t>LOPES PRESIDENTE DUTRA</t>
  </si>
  <si>
    <t>AVENIDA PAPA JOAO PAULO I, N3301-, SN</t>
  </si>
  <si>
    <t>CIDADE PARQUE SAO LUIZ</t>
  </si>
  <si>
    <t>GPA SOCRATES</t>
  </si>
  <si>
    <t>Rua Sócrates</t>
  </si>
  <si>
    <t>V SOFIA</t>
  </si>
  <si>
    <t>ST MARCHE CHACARA FLORA</t>
  </si>
  <si>
    <t>RUA SOCRATES, 330</t>
  </si>
  <si>
    <t>VILA SOFIA</t>
  </si>
  <si>
    <t>GPA JOÃO DE LUCA</t>
  </si>
  <si>
    <t>AVENIDA VEREADOR JOAO DE LUCCA, N1005-, SN</t>
  </si>
  <si>
    <t>VL STA CATARINA</t>
  </si>
  <si>
    <t>GPA - JOÃO DIAS X SÃO JOSÉ</t>
  </si>
  <si>
    <t>R SAO JOSE, 36</t>
  </si>
  <si>
    <t>OXXO ISABENTO</t>
  </si>
  <si>
    <t>GPA BUTANTA</t>
  </si>
  <si>
    <t>AVENIDA PROFESSOR FRANCISCO MORATO, 2385</t>
  </si>
  <si>
    <t>BUTANTA</t>
  </si>
  <si>
    <t>ST MARCHE AV. MORUMBI</t>
  </si>
  <si>
    <t>AVENIDA MORUMBI, 6501</t>
  </si>
  <si>
    <t>MORUMBI</t>
  </si>
  <si>
    <t>CARREFOUR BUTANTA</t>
  </si>
  <si>
    <t>AV DEPUTADO JACOB SALVADOR ZVEIBIL, SN</t>
  </si>
  <si>
    <t>MAMBO LOJA 207 - MORUMBI</t>
  </si>
  <si>
    <t>AVENIDA GIOVANNI GRONCHI N°2799, SN</t>
  </si>
  <si>
    <t>OXXO MANUEL JACINTO</t>
  </si>
  <si>
    <t>GPA CERRO CORA 2</t>
  </si>
  <si>
    <t>RUA CERRO CORA, 755</t>
  </si>
  <si>
    <t>DIOGENES RIBEIRO 2 - 4045</t>
  </si>
  <si>
    <t>AVENIDA DIOGENES RIBEIRO DE LIMA 3012</t>
  </si>
  <si>
    <t>ALTO DA LAPA</t>
  </si>
  <si>
    <t>OXXO BARBALHA</t>
  </si>
  <si>
    <t>GPA PAULISTANIA</t>
  </si>
  <si>
    <t>RUA PAULISTANIA, S/N-, SN</t>
  </si>
  <si>
    <t>SUMAREZINHO</t>
  </si>
  <si>
    <t>MAMBO LOJA 202 - VILA LEOPOLDINA</t>
  </si>
  <si>
    <t>Rua Aliança Liberal</t>
  </si>
  <si>
    <t>B ALIANCA</t>
  </si>
  <si>
    <t>MAMBO LOJA 203 - VILA ROMANA</t>
  </si>
  <si>
    <t>Rua Aurelia, 1973</t>
  </si>
  <si>
    <t>OXXO BELA JULHO</t>
  </si>
  <si>
    <t>Dener Augusto</t>
  </si>
  <si>
    <t>RUA AVANHANDAVA, 459</t>
  </si>
  <si>
    <t>Dener Augusto Clemente do Nascimento</t>
  </si>
  <si>
    <t>GPA AV ANGELICA</t>
  </si>
  <si>
    <t>AVENIDA ANGELICA, 1696</t>
  </si>
  <si>
    <t>STA CECILIA</t>
  </si>
  <si>
    <t>GPA CONSOLACAO - 08</t>
  </si>
  <si>
    <t>RUA DA CONSOLACAO, 2581</t>
  </si>
  <si>
    <t>OXXO MARIA ANTONIA</t>
  </si>
  <si>
    <t>RUA MARIA ANTONIA 328</t>
  </si>
  <si>
    <t>GPA MARIA ANTONIA</t>
  </si>
  <si>
    <t>RUA MARIA ANTONIA, 422</t>
  </si>
  <si>
    <t>OXXO FESTIVO</t>
  </si>
  <si>
    <t>109 - GRU - ITAPIRA</t>
  </si>
  <si>
    <t>REDE ZEFERINO DOUTOR CARLOS</t>
  </si>
  <si>
    <t>AVENIDA DOUTOR CARLOS BURGOS,3200</t>
  </si>
  <si>
    <t>LOTEAMENTO NARDINI</t>
  </si>
  <si>
    <t>Amparo</t>
  </si>
  <si>
    <t>Supermercado Guarani - Amparo</t>
  </si>
  <si>
    <t>Guarani</t>
  </si>
  <si>
    <t>Rua Comendador Guimarães</t>
  </si>
  <si>
    <t>RUA THOMAZ JASSO, 518</t>
  </si>
  <si>
    <t>JARDIM DONA IRMA</t>
  </si>
  <si>
    <t>Jaguariuna</t>
  </si>
  <si>
    <t>RUA CONSELHEIRO LAURINDO, 422</t>
  </si>
  <si>
    <t>CUBATAO</t>
  </si>
  <si>
    <t>Itapira</t>
  </si>
  <si>
    <t>RUA GASPERE</t>
  </si>
  <si>
    <t>JARDIM CRUZEIRO DO SUL</t>
  </si>
  <si>
    <t>HIROTA MARARÊ RAPOSO TAVARES</t>
  </si>
  <si>
    <t>Hirota Food</t>
  </si>
  <si>
    <t>RODOVIA RAPOSO TAVARES, 7389,</t>
  </si>
  <si>
    <t>JARDIM ARPOADOR</t>
  </si>
  <si>
    <t>ST MARCHE GRANJA VIANA</t>
  </si>
  <si>
    <t>ESTRADA DA ALDEIA, 186</t>
  </si>
  <si>
    <t>CHACARA DO REFUGIO</t>
  </si>
  <si>
    <t>125 - GRU - RIO GRANDE</t>
  </si>
  <si>
    <t>RZ GESTAO ESTONIA 5</t>
  </si>
  <si>
    <t>AVENIDA NICOLA DEMARCHI, 575, CONJ B</t>
  </si>
  <si>
    <t>LOURENCINI COMERCIO DE ALIMENTOS LTDA</t>
  </si>
  <si>
    <t>RUA PREFEITO CIDO FRANCO, 87</t>
  </si>
  <si>
    <t>Rio Grande da Serra</t>
  </si>
  <si>
    <t>LOPES SAO BERNARDO</t>
  </si>
  <si>
    <t>Avenida Robert Kennedy</t>
  </si>
  <si>
    <t>INDEPENDENCIA</t>
  </si>
  <si>
    <t>OXXO TABOCHECK</t>
  </si>
  <si>
    <t>Taboão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</si>
</sst>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1"/>
      <color rgb="FF366092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7F7F7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83A3C"/>
      <name val="Google Sans"/>
    </font>
    <font>
      <sz val="11"/>
      <color rgb="FF4C535E"/>
      <name val="Google Sans"/>
    </font>
    <font>
      <sz val="11"/>
      <color rgb="FF363F32"/>
      <name val="Google Sans"/>
    </font>
    <font>
      <sz val="11"/>
      <color rgb="FF444D5F"/>
      <name val="Google Sans"/>
    </font>
    <font>
      <sz val="11"/>
      <color rgb="FF2C481F"/>
      <name val="Calibri"/>
      <family val="2"/>
      <scheme val="minor"/>
    </font>
    <font>
      <sz val="11"/>
      <color rgb="FF2A3243"/>
      <name val="Calibri"/>
      <family val="2"/>
      <scheme val="minor"/>
    </font>
    <font>
      <sz val="11"/>
      <color rgb="FF133819"/>
      <name val="Calibri"/>
      <family val="2"/>
      <scheme val="minor"/>
    </font>
    <font>
      <sz val="6"/>
      <color indexed="9"/>
      <name val="Courier New"/>
      <family val="2"/>
    </font>
    <font>
      <sz val="6"/>
      <color theme="1"/>
      <name val="Courier New"/>
      <family val="2"/>
    </font>
  </fonts>
  <fills count="1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88888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0" xfId="0" applyFont="1" applyFill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Font="1" applyFill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/>
    <xf numFmtId="0" fontId="0" fillId="0" borderId="0" xfId="0" applyAlignment="1"/>
    <xf numFmtId="0" fontId="14" fillId="0" borderId="2" xfId="0" applyFont="1" applyBorder="1" applyAlignment="1"/>
    <xf numFmtId="14" fontId="13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0" fillId="5" borderId="0" xfId="0" applyFont="1" applyFill="1" applyAlignment="1">
      <alignment horizontal="center" vertical="center"/>
    </xf>
    <xf numFmtId="22" fontId="9" fillId="0" borderId="0" xfId="0" applyNumberFormat="1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Fill="1" applyAlignment="1"/>
    <xf numFmtId="0" fontId="0" fillId="0" borderId="0" xfId="0"/>
    <xf numFmtId="0" fontId="0" fillId="0" borderId="3" xfId="0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6" borderId="4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0" fillId="8" borderId="2" xfId="0" applyFill="1" applyBorder="1" applyAlignment="1"/>
    <xf numFmtId="0" fontId="0" fillId="0" borderId="2" xfId="0" applyBorder="1" applyAlignment="1"/>
    <xf numFmtId="0" fontId="0" fillId="6" borderId="4" xfId="0" applyFill="1" applyBorder="1" applyAlignment="1">
      <alignment horizontal="center"/>
    </xf>
    <xf numFmtId="16" fontId="0" fillId="6" borderId="4" xfId="0" applyNumberFormat="1" applyFill="1" applyBorder="1" applyAlignment="1">
      <alignment horizontal="center"/>
    </xf>
    <xf numFmtId="0" fontId="15" fillId="6" borderId="4" xfId="0" applyFont="1" applyFill="1" applyBorder="1" applyAlignment="1"/>
    <xf numFmtId="0" fontId="0" fillId="0" borderId="4" xfId="0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16" fillId="0" borderId="4" xfId="0" applyFont="1" applyBorder="1" applyAlignment="1"/>
    <xf numFmtId="0" fontId="17" fillId="0" borderId="4" xfId="0" applyFont="1" applyBorder="1" applyAlignment="1"/>
    <xf numFmtId="0" fontId="18" fillId="0" borderId="4" xfId="0" applyFont="1" applyBorder="1" applyAlignment="1"/>
    <xf numFmtId="0" fontId="0" fillId="0" borderId="4" xfId="0" applyBorder="1" applyAlignment="1"/>
    <xf numFmtId="0" fontId="15" fillId="0" borderId="4" xfId="0" applyFont="1" applyBorder="1" applyAlignment="1"/>
    <xf numFmtId="0" fontId="0" fillId="7" borderId="4" xfId="0" applyFill="1" applyBorder="1" applyAlignment="1">
      <alignment horizontal="center"/>
    </xf>
    <xf numFmtId="0" fontId="17" fillId="7" borderId="4" xfId="0" applyFont="1" applyFill="1" applyBorder="1" applyAlignment="1"/>
    <xf numFmtId="0" fontId="15" fillId="7" borderId="4" xfId="0" applyFont="1" applyFill="1" applyBorder="1" applyAlignment="1"/>
    <xf numFmtId="16" fontId="0" fillId="7" borderId="4" xfId="0" applyNumberFormat="1" applyFill="1" applyBorder="1" applyAlignment="1">
      <alignment horizontal="center"/>
    </xf>
    <xf numFmtId="0" fontId="16" fillId="7" borderId="4" xfId="0" applyFont="1" applyFill="1" applyBorder="1" applyAlignment="1"/>
    <xf numFmtId="0" fontId="22" fillId="9" borderId="5" xfId="0" applyFont="1" applyFill="1" applyBorder="1" applyAlignment="1">
      <alignment horizontal="center"/>
    </xf>
    <xf numFmtId="0" fontId="0" fillId="10" borderId="6" xfId="0" applyFill="1" applyBorder="1" applyAlignment="1">
      <alignment horizontal="left"/>
    </xf>
    <xf numFmtId="43" fontId="0" fillId="10" borderId="6" xfId="0" applyNumberFormat="1" applyFill="1" applyBorder="1" applyAlignment="1">
      <alignment horizontal="left"/>
    </xf>
    <xf numFmtId="14" fontId="0" fillId="10" borderId="6" xfId="0" applyNumberFormat="1" applyFill="1" applyBorder="1" applyAlignment="1">
      <alignment horizontal="left"/>
    </xf>
    <xf numFmtId="164" fontId="0" fillId="10" borderId="6" xfId="0" applyNumberFormat="1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43" fontId="0" fillId="11" borderId="7" xfId="0" applyNumberFormat="1" applyFill="1" applyBorder="1" applyAlignment="1">
      <alignment horizontal="left"/>
    </xf>
    <xf numFmtId="14" fontId="0" fillId="11" borderId="7" xfId="0" applyNumberFormat="1" applyFill="1" applyBorder="1" applyAlignment="1">
      <alignment horizontal="left"/>
    </xf>
    <xf numFmtId="164" fontId="0" fillId="11" borderId="7" xfId="0" applyNumberForma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7" fillId="0" borderId="0" xfId="0" applyFont="1"/>
    <xf numFmtId="0" fontId="0" fillId="0" borderId="0" xfId="0"/>
    <xf numFmtId="0" fontId="2" fillId="2" borderId="0" xfId="0" applyFont="1" applyFill="1" applyAlignment="1">
      <alignment horizontal="center" vertical="center"/>
    </xf>
    <xf numFmtId="22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ont>
        <color indexed="20"/>
      </font>
      <fill>
        <patternFill patternType="solid">
          <fgColor indexed="64"/>
          <bgColor indexed="64"/>
        </patternFill>
      </fill>
    </dxf>
    <dxf>
      <font>
        <color indexed="20"/>
      </font>
      <fill>
        <patternFill patternType="solid">
          <fgColor indexed="64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U17" sqref="U10:V17"/>
    </sheetView>
  </sheetViews>
  <sheetFormatPr defaultRowHeight="15"/>
  <cols>
    <col min="1" max="1" width="25" customWidth="1"/>
    <col min="2" max="2" width="20" customWidth="1"/>
    <col min="4" max="5" width="20" customWidth="1"/>
  </cols>
  <sheetData>
    <row r="1" spans="1:6" ht="30" customHeight="1">
      <c r="A1" s="61" t="s">
        <v>0</v>
      </c>
      <c r="B1" s="60"/>
      <c r="C1" s="60"/>
      <c r="D1" s="60"/>
      <c r="E1" s="60"/>
      <c r="F1" s="60"/>
    </row>
    <row r="3" spans="1:6" ht="18.75">
      <c r="A3" s="1" t="s">
        <v>1</v>
      </c>
      <c r="D3" s="1" t="s">
        <v>2</v>
      </c>
    </row>
    <row r="4" spans="1:6" ht="15.75">
      <c r="A4" s="2" t="s">
        <v>3</v>
      </c>
      <c r="B4" s="3">
        <f>COUNTA(BASE!A:A)-1</f>
        <v>844</v>
      </c>
      <c r="D4" s="4" t="s">
        <v>4</v>
      </c>
      <c r="E4" s="4" t="s">
        <v>5</v>
      </c>
    </row>
    <row r="5" spans="1:6" ht="15.75">
      <c r="A5" s="2" t="s">
        <v>6</v>
      </c>
      <c r="B5" s="3">
        <f>COUNTIF(BASE!F:F, "CARREGADO")</f>
        <v>0</v>
      </c>
    </row>
    <row r="6" spans="1:6" ht="15.75">
      <c r="A6" s="2" t="s">
        <v>7</v>
      </c>
      <c r="B6" s="3">
        <f>COUNTA(CONFERENCIA!A:A)-1</f>
        <v>999</v>
      </c>
    </row>
    <row r="7" spans="1:6" ht="15.75">
      <c r="A7" s="2" t="s">
        <v>8</v>
      </c>
      <c r="B7" s="3">
        <f>COUNTA(DIVERGÊNCIAS!A:A)-1</f>
        <v>999</v>
      </c>
    </row>
    <row r="10" spans="1:6" ht="18.75">
      <c r="A10" s="1" t="s">
        <v>9</v>
      </c>
    </row>
    <row r="11" spans="1:6">
      <c r="A11" s="5" t="s">
        <v>10</v>
      </c>
      <c r="B11" s="6" t="s">
        <v>11</v>
      </c>
    </row>
    <row r="12" spans="1:6">
      <c r="A12" s="5" t="s">
        <v>12</v>
      </c>
      <c r="B12" s="6" t="s">
        <v>13</v>
      </c>
    </row>
    <row r="13" spans="1:6">
      <c r="A13" s="5" t="s">
        <v>14</v>
      </c>
      <c r="B13" s="6" t="s">
        <v>15</v>
      </c>
    </row>
    <row r="14" spans="1:6">
      <c r="A14" s="5" t="s">
        <v>16</v>
      </c>
      <c r="B14" s="6" t="s">
        <v>17</v>
      </c>
    </row>
    <row r="15" spans="1:6">
      <c r="A15" s="5" t="s">
        <v>18</v>
      </c>
      <c r="B15" s="6" t="s">
        <v>19</v>
      </c>
    </row>
    <row r="17" spans="1:6" ht="18.75">
      <c r="A17" s="1" t="s">
        <v>20</v>
      </c>
    </row>
    <row r="18" spans="1:6">
      <c r="A18" s="59" t="s">
        <v>21</v>
      </c>
      <c r="B18" s="60"/>
      <c r="C18" s="60"/>
      <c r="D18" s="60"/>
      <c r="E18" s="60"/>
      <c r="F18" s="60"/>
    </row>
    <row r="19" spans="1:6">
      <c r="A19" s="59" t="s">
        <v>22</v>
      </c>
      <c r="B19" s="60"/>
      <c r="C19" s="60"/>
      <c r="D19" s="60"/>
      <c r="E19" s="60"/>
      <c r="F19" s="60"/>
    </row>
    <row r="20" spans="1:6">
      <c r="A20" s="59" t="s">
        <v>23</v>
      </c>
      <c r="B20" s="60"/>
      <c r="C20" s="60"/>
      <c r="D20" s="60"/>
      <c r="E20" s="60"/>
      <c r="F20" s="60"/>
    </row>
    <row r="21" spans="1:6">
      <c r="A21" s="59" t="s">
        <v>24</v>
      </c>
      <c r="B21" s="60"/>
      <c r="C21" s="60"/>
      <c r="D21" s="60"/>
      <c r="E21" s="60"/>
      <c r="F21" s="60"/>
    </row>
    <row r="22" spans="1:6">
      <c r="A22" s="59" t="s">
        <v>25</v>
      </c>
      <c r="B22" s="60"/>
      <c r="C22" s="60"/>
      <c r="D22" s="60"/>
      <c r="E22" s="60"/>
      <c r="F22" s="60"/>
    </row>
  </sheetData>
  <mergeCells count="6">
    <mergeCell ref="A19:F19"/>
    <mergeCell ref="A1:F1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45"/>
  <sheetViews>
    <sheetView tabSelected="1" workbookViewId="0">
      <pane ySplit="1" topLeftCell="A8" activePane="bottomLeft" state="frozen"/>
      <selection pane="bottomLeft" activeCell="J5" sqref="J5"/>
    </sheetView>
  </sheetViews>
  <sheetFormatPr defaultRowHeight="15"/>
  <cols>
    <col min="1" max="1" width="10.28515625" style="22" bestFit="1" customWidth="1"/>
    <col min="2" max="2" width="87" style="22" bestFit="1" customWidth="1"/>
    <col min="3" max="3" width="3.7109375" style="22" bestFit="1" customWidth="1"/>
    <col min="4" max="4" width="5.28515625" style="22" bestFit="1" customWidth="1"/>
    <col min="5" max="5" width="8" style="22" bestFit="1" customWidth="1"/>
    <col min="6" max="6" width="10.7109375" style="22" bestFit="1" customWidth="1"/>
    <col min="7" max="9" width="9" style="22" bestFit="1" customWidth="1"/>
    <col min="10" max="10" width="16.140625" style="22" bestFit="1" customWidth="1"/>
    <col min="11" max="11" width="15.140625" style="22" bestFit="1" customWidth="1"/>
    <col min="248" max="248" width="14.42578125" customWidth="1"/>
    <col min="249" max="249" width="18.140625" bestFit="1" customWidth="1"/>
    <col min="250" max="250" width="18.85546875" customWidth="1"/>
    <col min="251" max="251" width="15" bestFit="1" customWidth="1"/>
    <col min="252" max="252" width="15" customWidth="1"/>
    <col min="253" max="254" width="14.5703125" customWidth="1"/>
    <col min="255" max="255" width="85.42578125" bestFit="1" customWidth="1"/>
    <col min="256" max="256" width="20" bestFit="1" customWidth="1"/>
    <col min="257" max="257" width="18.7109375" bestFit="1" customWidth="1"/>
    <col min="258" max="258" width="10.42578125" bestFit="1" customWidth="1"/>
    <col min="259" max="259" width="13.42578125" bestFit="1" customWidth="1"/>
    <col min="260" max="260" width="12.140625" customWidth="1"/>
    <col min="261" max="261" width="21.140625" customWidth="1"/>
    <col min="262" max="262" width="18.85546875" bestFit="1" customWidth="1"/>
    <col min="267" max="267" width="22.28515625" bestFit="1" customWidth="1"/>
    <col min="504" max="504" width="14.42578125" customWidth="1"/>
    <col min="505" max="505" width="18.140625" bestFit="1" customWidth="1"/>
    <col min="506" max="506" width="18.85546875" customWidth="1"/>
    <col min="507" max="507" width="15" bestFit="1" customWidth="1"/>
    <col min="508" max="508" width="15" customWidth="1"/>
    <col min="509" max="510" width="14.5703125" customWidth="1"/>
    <col min="511" max="511" width="85.42578125" bestFit="1" customWidth="1"/>
    <col min="512" max="512" width="20" bestFit="1" customWidth="1"/>
    <col min="513" max="513" width="18.7109375" bestFit="1" customWidth="1"/>
    <col min="514" max="514" width="10.42578125" bestFit="1" customWidth="1"/>
    <col min="515" max="515" width="13.42578125" bestFit="1" customWidth="1"/>
    <col min="516" max="516" width="12.140625" customWidth="1"/>
    <col min="517" max="517" width="21.140625" customWidth="1"/>
    <col min="518" max="518" width="18.85546875" bestFit="1" customWidth="1"/>
    <col min="523" max="523" width="22.28515625" bestFit="1" customWidth="1"/>
    <col min="760" max="760" width="14.42578125" customWidth="1"/>
    <col min="761" max="761" width="18.140625" bestFit="1" customWidth="1"/>
    <col min="762" max="762" width="18.85546875" customWidth="1"/>
    <col min="763" max="763" width="15" bestFit="1" customWidth="1"/>
    <col min="764" max="764" width="15" customWidth="1"/>
    <col min="765" max="766" width="14.5703125" customWidth="1"/>
    <col min="767" max="767" width="85.42578125" bestFit="1" customWidth="1"/>
    <col min="768" max="768" width="20" bestFit="1" customWidth="1"/>
    <col min="769" max="769" width="18.7109375" bestFit="1" customWidth="1"/>
    <col min="770" max="770" width="10.42578125" bestFit="1" customWidth="1"/>
    <col min="771" max="771" width="13.42578125" bestFit="1" customWidth="1"/>
    <col min="772" max="772" width="12.140625" customWidth="1"/>
    <col min="773" max="773" width="21.140625" customWidth="1"/>
    <col min="774" max="774" width="18.85546875" bestFit="1" customWidth="1"/>
    <col min="779" max="779" width="22.28515625" bestFit="1" customWidth="1"/>
    <col min="1016" max="1016" width="14.42578125" customWidth="1"/>
    <col min="1017" max="1017" width="18.140625" bestFit="1" customWidth="1"/>
    <col min="1018" max="1018" width="18.85546875" customWidth="1"/>
    <col min="1019" max="1019" width="15" bestFit="1" customWidth="1"/>
    <col min="1020" max="1020" width="15" customWidth="1"/>
    <col min="1021" max="1022" width="14.5703125" customWidth="1"/>
    <col min="1023" max="1023" width="85.42578125" bestFit="1" customWidth="1"/>
    <col min="1024" max="1024" width="20" bestFit="1" customWidth="1"/>
    <col min="1025" max="1025" width="18.7109375" bestFit="1" customWidth="1"/>
    <col min="1026" max="1026" width="10.42578125" bestFit="1" customWidth="1"/>
    <col min="1027" max="1027" width="13.42578125" bestFit="1" customWidth="1"/>
    <col min="1028" max="1028" width="12.140625" customWidth="1"/>
    <col min="1029" max="1029" width="21.140625" customWidth="1"/>
    <col min="1030" max="1030" width="18.85546875" bestFit="1" customWidth="1"/>
    <col min="1035" max="1035" width="22.28515625" bestFit="1" customWidth="1"/>
    <col min="1272" max="1272" width="14.42578125" customWidth="1"/>
    <col min="1273" max="1273" width="18.140625" bestFit="1" customWidth="1"/>
    <col min="1274" max="1274" width="18.85546875" customWidth="1"/>
    <col min="1275" max="1275" width="15" bestFit="1" customWidth="1"/>
    <col min="1276" max="1276" width="15" customWidth="1"/>
    <col min="1277" max="1278" width="14.5703125" customWidth="1"/>
    <col min="1279" max="1279" width="85.42578125" bestFit="1" customWidth="1"/>
    <col min="1280" max="1280" width="20" bestFit="1" customWidth="1"/>
    <col min="1281" max="1281" width="18.7109375" bestFit="1" customWidth="1"/>
    <col min="1282" max="1282" width="10.42578125" bestFit="1" customWidth="1"/>
    <col min="1283" max="1283" width="13.42578125" bestFit="1" customWidth="1"/>
    <col min="1284" max="1284" width="12.140625" customWidth="1"/>
    <col min="1285" max="1285" width="21.140625" customWidth="1"/>
    <col min="1286" max="1286" width="18.85546875" bestFit="1" customWidth="1"/>
    <col min="1291" max="1291" width="22.28515625" bestFit="1" customWidth="1"/>
    <col min="1528" max="1528" width="14.42578125" customWidth="1"/>
    <col min="1529" max="1529" width="18.140625" bestFit="1" customWidth="1"/>
    <col min="1530" max="1530" width="18.85546875" customWidth="1"/>
    <col min="1531" max="1531" width="15" bestFit="1" customWidth="1"/>
    <col min="1532" max="1532" width="15" customWidth="1"/>
    <col min="1533" max="1534" width="14.5703125" customWidth="1"/>
    <col min="1535" max="1535" width="85.42578125" bestFit="1" customWidth="1"/>
    <col min="1536" max="1536" width="20" bestFit="1" customWidth="1"/>
    <col min="1537" max="1537" width="18.7109375" bestFit="1" customWidth="1"/>
    <col min="1538" max="1538" width="10.42578125" bestFit="1" customWidth="1"/>
    <col min="1539" max="1539" width="13.42578125" bestFit="1" customWidth="1"/>
    <col min="1540" max="1540" width="12.140625" customWidth="1"/>
    <col min="1541" max="1541" width="21.140625" customWidth="1"/>
    <col min="1542" max="1542" width="18.85546875" bestFit="1" customWidth="1"/>
    <col min="1547" max="1547" width="22.28515625" bestFit="1" customWidth="1"/>
    <col min="1784" max="1784" width="14.42578125" customWidth="1"/>
    <col min="1785" max="1785" width="18.140625" bestFit="1" customWidth="1"/>
    <col min="1786" max="1786" width="18.85546875" customWidth="1"/>
    <col min="1787" max="1787" width="15" bestFit="1" customWidth="1"/>
    <col min="1788" max="1788" width="15" customWidth="1"/>
    <col min="1789" max="1790" width="14.5703125" customWidth="1"/>
    <col min="1791" max="1791" width="85.42578125" bestFit="1" customWidth="1"/>
    <col min="1792" max="1792" width="20" bestFit="1" customWidth="1"/>
    <col min="1793" max="1793" width="18.7109375" bestFit="1" customWidth="1"/>
    <col min="1794" max="1794" width="10.42578125" bestFit="1" customWidth="1"/>
    <col min="1795" max="1795" width="13.42578125" bestFit="1" customWidth="1"/>
    <col min="1796" max="1796" width="12.140625" customWidth="1"/>
    <col min="1797" max="1797" width="21.140625" customWidth="1"/>
    <col min="1798" max="1798" width="18.85546875" bestFit="1" customWidth="1"/>
    <col min="1803" max="1803" width="22.28515625" bestFit="1" customWidth="1"/>
    <col min="2040" max="2040" width="14.42578125" customWidth="1"/>
    <col min="2041" max="2041" width="18.140625" bestFit="1" customWidth="1"/>
    <col min="2042" max="2042" width="18.85546875" customWidth="1"/>
    <col min="2043" max="2043" width="15" bestFit="1" customWidth="1"/>
    <col min="2044" max="2044" width="15" customWidth="1"/>
    <col min="2045" max="2046" width="14.5703125" customWidth="1"/>
    <col min="2047" max="2047" width="85.42578125" bestFit="1" customWidth="1"/>
    <col min="2048" max="2048" width="20" bestFit="1" customWidth="1"/>
    <col min="2049" max="2049" width="18.7109375" bestFit="1" customWidth="1"/>
    <col min="2050" max="2050" width="10.42578125" bestFit="1" customWidth="1"/>
    <col min="2051" max="2051" width="13.42578125" bestFit="1" customWidth="1"/>
    <col min="2052" max="2052" width="12.140625" customWidth="1"/>
    <col min="2053" max="2053" width="21.140625" customWidth="1"/>
    <col min="2054" max="2054" width="18.85546875" bestFit="1" customWidth="1"/>
    <col min="2059" max="2059" width="22.28515625" bestFit="1" customWidth="1"/>
    <col min="2296" max="2296" width="14.42578125" customWidth="1"/>
    <col min="2297" max="2297" width="18.140625" bestFit="1" customWidth="1"/>
    <col min="2298" max="2298" width="18.85546875" customWidth="1"/>
    <col min="2299" max="2299" width="15" bestFit="1" customWidth="1"/>
    <col min="2300" max="2300" width="15" customWidth="1"/>
    <col min="2301" max="2302" width="14.5703125" customWidth="1"/>
    <col min="2303" max="2303" width="85.42578125" bestFit="1" customWidth="1"/>
    <col min="2304" max="2304" width="20" bestFit="1" customWidth="1"/>
    <col min="2305" max="2305" width="18.7109375" bestFit="1" customWidth="1"/>
    <col min="2306" max="2306" width="10.42578125" bestFit="1" customWidth="1"/>
    <col min="2307" max="2307" width="13.42578125" bestFit="1" customWidth="1"/>
    <col min="2308" max="2308" width="12.140625" customWidth="1"/>
    <col min="2309" max="2309" width="21.140625" customWidth="1"/>
    <col min="2310" max="2310" width="18.85546875" bestFit="1" customWidth="1"/>
    <col min="2315" max="2315" width="22.28515625" bestFit="1" customWidth="1"/>
    <col min="2552" max="2552" width="14.42578125" customWidth="1"/>
    <col min="2553" max="2553" width="18.140625" bestFit="1" customWidth="1"/>
    <col min="2554" max="2554" width="18.85546875" customWidth="1"/>
    <col min="2555" max="2555" width="15" bestFit="1" customWidth="1"/>
    <col min="2556" max="2556" width="15" customWidth="1"/>
    <col min="2557" max="2558" width="14.5703125" customWidth="1"/>
    <col min="2559" max="2559" width="85.42578125" bestFit="1" customWidth="1"/>
    <col min="2560" max="2560" width="20" bestFit="1" customWidth="1"/>
    <col min="2561" max="2561" width="18.7109375" bestFit="1" customWidth="1"/>
    <col min="2562" max="2562" width="10.42578125" bestFit="1" customWidth="1"/>
    <col min="2563" max="2563" width="13.42578125" bestFit="1" customWidth="1"/>
    <col min="2564" max="2564" width="12.140625" customWidth="1"/>
    <col min="2565" max="2565" width="21.140625" customWidth="1"/>
    <col min="2566" max="2566" width="18.85546875" bestFit="1" customWidth="1"/>
    <col min="2571" max="2571" width="22.28515625" bestFit="1" customWidth="1"/>
    <col min="2808" max="2808" width="14.42578125" customWidth="1"/>
    <col min="2809" max="2809" width="18.140625" bestFit="1" customWidth="1"/>
    <col min="2810" max="2810" width="18.85546875" customWidth="1"/>
    <col min="2811" max="2811" width="15" bestFit="1" customWidth="1"/>
    <col min="2812" max="2812" width="15" customWidth="1"/>
    <col min="2813" max="2814" width="14.5703125" customWidth="1"/>
    <col min="2815" max="2815" width="85.42578125" bestFit="1" customWidth="1"/>
    <col min="2816" max="2816" width="20" bestFit="1" customWidth="1"/>
    <col min="2817" max="2817" width="18.7109375" bestFit="1" customWidth="1"/>
    <col min="2818" max="2818" width="10.42578125" bestFit="1" customWidth="1"/>
    <col min="2819" max="2819" width="13.42578125" bestFit="1" customWidth="1"/>
    <col min="2820" max="2820" width="12.140625" customWidth="1"/>
    <col min="2821" max="2821" width="21.140625" customWidth="1"/>
    <col min="2822" max="2822" width="18.85546875" bestFit="1" customWidth="1"/>
    <col min="2827" max="2827" width="22.28515625" bestFit="1" customWidth="1"/>
    <col min="3064" max="3064" width="14.42578125" customWidth="1"/>
    <col min="3065" max="3065" width="18.140625" bestFit="1" customWidth="1"/>
    <col min="3066" max="3066" width="18.85546875" customWidth="1"/>
    <col min="3067" max="3067" width="15" bestFit="1" customWidth="1"/>
    <col min="3068" max="3068" width="15" customWidth="1"/>
    <col min="3069" max="3070" width="14.5703125" customWidth="1"/>
    <col min="3071" max="3071" width="85.42578125" bestFit="1" customWidth="1"/>
    <col min="3072" max="3072" width="20" bestFit="1" customWidth="1"/>
    <col min="3073" max="3073" width="18.7109375" bestFit="1" customWidth="1"/>
    <col min="3074" max="3074" width="10.42578125" bestFit="1" customWidth="1"/>
    <col min="3075" max="3075" width="13.42578125" bestFit="1" customWidth="1"/>
    <col min="3076" max="3076" width="12.140625" customWidth="1"/>
    <col min="3077" max="3077" width="21.140625" customWidth="1"/>
    <col min="3078" max="3078" width="18.85546875" bestFit="1" customWidth="1"/>
    <col min="3083" max="3083" width="22.28515625" bestFit="1" customWidth="1"/>
    <col min="3320" max="3320" width="14.42578125" customWidth="1"/>
    <col min="3321" max="3321" width="18.140625" bestFit="1" customWidth="1"/>
    <col min="3322" max="3322" width="18.85546875" customWidth="1"/>
    <col min="3323" max="3323" width="15" bestFit="1" customWidth="1"/>
    <col min="3324" max="3324" width="15" customWidth="1"/>
    <col min="3325" max="3326" width="14.5703125" customWidth="1"/>
    <col min="3327" max="3327" width="85.42578125" bestFit="1" customWidth="1"/>
    <col min="3328" max="3328" width="20" bestFit="1" customWidth="1"/>
    <col min="3329" max="3329" width="18.7109375" bestFit="1" customWidth="1"/>
    <col min="3330" max="3330" width="10.42578125" bestFit="1" customWidth="1"/>
    <col min="3331" max="3331" width="13.42578125" bestFit="1" customWidth="1"/>
    <col min="3332" max="3332" width="12.140625" customWidth="1"/>
    <col min="3333" max="3333" width="21.140625" customWidth="1"/>
    <col min="3334" max="3334" width="18.85546875" bestFit="1" customWidth="1"/>
    <col min="3339" max="3339" width="22.28515625" bestFit="1" customWidth="1"/>
    <col min="3576" max="3576" width="14.42578125" customWidth="1"/>
    <col min="3577" max="3577" width="18.140625" bestFit="1" customWidth="1"/>
    <col min="3578" max="3578" width="18.85546875" customWidth="1"/>
    <col min="3579" max="3579" width="15" bestFit="1" customWidth="1"/>
    <col min="3580" max="3580" width="15" customWidth="1"/>
    <col min="3581" max="3582" width="14.5703125" customWidth="1"/>
    <col min="3583" max="3583" width="85.42578125" bestFit="1" customWidth="1"/>
    <col min="3584" max="3584" width="20" bestFit="1" customWidth="1"/>
    <col min="3585" max="3585" width="18.7109375" bestFit="1" customWidth="1"/>
    <col min="3586" max="3586" width="10.42578125" bestFit="1" customWidth="1"/>
    <col min="3587" max="3587" width="13.42578125" bestFit="1" customWidth="1"/>
    <col min="3588" max="3588" width="12.140625" customWidth="1"/>
    <col min="3589" max="3589" width="21.140625" customWidth="1"/>
    <col min="3590" max="3590" width="18.85546875" bestFit="1" customWidth="1"/>
    <col min="3595" max="3595" width="22.28515625" bestFit="1" customWidth="1"/>
    <col min="3832" max="3832" width="14.42578125" customWidth="1"/>
    <col min="3833" max="3833" width="18.140625" bestFit="1" customWidth="1"/>
    <col min="3834" max="3834" width="18.85546875" customWidth="1"/>
    <col min="3835" max="3835" width="15" bestFit="1" customWidth="1"/>
    <col min="3836" max="3836" width="15" customWidth="1"/>
    <col min="3837" max="3838" width="14.5703125" customWidth="1"/>
    <col min="3839" max="3839" width="85.42578125" bestFit="1" customWidth="1"/>
    <col min="3840" max="3840" width="20" bestFit="1" customWidth="1"/>
    <col min="3841" max="3841" width="18.7109375" bestFit="1" customWidth="1"/>
    <col min="3842" max="3842" width="10.42578125" bestFit="1" customWidth="1"/>
    <col min="3843" max="3843" width="13.42578125" bestFit="1" customWidth="1"/>
    <col min="3844" max="3844" width="12.140625" customWidth="1"/>
    <col min="3845" max="3845" width="21.140625" customWidth="1"/>
    <col min="3846" max="3846" width="18.85546875" bestFit="1" customWidth="1"/>
    <col min="3851" max="3851" width="22.28515625" bestFit="1" customWidth="1"/>
    <col min="4088" max="4088" width="14.42578125" customWidth="1"/>
    <col min="4089" max="4089" width="18.140625" bestFit="1" customWidth="1"/>
    <col min="4090" max="4090" width="18.85546875" customWidth="1"/>
    <col min="4091" max="4091" width="15" bestFit="1" customWidth="1"/>
    <col min="4092" max="4092" width="15" customWidth="1"/>
    <col min="4093" max="4094" width="14.5703125" customWidth="1"/>
    <col min="4095" max="4095" width="85.42578125" bestFit="1" customWidth="1"/>
    <col min="4096" max="4096" width="20" bestFit="1" customWidth="1"/>
    <col min="4097" max="4097" width="18.7109375" bestFit="1" customWidth="1"/>
    <col min="4098" max="4098" width="10.42578125" bestFit="1" customWidth="1"/>
    <col min="4099" max="4099" width="13.42578125" bestFit="1" customWidth="1"/>
    <col min="4100" max="4100" width="12.140625" customWidth="1"/>
    <col min="4101" max="4101" width="21.140625" customWidth="1"/>
    <col min="4102" max="4102" width="18.85546875" bestFit="1" customWidth="1"/>
    <col min="4107" max="4107" width="22.28515625" bestFit="1" customWidth="1"/>
    <col min="4344" max="4344" width="14.42578125" customWidth="1"/>
    <col min="4345" max="4345" width="18.140625" bestFit="1" customWidth="1"/>
    <col min="4346" max="4346" width="18.85546875" customWidth="1"/>
    <col min="4347" max="4347" width="15" bestFit="1" customWidth="1"/>
    <col min="4348" max="4348" width="15" customWidth="1"/>
    <col min="4349" max="4350" width="14.5703125" customWidth="1"/>
    <col min="4351" max="4351" width="85.42578125" bestFit="1" customWidth="1"/>
    <col min="4352" max="4352" width="20" bestFit="1" customWidth="1"/>
    <col min="4353" max="4353" width="18.7109375" bestFit="1" customWidth="1"/>
    <col min="4354" max="4354" width="10.42578125" bestFit="1" customWidth="1"/>
    <col min="4355" max="4355" width="13.42578125" bestFit="1" customWidth="1"/>
    <col min="4356" max="4356" width="12.140625" customWidth="1"/>
    <col min="4357" max="4357" width="21.140625" customWidth="1"/>
    <col min="4358" max="4358" width="18.85546875" bestFit="1" customWidth="1"/>
    <col min="4363" max="4363" width="22.28515625" bestFit="1" customWidth="1"/>
    <col min="4600" max="4600" width="14.42578125" customWidth="1"/>
    <col min="4601" max="4601" width="18.140625" bestFit="1" customWidth="1"/>
    <col min="4602" max="4602" width="18.85546875" customWidth="1"/>
    <col min="4603" max="4603" width="15" bestFit="1" customWidth="1"/>
    <col min="4604" max="4604" width="15" customWidth="1"/>
    <col min="4605" max="4606" width="14.5703125" customWidth="1"/>
    <col min="4607" max="4607" width="85.42578125" bestFit="1" customWidth="1"/>
    <col min="4608" max="4608" width="20" bestFit="1" customWidth="1"/>
    <col min="4609" max="4609" width="18.7109375" bestFit="1" customWidth="1"/>
    <col min="4610" max="4610" width="10.42578125" bestFit="1" customWidth="1"/>
    <col min="4611" max="4611" width="13.42578125" bestFit="1" customWidth="1"/>
    <col min="4612" max="4612" width="12.140625" customWidth="1"/>
    <col min="4613" max="4613" width="21.140625" customWidth="1"/>
    <col min="4614" max="4614" width="18.85546875" bestFit="1" customWidth="1"/>
    <col min="4619" max="4619" width="22.28515625" bestFit="1" customWidth="1"/>
    <col min="4856" max="4856" width="14.42578125" customWidth="1"/>
    <col min="4857" max="4857" width="18.140625" bestFit="1" customWidth="1"/>
    <col min="4858" max="4858" width="18.85546875" customWidth="1"/>
    <col min="4859" max="4859" width="15" bestFit="1" customWidth="1"/>
    <col min="4860" max="4860" width="15" customWidth="1"/>
    <col min="4861" max="4862" width="14.5703125" customWidth="1"/>
    <col min="4863" max="4863" width="85.42578125" bestFit="1" customWidth="1"/>
    <col min="4864" max="4864" width="20" bestFit="1" customWidth="1"/>
    <col min="4865" max="4865" width="18.7109375" bestFit="1" customWidth="1"/>
    <col min="4866" max="4866" width="10.42578125" bestFit="1" customWidth="1"/>
    <col min="4867" max="4867" width="13.42578125" bestFit="1" customWidth="1"/>
    <col min="4868" max="4868" width="12.140625" customWidth="1"/>
    <col min="4869" max="4869" width="21.140625" customWidth="1"/>
    <col min="4870" max="4870" width="18.85546875" bestFit="1" customWidth="1"/>
    <col min="4875" max="4875" width="22.28515625" bestFit="1" customWidth="1"/>
    <col min="5112" max="5112" width="14.42578125" customWidth="1"/>
    <col min="5113" max="5113" width="18.140625" bestFit="1" customWidth="1"/>
    <col min="5114" max="5114" width="18.85546875" customWidth="1"/>
    <col min="5115" max="5115" width="15" bestFit="1" customWidth="1"/>
    <col min="5116" max="5116" width="15" customWidth="1"/>
    <col min="5117" max="5118" width="14.5703125" customWidth="1"/>
    <col min="5119" max="5119" width="85.42578125" bestFit="1" customWidth="1"/>
    <col min="5120" max="5120" width="20" bestFit="1" customWidth="1"/>
    <col min="5121" max="5121" width="18.7109375" bestFit="1" customWidth="1"/>
    <col min="5122" max="5122" width="10.42578125" bestFit="1" customWidth="1"/>
    <col min="5123" max="5123" width="13.42578125" bestFit="1" customWidth="1"/>
    <col min="5124" max="5124" width="12.140625" customWidth="1"/>
    <col min="5125" max="5125" width="21.140625" customWidth="1"/>
    <col min="5126" max="5126" width="18.85546875" bestFit="1" customWidth="1"/>
    <col min="5131" max="5131" width="22.28515625" bestFit="1" customWidth="1"/>
    <col min="5368" max="5368" width="14.42578125" customWidth="1"/>
    <col min="5369" max="5369" width="18.140625" bestFit="1" customWidth="1"/>
    <col min="5370" max="5370" width="18.85546875" customWidth="1"/>
    <col min="5371" max="5371" width="15" bestFit="1" customWidth="1"/>
    <col min="5372" max="5372" width="15" customWidth="1"/>
    <col min="5373" max="5374" width="14.5703125" customWidth="1"/>
    <col min="5375" max="5375" width="85.42578125" bestFit="1" customWidth="1"/>
    <col min="5376" max="5376" width="20" bestFit="1" customWidth="1"/>
    <col min="5377" max="5377" width="18.7109375" bestFit="1" customWidth="1"/>
    <col min="5378" max="5378" width="10.42578125" bestFit="1" customWidth="1"/>
    <col min="5379" max="5379" width="13.42578125" bestFit="1" customWidth="1"/>
    <col min="5380" max="5380" width="12.140625" customWidth="1"/>
    <col min="5381" max="5381" width="21.140625" customWidth="1"/>
    <col min="5382" max="5382" width="18.85546875" bestFit="1" customWidth="1"/>
    <col min="5387" max="5387" width="22.28515625" bestFit="1" customWidth="1"/>
    <col min="5624" max="5624" width="14.42578125" customWidth="1"/>
    <col min="5625" max="5625" width="18.140625" bestFit="1" customWidth="1"/>
    <col min="5626" max="5626" width="18.85546875" customWidth="1"/>
    <col min="5627" max="5627" width="15" bestFit="1" customWidth="1"/>
    <col min="5628" max="5628" width="15" customWidth="1"/>
    <col min="5629" max="5630" width="14.5703125" customWidth="1"/>
    <col min="5631" max="5631" width="85.42578125" bestFit="1" customWidth="1"/>
    <col min="5632" max="5632" width="20" bestFit="1" customWidth="1"/>
    <col min="5633" max="5633" width="18.7109375" bestFit="1" customWidth="1"/>
    <col min="5634" max="5634" width="10.42578125" bestFit="1" customWidth="1"/>
    <col min="5635" max="5635" width="13.42578125" bestFit="1" customWidth="1"/>
    <col min="5636" max="5636" width="12.140625" customWidth="1"/>
    <col min="5637" max="5637" width="21.140625" customWidth="1"/>
    <col min="5638" max="5638" width="18.85546875" bestFit="1" customWidth="1"/>
    <col min="5643" max="5643" width="22.28515625" bestFit="1" customWidth="1"/>
    <col min="5880" max="5880" width="14.42578125" customWidth="1"/>
    <col min="5881" max="5881" width="18.140625" bestFit="1" customWidth="1"/>
    <col min="5882" max="5882" width="18.85546875" customWidth="1"/>
    <col min="5883" max="5883" width="15" bestFit="1" customWidth="1"/>
    <col min="5884" max="5884" width="15" customWidth="1"/>
    <col min="5885" max="5886" width="14.5703125" customWidth="1"/>
    <col min="5887" max="5887" width="85.42578125" bestFit="1" customWidth="1"/>
    <col min="5888" max="5888" width="20" bestFit="1" customWidth="1"/>
    <col min="5889" max="5889" width="18.7109375" bestFit="1" customWidth="1"/>
    <col min="5890" max="5890" width="10.42578125" bestFit="1" customWidth="1"/>
    <col min="5891" max="5891" width="13.42578125" bestFit="1" customWidth="1"/>
    <col min="5892" max="5892" width="12.140625" customWidth="1"/>
    <col min="5893" max="5893" width="21.140625" customWidth="1"/>
    <col min="5894" max="5894" width="18.85546875" bestFit="1" customWidth="1"/>
    <col min="5899" max="5899" width="22.28515625" bestFit="1" customWidth="1"/>
    <col min="6136" max="6136" width="14.42578125" customWidth="1"/>
    <col min="6137" max="6137" width="18.140625" bestFit="1" customWidth="1"/>
    <col min="6138" max="6138" width="18.85546875" customWidth="1"/>
    <col min="6139" max="6139" width="15" bestFit="1" customWidth="1"/>
    <col min="6140" max="6140" width="15" customWidth="1"/>
    <col min="6141" max="6142" width="14.5703125" customWidth="1"/>
    <col min="6143" max="6143" width="85.42578125" bestFit="1" customWidth="1"/>
    <col min="6144" max="6144" width="20" bestFit="1" customWidth="1"/>
    <col min="6145" max="6145" width="18.7109375" bestFit="1" customWidth="1"/>
    <col min="6146" max="6146" width="10.42578125" bestFit="1" customWidth="1"/>
    <col min="6147" max="6147" width="13.42578125" bestFit="1" customWidth="1"/>
    <col min="6148" max="6148" width="12.140625" customWidth="1"/>
    <col min="6149" max="6149" width="21.140625" customWidth="1"/>
    <col min="6150" max="6150" width="18.85546875" bestFit="1" customWidth="1"/>
    <col min="6155" max="6155" width="22.28515625" bestFit="1" customWidth="1"/>
    <col min="6392" max="6392" width="14.42578125" customWidth="1"/>
    <col min="6393" max="6393" width="18.140625" bestFit="1" customWidth="1"/>
    <col min="6394" max="6394" width="18.85546875" customWidth="1"/>
    <col min="6395" max="6395" width="15" bestFit="1" customWidth="1"/>
    <col min="6396" max="6396" width="15" customWidth="1"/>
    <col min="6397" max="6398" width="14.5703125" customWidth="1"/>
    <col min="6399" max="6399" width="85.42578125" bestFit="1" customWidth="1"/>
    <col min="6400" max="6400" width="20" bestFit="1" customWidth="1"/>
    <col min="6401" max="6401" width="18.7109375" bestFit="1" customWidth="1"/>
    <col min="6402" max="6402" width="10.42578125" bestFit="1" customWidth="1"/>
    <col min="6403" max="6403" width="13.42578125" bestFit="1" customWidth="1"/>
    <col min="6404" max="6404" width="12.140625" customWidth="1"/>
    <col min="6405" max="6405" width="21.140625" customWidth="1"/>
    <col min="6406" max="6406" width="18.85546875" bestFit="1" customWidth="1"/>
    <col min="6411" max="6411" width="22.28515625" bestFit="1" customWidth="1"/>
    <col min="6648" max="6648" width="14.42578125" customWidth="1"/>
    <col min="6649" max="6649" width="18.140625" bestFit="1" customWidth="1"/>
    <col min="6650" max="6650" width="18.85546875" customWidth="1"/>
    <col min="6651" max="6651" width="15" bestFit="1" customWidth="1"/>
    <col min="6652" max="6652" width="15" customWidth="1"/>
    <col min="6653" max="6654" width="14.5703125" customWidth="1"/>
    <col min="6655" max="6655" width="85.42578125" bestFit="1" customWidth="1"/>
    <col min="6656" max="6656" width="20" bestFit="1" customWidth="1"/>
    <col min="6657" max="6657" width="18.7109375" bestFit="1" customWidth="1"/>
    <col min="6658" max="6658" width="10.42578125" bestFit="1" customWidth="1"/>
    <col min="6659" max="6659" width="13.42578125" bestFit="1" customWidth="1"/>
    <col min="6660" max="6660" width="12.140625" customWidth="1"/>
    <col min="6661" max="6661" width="21.140625" customWidth="1"/>
    <col min="6662" max="6662" width="18.85546875" bestFit="1" customWidth="1"/>
    <col min="6667" max="6667" width="22.28515625" bestFit="1" customWidth="1"/>
    <col min="6904" max="6904" width="14.42578125" customWidth="1"/>
    <col min="6905" max="6905" width="18.140625" bestFit="1" customWidth="1"/>
    <col min="6906" max="6906" width="18.85546875" customWidth="1"/>
    <col min="6907" max="6907" width="15" bestFit="1" customWidth="1"/>
    <col min="6908" max="6908" width="15" customWidth="1"/>
    <col min="6909" max="6910" width="14.5703125" customWidth="1"/>
    <col min="6911" max="6911" width="85.42578125" bestFit="1" customWidth="1"/>
    <col min="6912" max="6912" width="20" bestFit="1" customWidth="1"/>
    <col min="6913" max="6913" width="18.7109375" bestFit="1" customWidth="1"/>
    <col min="6914" max="6914" width="10.42578125" bestFit="1" customWidth="1"/>
    <col min="6915" max="6915" width="13.42578125" bestFit="1" customWidth="1"/>
    <col min="6916" max="6916" width="12.140625" customWidth="1"/>
    <col min="6917" max="6917" width="21.140625" customWidth="1"/>
    <col min="6918" max="6918" width="18.85546875" bestFit="1" customWidth="1"/>
    <col min="6923" max="6923" width="22.28515625" bestFit="1" customWidth="1"/>
    <col min="7160" max="7160" width="14.42578125" customWidth="1"/>
    <col min="7161" max="7161" width="18.140625" bestFit="1" customWidth="1"/>
    <col min="7162" max="7162" width="18.85546875" customWidth="1"/>
    <col min="7163" max="7163" width="15" bestFit="1" customWidth="1"/>
    <col min="7164" max="7164" width="15" customWidth="1"/>
    <col min="7165" max="7166" width="14.5703125" customWidth="1"/>
    <col min="7167" max="7167" width="85.42578125" bestFit="1" customWidth="1"/>
    <col min="7168" max="7168" width="20" bestFit="1" customWidth="1"/>
    <col min="7169" max="7169" width="18.7109375" bestFit="1" customWidth="1"/>
    <col min="7170" max="7170" width="10.42578125" bestFit="1" customWidth="1"/>
    <col min="7171" max="7171" width="13.42578125" bestFit="1" customWidth="1"/>
    <col min="7172" max="7172" width="12.140625" customWidth="1"/>
    <col min="7173" max="7173" width="21.140625" customWidth="1"/>
    <col min="7174" max="7174" width="18.85546875" bestFit="1" customWidth="1"/>
    <col min="7179" max="7179" width="22.28515625" bestFit="1" customWidth="1"/>
    <col min="7416" max="7416" width="14.42578125" customWidth="1"/>
    <col min="7417" max="7417" width="18.140625" bestFit="1" customWidth="1"/>
    <col min="7418" max="7418" width="18.85546875" customWidth="1"/>
    <col min="7419" max="7419" width="15" bestFit="1" customWidth="1"/>
    <col min="7420" max="7420" width="15" customWidth="1"/>
    <col min="7421" max="7422" width="14.5703125" customWidth="1"/>
    <col min="7423" max="7423" width="85.42578125" bestFit="1" customWidth="1"/>
    <col min="7424" max="7424" width="20" bestFit="1" customWidth="1"/>
    <col min="7425" max="7425" width="18.7109375" bestFit="1" customWidth="1"/>
    <col min="7426" max="7426" width="10.42578125" bestFit="1" customWidth="1"/>
    <col min="7427" max="7427" width="13.42578125" bestFit="1" customWidth="1"/>
    <col min="7428" max="7428" width="12.140625" customWidth="1"/>
    <col min="7429" max="7429" width="21.140625" customWidth="1"/>
    <col min="7430" max="7430" width="18.85546875" bestFit="1" customWidth="1"/>
    <col min="7435" max="7435" width="22.28515625" bestFit="1" customWidth="1"/>
    <col min="7672" max="7672" width="14.42578125" customWidth="1"/>
    <col min="7673" max="7673" width="18.140625" bestFit="1" customWidth="1"/>
    <col min="7674" max="7674" width="18.85546875" customWidth="1"/>
    <col min="7675" max="7675" width="15" bestFit="1" customWidth="1"/>
    <col min="7676" max="7676" width="15" customWidth="1"/>
    <col min="7677" max="7678" width="14.5703125" customWidth="1"/>
    <col min="7679" max="7679" width="85.42578125" bestFit="1" customWidth="1"/>
    <col min="7680" max="7680" width="20" bestFit="1" customWidth="1"/>
    <col min="7681" max="7681" width="18.7109375" bestFit="1" customWidth="1"/>
    <col min="7682" max="7682" width="10.42578125" bestFit="1" customWidth="1"/>
    <col min="7683" max="7683" width="13.42578125" bestFit="1" customWidth="1"/>
    <col min="7684" max="7684" width="12.140625" customWidth="1"/>
    <col min="7685" max="7685" width="21.140625" customWidth="1"/>
    <col min="7686" max="7686" width="18.85546875" bestFit="1" customWidth="1"/>
    <col min="7691" max="7691" width="22.28515625" bestFit="1" customWidth="1"/>
    <col min="7928" max="7928" width="14.42578125" customWidth="1"/>
    <col min="7929" max="7929" width="18.140625" bestFit="1" customWidth="1"/>
    <col min="7930" max="7930" width="18.85546875" customWidth="1"/>
    <col min="7931" max="7931" width="15" bestFit="1" customWidth="1"/>
    <col min="7932" max="7932" width="15" customWidth="1"/>
    <col min="7933" max="7934" width="14.5703125" customWidth="1"/>
    <col min="7935" max="7935" width="85.42578125" bestFit="1" customWidth="1"/>
    <col min="7936" max="7936" width="20" bestFit="1" customWidth="1"/>
    <col min="7937" max="7937" width="18.7109375" bestFit="1" customWidth="1"/>
    <col min="7938" max="7938" width="10.42578125" bestFit="1" customWidth="1"/>
    <col min="7939" max="7939" width="13.42578125" bestFit="1" customWidth="1"/>
    <col min="7940" max="7940" width="12.140625" customWidth="1"/>
    <col min="7941" max="7941" width="21.140625" customWidth="1"/>
    <col min="7942" max="7942" width="18.85546875" bestFit="1" customWidth="1"/>
    <col min="7947" max="7947" width="22.28515625" bestFit="1" customWidth="1"/>
    <col min="8184" max="8184" width="14.42578125" customWidth="1"/>
    <col min="8185" max="8185" width="18.140625" bestFit="1" customWidth="1"/>
    <col min="8186" max="8186" width="18.85546875" customWidth="1"/>
    <col min="8187" max="8187" width="15" bestFit="1" customWidth="1"/>
    <col min="8188" max="8188" width="15" customWidth="1"/>
    <col min="8189" max="8190" width="14.5703125" customWidth="1"/>
    <col min="8191" max="8191" width="85.42578125" bestFit="1" customWidth="1"/>
    <col min="8192" max="8192" width="20" bestFit="1" customWidth="1"/>
    <col min="8193" max="8193" width="18.7109375" bestFit="1" customWidth="1"/>
    <col min="8194" max="8194" width="10.42578125" bestFit="1" customWidth="1"/>
    <col min="8195" max="8195" width="13.42578125" bestFit="1" customWidth="1"/>
    <col min="8196" max="8196" width="12.140625" customWidth="1"/>
    <col min="8197" max="8197" width="21.140625" customWidth="1"/>
    <col min="8198" max="8198" width="18.85546875" bestFit="1" customWidth="1"/>
    <col min="8203" max="8203" width="22.28515625" bestFit="1" customWidth="1"/>
    <col min="8440" max="8440" width="14.42578125" customWidth="1"/>
    <col min="8441" max="8441" width="18.140625" bestFit="1" customWidth="1"/>
    <col min="8442" max="8442" width="18.85546875" customWidth="1"/>
    <col min="8443" max="8443" width="15" bestFit="1" customWidth="1"/>
    <col min="8444" max="8444" width="15" customWidth="1"/>
    <col min="8445" max="8446" width="14.5703125" customWidth="1"/>
    <col min="8447" max="8447" width="85.42578125" bestFit="1" customWidth="1"/>
    <col min="8448" max="8448" width="20" bestFit="1" customWidth="1"/>
    <col min="8449" max="8449" width="18.7109375" bestFit="1" customWidth="1"/>
    <col min="8450" max="8450" width="10.42578125" bestFit="1" customWidth="1"/>
    <col min="8451" max="8451" width="13.42578125" bestFit="1" customWidth="1"/>
    <col min="8452" max="8452" width="12.140625" customWidth="1"/>
    <col min="8453" max="8453" width="21.140625" customWidth="1"/>
    <col min="8454" max="8454" width="18.85546875" bestFit="1" customWidth="1"/>
    <col min="8459" max="8459" width="22.28515625" bestFit="1" customWidth="1"/>
    <col min="8696" max="8696" width="14.42578125" customWidth="1"/>
    <col min="8697" max="8697" width="18.140625" bestFit="1" customWidth="1"/>
    <col min="8698" max="8698" width="18.85546875" customWidth="1"/>
    <col min="8699" max="8699" width="15" bestFit="1" customWidth="1"/>
    <col min="8700" max="8700" width="15" customWidth="1"/>
    <col min="8701" max="8702" width="14.5703125" customWidth="1"/>
    <col min="8703" max="8703" width="85.42578125" bestFit="1" customWidth="1"/>
    <col min="8704" max="8704" width="20" bestFit="1" customWidth="1"/>
    <col min="8705" max="8705" width="18.7109375" bestFit="1" customWidth="1"/>
    <col min="8706" max="8706" width="10.42578125" bestFit="1" customWidth="1"/>
    <col min="8707" max="8707" width="13.42578125" bestFit="1" customWidth="1"/>
    <col min="8708" max="8708" width="12.140625" customWidth="1"/>
    <col min="8709" max="8709" width="21.140625" customWidth="1"/>
    <col min="8710" max="8710" width="18.85546875" bestFit="1" customWidth="1"/>
    <col min="8715" max="8715" width="22.28515625" bestFit="1" customWidth="1"/>
    <col min="8952" max="8952" width="14.42578125" customWidth="1"/>
    <col min="8953" max="8953" width="18.140625" bestFit="1" customWidth="1"/>
    <col min="8954" max="8954" width="18.85546875" customWidth="1"/>
    <col min="8955" max="8955" width="15" bestFit="1" customWidth="1"/>
    <col min="8956" max="8956" width="15" customWidth="1"/>
    <col min="8957" max="8958" width="14.5703125" customWidth="1"/>
    <col min="8959" max="8959" width="85.42578125" bestFit="1" customWidth="1"/>
    <col min="8960" max="8960" width="20" bestFit="1" customWidth="1"/>
    <col min="8961" max="8961" width="18.7109375" bestFit="1" customWidth="1"/>
    <col min="8962" max="8962" width="10.42578125" bestFit="1" customWidth="1"/>
    <col min="8963" max="8963" width="13.42578125" bestFit="1" customWidth="1"/>
    <col min="8964" max="8964" width="12.140625" customWidth="1"/>
    <col min="8965" max="8965" width="21.140625" customWidth="1"/>
    <col min="8966" max="8966" width="18.85546875" bestFit="1" customWidth="1"/>
    <col min="8971" max="8971" width="22.28515625" bestFit="1" customWidth="1"/>
    <col min="9208" max="9208" width="14.42578125" customWidth="1"/>
    <col min="9209" max="9209" width="18.140625" bestFit="1" customWidth="1"/>
    <col min="9210" max="9210" width="18.85546875" customWidth="1"/>
    <col min="9211" max="9211" width="15" bestFit="1" customWidth="1"/>
    <col min="9212" max="9212" width="15" customWidth="1"/>
    <col min="9213" max="9214" width="14.5703125" customWidth="1"/>
    <col min="9215" max="9215" width="85.42578125" bestFit="1" customWidth="1"/>
    <col min="9216" max="9216" width="20" bestFit="1" customWidth="1"/>
    <col min="9217" max="9217" width="18.7109375" bestFit="1" customWidth="1"/>
    <col min="9218" max="9218" width="10.42578125" bestFit="1" customWidth="1"/>
    <col min="9219" max="9219" width="13.42578125" bestFit="1" customWidth="1"/>
    <col min="9220" max="9220" width="12.140625" customWidth="1"/>
    <col min="9221" max="9221" width="21.140625" customWidth="1"/>
    <col min="9222" max="9222" width="18.85546875" bestFit="1" customWidth="1"/>
    <col min="9227" max="9227" width="22.28515625" bestFit="1" customWidth="1"/>
    <col min="9464" max="9464" width="14.42578125" customWidth="1"/>
    <col min="9465" max="9465" width="18.140625" bestFit="1" customWidth="1"/>
    <col min="9466" max="9466" width="18.85546875" customWidth="1"/>
    <col min="9467" max="9467" width="15" bestFit="1" customWidth="1"/>
    <col min="9468" max="9468" width="15" customWidth="1"/>
    <col min="9469" max="9470" width="14.5703125" customWidth="1"/>
    <col min="9471" max="9471" width="85.42578125" bestFit="1" customWidth="1"/>
    <col min="9472" max="9472" width="20" bestFit="1" customWidth="1"/>
    <col min="9473" max="9473" width="18.7109375" bestFit="1" customWidth="1"/>
    <col min="9474" max="9474" width="10.42578125" bestFit="1" customWidth="1"/>
    <col min="9475" max="9475" width="13.42578125" bestFit="1" customWidth="1"/>
    <col min="9476" max="9476" width="12.140625" customWidth="1"/>
    <col min="9477" max="9477" width="21.140625" customWidth="1"/>
    <col min="9478" max="9478" width="18.85546875" bestFit="1" customWidth="1"/>
    <col min="9483" max="9483" width="22.28515625" bestFit="1" customWidth="1"/>
    <col min="9720" max="9720" width="14.42578125" customWidth="1"/>
    <col min="9721" max="9721" width="18.140625" bestFit="1" customWidth="1"/>
    <col min="9722" max="9722" width="18.85546875" customWidth="1"/>
    <col min="9723" max="9723" width="15" bestFit="1" customWidth="1"/>
    <col min="9724" max="9724" width="15" customWidth="1"/>
    <col min="9725" max="9726" width="14.5703125" customWidth="1"/>
    <col min="9727" max="9727" width="85.42578125" bestFit="1" customWidth="1"/>
    <col min="9728" max="9728" width="20" bestFit="1" customWidth="1"/>
    <col min="9729" max="9729" width="18.7109375" bestFit="1" customWidth="1"/>
    <col min="9730" max="9730" width="10.42578125" bestFit="1" customWidth="1"/>
    <col min="9731" max="9731" width="13.42578125" bestFit="1" customWidth="1"/>
    <col min="9732" max="9732" width="12.140625" customWidth="1"/>
    <col min="9733" max="9733" width="21.140625" customWidth="1"/>
    <col min="9734" max="9734" width="18.85546875" bestFit="1" customWidth="1"/>
    <col min="9739" max="9739" width="22.28515625" bestFit="1" customWidth="1"/>
    <col min="9976" max="9976" width="14.42578125" customWidth="1"/>
    <col min="9977" max="9977" width="18.140625" bestFit="1" customWidth="1"/>
    <col min="9978" max="9978" width="18.85546875" customWidth="1"/>
    <col min="9979" max="9979" width="15" bestFit="1" customWidth="1"/>
    <col min="9980" max="9980" width="15" customWidth="1"/>
    <col min="9981" max="9982" width="14.5703125" customWidth="1"/>
    <col min="9983" max="9983" width="85.42578125" bestFit="1" customWidth="1"/>
    <col min="9984" max="9984" width="20" bestFit="1" customWidth="1"/>
    <col min="9985" max="9985" width="18.7109375" bestFit="1" customWidth="1"/>
    <col min="9986" max="9986" width="10.42578125" bestFit="1" customWidth="1"/>
    <col min="9987" max="9987" width="13.42578125" bestFit="1" customWidth="1"/>
    <col min="9988" max="9988" width="12.140625" customWidth="1"/>
    <col min="9989" max="9989" width="21.140625" customWidth="1"/>
    <col min="9990" max="9990" width="18.85546875" bestFit="1" customWidth="1"/>
    <col min="9995" max="9995" width="22.28515625" bestFit="1" customWidth="1"/>
    <col min="10232" max="10232" width="14.42578125" customWidth="1"/>
    <col min="10233" max="10233" width="18.140625" bestFit="1" customWidth="1"/>
    <col min="10234" max="10234" width="18.85546875" customWidth="1"/>
    <col min="10235" max="10235" width="15" bestFit="1" customWidth="1"/>
    <col min="10236" max="10236" width="15" customWidth="1"/>
    <col min="10237" max="10238" width="14.5703125" customWidth="1"/>
    <col min="10239" max="10239" width="85.42578125" bestFit="1" customWidth="1"/>
    <col min="10240" max="10240" width="20" bestFit="1" customWidth="1"/>
    <col min="10241" max="10241" width="18.7109375" bestFit="1" customWidth="1"/>
    <col min="10242" max="10242" width="10.42578125" bestFit="1" customWidth="1"/>
    <col min="10243" max="10243" width="13.42578125" bestFit="1" customWidth="1"/>
    <col min="10244" max="10244" width="12.140625" customWidth="1"/>
    <col min="10245" max="10245" width="21.140625" customWidth="1"/>
    <col min="10246" max="10246" width="18.85546875" bestFit="1" customWidth="1"/>
    <col min="10251" max="10251" width="22.28515625" bestFit="1" customWidth="1"/>
    <col min="10488" max="10488" width="14.42578125" customWidth="1"/>
    <col min="10489" max="10489" width="18.140625" bestFit="1" customWidth="1"/>
    <col min="10490" max="10490" width="18.85546875" customWidth="1"/>
    <col min="10491" max="10491" width="15" bestFit="1" customWidth="1"/>
    <col min="10492" max="10492" width="15" customWidth="1"/>
    <col min="10493" max="10494" width="14.5703125" customWidth="1"/>
    <col min="10495" max="10495" width="85.42578125" bestFit="1" customWidth="1"/>
    <col min="10496" max="10496" width="20" bestFit="1" customWidth="1"/>
    <col min="10497" max="10497" width="18.7109375" bestFit="1" customWidth="1"/>
    <col min="10498" max="10498" width="10.42578125" bestFit="1" customWidth="1"/>
    <col min="10499" max="10499" width="13.42578125" bestFit="1" customWidth="1"/>
    <col min="10500" max="10500" width="12.140625" customWidth="1"/>
    <col min="10501" max="10501" width="21.140625" customWidth="1"/>
    <col min="10502" max="10502" width="18.85546875" bestFit="1" customWidth="1"/>
    <col min="10507" max="10507" width="22.28515625" bestFit="1" customWidth="1"/>
    <col min="10744" max="10744" width="14.42578125" customWidth="1"/>
    <col min="10745" max="10745" width="18.140625" bestFit="1" customWidth="1"/>
    <col min="10746" max="10746" width="18.85546875" customWidth="1"/>
    <col min="10747" max="10747" width="15" bestFit="1" customWidth="1"/>
    <col min="10748" max="10748" width="15" customWidth="1"/>
    <col min="10749" max="10750" width="14.5703125" customWidth="1"/>
    <col min="10751" max="10751" width="85.42578125" bestFit="1" customWidth="1"/>
    <col min="10752" max="10752" width="20" bestFit="1" customWidth="1"/>
    <col min="10753" max="10753" width="18.7109375" bestFit="1" customWidth="1"/>
    <col min="10754" max="10754" width="10.42578125" bestFit="1" customWidth="1"/>
    <col min="10755" max="10755" width="13.42578125" bestFit="1" customWidth="1"/>
    <col min="10756" max="10756" width="12.140625" customWidth="1"/>
    <col min="10757" max="10757" width="21.140625" customWidth="1"/>
    <col min="10758" max="10758" width="18.85546875" bestFit="1" customWidth="1"/>
    <col min="10763" max="10763" width="22.28515625" bestFit="1" customWidth="1"/>
    <col min="11000" max="11000" width="14.42578125" customWidth="1"/>
    <col min="11001" max="11001" width="18.140625" bestFit="1" customWidth="1"/>
    <col min="11002" max="11002" width="18.85546875" customWidth="1"/>
    <col min="11003" max="11003" width="15" bestFit="1" customWidth="1"/>
    <col min="11004" max="11004" width="15" customWidth="1"/>
    <col min="11005" max="11006" width="14.5703125" customWidth="1"/>
    <col min="11007" max="11007" width="85.42578125" bestFit="1" customWidth="1"/>
    <col min="11008" max="11008" width="20" bestFit="1" customWidth="1"/>
    <col min="11009" max="11009" width="18.7109375" bestFit="1" customWidth="1"/>
    <col min="11010" max="11010" width="10.42578125" bestFit="1" customWidth="1"/>
    <col min="11011" max="11011" width="13.42578125" bestFit="1" customWidth="1"/>
    <col min="11012" max="11012" width="12.140625" customWidth="1"/>
    <col min="11013" max="11013" width="21.140625" customWidth="1"/>
    <col min="11014" max="11014" width="18.85546875" bestFit="1" customWidth="1"/>
    <col min="11019" max="11019" width="22.28515625" bestFit="1" customWidth="1"/>
    <col min="11256" max="11256" width="14.42578125" customWidth="1"/>
    <col min="11257" max="11257" width="18.140625" bestFit="1" customWidth="1"/>
    <col min="11258" max="11258" width="18.85546875" customWidth="1"/>
    <col min="11259" max="11259" width="15" bestFit="1" customWidth="1"/>
    <col min="11260" max="11260" width="15" customWidth="1"/>
    <col min="11261" max="11262" width="14.5703125" customWidth="1"/>
    <col min="11263" max="11263" width="85.42578125" bestFit="1" customWidth="1"/>
    <col min="11264" max="11264" width="20" bestFit="1" customWidth="1"/>
    <col min="11265" max="11265" width="18.7109375" bestFit="1" customWidth="1"/>
    <col min="11266" max="11266" width="10.42578125" bestFit="1" customWidth="1"/>
    <col min="11267" max="11267" width="13.42578125" bestFit="1" customWidth="1"/>
    <col min="11268" max="11268" width="12.140625" customWidth="1"/>
    <col min="11269" max="11269" width="21.140625" customWidth="1"/>
    <col min="11270" max="11270" width="18.85546875" bestFit="1" customWidth="1"/>
    <col min="11275" max="11275" width="22.28515625" bestFit="1" customWidth="1"/>
    <col min="11512" max="11512" width="14.42578125" customWidth="1"/>
    <col min="11513" max="11513" width="18.140625" bestFit="1" customWidth="1"/>
    <col min="11514" max="11514" width="18.85546875" customWidth="1"/>
    <col min="11515" max="11515" width="15" bestFit="1" customWidth="1"/>
    <col min="11516" max="11516" width="15" customWidth="1"/>
    <col min="11517" max="11518" width="14.5703125" customWidth="1"/>
    <col min="11519" max="11519" width="85.42578125" bestFit="1" customWidth="1"/>
    <col min="11520" max="11520" width="20" bestFit="1" customWidth="1"/>
    <col min="11521" max="11521" width="18.7109375" bestFit="1" customWidth="1"/>
    <col min="11522" max="11522" width="10.42578125" bestFit="1" customWidth="1"/>
    <col min="11523" max="11523" width="13.42578125" bestFit="1" customWidth="1"/>
    <col min="11524" max="11524" width="12.140625" customWidth="1"/>
    <col min="11525" max="11525" width="21.140625" customWidth="1"/>
    <col min="11526" max="11526" width="18.85546875" bestFit="1" customWidth="1"/>
    <col min="11531" max="11531" width="22.28515625" bestFit="1" customWidth="1"/>
    <col min="11768" max="11768" width="14.42578125" customWidth="1"/>
    <col min="11769" max="11769" width="18.140625" bestFit="1" customWidth="1"/>
    <col min="11770" max="11770" width="18.85546875" customWidth="1"/>
    <col min="11771" max="11771" width="15" bestFit="1" customWidth="1"/>
    <col min="11772" max="11772" width="15" customWidth="1"/>
    <col min="11773" max="11774" width="14.5703125" customWidth="1"/>
    <col min="11775" max="11775" width="85.42578125" bestFit="1" customWidth="1"/>
    <col min="11776" max="11776" width="20" bestFit="1" customWidth="1"/>
    <col min="11777" max="11777" width="18.7109375" bestFit="1" customWidth="1"/>
    <col min="11778" max="11778" width="10.42578125" bestFit="1" customWidth="1"/>
    <col min="11779" max="11779" width="13.42578125" bestFit="1" customWidth="1"/>
    <col min="11780" max="11780" width="12.140625" customWidth="1"/>
    <col min="11781" max="11781" width="21.140625" customWidth="1"/>
    <col min="11782" max="11782" width="18.85546875" bestFit="1" customWidth="1"/>
    <col min="11787" max="11787" width="22.28515625" bestFit="1" customWidth="1"/>
    <col min="12024" max="12024" width="14.42578125" customWidth="1"/>
    <col min="12025" max="12025" width="18.140625" bestFit="1" customWidth="1"/>
    <col min="12026" max="12026" width="18.85546875" customWidth="1"/>
    <col min="12027" max="12027" width="15" bestFit="1" customWidth="1"/>
    <col min="12028" max="12028" width="15" customWidth="1"/>
    <col min="12029" max="12030" width="14.5703125" customWidth="1"/>
    <col min="12031" max="12031" width="85.42578125" bestFit="1" customWidth="1"/>
    <col min="12032" max="12032" width="20" bestFit="1" customWidth="1"/>
    <col min="12033" max="12033" width="18.7109375" bestFit="1" customWidth="1"/>
    <col min="12034" max="12034" width="10.42578125" bestFit="1" customWidth="1"/>
    <col min="12035" max="12035" width="13.42578125" bestFit="1" customWidth="1"/>
    <col min="12036" max="12036" width="12.140625" customWidth="1"/>
    <col min="12037" max="12037" width="21.140625" customWidth="1"/>
    <col min="12038" max="12038" width="18.85546875" bestFit="1" customWidth="1"/>
    <col min="12043" max="12043" width="22.28515625" bestFit="1" customWidth="1"/>
    <col min="12280" max="12280" width="14.42578125" customWidth="1"/>
    <col min="12281" max="12281" width="18.140625" bestFit="1" customWidth="1"/>
    <col min="12282" max="12282" width="18.85546875" customWidth="1"/>
    <col min="12283" max="12283" width="15" bestFit="1" customWidth="1"/>
    <col min="12284" max="12284" width="15" customWidth="1"/>
    <col min="12285" max="12286" width="14.5703125" customWidth="1"/>
    <col min="12287" max="12287" width="85.42578125" bestFit="1" customWidth="1"/>
    <col min="12288" max="12288" width="20" bestFit="1" customWidth="1"/>
    <col min="12289" max="12289" width="18.7109375" bestFit="1" customWidth="1"/>
    <col min="12290" max="12290" width="10.42578125" bestFit="1" customWidth="1"/>
    <col min="12291" max="12291" width="13.42578125" bestFit="1" customWidth="1"/>
    <col min="12292" max="12292" width="12.140625" customWidth="1"/>
    <col min="12293" max="12293" width="21.140625" customWidth="1"/>
    <col min="12294" max="12294" width="18.85546875" bestFit="1" customWidth="1"/>
    <col min="12299" max="12299" width="22.28515625" bestFit="1" customWidth="1"/>
    <col min="12536" max="12536" width="14.42578125" customWidth="1"/>
    <col min="12537" max="12537" width="18.140625" bestFit="1" customWidth="1"/>
    <col min="12538" max="12538" width="18.85546875" customWidth="1"/>
    <col min="12539" max="12539" width="15" bestFit="1" customWidth="1"/>
    <col min="12540" max="12540" width="15" customWidth="1"/>
    <col min="12541" max="12542" width="14.5703125" customWidth="1"/>
    <col min="12543" max="12543" width="85.42578125" bestFit="1" customWidth="1"/>
    <col min="12544" max="12544" width="20" bestFit="1" customWidth="1"/>
    <col min="12545" max="12545" width="18.7109375" bestFit="1" customWidth="1"/>
    <col min="12546" max="12546" width="10.42578125" bestFit="1" customWidth="1"/>
    <col min="12547" max="12547" width="13.42578125" bestFit="1" customWidth="1"/>
    <col min="12548" max="12548" width="12.140625" customWidth="1"/>
    <col min="12549" max="12549" width="21.140625" customWidth="1"/>
    <col min="12550" max="12550" width="18.85546875" bestFit="1" customWidth="1"/>
    <col min="12555" max="12555" width="22.28515625" bestFit="1" customWidth="1"/>
    <col min="12792" max="12792" width="14.42578125" customWidth="1"/>
    <col min="12793" max="12793" width="18.140625" bestFit="1" customWidth="1"/>
    <col min="12794" max="12794" width="18.85546875" customWidth="1"/>
    <col min="12795" max="12795" width="15" bestFit="1" customWidth="1"/>
    <col min="12796" max="12796" width="15" customWidth="1"/>
    <col min="12797" max="12798" width="14.5703125" customWidth="1"/>
    <col min="12799" max="12799" width="85.42578125" bestFit="1" customWidth="1"/>
    <col min="12800" max="12800" width="20" bestFit="1" customWidth="1"/>
    <col min="12801" max="12801" width="18.7109375" bestFit="1" customWidth="1"/>
    <col min="12802" max="12802" width="10.42578125" bestFit="1" customWidth="1"/>
    <col min="12803" max="12803" width="13.42578125" bestFit="1" customWidth="1"/>
    <col min="12804" max="12804" width="12.140625" customWidth="1"/>
    <col min="12805" max="12805" width="21.140625" customWidth="1"/>
    <col min="12806" max="12806" width="18.85546875" bestFit="1" customWidth="1"/>
    <col min="12811" max="12811" width="22.28515625" bestFit="1" customWidth="1"/>
    <col min="13048" max="13048" width="14.42578125" customWidth="1"/>
    <col min="13049" max="13049" width="18.140625" bestFit="1" customWidth="1"/>
    <col min="13050" max="13050" width="18.85546875" customWidth="1"/>
    <col min="13051" max="13051" width="15" bestFit="1" customWidth="1"/>
    <col min="13052" max="13052" width="15" customWidth="1"/>
    <col min="13053" max="13054" width="14.5703125" customWidth="1"/>
    <col min="13055" max="13055" width="85.42578125" bestFit="1" customWidth="1"/>
    <col min="13056" max="13056" width="20" bestFit="1" customWidth="1"/>
    <col min="13057" max="13057" width="18.7109375" bestFit="1" customWidth="1"/>
    <col min="13058" max="13058" width="10.42578125" bestFit="1" customWidth="1"/>
    <col min="13059" max="13059" width="13.42578125" bestFit="1" customWidth="1"/>
    <col min="13060" max="13060" width="12.140625" customWidth="1"/>
    <col min="13061" max="13061" width="21.140625" customWidth="1"/>
    <col min="13062" max="13062" width="18.85546875" bestFit="1" customWidth="1"/>
    <col min="13067" max="13067" width="22.28515625" bestFit="1" customWidth="1"/>
    <col min="13304" max="13304" width="14.42578125" customWidth="1"/>
    <col min="13305" max="13305" width="18.140625" bestFit="1" customWidth="1"/>
    <col min="13306" max="13306" width="18.85546875" customWidth="1"/>
    <col min="13307" max="13307" width="15" bestFit="1" customWidth="1"/>
    <col min="13308" max="13308" width="15" customWidth="1"/>
    <col min="13309" max="13310" width="14.5703125" customWidth="1"/>
    <col min="13311" max="13311" width="85.42578125" bestFit="1" customWidth="1"/>
    <col min="13312" max="13312" width="20" bestFit="1" customWidth="1"/>
    <col min="13313" max="13313" width="18.7109375" bestFit="1" customWidth="1"/>
    <col min="13314" max="13314" width="10.42578125" bestFit="1" customWidth="1"/>
    <col min="13315" max="13315" width="13.42578125" bestFit="1" customWidth="1"/>
    <col min="13316" max="13316" width="12.140625" customWidth="1"/>
    <col min="13317" max="13317" width="21.140625" customWidth="1"/>
    <col min="13318" max="13318" width="18.85546875" bestFit="1" customWidth="1"/>
    <col min="13323" max="13323" width="22.28515625" bestFit="1" customWidth="1"/>
    <col min="13560" max="13560" width="14.42578125" customWidth="1"/>
    <col min="13561" max="13561" width="18.140625" bestFit="1" customWidth="1"/>
    <col min="13562" max="13562" width="18.85546875" customWidth="1"/>
    <col min="13563" max="13563" width="15" bestFit="1" customWidth="1"/>
    <col min="13564" max="13564" width="15" customWidth="1"/>
    <col min="13565" max="13566" width="14.5703125" customWidth="1"/>
    <col min="13567" max="13567" width="85.42578125" bestFit="1" customWidth="1"/>
    <col min="13568" max="13568" width="20" bestFit="1" customWidth="1"/>
    <col min="13569" max="13569" width="18.7109375" bestFit="1" customWidth="1"/>
    <col min="13570" max="13570" width="10.42578125" bestFit="1" customWidth="1"/>
    <col min="13571" max="13571" width="13.42578125" bestFit="1" customWidth="1"/>
    <col min="13572" max="13572" width="12.140625" customWidth="1"/>
    <col min="13573" max="13573" width="21.140625" customWidth="1"/>
    <col min="13574" max="13574" width="18.85546875" bestFit="1" customWidth="1"/>
    <col min="13579" max="13579" width="22.28515625" bestFit="1" customWidth="1"/>
    <col min="13816" max="13816" width="14.42578125" customWidth="1"/>
    <col min="13817" max="13817" width="18.140625" bestFit="1" customWidth="1"/>
    <col min="13818" max="13818" width="18.85546875" customWidth="1"/>
    <col min="13819" max="13819" width="15" bestFit="1" customWidth="1"/>
    <col min="13820" max="13820" width="15" customWidth="1"/>
    <col min="13821" max="13822" width="14.5703125" customWidth="1"/>
    <col min="13823" max="13823" width="85.42578125" bestFit="1" customWidth="1"/>
    <col min="13824" max="13824" width="20" bestFit="1" customWidth="1"/>
    <col min="13825" max="13825" width="18.7109375" bestFit="1" customWidth="1"/>
    <col min="13826" max="13826" width="10.42578125" bestFit="1" customWidth="1"/>
    <col min="13827" max="13827" width="13.42578125" bestFit="1" customWidth="1"/>
    <col min="13828" max="13828" width="12.140625" customWidth="1"/>
    <col min="13829" max="13829" width="21.140625" customWidth="1"/>
    <col min="13830" max="13830" width="18.85546875" bestFit="1" customWidth="1"/>
    <col min="13835" max="13835" width="22.28515625" bestFit="1" customWidth="1"/>
    <col min="14072" max="14072" width="14.42578125" customWidth="1"/>
    <col min="14073" max="14073" width="18.140625" bestFit="1" customWidth="1"/>
    <col min="14074" max="14074" width="18.85546875" customWidth="1"/>
    <col min="14075" max="14075" width="15" bestFit="1" customWidth="1"/>
    <col min="14076" max="14076" width="15" customWidth="1"/>
    <col min="14077" max="14078" width="14.5703125" customWidth="1"/>
    <col min="14079" max="14079" width="85.42578125" bestFit="1" customWidth="1"/>
    <col min="14080" max="14080" width="20" bestFit="1" customWidth="1"/>
    <col min="14081" max="14081" width="18.7109375" bestFit="1" customWidth="1"/>
    <col min="14082" max="14082" width="10.42578125" bestFit="1" customWidth="1"/>
    <col min="14083" max="14083" width="13.42578125" bestFit="1" customWidth="1"/>
    <col min="14084" max="14084" width="12.140625" customWidth="1"/>
    <col min="14085" max="14085" width="21.140625" customWidth="1"/>
    <col min="14086" max="14086" width="18.85546875" bestFit="1" customWidth="1"/>
    <col min="14091" max="14091" width="22.28515625" bestFit="1" customWidth="1"/>
    <col min="14328" max="14328" width="14.42578125" customWidth="1"/>
    <col min="14329" max="14329" width="18.140625" bestFit="1" customWidth="1"/>
    <col min="14330" max="14330" width="18.85546875" customWidth="1"/>
    <col min="14331" max="14331" width="15" bestFit="1" customWidth="1"/>
    <col min="14332" max="14332" width="15" customWidth="1"/>
    <col min="14333" max="14334" width="14.5703125" customWidth="1"/>
    <col min="14335" max="14335" width="85.42578125" bestFit="1" customWidth="1"/>
    <col min="14336" max="14336" width="20" bestFit="1" customWidth="1"/>
    <col min="14337" max="14337" width="18.7109375" bestFit="1" customWidth="1"/>
    <col min="14338" max="14338" width="10.42578125" bestFit="1" customWidth="1"/>
    <col min="14339" max="14339" width="13.42578125" bestFit="1" customWidth="1"/>
    <col min="14340" max="14340" width="12.140625" customWidth="1"/>
    <col min="14341" max="14341" width="21.140625" customWidth="1"/>
    <col min="14342" max="14342" width="18.85546875" bestFit="1" customWidth="1"/>
    <col min="14347" max="14347" width="22.28515625" bestFit="1" customWidth="1"/>
    <col min="14584" max="14584" width="14.42578125" customWidth="1"/>
    <col min="14585" max="14585" width="18.140625" bestFit="1" customWidth="1"/>
    <col min="14586" max="14586" width="18.85546875" customWidth="1"/>
    <col min="14587" max="14587" width="15" bestFit="1" customWidth="1"/>
    <col min="14588" max="14588" width="15" customWidth="1"/>
    <col min="14589" max="14590" width="14.5703125" customWidth="1"/>
    <col min="14591" max="14591" width="85.42578125" bestFit="1" customWidth="1"/>
    <col min="14592" max="14592" width="20" bestFit="1" customWidth="1"/>
    <col min="14593" max="14593" width="18.7109375" bestFit="1" customWidth="1"/>
    <col min="14594" max="14594" width="10.42578125" bestFit="1" customWidth="1"/>
    <col min="14595" max="14595" width="13.42578125" bestFit="1" customWidth="1"/>
    <col min="14596" max="14596" width="12.140625" customWidth="1"/>
    <col min="14597" max="14597" width="21.140625" customWidth="1"/>
    <col min="14598" max="14598" width="18.85546875" bestFit="1" customWidth="1"/>
    <col min="14603" max="14603" width="22.28515625" bestFit="1" customWidth="1"/>
    <col min="14840" max="14840" width="14.42578125" customWidth="1"/>
    <col min="14841" max="14841" width="18.140625" bestFit="1" customWidth="1"/>
    <col min="14842" max="14842" width="18.85546875" customWidth="1"/>
    <col min="14843" max="14843" width="15" bestFit="1" customWidth="1"/>
    <col min="14844" max="14844" width="15" customWidth="1"/>
    <col min="14845" max="14846" width="14.5703125" customWidth="1"/>
    <col min="14847" max="14847" width="85.42578125" bestFit="1" customWidth="1"/>
    <col min="14848" max="14848" width="20" bestFit="1" customWidth="1"/>
    <col min="14849" max="14849" width="18.7109375" bestFit="1" customWidth="1"/>
    <col min="14850" max="14850" width="10.42578125" bestFit="1" customWidth="1"/>
    <col min="14851" max="14851" width="13.42578125" bestFit="1" customWidth="1"/>
    <col min="14852" max="14852" width="12.140625" customWidth="1"/>
    <col min="14853" max="14853" width="21.140625" customWidth="1"/>
    <col min="14854" max="14854" width="18.85546875" bestFit="1" customWidth="1"/>
    <col min="14859" max="14859" width="22.28515625" bestFit="1" customWidth="1"/>
    <col min="15096" max="15096" width="14.42578125" customWidth="1"/>
    <col min="15097" max="15097" width="18.140625" bestFit="1" customWidth="1"/>
    <col min="15098" max="15098" width="18.85546875" customWidth="1"/>
    <col min="15099" max="15099" width="15" bestFit="1" customWidth="1"/>
    <col min="15100" max="15100" width="15" customWidth="1"/>
    <col min="15101" max="15102" width="14.5703125" customWidth="1"/>
    <col min="15103" max="15103" width="85.42578125" bestFit="1" customWidth="1"/>
    <col min="15104" max="15104" width="20" bestFit="1" customWidth="1"/>
    <col min="15105" max="15105" width="18.7109375" bestFit="1" customWidth="1"/>
    <col min="15106" max="15106" width="10.42578125" bestFit="1" customWidth="1"/>
    <col min="15107" max="15107" width="13.42578125" bestFit="1" customWidth="1"/>
    <col min="15108" max="15108" width="12.140625" customWidth="1"/>
    <col min="15109" max="15109" width="21.140625" customWidth="1"/>
    <col min="15110" max="15110" width="18.85546875" bestFit="1" customWidth="1"/>
    <col min="15115" max="15115" width="22.28515625" bestFit="1" customWidth="1"/>
    <col min="15352" max="15352" width="14.42578125" customWidth="1"/>
    <col min="15353" max="15353" width="18.140625" bestFit="1" customWidth="1"/>
    <col min="15354" max="15354" width="18.85546875" customWidth="1"/>
    <col min="15355" max="15355" width="15" bestFit="1" customWidth="1"/>
    <col min="15356" max="15356" width="15" customWidth="1"/>
    <col min="15357" max="15358" width="14.5703125" customWidth="1"/>
    <col min="15359" max="15359" width="85.42578125" bestFit="1" customWidth="1"/>
    <col min="15360" max="15360" width="20" bestFit="1" customWidth="1"/>
    <col min="15361" max="15361" width="18.7109375" bestFit="1" customWidth="1"/>
    <col min="15362" max="15362" width="10.42578125" bestFit="1" customWidth="1"/>
    <col min="15363" max="15363" width="13.42578125" bestFit="1" customWidth="1"/>
    <col min="15364" max="15364" width="12.140625" customWidth="1"/>
    <col min="15365" max="15365" width="21.140625" customWidth="1"/>
    <col min="15366" max="15366" width="18.85546875" bestFit="1" customWidth="1"/>
    <col min="15371" max="15371" width="22.28515625" bestFit="1" customWidth="1"/>
    <col min="15608" max="15608" width="14.42578125" customWidth="1"/>
    <col min="15609" max="15609" width="18.140625" bestFit="1" customWidth="1"/>
    <col min="15610" max="15610" width="18.85546875" customWidth="1"/>
    <col min="15611" max="15611" width="15" bestFit="1" customWidth="1"/>
    <col min="15612" max="15612" width="15" customWidth="1"/>
    <col min="15613" max="15614" width="14.5703125" customWidth="1"/>
    <col min="15615" max="15615" width="85.42578125" bestFit="1" customWidth="1"/>
    <col min="15616" max="15616" width="20" bestFit="1" customWidth="1"/>
    <col min="15617" max="15617" width="18.7109375" bestFit="1" customWidth="1"/>
    <col min="15618" max="15618" width="10.42578125" bestFit="1" customWidth="1"/>
    <col min="15619" max="15619" width="13.42578125" bestFit="1" customWidth="1"/>
    <col min="15620" max="15620" width="12.140625" customWidth="1"/>
    <col min="15621" max="15621" width="21.140625" customWidth="1"/>
    <col min="15622" max="15622" width="18.85546875" bestFit="1" customWidth="1"/>
    <col min="15627" max="15627" width="22.28515625" bestFit="1" customWidth="1"/>
    <col min="15864" max="15864" width="14.42578125" customWidth="1"/>
    <col min="15865" max="15865" width="18.140625" bestFit="1" customWidth="1"/>
    <col min="15866" max="15866" width="18.85546875" customWidth="1"/>
    <col min="15867" max="15867" width="15" bestFit="1" customWidth="1"/>
    <col min="15868" max="15868" width="15" customWidth="1"/>
    <col min="15869" max="15870" width="14.5703125" customWidth="1"/>
    <col min="15871" max="15871" width="85.42578125" bestFit="1" customWidth="1"/>
    <col min="15872" max="15872" width="20" bestFit="1" customWidth="1"/>
    <col min="15873" max="15873" width="18.7109375" bestFit="1" customWidth="1"/>
    <col min="15874" max="15874" width="10.42578125" bestFit="1" customWidth="1"/>
    <col min="15875" max="15875" width="13.42578125" bestFit="1" customWidth="1"/>
    <col min="15876" max="15876" width="12.140625" customWidth="1"/>
    <col min="15877" max="15877" width="21.140625" customWidth="1"/>
    <col min="15878" max="15878" width="18.85546875" bestFit="1" customWidth="1"/>
    <col min="15883" max="15883" width="22.28515625" bestFit="1" customWidth="1"/>
    <col min="16120" max="16120" width="14.42578125" customWidth="1"/>
    <col min="16121" max="16121" width="18.140625" bestFit="1" customWidth="1"/>
    <col min="16122" max="16122" width="18.85546875" customWidth="1"/>
    <col min="16123" max="16123" width="15" bestFit="1" customWidth="1"/>
    <col min="16124" max="16124" width="15" customWidth="1"/>
    <col min="16125" max="16126" width="14.5703125" customWidth="1"/>
    <col min="16127" max="16127" width="85.42578125" bestFit="1" customWidth="1"/>
    <col min="16128" max="16128" width="20" bestFit="1" customWidth="1"/>
    <col min="16129" max="16129" width="18.7109375" bestFit="1" customWidth="1"/>
    <col min="16130" max="16130" width="10.42578125" bestFit="1" customWidth="1"/>
    <col min="16131" max="16131" width="13.42578125" bestFit="1" customWidth="1"/>
    <col min="16132" max="16132" width="12.140625" customWidth="1"/>
    <col min="16133" max="16133" width="21.140625" customWidth="1"/>
    <col min="16134" max="16134" width="18.85546875" bestFit="1" customWidth="1"/>
    <col min="16139" max="16139" width="22.28515625" bestFit="1" customWidth="1"/>
  </cols>
  <sheetData>
    <row r="1" spans="1:11" ht="15" customHeight="1">
      <c r="A1" s="49" t="s">
        <v>582</v>
      </c>
      <c r="B1" s="49" t="s">
        <v>583</v>
      </c>
      <c r="C1" s="49" t="s">
        <v>584</v>
      </c>
      <c r="D1" s="49" t="s">
        <v>59</v>
      </c>
      <c r="E1" s="49" t="s">
        <v>585</v>
      </c>
      <c r="F1" s="49" t="s">
        <v>586</v>
      </c>
      <c r="G1" s="49" t="s">
        <v>587</v>
      </c>
      <c r="H1" s="49" t="s">
        <v>588</v>
      </c>
      <c r="I1" s="49" t="s">
        <v>589</v>
      </c>
      <c r="J1" s="49" t="s">
        <v>590</v>
      </c>
      <c r="K1" s="49" t="s">
        <v>591</v>
      </c>
    </row>
    <row r="2" spans="1:11" s="10" customFormat="1" ht="15" customHeight="1">
      <c r="A2" s="58">
        <v>2000</v>
      </c>
      <c r="B2" s="20" t="s">
        <v>450</v>
      </c>
      <c r="C2" s="58"/>
      <c r="D2" s="58" t="s">
        <v>76</v>
      </c>
      <c r="E2" s="58"/>
      <c r="F2" s="58"/>
      <c r="G2" s="58"/>
      <c r="H2" s="58"/>
      <c r="I2" s="58"/>
      <c r="J2" s="50">
        <v>7896886499716</v>
      </c>
      <c r="K2" s="58"/>
    </row>
    <row r="3" spans="1:11" s="10" customFormat="1" ht="15" customHeight="1">
      <c r="A3" s="50" t="s">
        <v>68</v>
      </c>
      <c r="B3" s="50" t="s">
        <v>69</v>
      </c>
      <c r="C3" s="50" t="s">
        <v>592</v>
      </c>
      <c r="D3" s="50" t="s">
        <v>70</v>
      </c>
      <c r="E3" s="51">
        <v>34.520000000000003</v>
      </c>
      <c r="F3" s="52">
        <v>46070</v>
      </c>
      <c r="G3" s="53">
        <v>5.0179999999999998</v>
      </c>
      <c r="H3" s="53">
        <v>5</v>
      </c>
      <c r="I3" s="53">
        <v>5</v>
      </c>
      <c r="J3" s="50">
        <v>7898694171204</v>
      </c>
      <c r="K3" s="50" t="s">
        <v>593</v>
      </c>
    </row>
    <row r="4" spans="1:11" s="9" customFormat="1" ht="15" customHeight="1">
      <c r="A4" s="54" t="s">
        <v>109</v>
      </c>
      <c r="B4" s="54" t="s">
        <v>110</v>
      </c>
      <c r="C4" s="54" t="s">
        <v>592</v>
      </c>
      <c r="D4" s="54" t="s">
        <v>70</v>
      </c>
      <c r="E4" s="55">
        <v>34.729999999999997</v>
      </c>
      <c r="F4" s="56">
        <v>46070</v>
      </c>
      <c r="G4" s="57">
        <v>5</v>
      </c>
      <c r="H4" s="57">
        <v>5</v>
      </c>
      <c r="I4" s="57">
        <v>5</v>
      </c>
      <c r="J4" s="54">
        <v>7898694171211</v>
      </c>
      <c r="K4" s="54" t="s">
        <v>594</v>
      </c>
    </row>
    <row r="5" spans="1:11" s="9" customFormat="1" ht="15" customHeight="1">
      <c r="A5" s="50" t="s">
        <v>595</v>
      </c>
      <c r="B5" s="50" t="s">
        <v>596</v>
      </c>
      <c r="C5" s="50" t="s">
        <v>592</v>
      </c>
      <c r="D5" s="50" t="s">
        <v>70</v>
      </c>
      <c r="E5" s="51">
        <v>0</v>
      </c>
      <c r="F5" s="52" t="s">
        <v>597</v>
      </c>
      <c r="G5" s="53">
        <v>5</v>
      </c>
      <c r="H5" s="53">
        <v>5</v>
      </c>
      <c r="I5" s="53">
        <v>0</v>
      </c>
      <c r="J5" s="50" t="s">
        <v>598</v>
      </c>
      <c r="K5" s="50" t="s">
        <v>598</v>
      </c>
    </row>
    <row r="6" spans="1:11" ht="15" customHeight="1">
      <c r="A6" s="54" t="s">
        <v>599</v>
      </c>
      <c r="B6" s="54" t="s">
        <v>600</v>
      </c>
      <c r="C6" s="54" t="s">
        <v>592</v>
      </c>
      <c r="D6" s="54" t="s">
        <v>70</v>
      </c>
      <c r="E6" s="55">
        <v>0</v>
      </c>
      <c r="F6" s="56" t="s">
        <v>597</v>
      </c>
      <c r="G6" s="57">
        <v>5</v>
      </c>
      <c r="H6" s="57">
        <v>5</v>
      </c>
      <c r="I6" s="57">
        <v>0</v>
      </c>
      <c r="J6" s="54" t="s">
        <v>601</v>
      </c>
      <c r="K6" s="54" t="s">
        <v>601</v>
      </c>
    </row>
    <row r="7" spans="1:11" ht="15" customHeight="1">
      <c r="A7" s="50" t="s">
        <v>602</v>
      </c>
      <c r="B7" s="50" t="s">
        <v>603</v>
      </c>
      <c r="C7" s="50" t="s">
        <v>592</v>
      </c>
      <c r="D7" s="50" t="s">
        <v>70</v>
      </c>
      <c r="E7" s="51">
        <v>0</v>
      </c>
      <c r="F7" s="52" t="s">
        <v>597</v>
      </c>
      <c r="G7" s="53">
        <v>5</v>
      </c>
      <c r="H7" s="53">
        <v>5</v>
      </c>
      <c r="I7" s="53">
        <v>5</v>
      </c>
      <c r="J7" s="50" t="s">
        <v>604</v>
      </c>
      <c r="K7" s="50" t="s">
        <v>604</v>
      </c>
    </row>
    <row r="8" spans="1:11" ht="15" customHeight="1">
      <c r="A8" s="54" t="s">
        <v>605</v>
      </c>
      <c r="B8" s="54" t="s">
        <v>606</v>
      </c>
      <c r="C8" s="54" t="s">
        <v>592</v>
      </c>
      <c r="D8" s="54" t="s">
        <v>70</v>
      </c>
      <c r="E8" s="55">
        <v>0</v>
      </c>
      <c r="F8" s="56" t="s">
        <v>597</v>
      </c>
      <c r="G8" s="57">
        <v>5</v>
      </c>
      <c r="H8" s="57">
        <v>5</v>
      </c>
      <c r="I8" s="57">
        <v>12</v>
      </c>
      <c r="J8" s="54" t="s">
        <v>593</v>
      </c>
      <c r="K8" s="54" t="s">
        <v>593</v>
      </c>
    </row>
    <row r="9" spans="1:11" ht="15" customHeight="1">
      <c r="A9" s="50" t="s">
        <v>607</v>
      </c>
      <c r="B9" s="50" t="s">
        <v>608</v>
      </c>
      <c r="C9" s="50" t="s">
        <v>592</v>
      </c>
      <c r="D9" s="50" t="s">
        <v>76</v>
      </c>
      <c r="E9" s="51">
        <v>0</v>
      </c>
      <c r="F9" s="52" t="s">
        <v>597</v>
      </c>
      <c r="G9" s="53">
        <v>20.55</v>
      </c>
      <c r="H9" s="53">
        <v>20</v>
      </c>
      <c r="I9" s="53">
        <v>0</v>
      </c>
      <c r="J9" s="50" t="s">
        <v>609</v>
      </c>
      <c r="K9" s="50" t="s">
        <v>597</v>
      </c>
    </row>
    <row r="10" spans="1:11" ht="15" customHeight="1">
      <c r="A10" s="54" t="s">
        <v>610</v>
      </c>
      <c r="B10" s="54" t="s">
        <v>611</v>
      </c>
      <c r="C10" s="54" t="s">
        <v>592</v>
      </c>
      <c r="D10" s="54" t="s">
        <v>70</v>
      </c>
      <c r="E10" s="55">
        <v>0</v>
      </c>
      <c r="F10" s="56" t="s">
        <v>597</v>
      </c>
      <c r="G10" s="57">
        <v>0</v>
      </c>
      <c r="H10" s="57">
        <v>0</v>
      </c>
      <c r="I10" s="57">
        <v>0</v>
      </c>
      <c r="J10" s="54" t="s">
        <v>597</v>
      </c>
      <c r="K10" s="54" t="s">
        <v>597</v>
      </c>
    </row>
    <row r="11" spans="1:11" ht="15" customHeight="1">
      <c r="A11" s="50" t="s">
        <v>612</v>
      </c>
      <c r="B11" s="50" t="s">
        <v>613</v>
      </c>
      <c r="C11" s="50" t="s">
        <v>592</v>
      </c>
      <c r="D11" s="50" t="s">
        <v>614</v>
      </c>
      <c r="E11" s="51">
        <v>0</v>
      </c>
      <c r="F11" s="52" t="s">
        <v>597</v>
      </c>
      <c r="G11" s="53">
        <v>10.01</v>
      </c>
      <c r="H11" s="53">
        <v>10</v>
      </c>
      <c r="I11" s="53">
        <v>10.01</v>
      </c>
      <c r="J11" s="50" t="s">
        <v>615</v>
      </c>
      <c r="K11" s="50" t="s">
        <v>615</v>
      </c>
    </row>
    <row r="12" spans="1:11" ht="15" customHeight="1">
      <c r="A12" s="54" t="s">
        <v>616</v>
      </c>
      <c r="B12" s="54" t="s">
        <v>617</v>
      </c>
      <c r="C12" s="54" t="s">
        <v>592</v>
      </c>
      <c r="D12" s="54" t="s">
        <v>614</v>
      </c>
      <c r="E12" s="55">
        <v>0</v>
      </c>
      <c r="F12" s="56" t="s">
        <v>597</v>
      </c>
      <c r="G12" s="57">
        <v>10.01</v>
      </c>
      <c r="H12" s="57">
        <v>10</v>
      </c>
      <c r="I12" s="57">
        <v>10.01</v>
      </c>
      <c r="J12" s="54" t="s">
        <v>618</v>
      </c>
      <c r="K12" s="54" t="s">
        <v>618</v>
      </c>
    </row>
    <row r="13" spans="1:11" ht="15" customHeight="1">
      <c r="A13" s="50" t="s">
        <v>91</v>
      </c>
      <c r="B13" s="50" t="s">
        <v>92</v>
      </c>
      <c r="C13" s="50" t="s">
        <v>592</v>
      </c>
      <c r="D13" s="50" t="s">
        <v>70</v>
      </c>
      <c r="E13" s="51">
        <v>36.89</v>
      </c>
      <c r="F13" s="52">
        <v>46027</v>
      </c>
      <c r="G13" s="53">
        <v>5</v>
      </c>
      <c r="H13" s="53">
        <v>5</v>
      </c>
      <c r="I13" s="53">
        <v>5</v>
      </c>
      <c r="J13" s="50" t="s">
        <v>619</v>
      </c>
      <c r="K13" s="50" t="s">
        <v>619</v>
      </c>
    </row>
    <row r="14" spans="1:11" ht="15" customHeight="1">
      <c r="A14" s="54" t="s">
        <v>620</v>
      </c>
      <c r="B14" s="54" t="s">
        <v>621</v>
      </c>
      <c r="C14" s="54" t="s">
        <v>592</v>
      </c>
      <c r="D14" s="54" t="s">
        <v>70</v>
      </c>
      <c r="E14" s="55">
        <v>0</v>
      </c>
      <c r="F14" s="56" t="s">
        <v>597</v>
      </c>
      <c r="G14" s="57">
        <v>5</v>
      </c>
      <c r="H14" s="57">
        <v>5</v>
      </c>
      <c r="I14" s="57">
        <v>0</v>
      </c>
      <c r="J14" s="54" t="s">
        <v>622</v>
      </c>
      <c r="K14" s="54" t="s">
        <v>622</v>
      </c>
    </row>
    <row r="15" spans="1:11" ht="15" customHeight="1">
      <c r="A15" s="50" t="s">
        <v>141</v>
      </c>
      <c r="B15" s="50" t="s">
        <v>142</v>
      </c>
      <c r="C15" s="50" t="s">
        <v>592</v>
      </c>
      <c r="D15" s="50" t="s">
        <v>70</v>
      </c>
      <c r="E15" s="51">
        <v>24</v>
      </c>
      <c r="F15" s="52">
        <v>45930</v>
      </c>
      <c r="G15" s="53">
        <v>5</v>
      </c>
      <c r="H15" s="53">
        <v>5</v>
      </c>
      <c r="I15" s="53">
        <v>5</v>
      </c>
      <c r="J15" s="50" t="s">
        <v>623</v>
      </c>
      <c r="K15" s="50" t="s">
        <v>623</v>
      </c>
    </row>
    <row r="16" spans="1:11" ht="15" customHeight="1">
      <c r="A16" s="54" t="s">
        <v>624</v>
      </c>
      <c r="B16" s="54" t="s">
        <v>625</v>
      </c>
      <c r="C16" s="54" t="s">
        <v>592</v>
      </c>
      <c r="D16" s="54" t="s">
        <v>70</v>
      </c>
      <c r="E16" s="55">
        <v>0</v>
      </c>
      <c r="F16" s="56" t="s">
        <v>597</v>
      </c>
      <c r="G16" s="57">
        <v>5</v>
      </c>
      <c r="H16" s="57">
        <v>5</v>
      </c>
      <c r="I16" s="57">
        <v>0</v>
      </c>
      <c r="J16" s="54" t="s">
        <v>626</v>
      </c>
      <c r="K16" s="54" t="s">
        <v>626</v>
      </c>
    </row>
    <row r="17" spans="1:11" ht="15" customHeight="1">
      <c r="A17" s="50" t="s">
        <v>93</v>
      </c>
      <c r="B17" s="50" t="s">
        <v>94</v>
      </c>
      <c r="C17" s="50" t="s">
        <v>592</v>
      </c>
      <c r="D17" s="50" t="s">
        <v>70</v>
      </c>
      <c r="E17" s="51">
        <v>38.72</v>
      </c>
      <c r="F17" s="52">
        <v>46070</v>
      </c>
      <c r="G17" s="53">
        <v>5</v>
      </c>
      <c r="H17" s="53">
        <v>5</v>
      </c>
      <c r="I17" s="53">
        <v>5</v>
      </c>
      <c r="J17" s="50" t="s">
        <v>627</v>
      </c>
      <c r="K17" s="50" t="s">
        <v>627</v>
      </c>
    </row>
    <row r="18" spans="1:11" ht="15" customHeight="1">
      <c r="A18" s="54" t="s">
        <v>628</v>
      </c>
      <c r="B18" s="54" t="s">
        <v>629</v>
      </c>
      <c r="C18" s="54" t="s">
        <v>592</v>
      </c>
      <c r="D18" s="54" t="s">
        <v>70</v>
      </c>
      <c r="E18" s="55">
        <v>0</v>
      </c>
      <c r="F18" s="56" t="s">
        <v>597</v>
      </c>
      <c r="G18" s="57">
        <v>5</v>
      </c>
      <c r="H18" s="57">
        <v>5</v>
      </c>
      <c r="I18" s="57">
        <v>0</v>
      </c>
      <c r="J18" s="54" t="s">
        <v>630</v>
      </c>
      <c r="K18" s="54" t="s">
        <v>630</v>
      </c>
    </row>
    <row r="19" spans="1:11" ht="15" customHeight="1">
      <c r="A19" s="50" t="s">
        <v>72</v>
      </c>
      <c r="B19" s="50" t="s">
        <v>73</v>
      </c>
      <c r="C19" s="50" t="s">
        <v>592</v>
      </c>
      <c r="D19" s="50" t="s">
        <v>70</v>
      </c>
      <c r="E19" s="51">
        <v>45.2</v>
      </c>
      <c r="F19" s="52">
        <v>46069</v>
      </c>
      <c r="G19" s="53">
        <v>5</v>
      </c>
      <c r="H19" s="53">
        <v>5</v>
      </c>
      <c r="I19" s="53">
        <v>5</v>
      </c>
      <c r="J19" s="50" t="s">
        <v>631</v>
      </c>
      <c r="K19" s="50" t="s">
        <v>597</v>
      </c>
    </row>
    <row r="20" spans="1:11" ht="15" customHeight="1">
      <c r="A20" s="54" t="s">
        <v>632</v>
      </c>
      <c r="B20" s="54" t="s">
        <v>633</v>
      </c>
      <c r="C20" s="54" t="s">
        <v>592</v>
      </c>
      <c r="D20" s="54" t="s">
        <v>70</v>
      </c>
      <c r="E20" s="55">
        <v>0</v>
      </c>
      <c r="F20" s="56" t="s">
        <v>597</v>
      </c>
      <c r="G20" s="57">
        <v>5</v>
      </c>
      <c r="H20" s="57">
        <v>5</v>
      </c>
      <c r="I20" s="57">
        <v>0</v>
      </c>
      <c r="J20" s="54" t="s">
        <v>634</v>
      </c>
      <c r="K20" s="54" t="s">
        <v>634</v>
      </c>
    </row>
    <row r="21" spans="1:11" ht="15" customHeight="1">
      <c r="A21" s="50" t="s">
        <v>97</v>
      </c>
      <c r="B21" s="50" t="s">
        <v>98</v>
      </c>
      <c r="C21" s="50" t="s">
        <v>592</v>
      </c>
      <c r="D21" s="50" t="s">
        <v>70</v>
      </c>
      <c r="E21" s="51">
        <v>24.75</v>
      </c>
      <c r="F21" s="52">
        <v>46065</v>
      </c>
      <c r="G21" s="53">
        <v>5</v>
      </c>
      <c r="H21" s="53">
        <v>5</v>
      </c>
      <c r="I21" s="53">
        <v>5</v>
      </c>
      <c r="J21" s="50" t="s">
        <v>635</v>
      </c>
      <c r="K21" s="50" t="s">
        <v>635</v>
      </c>
    </row>
    <row r="22" spans="1:11" ht="15" customHeight="1">
      <c r="A22" s="54" t="s">
        <v>636</v>
      </c>
      <c r="B22" s="54" t="s">
        <v>637</v>
      </c>
      <c r="C22" s="54" t="s">
        <v>592</v>
      </c>
      <c r="D22" s="54" t="s">
        <v>70</v>
      </c>
      <c r="E22" s="55">
        <v>0</v>
      </c>
      <c r="F22" s="56" t="s">
        <v>597</v>
      </c>
      <c r="G22" s="57">
        <v>5</v>
      </c>
      <c r="H22" s="57">
        <v>5</v>
      </c>
      <c r="I22" s="57">
        <v>0</v>
      </c>
      <c r="J22" s="54" t="s">
        <v>638</v>
      </c>
      <c r="K22" s="54" t="s">
        <v>638</v>
      </c>
    </row>
    <row r="23" spans="1:11" ht="15" customHeight="1">
      <c r="A23" s="50" t="s">
        <v>99</v>
      </c>
      <c r="B23" s="50" t="s">
        <v>100</v>
      </c>
      <c r="C23" s="50" t="s">
        <v>592</v>
      </c>
      <c r="D23" s="50" t="s">
        <v>70</v>
      </c>
      <c r="E23" s="51">
        <v>24.75</v>
      </c>
      <c r="F23" s="52">
        <v>46065</v>
      </c>
      <c r="G23" s="53">
        <v>5</v>
      </c>
      <c r="H23" s="53">
        <v>5</v>
      </c>
      <c r="I23" s="53">
        <v>5</v>
      </c>
      <c r="J23" s="50" t="s">
        <v>639</v>
      </c>
      <c r="K23" s="50" t="s">
        <v>597</v>
      </c>
    </row>
    <row r="24" spans="1:11" ht="15" customHeight="1">
      <c r="A24" s="54" t="s">
        <v>640</v>
      </c>
      <c r="B24" s="54" t="s">
        <v>641</v>
      </c>
      <c r="C24" s="54" t="s">
        <v>592</v>
      </c>
      <c r="D24" s="54" t="s">
        <v>70</v>
      </c>
      <c r="E24" s="55">
        <v>0</v>
      </c>
      <c r="F24" s="56" t="s">
        <v>597</v>
      </c>
      <c r="G24" s="57">
        <v>5</v>
      </c>
      <c r="H24" s="57">
        <v>5</v>
      </c>
      <c r="I24" s="57">
        <v>0</v>
      </c>
      <c r="J24" s="54" t="s">
        <v>642</v>
      </c>
      <c r="K24" s="54" t="s">
        <v>642</v>
      </c>
    </row>
    <row r="25" spans="1:11" ht="15" customHeight="1">
      <c r="A25" s="50" t="s">
        <v>643</v>
      </c>
      <c r="B25" s="50" t="s">
        <v>644</v>
      </c>
      <c r="C25" s="50" t="s">
        <v>592</v>
      </c>
      <c r="D25" s="50" t="s">
        <v>70</v>
      </c>
      <c r="E25" s="51">
        <v>0</v>
      </c>
      <c r="F25" s="52" t="s">
        <v>597</v>
      </c>
      <c r="G25" s="53">
        <v>5</v>
      </c>
      <c r="H25" s="53">
        <v>5</v>
      </c>
      <c r="I25" s="53">
        <v>0</v>
      </c>
      <c r="J25" s="50" t="s">
        <v>645</v>
      </c>
      <c r="K25" s="50" t="s">
        <v>645</v>
      </c>
    </row>
    <row r="26" spans="1:11" ht="15" customHeight="1">
      <c r="A26" s="54" t="s">
        <v>646</v>
      </c>
      <c r="B26" s="54" t="s">
        <v>647</v>
      </c>
      <c r="C26" s="54" t="s">
        <v>592</v>
      </c>
      <c r="D26" s="54" t="s">
        <v>70</v>
      </c>
      <c r="E26" s="55">
        <v>0</v>
      </c>
      <c r="F26" s="56" t="s">
        <v>597</v>
      </c>
      <c r="G26" s="57">
        <v>5</v>
      </c>
      <c r="H26" s="57">
        <v>5</v>
      </c>
      <c r="I26" s="57">
        <v>0</v>
      </c>
      <c r="J26" s="54" t="s">
        <v>648</v>
      </c>
      <c r="K26" s="54" t="s">
        <v>648</v>
      </c>
    </row>
    <row r="27" spans="1:11" ht="15" customHeight="1">
      <c r="A27" s="50" t="s">
        <v>649</v>
      </c>
      <c r="B27" s="50" t="s">
        <v>650</v>
      </c>
      <c r="C27" s="50" t="s">
        <v>592</v>
      </c>
      <c r="D27" s="50" t="s">
        <v>70</v>
      </c>
      <c r="E27" s="51">
        <v>0</v>
      </c>
      <c r="F27" s="52" t="s">
        <v>597</v>
      </c>
      <c r="G27" s="53">
        <v>5</v>
      </c>
      <c r="H27" s="53">
        <v>5</v>
      </c>
      <c r="I27" s="53">
        <v>0</v>
      </c>
      <c r="J27" s="50" t="s">
        <v>651</v>
      </c>
      <c r="K27" s="50" t="s">
        <v>651</v>
      </c>
    </row>
    <row r="28" spans="1:11" ht="15" customHeight="1">
      <c r="A28" s="54" t="s">
        <v>652</v>
      </c>
      <c r="B28" s="54" t="s">
        <v>653</v>
      </c>
      <c r="C28" s="54" t="s">
        <v>592</v>
      </c>
      <c r="D28" s="54" t="s">
        <v>70</v>
      </c>
      <c r="E28" s="55">
        <v>0</v>
      </c>
      <c r="F28" s="56" t="s">
        <v>597</v>
      </c>
      <c r="G28" s="57">
        <v>5</v>
      </c>
      <c r="H28" s="57">
        <v>5</v>
      </c>
      <c r="I28" s="57">
        <v>0</v>
      </c>
      <c r="J28" s="54" t="s">
        <v>654</v>
      </c>
      <c r="K28" s="54" t="s">
        <v>654</v>
      </c>
    </row>
    <row r="29" spans="1:11" ht="15" customHeight="1">
      <c r="A29" s="50" t="s">
        <v>655</v>
      </c>
      <c r="B29" s="50" t="s">
        <v>656</v>
      </c>
      <c r="C29" s="50" t="s">
        <v>592</v>
      </c>
      <c r="D29" s="50" t="s">
        <v>70</v>
      </c>
      <c r="E29" s="51">
        <v>0</v>
      </c>
      <c r="F29" s="52" t="s">
        <v>597</v>
      </c>
      <c r="G29" s="53">
        <v>5</v>
      </c>
      <c r="H29" s="53">
        <v>5</v>
      </c>
      <c r="I29" s="53">
        <v>0</v>
      </c>
      <c r="J29" s="50" t="s">
        <v>597</v>
      </c>
      <c r="K29" s="50" t="s">
        <v>597</v>
      </c>
    </row>
    <row r="30" spans="1:11" ht="15" customHeight="1">
      <c r="A30" s="54" t="s">
        <v>657</v>
      </c>
      <c r="B30" s="54" t="s">
        <v>658</v>
      </c>
      <c r="C30" s="54" t="s">
        <v>592</v>
      </c>
      <c r="D30" s="54" t="s">
        <v>70</v>
      </c>
      <c r="E30" s="55">
        <v>0</v>
      </c>
      <c r="F30" s="56" t="s">
        <v>597</v>
      </c>
      <c r="G30" s="57">
        <v>4</v>
      </c>
      <c r="H30" s="57">
        <v>4</v>
      </c>
      <c r="I30" s="57">
        <v>5</v>
      </c>
      <c r="J30" s="54" t="s">
        <v>597</v>
      </c>
      <c r="K30" s="54" t="s">
        <v>597</v>
      </c>
    </row>
    <row r="31" spans="1:11" ht="15" customHeight="1">
      <c r="A31" s="50" t="s">
        <v>659</v>
      </c>
      <c r="B31" s="50" t="s">
        <v>660</v>
      </c>
      <c r="C31" s="50" t="s">
        <v>592</v>
      </c>
      <c r="D31" s="50" t="s">
        <v>70</v>
      </c>
      <c r="E31" s="51">
        <v>0</v>
      </c>
      <c r="F31" s="52" t="s">
        <v>597</v>
      </c>
      <c r="G31" s="53">
        <v>5</v>
      </c>
      <c r="H31" s="53">
        <v>5</v>
      </c>
      <c r="I31" s="53">
        <v>0</v>
      </c>
      <c r="J31" s="50" t="s">
        <v>661</v>
      </c>
      <c r="K31" s="50" t="s">
        <v>661</v>
      </c>
    </row>
    <row r="32" spans="1:11" ht="15" customHeight="1">
      <c r="A32" s="54" t="s">
        <v>662</v>
      </c>
      <c r="B32" s="54" t="s">
        <v>663</v>
      </c>
      <c r="C32" s="54" t="s">
        <v>592</v>
      </c>
      <c r="D32" s="54" t="s">
        <v>70</v>
      </c>
      <c r="E32" s="55">
        <v>0</v>
      </c>
      <c r="F32" s="56" t="s">
        <v>597</v>
      </c>
      <c r="G32" s="57">
        <v>5</v>
      </c>
      <c r="H32" s="57">
        <v>5</v>
      </c>
      <c r="I32" s="57">
        <v>0</v>
      </c>
      <c r="J32" s="54" t="s">
        <v>664</v>
      </c>
      <c r="K32" s="54" t="s">
        <v>664</v>
      </c>
    </row>
    <row r="33" spans="1:11" ht="15" customHeight="1">
      <c r="A33" s="50" t="s">
        <v>665</v>
      </c>
      <c r="B33" s="50" t="s">
        <v>666</v>
      </c>
      <c r="C33" s="50" t="s">
        <v>592</v>
      </c>
      <c r="D33" s="50" t="s">
        <v>70</v>
      </c>
      <c r="E33" s="51">
        <v>0</v>
      </c>
      <c r="F33" s="52" t="s">
        <v>597</v>
      </c>
      <c r="G33" s="53">
        <v>5</v>
      </c>
      <c r="H33" s="53">
        <v>5</v>
      </c>
      <c r="I33" s="53">
        <v>5</v>
      </c>
      <c r="J33" s="50" t="s">
        <v>631</v>
      </c>
      <c r="K33" s="50" t="s">
        <v>631</v>
      </c>
    </row>
    <row r="34" spans="1:11" ht="15" customHeight="1">
      <c r="A34" s="54" t="s">
        <v>667</v>
      </c>
      <c r="B34" s="54" t="s">
        <v>668</v>
      </c>
      <c r="C34" s="54" t="s">
        <v>592</v>
      </c>
      <c r="D34" s="54" t="s">
        <v>70</v>
      </c>
      <c r="E34" s="55">
        <v>0</v>
      </c>
      <c r="F34" s="56" t="s">
        <v>597</v>
      </c>
      <c r="G34" s="57">
        <v>5</v>
      </c>
      <c r="H34" s="57">
        <v>5</v>
      </c>
      <c r="I34" s="57">
        <v>0</v>
      </c>
      <c r="J34" s="54" t="s">
        <v>669</v>
      </c>
      <c r="K34" s="54" t="s">
        <v>669</v>
      </c>
    </row>
    <row r="35" spans="1:11" ht="15" customHeight="1">
      <c r="A35" s="50" t="s">
        <v>670</v>
      </c>
      <c r="B35" s="50" t="s">
        <v>671</v>
      </c>
      <c r="C35" s="50" t="s">
        <v>592</v>
      </c>
      <c r="D35" s="50" t="s">
        <v>70</v>
      </c>
      <c r="E35" s="51">
        <v>0</v>
      </c>
      <c r="F35" s="52" t="s">
        <v>597</v>
      </c>
      <c r="G35" s="53">
        <v>5</v>
      </c>
      <c r="H35" s="53">
        <v>5</v>
      </c>
      <c r="I35" s="53">
        <v>0</v>
      </c>
      <c r="J35" s="50" t="s">
        <v>672</v>
      </c>
      <c r="K35" s="50" t="s">
        <v>672</v>
      </c>
    </row>
    <row r="36" spans="1:11" ht="15" customHeight="1">
      <c r="A36" s="54" t="s">
        <v>673</v>
      </c>
      <c r="B36" s="54" t="s">
        <v>674</v>
      </c>
      <c r="C36" s="54" t="s">
        <v>592</v>
      </c>
      <c r="D36" s="54" t="s">
        <v>70</v>
      </c>
      <c r="E36" s="55">
        <v>0</v>
      </c>
      <c r="F36" s="56" t="s">
        <v>597</v>
      </c>
      <c r="G36" s="57">
        <v>5</v>
      </c>
      <c r="H36" s="57">
        <v>5</v>
      </c>
      <c r="I36" s="57">
        <v>0</v>
      </c>
      <c r="J36" s="54" t="s">
        <v>597</v>
      </c>
      <c r="K36" s="54" t="s">
        <v>597</v>
      </c>
    </row>
    <row r="37" spans="1:11" ht="15" customHeight="1">
      <c r="A37" s="50" t="s">
        <v>675</v>
      </c>
      <c r="B37" s="50" t="s">
        <v>676</v>
      </c>
      <c r="C37" s="50" t="s">
        <v>592</v>
      </c>
      <c r="D37" s="50" t="s">
        <v>76</v>
      </c>
      <c r="E37" s="51">
        <v>0</v>
      </c>
      <c r="F37" s="52" t="s">
        <v>597</v>
      </c>
      <c r="G37" s="53">
        <v>0</v>
      </c>
      <c r="H37" s="53">
        <v>10</v>
      </c>
      <c r="I37" s="53">
        <v>12</v>
      </c>
      <c r="J37" s="50" t="s">
        <v>597</v>
      </c>
      <c r="K37" s="50" t="s">
        <v>597</v>
      </c>
    </row>
    <row r="38" spans="1:11" ht="15" customHeight="1">
      <c r="A38" s="54" t="s">
        <v>677</v>
      </c>
      <c r="B38" s="54" t="s">
        <v>678</v>
      </c>
      <c r="C38" s="54" t="s">
        <v>592</v>
      </c>
      <c r="D38" s="54" t="s">
        <v>76</v>
      </c>
      <c r="E38" s="55">
        <v>0</v>
      </c>
      <c r="F38" s="56" t="s">
        <v>597</v>
      </c>
      <c r="G38" s="57">
        <v>10</v>
      </c>
      <c r="H38" s="57">
        <v>10</v>
      </c>
      <c r="I38" s="57">
        <v>0</v>
      </c>
      <c r="J38" s="54" t="s">
        <v>679</v>
      </c>
      <c r="K38" s="54" t="s">
        <v>680</v>
      </c>
    </row>
    <row r="39" spans="1:11" ht="15" customHeight="1">
      <c r="A39" s="50" t="s">
        <v>681</v>
      </c>
      <c r="B39" s="50" t="s">
        <v>682</v>
      </c>
      <c r="C39" s="50" t="s">
        <v>592</v>
      </c>
      <c r="D39" s="50" t="s">
        <v>76</v>
      </c>
      <c r="E39" s="51">
        <v>20.5</v>
      </c>
      <c r="F39" s="52">
        <v>45338</v>
      </c>
      <c r="G39" s="53">
        <v>10.36</v>
      </c>
      <c r="H39" s="53">
        <v>10</v>
      </c>
      <c r="I39" s="53">
        <v>0</v>
      </c>
      <c r="J39" s="50" t="s">
        <v>597</v>
      </c>
      <c r="K39" s="50" t="s">
        <v>597</v>
      </c>
    </row>
    <row r="40" spans="1:11" ht="15" customHeight="1">
      <c r="A40" s="54" t="s">
        <v>683</v>
      </c>
      <c r="B40" s="54" t="s">
        <v>684</v>
      </c>
      <c r="C40" s="54" t="s">
        <v>592</v>
      </c>
      <c r="D40" s="54" t="s">
        <v>76</v>
      </c>
      <c r="E40" s="55">
        <v>20.5</v>
      </c>
      <c r="F40" s="56">
        <v>45322</v>
      </c>
      <c r="G40" s="57">
        <v>10.63</v>
      </c>
      <c r="H40" s="57">
        <v>10</v>
      </c>
      <c r="I40" s="57">
        <v>0</v>
      </c>
      <c r="J40" s="54" t="s">
        <v>597</v>
      </c>
      <c r="K40" s="54" t="s">
        <v>685</v>
      </c>
    </row>
    <row r="41" spans="1:11" ht="15" customHeight="1">
      <c r="A41" s="50" t="s">
        <v>686</v>
      </c>
      <c r="B41" s="50" t="s">
        <v>687</v>
      </c>
      <c r="C41" s="50" t="s">
        <v>592</v>
      </c>
      <c r="D41" s="50" t="s">
        <v>76</v>
      </c>
      <c r="E41" s="51">
        <v>20.5</v>
      </c>
      <c r="F41" s="52">
        <v>45322</v>
      </c>
      <c r="G41" s="53">
        <v>10.63</v>
      </c>
      <c r="H41" s="53">
        <v>10</v>
      </c>
      <c r="I41" s="53">
        <v>0</v>
      </c>
      <c r="J41" s="50" t="s">
        <v>597</v>
      </c>
      <c r="K41" s="50" t="s">
        <v>688</v>
      </c>
    </row>
    <row r="42" spans="1:11" ht="15" customHeight="1">
      <c r="A42" s="54" t="s">
        <v>689</v>
      </c>
      <c r="B42" s="54" t="s">
        <v>690</v>
      </c>
      <c r="C42" s="54" t="s">
        <v>592</v>
      </c>
      <c r="D42" s="54" t="s">
        <v>76</v>
      </c>
      <c r="E42" s="55">
        <v>0</v>
      </c>
      <c r="F42" s="56" t="s">
        <v>597</v>
      </c>
      <c r="G42" s="57">
        <v>0</v>
      </c>
      <c r="H42" s="57">
        <v>10</v>
      </c>
      <c r="I42" s="57">
        <v>0</v>
      </c>
      <c r="J42" s="54" t="s">
        <v>597</v>
      </c>
      <c r="K42" s="54" t="s">
        <v>597</v>
      </c>
    </row>
    <row r="43" spans="1:11" ht="15" customHeight="1">
      <c r="A43" s="50" t="s">
        <v>691</v>
      </c>
      <c r="B43" s="50" t="s">
        <v>692</v>
      </c>
      <c r="C43" s="50" t="s">
        <v>592</v>
      </c>
      <c r="D43" s="50" t="s">
        <v>614</v>
      </c>
      <c r="E43" s="51">
        <v>0</v>
      </c>
      <c r="F43" s="52" t="s">
        <v>597</v>
      </c>
      <c r="G43" s="53">
        <v>5.01</v>
      </c>
      <c r="H43" s="53">
        <v>5</v>
      </c>
      <c r="I43" s="53">
        <v>5.01</v>
      </c>
      <c r="J43" s="50" t="s">
        <v>693</v>
      </c>
      <c r="K43" s="50" t="s">
        <v>693</v>
      </c>
    </row>
    <row r="44" spans="1:11" ht="15" customHeight="1">
      <c r="A44" s="54" t="s">
        <v>694</v>
      </c>
      <c r="B44" s="54" t="s">
        <v>695</v>
      </c>
      <c r="C44" s="54" t="s">
        <v>592</v>
      </c>
      <c r="D44" s="54" t="s">
        <v>614</v>
      </c>
      <c r="E44" s="55">
        <v>0</v>
      </c>
      <c r="F44" s="56" t="s">
        <v>597</v>
      </c>
      <c r="G44" s="57">
        <v>5.01</v>
      </c>
      <c r="H44" s="57">
        <v>5</v>
      </c>
      <c r="I44" s="57">
        <v>5.01</v>
      </c>
      <c r="J44" s="54" t="s">
        <v>696</v>
      </c>
      <c r="K44" s="54" t="s">
        <v>696</v>
      </c>
    </row>
    <row r="45" spans="1:11" ht="15" customHeight="1">
      <c r="A45" s="50" t="s">
        <v>697</v>
      </c>
      <c r="B45" s="50" t="s">
        <v>698</v>
      </c>
      <c r="C45" s="50" t="s">
        <v>592</v>
      </c>
      <c r="D45" s="50" t="s">
        <v>614</v>
      </c>
      <c r="E45" s="51">
        <v>0</v>
      </c>
      <c r="F45" s="52" t="s">
        <v>597</v>
      </c>
      <c r="G45" s="53">
        <v>10.01</v>
      </c>
      <c r="H45" s="53">
        <v>10</v>
      </c>
      <c r="I45" s="53">
        <v>10.01</v>
      </c>
      <c r="J45" s="50" t="s">
        <v>699</v>
      </c>
      <c r="K45" s="50" t="s">
        <v>699</v>
      </c>
    </row>
    <row r="46" spans="1:11" ht="15" customHeight="1">
      <c r="A46" s="54" t="s">
        <v>700</v>
      </c>
      <c r="B46" s="54" t="s">
        <v>701</v>
      </c>
      <c r="C46" s="54" t="s">
        <v>592</v>
      </c>
      <c r="D46" s="54" t="s">
        <v>614</v>
      </c>
      <c r="E46" s="55">
        <v>0</v>
      </c>
      <c r="F46" s="56" t="s">
        <v>597</v>
      </c>
      <c r="G46" s="57">
        <v>10.01</v>
      </c>
      <c r="H46" s="57">
        <v>10</v>
      </c>
      <c r="I46" s="57">
        <v>10.01</v>
      </c>
      <c r="J46" s="54" t="s">
        <v>702</v>
      </c>
      <c r="K46" s="54" t="s">
        <v>702</v>
      </c>
    </row>
    <row r="47" spans="1:11" ht="15" customHeight="1">
      <c r="A47" s="50" t="s">
        <v>703</v>
      </c>
      <c r="B47" s="50" t="s">
        <v>704</v>
      </c>
      <c r="C47" s="50" t="s">
        <v>592</v>
      </c>
      <c r="D47" s="50" t="s">
        <v>614</v>
      </c>
      <c r="E47" s="51">
        <v>0</v>
      </c>
      <c r="F47" s="52" t="s">
        <v>597</v>
      </c>
      <c r="G47" s="53">
        <v>5.01</v>
      </c>
      <c r="H47" s="53">
        <v>5</v>
      </c>
      <c r="I47" s="53">
        <v>5.01</v>
      </c>
      <c r="J47" s="50" t="s">
        <v>705</v>
      </c>
      <c r="K47" s="50" t="s">
        <v>705</v>
      </c>
    </row>
    <row r="48" spans="1:11" ht="15" customHeight="1">
      <c r="A48" s="54" t="s">
        <v>706</v>
      </c>
      <c r="B48" s="54" t="s">
        <v>707</v>
      </c>
      <c r="C48" s="54" t="s">
        <v>592</v>
      </c>
      <c r="D48" s="54" t="s">
        <v>614</v>
      </c>
      <c r="E48" s="55">
        <v>0</v>
      </c>
      <c r="F48" s="56" t="s">
        <v>597</v>
      </c>
      <c r="G48" s="57">
        <v>5.01</v>
      </c>
      <c r="H48" s="57">
        <v>5</v>
      </c>
      <c r="I48" s="57">
        <v>5.01</v>
      </c>
      <c r="J48" s="54" t="s">
        <v>708</v>
      </c>
      <c r="K48" s="54" t="s">
        <v>708</v>
      </c>
    </row>
    <row r="49" spans="1:11" ht="15" customHeight="1">
      <c r="A49" s="50" t="s">
        <v>709</v>
      </c>
      <c r="B49" s="50" t="s">
        <v>710</v>
      </c>
      <c r="C49" s="50" t="s">
        <v>592</v>
      </c>
      <c r="D49" s="50" t="s">
        <v>70</v>
      </c>
      <c r="E49" s="51">
        <v>0</v>
      </c>
      <c r="F49" s="52" t="s">
        <v>597</v>
      </c>
      <c r="G49" s="53">
        <v>5</v>
      </c>
      <c r="H49" s="53">
        <v>5</v>
      </c>
      <c r="I49" s="53">
        <v>0</v>
      </c>
      <c r="J49" s="50" t="s">
        <v>597</v>
      </c>
      <c r="K49" s="50" t="s">
        <v>597</v>
      </c>
    </row>
    <row r="50" spans="1:11" ht="15" customHeight="1">
      <c r="A50" s="54" t="s">
        <v>711</v>
      </c>
      <c r="B50" s="54" t="s">
        <v>712</v>
      </c>
      <c r="C50" s="54" t="s">
        <v>592</v>
      </c>
      <c r="D50" s="54" t="s">
        <v>70</v>
      </c>
      <c r="E50" s="55">
        <v>0</v>
      </c>
      <c r="F50" s="56" t="s">
        <v>597</v>
      </c>
      <c r="G50" s="57">
        <v>5</v>
      </c>
      <c r="H50" s="57">
        <v>5</v>
      </c>
      <c r="I50" s="57">
        <v>0</v>
      </c>
      <c r="J50" s="54" t="s">
        <v>597</v>
      </c>
      <c r="K50" s="54" t="s">
        <v>597</v>
      </c>
    </row>
    <row r="51" spans="1:11" ht="15" customHeight="1">
      <c r="A51" s="50" t="s">
        <v>713</v>
      </c>
      <c r="B51" s="50" t="s">
        <v>714</v>
      </c>
      <c r="C51" s="50" t="s">
        <v>592</v>
      </c>
      <c r="D51" s="50" t="s">
        <v>70</v>
      </c>
      <c r="E51" s="51">
        <v>0</v>
      </c>
      <c r="F51" s="52" t="s">
        <v>597</v>
      </c>
      <c r="G51" s="53">
        <v>5</v>
      </c>
      <c r="H51" s="53">
        <v>5</v>
      </c>
      <c r="I51" s="53">
        <v>0</v>
      </c>
      <c r="J51" s="50" t="s">
        <v>597</v>
      </c>
      <c r="K51" s="50" t="s">
        <v>597</v>
      </c>
    </row>
    <row r="52" spans="1:11" ht="15" customHeight="1">
      <c r="A52" s="54" t="s">
        <v>392</v>
      </c>
      <c r="B52" s="54" t="s">
        <v>715</v>
      </c>
      <c r="C52" s="54" t="s">
        <v>592</v>
      </c>
      <c r="D52" s="54" t="s">
        <v>70</v>
      </c>
      <c r="E52" s="55">
        <v>50.11</v>
      </c>
      <c r="F52" s="56">
        <v>45910</v>
      </c>
      <c r="G52" s="57">
        <v>5</v>
      </c>
      <c r="H52" s="57">
        <v>5</v>
      </c>
      <c r="I52" s="57">
        <v>5</v>
      </c>
      <c r="J52" s="54" t="s">
        <v>597</v>
      </c>
      <c r="K52" s="54" t="s">
        <v>716</v>
      </c>
    </row>
    <row r="53" spans="1:11" ht="15" customHeight="1">
      <c r="A53" s="50" t="s">
        <v>717</v>
      </c>
      <c r="B53" s="50" t="s">
        <v>718</v>
      </c>
      <c r="C53" s="50" t="s">
        <v>592</v>
      </c>
      <c r="D53" s="50" t="s">
        <v>70</v>
      </c>
      <c r="E53" s="51">
        <v>0</v>
      </c>
      <c r="F53" s="52" t="s">
        <v>597</v>
      </c>
      <c r="G53" s="53">
        <v>5</v>
      </c>
      <c r="H53" s="53">
        <v>5</v>
      </c>
      <c r="I53" s="53">
        <v>0</v>
      </c>
      <c r="J53" s="50" t="s">
        <v>597</v>
      </c>
      <c r="K53" s="50" t="s">
        <v>597</v>
      </c>
    </row>
    <row r="54" spans="1:11" ht="15" customHeight="1">
      <c r="A54" s="54" t="s">
        <v>719</v>
      </c>
      <c r="B54" s="54" t="s">
        <v>720</v>
      </c>
      <c r="C54" s="54" t="s">
        <v>592</v>
      </c>
      <c r="D54" s="54" t="s">
        <v>70</v>
      </c>
      <c r="E54" s="55">
        <v>0</v>
      </c>
      <c r="F54" s="56" t="s">
        <v>597</v>
      </c>
      <c r="G54" s="57">
        <v>5</v>
      </c>
      <c r="H54" s="57">
        <v>5</v>
      </c>
      <c r="I54" s="57">
        <v>0</v>
      </c>
      <c r="J54" s="54" t="s">
        <v>597</v>
      </c>
      <c r="K54" s="54" t="s">
        <v>597</v>
      </c>
    </row>
    <row r="55" spans="1:11" ht="15" customHeight="1">
      <c r="A55" s="50" t="s">
        <v>721</v>
      </c>
      <c r="B55" s="50" t="s">
        <v>722</v>
      </c>
      <c r="C55" s="50" t="s">
        <v>592</v>
      </c>
      <c r="D55" s="50" t="s">
        <v>70</v>
      </c>
      <c r="E55" s="51">
        <v>0</v>
      </c>
      <c r="F55" s="52" t="s">
        <v>597</v>
      </c>
      <c r="G55" s="53">
        <v>5</v>
      </c>
      <c r="H55" s="53">
        <v>5</v>
      </c>
      <c r="I55" s="53">
        <v>0</v>
      </c>
      <c r="J55" s="50" t="s">
        <v>597</v>
      </c>
      <c r="K55" s="50" t="s">
        <v>597</v>
      </c>
    </row>
    <row r="56" spans="1:11" ht="15" customHeight="1">
      <c r="A56" s="54" t="s">
        <v>723</v>
      </c>
      <c r="B56" s="54" t="s">
        <v>724</v>
      </c>
      <c r="C56" s="54" t="s">
        <v>592</v>
      </c>
      <c r="D56" s="54" t="s">
        <v>70</v>
      </c>
      <c r="E56" s="55">
        <v>0</v>
      </c>
      <c r="F56" s="56" t="s">
        <v>597</v>
      </c>
      <c r="G56" s="57">
        <v>5</v>
      </c>
      <c r="H56" s="57">
        <v>5</v>
      </c>
      <c r="I56" s="57">
        <v>0</v>
      </c>
      <c r="J56" s="54" t="s">
        <v>597</v>
      </c>
      <c r="K56" s="54" t="s">
        <v>597</v>
      </c>
    </row>
    <row r="57" spans="1:11" ht="15" customHeight="1">
      <c r="A57" s="50" t="s">
        <v>725</v>
      </c>
      <c r="B57" s="50" t="s">
        <v>726</v>
      </c>
      <c r="C57" s="50" t="s">
        <v>592</v>
      </c>
      <c r="D57" s="50" t="s">
        <v>70</v>
      </c>
      <c r="E57" s="51">
        <v>0</v>
      </c>
      <c r="F57" s="52" t="s">
        <v>597</v>
      </c>
      <c r="G57" s="53">
        <v>5</v>
      </c>
      <c r="H57" s="53">
        <v>5</v>
      </c>
      <c r="I57" s="53">
        <v>0</v>
      </c>
      <c r="J57" s="50" t="s">
        <v>597</v>
      </c>
      <c r="K57" s="50" t="s">
        <v>597</v>
      </c>
    </row>
    <row r="58" spans="1:11" ht="15" customHeight="1">
      <c r="A58" s="54" t="s">
        <v>727</v>
      </c>
      <c r="B58" s="54" t="s">
        <v>728</v>
      </c>
      <c r="C58" s="54" t="s">
        <v>592</v>
      </c>
      <c r="D58" s="54" t="s">
        <v>70</v>
      </c>
      <c r="E58" s="55">
        <v>0</v>
      </c>
      <c r="F58" s="56" t="s">
        <v>597</v>
      </c>
      <c r="G58" s="57">
        <v>5</v>
      </c>
      <c r="H58" s="57">
        <v>5</v>
      </c>
      <c r="I58" s="57">
        <v>0</v>
      </c>
      <c r="J58" s="54" t="s">
        <v>597</v>
      </c>
      <c r="K58" s="54" t="s">
        <v>597</v>
      </c>
    </row>
    <row r="59" spans="1:11" ht="15" customHeight="1">
      <c r="A59" s="50" t="s">
        <v>729</v>
      </c>
      <c r="B59" s="50" t="s">
        <v>730</v>
      </c>
      <c r="C59" s="50" t="s">
        <v>592</v>
      </c>
      <c r="D59" s="50" t="s">
        <v>70</v>
      </c>
      <c r="E59" s="51">
        <v>0</v>
      </c>
      <c r="F59" s="52" t="s">
        <v>597</v>
      </c>
      <c r="G59" s="53">
        <v>5</v>
      </c>
      <c r="H59" s="53">
        <v>5</v>
      </c>
      <c r="I59" s="53">
        <v>0</v>
      </c>
      <c r="J59" s="50" t="s">
        <v>597</v>
      </c>
      <c r="K59" s="50" t="s">
        <v>597</v>
      </c>
    </row>
    <row r="60" spans="1:11" ht="15" customHeight="1">
      <c r="A60" s="54" t="s">
        <v>731</v>
      </c>
      <c r="B60" s="54" t="s">
        <v>732</v>
      </c>
      <c r="C60" s="54" t="s">
        <v>592</v>
      </c>
      <c r="D60" s="54" t="s">
        <v>70</v>
      </c>
      <c r="E60" s="55">
        <v>0</v>
      </c>
      <c r="F60" s="56" t="s">
        <v>597</v>
      </c>
      <c r="G60" s="57">
        <v>5</v>
      </c>
      <c r="H60" s="57">
        <v>5</v>
      </c>
      <c r="I60" s="57">
        <v>0</v>
      </c>
      <c r="J60" s="54" t="s">
        <v>597</v>
      </c>
      <c r="K60" s="54" t="s">
        <v>597</v>
      </c>
    </row>
    <row r="61" spans="1:11" ht="15" customHeight="1">
      <c r="A61" s="50" t="s">
        <v>733</v>
      </c>
      <c r="B61" s="50" t="s">
        <v>734</v>
      </c>
      <c r="C61" s="50" t="s">
        <v>592</v>
      </c>
      <c r="D61" s="50" t="s">
        <v>70</v>
      </c>
      <c r="E61" s="51">
        <v>0</v>
      </c>
      <c r="F61" s="52" t="s">
        <v>597</v>
      </c>
      <c r="G61" s="53">
        <v>5</v>
      </c>
      <c r="H61" s="53">
        <v>5</v>
      </c>
      <c r="I61" s="53">
        <v>0</v>
      </c>
      <c r="J61" s="50" t="s">
        <v>597</v>
      </c>
      <c r="K61" s="50" t="s">
        <v>597</v>
      </c>
    </row>
    <row r="62" spans="1:11" ht="15" customHeight="1">
      <c r="A62" s="54" t="s">
        <v>735</v>
      </c>
      <c r="B62" s="54" t="s">
        <v>736</v>
      </c>
      <c r="C62" s="54" t="s">
        <v>592</v>
      </c>
      <c r="D62" s="54" t="s">
        <v>70</v>
      </c>
      <c r="E62" s="55">
        <v>0</v>
      </c>
      <c r="F62" s="56" t="s">
        <v>597</v>
      </c>
      <c r="G62" s="57">
        <v>5</v>
      </c>
      <c r="H62" s="57">
        <v>5</v>
      </c>
      <c r="I62" s="57">
        <v>0</v>
      </c>
      <c r="J62" s="54" t="s">
        <v>597</v>
      </c>
      <c r="K62" s="54" t="s">
        <v>597</v>
      </c>
    </row>
    <row r="63" spans="1:11" ht="15" customHeight="1">
      <c r="A63" s="50" t="s">
        <v>737</v>
      </c>
      <c r="B63" s="50" t="s">
        <v>738</v>
      </c>
      <c r="C63" s="50" t="s">
        <v>592</v>
      </c>
      <c r="D63" s="50" t="s">
        <v>70</v>
      </c>
      <c r="E63" s="51">
        <v>0</v>
      </c>
      <c r="F63" s="52" t="s">
        <v>597</v>
      </c>
      <c r="G63" s="53">
        <v>5</v>
      </c>
      <c r="H63" s="53">
        <v>5</v>
      </c>
      <c r="I63" s="53">
        <v>0</v>
      </c>
      <c r="J63" s="50" t="s">
        <v>597</v>
      </c>
      <c r="K63" s="50" t="s">
        <v>597</v>
      </c>
    </row>
    <row r="64" spans="1:11" ht="15" customHeight="1">
      <c r="A64" s="54" t="s">
        <v>739</v>
      </c>
      <c r="B64" s="54" t="s">
        <v>740</v>
      </c>
      <c r="C64" s="54" t="s">
        <v>592</v>
      </c>
      <c r="D64" s="54" t="s">
        <v>70</v>
      </c>
      <c r="E64" s="55">
        <v>0</v>
      </c>
      <c r="F64" s="56" t="s">
        <v>597</v>
      </c>
      <c r="G64" s="57">
        <v>5</v>
      </c>
      <c r="H64" s="57">
        <v>5</v>
      </c>
      <c r="I64" s="57">
        <v>0</v>
      </c>
      <c r="J64" s="54" t="s">
        <v>597</v>
      </c>
      <c r="K64" s="54" t="s">
        <v>597</v>
      </c>
    </row>
    <row r="65" spans="1:11" ht="15" customHeight="1">
      <c r="A65" s="50" t="s">
        <v>107</v>
      </c>
      <c r="B65" s="50" t="s">
        <v>108</v>
      </c>
      <c r="C65" s="50" t="s">
        <v>592</v>
      </c>
      <c r="D65" s="50" t="s">
        <v>76</v>
      </c>
      <c r="E65" s="51">
        <v>75</v>
      </c>
      <c r="F65" s="52">
        <v>46065</v>
      </c>
      <c r="G65" s="53">
        <v>10.63</v>
      </c>
      <c r="H65" s="53">
        <v>10</v>
      </c>
      <c r="I65" s="53">
        <v>0</v>
      </c>
      <c r="J65" s="50" t="s">
        <v>741</v>
      </c>
      <c r="K65" s="50" t="s">
        <v>741</v>
      </c>
    </row>
    <row r="66" spans="1:11" ht="15" customHeight="1">
      <c r="A66" s="54" t="s">
        <v>742</v>
      </c>
      <c r="B66" s="54" t="s">
        <v>743</v>
      </c>
      <c r="C66" s="54" t="s">
        <v>592</v>
      </c>
      <c r="D66" s="54" t="s">
        <v>614</v>
      </c>
      <c r="E66" s="55">
        <v>0</v>
      </c>
      <c r="F66" s="56" t="s">
        <v>597</v>
      </c>
      <c r="G66" s="57">
        <v>5.01</v>
      </c>
      <c r="H66" s="57">
        <v>5</v>
      </c>
      <c r="I66" s="57">
        <v>5.01</v>
      </c>
      <c r="J66" s="54" t="s">
        <v>716</v>
      </c>
      <c r="K66" s="54" t="s">
        <v>716</v>
      </c>
    </row>
    <row r="67" spans="1:11" ht="15" customHeight="1">
      <c r="A67" s="50" t="s">
        <v>744</v>
      </c>
      <c r="B67" s="50" t="s">
        <v>745</v>
      </c>
      <c r="C67" s="50" t="s">
        <v>592</v>
      </c>
      <c r="D67" s="50" t="s">
        <v>614</v>
      </c>
      <c r="E67" s="51">
        <v>0</v>
      </c>
      <c r="F67" s="52" t="s">
        <v>597</v>
      </c>
      <c r="G67" s="53">
        <v>25.56</v>
      </c>
      <c r="H67" s="53">
        <v>25</v>
      </c>
      <c r="I67" s="53">
        <v>25</v>
      </c>
      <c r="J67" s="50" t="s">
        <v>746</v>
      </c>
      <c r="K67" s="50" t="s">
        <v>746</v>
      </c>
    </row>
    <row r="68" spans="1:11" ht="15" customHeight="1">
      <c r="A68" s="54" t="s">
        <v>390</v>
      </c>
      <c r="B68" s="54" t="s">
        <v>391</v>
      </c>
      <c r="C68" s="54" t="s">
        <v>592</v>
      </c>
      <c r="D68" s="54" t="s">
        <v>70</v>
      </c>
      <c r="E68" s="55">
        <v>99.4</v>
      </c>
      <c r="F68" s="56">
        <v>46049</v>
      </c>
      <c r="G68" s="57">
        <v>7</v>
      </c>
      <c r="H68" s="57">
        <v>7</v>
      </c>
      <c r="I68" s="57">
        <v>7</v>
      </c>
      <c r="J68" s="54" t="s">
        <v>597</v>
      </c>
      <c r="K68" s="54" t="s">
        <v>597</v>
      </c>
    </row>
    <row r="69" spans="1:11" ht="15" customHeight="1">
      <c r="A69" s="50" t="s">
        <v>111</v>
      </c>
      <c r="B69" s="50" t="s">
        <v>112</v>
      </c>
      <c r="C69" s="50" t="s">
        <v>592</v>
      </c>
      <c r="D69" s="50" t="s">
        <v>70</v>
      </c>
      <c r="E69" s="51">
        <v>122.1</v>
      </c>
      <c r="F69" s="52">
        <v>46035</v>
      </c>
      <c r="G69" s="53">
        <v>7</v>
      </c>
      <c r="H69" s="53">
        <v>7</v>
      </c>
      <c r="I69" s="53">
        <v>7</v>
      </c>
      <c r="J69" s="50" t="s">
        <v>597</v>
      </c>
      <c r="K69" s="50" t="s">
        <v>597</v>
      </c>
    </row>
    <row r="70" spans="1:11" ht="15" customHeight="1">
      <c r="A70" s="54" t="s">
        <v>393</v>
      </c>
      <c r="B70" s="54" t="s">
        <v>747</v>
      </c>
      <c r="C70" s="54" t="s">
        <v>592</v>
      </c>
      <c r="D70" s="54" t="s">
        <v>70</v>
      </c>
      <c r="E70" s="55">
        <v>0</v>
      </c>
      <c r="F70" s="56" t="s">
        <v>597</v>
      </c>
      <c r="G70" s="57">
        <v>4</v>
      </c>
      <c r="H70" s="57">
        <v>4</v>
      </c>
      <c r="I70" s="57">
        <v>4</v>
      </c>
      <c r="J70" s="54" t="s">
        <v>597</v>
      </c>
      <c r="K70" s="54" t="s">
        <v>597</v>
      </c>
    </row>
    <row r="71" spans="1:11" ht="15" customHeight="1">
      <c r="A71" s="50" t="s">
        <v>394</v>
      </c>
      <c r="B71" s="50" t="s">
        <v>748</v>
      </c>
      <c r="C71" s="50" t="s">
        <v>592</v>
      </c>
      <c r="D71" s="50" t="s">
        <v>70</v>
      </c>
      <c r="E71" s="51">
        <v>0</v>
      </c>
      <c r="F71" s="52" t="s">
        <v>597</v>
      </c>
      <c r="G71" s="53">
        <v>4</v>
      </c>
      <c r="H71" s="53">
        <v>4</v>
      </c>
      <c r="I71" s="53">
        <v>4</v>
      </c>
      <c r="J71" s="50" t="s">
        <v>597</v>
      </c>
      <c r="K71" s="50" t="s">
        <v>597</v>
      </c>
    </row>
    <row r="72" spans="1:11" ht="15" customHeight="1">
      <c r="A72" s="54" t="s">
        <v>121</v>
      </c>
      <c r="B72" s="54" t="s">
        <v>122</v>
      </c>
      <c r="C72" s="54" t="s">
        <v>592</v>
      </c>
      <c r="D72" s="54" t="s">
        <v>70</v>
      </c>
      <c r="E72" s="55">
        <v>24.6</v>
      </c>
      <c r="F72" s="56">
        <v>46043</v>
      </c>
      <c r="G72" s="57">
        <v>1</v>
      </c>
      <c r="H72" s="57">
        <v>1</v>
      </c>
      <c r="I72" s="57">
        <v>0</v>
      </c>
      <c r="J72" s="54" t="s">
        <v>597</v>
      </c>
      <c r="K72" s="54" t="s">
        <v>597</v>
      </c>
    </row>
    <row r="73" spans="1:11" ht="15" customHeight="1">
      <c r="A73" s="50" t="s">
        <v>123</v>
      </c>
      <c r="B73" s="50" t="s">
        <v>124</v>
      </c>
      <c r="C73" s="50" t="s">
        <v>592</v>
      </c>
      <c r="D73" s="50" t="s">
        <v>70</v>
      </c>
      <c r="E73" s="51">
        <v>24.3</v>
      </c>
      <c r="F73" s="52">
        <v>46043</v>
      </c>
      <c r="G73" s="53">
        <v>1</v>
      </c>
      <c r="H73" s="53">
        <v>1</v>
      </c>
      <c r="I73" s="53">
        <v>0</v>
      </c>
      <c r="J73" s="50" t="s">
        <v>597</v>
      </c>
      <c r="K73" s="50" t="s">
        <v>597</v>
      </c>
    </row>
    <row r="74" spans="1:11">
      <c r="A74" s="54" t="s">
        <v>749</v>
      </c>
      <c r="B74" s="54" t="s">
        <v>750</v>
      </c>
      <c r="C74" s="54" t="s">
        <v>592</v>
      </c>
      <c r="D74" s="54" t="s">
        <v>76</v>
      </c>
      <c r="E74" s="55">
        <v>0</v>
      </c>
      <c r="F74" s="56" t="s">
        <v>597</v>
      </c>
      <c r="G74" s="57">
        <v>10</v>
      </c>
      <c r="H74" s="57">
        <v>10</v>
      </c>
      <c r="I74" s="57">
        <v>0</v>
      </c>
      <c r="J74" s="54" t="s">
        <v>597</v>
      </c>
      <c r="K74" s="54" t="s">
        <v>597</v>
      </c>
    </row>
    <row r="75" spans="1:11">
      <c r="A75" s="50" t="s">
        <v>74</v>
      </c>
      <c r="B75" s="50" t="s">
        <v>75</v>
      </c>
      <c r="C75" s="50" t="s">
        <v>592</v>
      </c>
      <c r="D75" s="50" t="s">
        <v>76</v>
      </c>
      <c r="E75" s="51">
        <v>170.5</v>
      </c>
      <c r="F75" s="52">
        <v>46070</v>
      </c>
      <c r="G75" s="53">
        <v>10</v>
      </c>
      <c r="H75" s="53">
        <v>10</v>
      </c>
      <c r="I75" s="53">
        <v>12</v>
      </c>
      <c r="J75" s="50" t="s">
        <v>597</v>
      </c>
      <c r="K75" s="50" t="s">
        <v>597</v>
      </c>
    </row>
    <row r="76" spans="1:11">
      <c r="A76" s="54" t="s">
        <v>156</v>
      </c>
      <c r="B76" s="54" t="s">
        <v>157</v>
      </c>
      <c r="C76" s="54" t="s">
        <v>592</v>
      </c>
      <c r="D76" s="54" t="s">
        <v>76</v>
      </c>
      <c r="E76" s="55">
        <v>182.57</v>
      </c>
      <c r="F76" s="56">
        <v>45903</v>
      </c>
      <c r="G76" s="57">
        <v>10</v>
      </c>
      <c r="H76" s="57">
        <v>10</v>
      </c>
      <c r="I76" s="57">
        <v>12</v>
      </c>
      <c r="J76" s="54" t="s">
        <v>597</v>
      </c>
      <c r="K76" s="54" t="s">
        <v>597</v>
      </c>
    </row>
    <row r="77" spans="1:11">
      <c r="A77" s="50" t="s">
        <v>130</v>
      </c>
      <c r="B77" s="50" t="s">
        <v>131</v>
      </c>
      <c r="C77" s="50" t="s">
        <v>592</v>
      </c>
      <c r="D77" s="50" t="s">
        <v>132</v>
      </c>
      <c r="E77" s="51">
        <v>0</v>
      </c>
      <c r="F77" s="52" t="s">
        <v>597</v>
      </c>
      <c r="G77" s="53">
        <v>8</v>
      </c>
      <c r="H77" s="53">
        <v>8</v>
      </c>
      <c r="I77" s="53">
        <v>8</v>
      </c>
      <c r="J77" s="50" t="s">
        <v>751</v>
      </c>
      <c r="K77" s="50" t="s">
        <v>751</v>
      </c>
    </row>
    <row r="78" spans="1:11">
      <c r="A78" s="54" t="s">
        <v>395</v>
      </c>
      <c r="B78" s="54" t="s">
        <v>752</v>
      </c>
      <c r="C78" s="54" t="s">
        <v>592</v>
      </c>
      <c r="D78" s="54" t="s">
        <v>132</v>
      </c>
      <c r="E78" s="55">
        <v>0</v>
      </c>
      <c r="F78" s="56" t="s">
        <v>597</v>
      </c>
      <c r="G78" s="57">
        <v>8</v>
      </c>
      <c r="H78" s="57">
        <v>8</v>
      </c>
      <c r="I78" s="57">
        <v>0</v>
      </c>
      <c r="J78" s="54" t="s">
        <v>597</v>
      </c>
      <c r="K78" s="54" t="s">
        <v>597</v>
      </c>
    </row>
    <row r="79" spans="1:11">
      <c r="A79" s="50" t="s">
        <v>753</v>
      </c>
      <c r="B79" s="50" t="s">
        <v>754</v>
      </c>
      <c r="C79" s="50" t="s">
        <v>592</v>
      </c>
      <c r="D79" s="50" t="s">
        <v>76</v>
      </c>
      <c r="E79" s="51">
        <v>11</v>
      </c>
      <c r="F79" s="52">
        <v>45692</v>
      </c>
      <c r="G79" s="53">
        <v>8</v>
      </c>
      <c r="H79" s="53">
        <v>8</v>
      </c>
      <c r="I79" s="53">
        <v>12</v>
      </c>
      <c r="J79" s="50" t="s">
        <v>755</v>
      </c>
      <c r="K79" s="50" t="s">
        <v>755</v>
      </c>
    </row>
    <row r="80" spans="1:11">
      <c r="A80" s="54" t="s">
        <v>756</v>
      </c>
      <c r="B80" s="54" t="s">
        <v>757</v>
      </c>
      <c r="C80" s="54" t="s">
        <v>592</v>
      </c>
      <c r="D80" s="54" t="s">
        <v>76</v>
      </c>
      <c r="E80" s="55">
        <v>0</v>
      </c>
      <c r="F80" s="56" t="s">
        <v>597</v>
      </c>
      <c r="G80" s="57">
        <v>8</v>
      </c>
      <c r="H80" s="57">
        <v>8</v>
      </c>
      <c r="I80" s="57">
        <v>12</v>
      </c>
      <c r="J80" s="54" t="s">
        <v>758</v>
      </c>
      <c r="K80" s="54" t="s">
        <v>758</v>
      </c>
    </row>
    <row r="81" spans="1:11">
      <c r="A81" s="50" t="s">
        <v>759</v>
      </c>
      <c r="B81" s="50" t="s">
        <v>760</v>
      </c>
      <c r="C81" s="50" t="s">
        <v>592</v>
      </c>
      <c r="D81" s="50" t="s">
        <v>76</v>
      </c>
      <c r="E81" s="51">
        <v>210.6</v>
      </c>
      <c r="F81" s="52">
        <v>46059</v>
      </c>
      <c r="G81" s="53">
        <v>8</v>
      </c>
      <c r="H81" s="53">
        <v>8</v>
      </c>
      <c r="I81" s="53">
        <v>0</v>
      </c>
      <c r="J81" s="50" t="s">
        <v>761</v>
      </c>
      <c r="K81" s="50" t="s">
        <v>761</v>
      </c>
    </row>
    <row r="82" spans="1:11">
      <c r="A82" s="54" t="s">
        <v>762</v>
      </c>
      <c r="B82" s="54" t="s">
        <v>763</v>
      </c>
      <c r="C82" s="54" t="s">
        <v>592</v>
      </c>
      <c r="D82" s="54" t="s">
        <v>70</v>
      </c>
      <c r="E82" s="55">
        <v>0</v>
      </c>
      <c r="F82" s="56" t="s">
        <v>597</v>
      </c>
      <c r="G82" s="57">
        <v>5</v>
      </c>
      <c r="H82" s="57">
        <v>5</v>
      </c>
      <c r="I82" s="57">
        <v>0</v>
      </c>
      <c r="J82" s="54" t="s">
        <v>597</v>
      </c>
      <c r="K82" s="54" t="s">
        <v>597</v>
      </c>
    </row>
    <row r="83" spans="1:11">
      <c r="A83" s="50" t="s">
        <v>764</v>
      </c>
      <c r="B83" s="50" t="s">
        <v>765</v>
      </c>
      <c r="C83" s="50" t="s">
        <v>592</v>
      </c>
      <c r="D83" s="50" t="s">
        <v>76</v>
      </c>
      <c r="E83" s="51">
        <v>0</v>
      </c>
      <c r="F83" s="52" t="s">
        <v>597</v>
      </c>
      <c r="G83" s="53">
        <v>10</v>
      </c>
      <c r="H83" s="53">
        <v>10</v>
      </c>
      <c r="I83" s="53">
        <v>12</v>
      </c>
      <c r="J83" s="50" t="s">
        <v>766</v>
      </c>
      <c r="K83" s="50" t="s">
        <v>766</v>
      </c>
    </row>
    <row r="84" spans="1:11">
      <c r="A84" s="54" t="s">
        <v>767</v>
      </c>
      <c r="B84" s="54" t="s">
        <v>768</v>
      </c>
      <c r="C84" s="54" t="s">
        <v>592</v>
      </c>
      <c r="D84" s="54" t="s">
        <v>70</v>
      </c>
      <c r="E84" s="55">
        <v>0</v>
      </c>
      <c r="F84" s="56" t="s">
        <v>597</v>
      </c>
      <c r="G84" s="57">
        <v>0</v>
      </c>
      <c r="H84" s="57">
        <v>4</v>
      </c>
      <c r="I84" s="57">
        <v>0</v>
      </c>
      <c r="J84" s="54" t="s">
        <v>597</v>
      </c>
      <c r="K84" s="54" t="s">
        <v>597</v>
      </c>
    </row>
    <row r="85" spans="1:11">
      <c r="A85" s="50" t="s">
        <v>769</v>
      </c>
      <c r="B85" s="50" t="s">
        <v>770</v>
      </c>
      <c r="C85" s="50" t="s">
        <v>592</v>
      </c>
      <c r="D85" s="50" t="s">
        <v>76</v>
      </c>
      <c r="E85" s="51">
        <v>0</v>
      </c>
      <c r="F85" s="52" t="s">
        <v>597</v>
      </c>
      <c r="G85" s="53">
        <v>0</v>
      </c>
      <c r="H85" s="53">
        <v>10</v>
      </c>
      <c r="I85" s="53">
        <v>0</v>
      </c>
      <c r="J85" s="50" t="s">
        <v>597</v>
      </c>
      <c r="K85" s="50" t="s">
        <v>597</v>
      </c>
    </row>
    <row r="86" spans="1:11">
      <c r="A86" s="54" t="s">
        <v>396</v>
      </c>
      <c r="B86" s="54" t="s">
        <v>397</v>
      </c>
      <c r="C86" s="54" t="s">
        <v>592</v>
      </c>
      <c r="D86" s="54" t="s">
        <v>70</v>
      </c>
      <c r="E86" s="55">
        <v>105.64</v>
      </c>
      <c r="F86" s="56">
        <v>46065</v>
      </c>
      <c r="G86" s="57">
        <v>2.0139999999999998</v>
      </c>
      <c r="H86" s="57">
        <v>4</v>
      </c>
      <c r="I86" s="57">
        <v>4</v>
      </c>
      <c r="J86" s="54" t="s">
        <v>597</v>
      </c>
      <c r="K86" s="54" t="s">
        <v>597</v>
      </c>
    </row>
    <row r="87" spans="1:11">
      <c r="A87" s="50" t="s">
        <v>128</v>
      </c>
      <c r="B87" s="50" t="s">
        <v>129</v>
      </c>
      <c r="C87" s="50" t="s">
        <v>592</v>
      </c>
      <c r="D87" s="50" t="s">
        <v>70</v>
      </c>
      <c r="E87" s="51">
        <v>110.38</v>
      </c>
      <c r="F87" s="52">
        <v>46058</v>
      </c>
      <c r="G87" s="53">
        <v>2.0139999999999998</v>
      </c>
      <c r="H87" s="53">
        <v>4</v>
      </c>
      <c r="I87" s="53">
        <v>4</v>
      </c>
      <c r="J87" s="50" t="s">
        <v>597</v>
      </c>
      <c r="K87" s="50" t="s">
        <v>597</v>
      </c>
    </row>
    <row r="88" spans="1:11">
      <c r="A88" s="54" t="s">
        <v>398</v>
      </c>
      <c r="B88" s="54" t="s">
        <v>399</v>
      </c>
      <c r="C88" s="54" t="s">
        <v>592</v>
      </c>
      <c r="D88" s="54" t="s">
        <v>70</v>
      </c>
      <c r="E88" s="55">
        <v>59.85</v>
      </c>
      <c r="F88" s="56">
        <v>46069</v>
      </c>
      <c r="G88" s="57">
        <v>10.63</v>
      </c>
      <c r="H88" s="57">
        <v>10</v>
      </c>
      <c r="I88" s="57">
        <v>10</v>
      </c>
      <c r="J88" s="54" t="s">
        <v>597</v>
      </c>
      <c r="K88" s="54" t="s">
        <v>597</v>
      </c>
    </row>
    <row r="89" spans="1:11">
      <c r="A89" s="50" t="s">
        <v>280</v>
      </c>
      <c r="B89" s="50" t="s">
        <v>281</v>
      </c>
      <c r="C89" s="50" t="s">
        <v>592</v>
      </c>
      <c r="D89" s="50" t="s">
        <v>70</v>
      </c>
      <c r="E89" s="51">
        <v>62.63</v>
      </c>
      <c r="F89" s="52">
        <v>46069</v>
      </c>
      <c r="G89" s="53">
        <v>10.63</v>
      </c>
      <c r="H89" s="53">
        <v>10</v>
      </c>
      <c r="I89" s="53">
        <v>10</v>
      </c>
      <c r="J89" s="50" t="s">
        <v>597</v>
      </c>
      <c r="K89" s="50" t="s">
        <v>597</v>
      </c>
    </row>
    <row r="90" spans="1:11">
      <c r="A90" s="54" t="s">
        <v>771</v>
      </c>
      <c r="B90" s="54" t="s">
        <v>772</v>
      </c>
      <c r="C90" s="54" t="s">
        <v>592</v>
      </c>
      <c r="D90" s="54" t="s">
        <v>70</v>
      </c>
      <c r="E90" s="55">
        <v>0</v>
      </c>
      <c r="F90" s="56" t="s">
        <v>597</v>
      </c>
      <c r="G90" s="57">
        <v>0</v>
      </c>
      <c r="H90" s="57">
        <v>0</v>
      </c>
      <c r="I90" s="57">
        <v>0</v>
      </c>
      <c r="J90" s="54" t="s">
        <v>597</v>
      </c>
      <c r="K90" s="54" t="s">
        <v>597</v>
      </c>
    </row>
    <row r="91" spans="1:11">
      <c r="A91" s="50" t="s">
        <v>267</v>
      </c>
      <c r="B91" s="50" t="s">
        <v>268</v>
      </c>
      <c r="C91" s="50" t="s">
        <v>592</v>
      </c>
      <c r="D91" s="50" t="s">
        <v>70</v>
      </c>
      <c r="E91" s="51">
        <v>33.78</v>
      </c>
      <c r="F91" s="52">
        <v>46055</v>
      </c>
      <c r="G91" s="53">
        <v>2.0139999999999998</v>
      </c>
      <c r="H91" s="53">
        <v>2</v>
      </c>
      <c r="I91" s="53">
        <v>2</v>
      </c>
      <c r="J91" s="50" t="s">
        <v>597</v>
      </c>
      <c r="K91" s="50" t="s">
        <v>597</v>
      </c>
    </row>
    <row r="92" spans="1:11">
      <c r="A92" s="54" t="s">
        <v>773</v>
      </c>
      <c r="B92" s="54" t="s">
        <v>774</v>
      </c>
      <c r="C92" s="54" t="s">
        <v>592</v>
      </c>
      <c r="D92" s="54" t="s">
        <v>76</v>
      </c>
      <c r="E92" s="55">
        <v>243.2</v>
      </c>
      <c r="F92" s="56">
        <v>46065</v>
      </c>
      <c r="G92" s="57">
        <v>8.6300000000000008</v>
      </c>
      <c r="H92" s="57">
        <v>8</v>
      </c>
      <c r="I92" s="57">
        <v>10</v>
      </c>
      <c r="J92" s="54" t="s">
        <v>775</v>
      </c>
      <c r="K92" s="54" t="s">
        <v>775</v>
      </c>
    </row>
    <row r="93" spans="1:11">
      <c r="A93" s="50" t="s">
        <v>776</v>
      </c>
      <c r="B93" s="50" t="s">
        <v>777</v>
      </c>
      <c r="C93" s="50" t="s">
        <v>592</v>
      </c>
      <c r="D93" s="50" t="s">
        <v>76</v>
      </c>
      <c r="E93" s="51">
        <v>243.2</v>
      </c>
      <c r="F93" s="52">
        <v>46037</v>
      </c>
      <c r="G93" s="53">
        <v>8</v>
      </c>
      <c r="H93" s="53">
        <v>8</v>
      </c>
      <c r="I93" s="53">
        <v>12</v>
      </c>
      <c r="J93" s="50" t="s">
        <v>778</v>
      </c>
      <c r="K93" s="50" t="s">
        <v>778</v>
      </c>
    </row>
    <row r="94" spans="1:11">
      <c r="A94" s="54" t="s">
        <v>779</v>
      </c>
      <c r="B94" s="54" t="s">
        <v>780</v>
      </c>
      <c r="C94" s="54" t="s">
        <v>592</v>
      </c>
      <c r="D94" s="54" t="s">
        <v>76</v>
      </c>
      <c r="E94" s="55">
        <v>0</v>
      </c>
      <c r="F94" s="56" t="s">
        <v>597</v>
      </c>
      <c r="G94" s="57">
        <v>0</v>
      </c>
      <c r="H94" s="57">
        <v>0</v>
      </c>
      <c r="I94" s="57">
        <v>0</v>
      </c>
      <c r="J94" s="54" t="s">
        <v>597</v>
      </c>
      <c r="K94" s="54" t="s">
        <v>597</v>
      </c>
    </row>
    <row r="95" spans="1:11">
      <c r="A95" s="50" t="s">
        <v>781</v>
      </c>
      <c r="B95" s="50" t="s">
        <v>782</v>
      </c>
      <c r="C95" s="50" t="s">
        <v>592</v>
      </c>
      <c r="D95" s="50" t="s">
        <v>76</v>
      </c>
      <c r="E95" s="51">
        <v>1</v>
      </c>
      <c r="F95" s="52">
        <v>45692</v>
      </c>
      <c r="G95" s="53">
        <v>0</v>
      </c>
      <c r="H95" s="53">
        <v>0</v>
      </c>
      <c r="I95" s="53">
        <v>0</v>
      </c>
      <c r="J95" s="50" t="s">
        <v>597</v>
      </c>
      <c r="K95" s="50" t="s">
        <v>597</v>
      </c>
    </row>
    <row r="96" spans="1:11">
      <c r="A96" s="54" t="s">
        <v>783</v>
      </c>
      <c r="B96" s="54" t="s">
        <v>784</v>
      </c>
      <c r="C96" s="54" t="s">
        <v>592</v>
      </c>
      <c r="D96" s="54" t="s">
        <v>76</v>
      </c>
      <c r="E96" s="55">
        <v>0</v>
      </c>
      <c r="F96" s="56" t="s">
        <v>597</v>
      </c>
      <c r="G96" s="57">
        <v>0</v>
      </c>
      <c r="H96" s="57">
        <v>0</v>
      </c>
      <c r="I96" s="57">
        <v>0</v>
      </c>
      <c r="J96" s="54" t="s">
        <v>597</v>
      </c>
      <c r="K96" s="54" t="s">
        <v>597</v>
      </c>
    </row>
    <row r="97" spans="1:11">
      <c r="A97" s="50" t="s">
        <v>785</v>
      </c>
      <c r="B97" s="50" t="s">
        <v>786</v>
      </c>
      <c r="C97" s="50" t="s">
        <v>592</v>
      </c>
      <c r="D97" s="50" t="s">
        <v>76</v>
      </c>
      <c r="E97" s="51">
        <v>0</v>
      </c>
      <c r="F97" s="52" t="s">
        <v>597</v>
      </c>
      <c r="G97" s="53">
        <v>0</v>
      </c>
      <c r="H97" s="53">
        <v>0</v>
      </c>
      <c r="I97" s="53">
        <v>0</v>
      </c>
      <c r="J97" s="50" t="s">
        <v>597</v>
      </c>
      <c r="K97" s="50" t="s">
        <v>597</v>
      </c>
    </row>
    <row r="98" spans="1:11">
      <c r="A98" s="54" t="s">
        <v>400</v>
      </c>
      <c r="B98" s="54" t="s">
        <v>787</v>
      </c>
      <c r="C98" s="54" t="s">
        <v>592</v>
      </c>
      <c r="D98" s="54" t="s">
        <v>76</v>
      </c>
      <c r="E98" s="55">
        <v>210</v>
      </c>
      <c r="F98" s="56">
        <v>45708</v>
      </c>
      <c r="G98" s="57">
        <v>10.53</v>
      </c>
      <c r="H98" s="57">
        <v>10</v>
      </c>
      <c r="I98" s="57">
        <v>12</v>
      </c>
      <c r="J98" s="54" t="s">
        <v>788</v>
      </c>
      <c r="K98" s="54" t="s">
        <v>788</v>
      </c>
    </row>
    <row r="99" spans="1:11">
      <c r="A99" s="50" t="s">
        <v>401</v>
      </c>
      <c r="B99" s="50" t="s">
        <v>402</v>
      </c>
      <c r="C99" s="50" t="s">
        <v>592</v>
      </c>
      <c r="D99" s="50" t="s">
        <v>76</v>
      </c>
      <c r="E99" s="51">
        <v>0</v>
      </c>
      <c r="F99" s="52" t="s">
        <v>597</v>
      </c>
      <c r="G99" s="53">
        <v>10.53</v>
      </c>
      <c r="H99" s="53">
        <v>10</v>
      </c>
      <c r="I99" s="53">
        <v>12</v>
      </c>
      <c r="J99" s="50" t="s">
        <v>789</v>
      </c>
      <c r="K99" s="50" t="s">
        <v>789</v>
      </c>
    </row>
    <row r="100" spans="1:11">
      <c r="A100" s="54" t="s">
        <v>790</v>
      </c>
      <c r="B100" s="54" t="s">
        <v>791</v>
      </c>
      <c r="C100" s="54" t="s">
        <v>592</v>
      </c>
      <c r="D100" s="54" t="s">
        <v>132</v>
      </c>
      <c r="E100" s="55">
        <v>0</v>
      </c>
      <c r="F100" s="56" t="s">
        <v>597</v>
      </c>
      <c r="G100" s="57">
        <v>0</v>
      </c>
      <c r="H100" s="57">
        <v>8</v>
      </c>
      <c r="I100" s="57">
        <v>0</v>
      </c>
      <c r="J100" s="54" t="s">
        <v>597</v>
      </c>
      <c r="K100" s="54" t="s">
        <v>597</v>
      </c>
    </row>
    <row r="101" spans="1:11">
      <c r="A101" s="50" t="s">
        <v>792</v>
      </c>
      <c r="B101" s="50" t="s">
        <v>793</v>
      </c>
      <c r="C101" s="50" t="s">
        <v>592</v>
      </c>
      <c r="D101" s="50" t="s">
        <v>76</v>
      </c>
      <c r="E101" s="51">
        <v>279.3</v>
      </c>
      <c r="F101" s="52">
        <v>46037</v>
      </c>
      <c r="G101" s="53">
        <v>8</v>
      </c>
      <c r="H101" s="53">
        <v>8</v>
      </c>
      <c r="I101" s="53">
        <v>12</v>
      </c>
      <c r="J101" s="50" t="s">
        <v>794</v>
      </c>
      <c r="K101" s="50" t="s">
        <v>794</v>
      </c>
    </row>
    <row r="102" spans="1:11">
      <c r="A102" s="54" t="s">
        <v>795</v>
      </c>
      <c r="B102" s="54" t="s">
        <v>796</v>
      </c>
      <c r="C102" s="54" t="s">
        <v>592</v>
      </c>
      <c r="D102" s="54" t="s">
        <v>76</v>
      </c>
      <c r="E102" s="55">
        <v>279.3</v>
      </c>
      <c r="F102" s="56">
        <v>46059</v>
      </c>
      <c r="G102" s="57">
        <v>8.5299999999999994</v>
      </c>
      <c r="H102" s="57">
        <v>8</v>
      </c>
      <c r="I102" s="57">
        <v>12</v>
      </c>
      <c r="J102" s="54" t="s">
        <v>797</v>
      </c>
      <c r="K102" s="54" t="s">
        <v>797</v>
      </c>
    </row>
    <row r="103" spans="1:11">
      <c r="A103" s="50" t="s">
        <v>798</v>
      </c>
      <c r="B103" s="50" t="s">
        <v>799</v>
      </c>
      <c r="C103" s="50" t="s">
        <v>592</v>
      </c>
      <c r="D103" s="50" t="s">
        <v>76</v>
      </c>
      <c r="E103" s="51">
        <v>154.55000000000001</v>
      </c>
      <c r="F103" s="52">
        <v>45888</v>
      </c>
      <c r="G103" s="53">
        <v>10.343</v>
      </c>
      <c r="H103" s="53">
        <v>10</v>
      </c>
      <c r="I103" s="53">
        <v>0</v>
      </c>
      <c r="J103" s="50" t="s">
        <v>597</v>
      </c>
      <c r="K103" s="50" t="s">
        <v>597</v>
      </c>
    </row>
    <row r="104" spans="1:11">
      <c r="A104" s="54" t="s">
        <v>800</v>
      </c>
      <c r="B104" s="54" t="s">
        <v>801</v>
      </c>
      <c r="C104" s="54" t="s">
        <v>592</v>
      </c>
      <c r="D104" s="54" t="s">
        <v>76</v>
      </c>
      <c r="E104" s="55">
        <v>261</v>
      </c>
      <c r="F104" s="56">
        <v>45979</v>
      </c>
      <c r="G104" s="57">
        <v>10.63</v>
      </c>
      <c r="H104" s="57">
        <v>10</v>
      </c>
      <c r="I104" s="57">
        <v>10</v>
      </c>
      <c r="J104" s="54" t="s">
        <v>802</v>
      </c>
      <c r="K104" s="54" t="s">
        <v>803</v>
      </c>
    </row>
    <row r="105" spans="1:11">
      <c r="A105" s="50" t="s">
        <v>101</v>
      </c>
      <c r="B105" s="50" t="s">
        <v>804</v>
      </c>
      <c r="C105" s="50" t="s">
        <v>592</v>
      </c>
      <c r="D105" s="50" t="s">
        <v>76</v>
      </c>
      <c r="E105" s="51">
        <v>350</v>
      </c>
      <c r="F105" s="52">
        <v>46069</v>
      </c>
      <c r="G105" s="53">
        <v>10.63</v>
      </c>
      <c r="H105" s="53">
        <v>10</v>
      </c>
      <c r="I105" s="53">
        <v>10</v>
      </c>
      <c r="J105" s="50" t="s">
        <v>805</v>
      </c>
      <c r="K105" s="50" t="s">
        <v>806</v>
      </c>
    </row>
    <row r="106" spans="1:11">
      <c r="A106" s="54" t="s">
        <v>807</v>
      </c>
      <c r="B106" s="54" t="s">
        <v>808</v>
      </c>
      <c r="C106" s="54" t="s">
        <v>592</v>
      </c>
      <c r="D106" s="54" t="s">
        <v>76</v>
      </c>
      <c r="E106" s="55">
        <v>0</v>
      </c>
      <c r="F106" s="56" t="s">
        <v>597</v>
      </c>
      <c r="G106" s="57">
        <v>10.63</v>
      </c>
      <c r="H106" s="57">
        <v>10</v>
      </c>
      <c r="I106" s="57">
        <v>10</v>
      </c>
      <c r="J106" s="54" t="s">
        <v>809</v>
      </c>
      <c r="K106" s="54" t="s">
        <v>810</v>
      </c>
    </row>
    <row r="107" spans="1:11">
      <c r="A107" s="50" t="s">
        <v>811</v>
      </c>
      <c r="B107" s="50" t="s">
        <v>812</v>
      </c>
      <c r="C107" s="50" t="s">
        <v>592</v>
      </c>
      <c r="D107" s="50" t="s">
        <v>76</v>
      </c>
      <c r="E107" s="51">
        <v>0</v>
      </c>
      <c r="F107" s="52" t="s">
        <v>597</v>
      </c>
      <c r="G107" s="53">
        <v>10.63</v>
      </c>
      <c r="H107" s="53">
        <v>10</v>
      </c>
      <c r="I107" s="53">
        <v>10</v>
      </c>
      <c r="J107" s="50" t="s">
        <v>813</v>
      </c>
      <c r="K107" s="50" t="s">
        <v>814</v>
      </c>
    </row>
    <row r="108" spans="1:11">
      <c r="A108" s="54" t="s">
        <v>815</v>
      </c>
      <c r="B108" s="54" t="s">
        <v>816</v>
      </c>
      <c r="C108" s="54" t="s">
        <v>592</v>
      </c>
      <c r="D108" s="54" t="s">
        <v>76</v>
      </c>
      <c r="E108" s="55">
        <v>0</v>
      </c>
      <c r="F108" s="56" t="s">
        <v>597</v>
      </c>
      <c r="G108" s="57">
        <v>2.0139999999999998</v>
      </c>
      <c r="H108" s="57">
        <v>2</v>
      </c>
      <c r="I108" s="57">
        <v>2</v>
      </c>
      <c r="J108" s="54" t="s">
        <v>817</v>
      </c>
      <c r="K108" s="54" t="s">
        <v>818</v>
      </c>
    </row>
    <row r="109" spans="1:11">
      <c r="A109" s="50" t="s">
        <v>133</v>
      </c>
      <c r="B109" s="50" t="s">
        <v>134</v>
      </c>
      <c r="C109" s="50" t="s">
        <v>592</v>
      </c>
      <c r="D109" s="50" t="s">
        <v>76</v>
      </c>
      <c r="E109" s="51">
        <v>222</v>
      </c>
      <c r="F109" s="52">
        <v>46069</v>
      </c>
      <c r="G109" s="53">
        <v>2.0139999999999998</v>
      </c>
      <c r="H109" s="53">
        <v>2</v>
      </c>
      <c r="I109" s="53">
        <v>2</v>
      </c>
      <c r="J109" s="50" t="s">
        <v>819</v>
      </c>
      <c r="K109" s="50" t="s">
        <v>820</v>
      </c>
    </row>
    <row r="110" spans="1:11">
      <c r="A110" s="54" t="s">
        <v>169</v>
      </c>
      <c r="B110" s="54" t="s">
        <v>821</v>
      </c>
      <c r="C110" s="54" t="s">
        <v>592</v>
      </c>
      <c r="D110" s="54" t="s">
        <v>76</v>
      </c>
      <c r="E110" s="55">
        <v>261</v>
      </c>
      <c r="F110" s="56">
        <v>46070</v>
      </c>
      <c r="G110" s="57">
        <v>10.63</v>
      </c>
      <c r="H110" s="57">
        <v>10</v>
      </c>
      <c r="I110" s="57">
        <v>0</v>
      </c>
      <c r="J110" s="54" t="s">
        <v>822</v>
      </c>
      <c r="K110" s="54" t="s">
        <v>823</v>
      </c>
    </row>
    <row r="111" spans="1:11">
      <c r="A111" s="50" t="s">
        <v>824</v>
      </c>
      <c r="B111" s="50" t="s">
        <v>825</v>
      </c>
      <c r="C111" s="50" t="s">
        <v>592</v>
      </c>
      <c r="D111" s="50" t="s">
        <v>614</v>
      </c>
      <c r="E111" s="51">
        <v>0</v>
      </c>
      <c r="F111" s="52" t="s">
        <v>597</v>
      </c>
      <c r="G111" s="53">
        <v>12.53</v>
      </c>
      <c r="H111" s="53">
        <v>12</v>
      </c>
      <c r="I111" s="53">
        <v>12</v>
      </c>
      <c r="J111" s="50" t="s">
        <v>826</v>
      </c>
      <c r="K111" s="50" t="s">
        <v>826</v>
      </c>
    </row>
    <row r="112" spans="1:11">
      <c r="A112" s="54" t="s">
        <v>827</v>
      </c>
      <c r="B112" s="54" t="s">
        <v>828</v>
      </c>
      <c r="C112" s="54" t="s">
        <v>592</v>
      </c>
      <c r="D112" s="54" t="s">
        <v>614</v>
      </c>
      <c r="E112" s="55">
        <v>0</v>
      </c>
      <c r="F112" s="56" t="s">
        <v>597</v>
      </c>
      <c r="G112" s="57">
        <v>12.53</v>
      </c>
      <c r="H112" s="57">
        <v>12</v>
      </c>
      <c r="I112" s="57">
        <v>12</v>
      </c>
      <c r="J112" s="54" t="s">
        <v>829</v>
      </c>
      <c r="K112" s="54" t="s">
        <v>829</v>
      </c>
    </row>
    <row r="113" spans="1:11">
      <c r="A113" s="50" t="s">
        <v>830</v>
      </c>
      <c r="B113" s="50" t="s">
        <v>831</v>
      </c>
      <c r="C113" s="50" t="s">
        <v>592</v>
      </c>
      <c r="D113" s="50" t="s">
        <v>614</v>
      </c>
      <c r="E113" s="51">
        <v>0</v>
      </c>
      <c r="F113" s="52" t="s">
        <v>597</v>
      </c>
      <c r="G113" s="53">
        <v>12.53</v>
      </c>
      <c r="H113" s="53">
        <v>12</v>
      </c>
      <c r="I113" s="53">
        <v>12</v>
      </c>
      <c r="J113" s="50" t="s">
        <v>832</v>
      </c>
      <c r="K113" s="50" t="s">
        <v>832</v>
      </c>
    </row>
    <row r="114" spans="1:11">
      <c r="A114" s="54" t="s">
        <v>833</v>
      </c>
      <c r="B114" s="54" t="s">
        <v>834</v>
      </c>
      <c r="C114" s="54" t="s">
        <v>592</v>
      </c>
      <c r="D114" s="54" t="s">
        <v>614</v>
      </c>
      <c r="E114" s="55">
        <v>0</v>
      </c>
      <c r="F114" s="56" t="s">
        <v>597</v>
      </c>
      <c r="G114" s="57">
        <v>12.53</v>
      </c>
      <c r="H114" s="57">
        <v>12</v>
      </c>
      <c r="I114" s="57">
        <v>12</v>
      </c>
      <c r="J114" s="54" t="s">
        <v>835</v>
      </c>
      <c r="K114" s="54" t="s">
        <v>835</v>
      </c>
    </row>
    <row r="115" spans="1:11">
      <c r="A115" s="50" t="s">
        <v>836</v>
      </c>
      <c r="B115" s="50" t="s">
        <v>837</v>
      </c>
      <c r="C115" s="50" t="s">
        <v>592</v>
      </c>
      <c r="D115" s="50" t="s">
        <v>614</v>
      </c>
      <c r="E115" s="51">
        <v>0</v>
      </c>
      <c r="F115" s="52" t="s">
        <v>597</v>
      </c>
      <c r="G115" s="53">
        <v>12.53</v>
      </c>
      <c r="H115" s="53">
        <v>12</v>
      </c>
      <c r="I115" s="53">
        <v>12</v>
      </c>
      <c r="J115" s="50" t="s">
        <v>838</v>
      </c>
      <c r="K115" s="50" t="s">
        <v>838</v>
      </c>
    </row>
    <row r="116" spans="1:11">
      <c r="A116" s="54" t="s">
        <v>839</v>
      </c>
      <c r="B116" s="54" t="s">
        <v>840</v>
      </c>
      <c r="C116" s="54" t="s">
        <v>592</v>
      </c>
      <c r="D116" s="54" t="s">
        <v>614</v>
      </c>
      <c r="E116" s="55">
        <v>0</v>
      </c>
      <c r="F116" s="56" t="s">
        <v>597</v>
      </c>
      <c r="G116" s="57">
        <v>12.53</v>
      </c>
      <c r="H116" s="57">
        <v>12</v>
      </c>
      <c r="I116" s="57">
        <v>12</v>
      </c>
      <c r="J116" s="54" t="s">
        <v>841</v>
      </c>
      <c r="K116" s="54" t="s">
        <v>841</v>
      </c>
    </row>
    <row r="117" spans="1:11">
      <c r="A117" s="50" t="s">
        <v>842</v>
      </c>
      <c r="B117" s="50" t="s">
        <v>843</v>
      </c>
      <c r="C117" s="50" t="s">
        <v>592</v>
      </c>
      <c r="D117" s="50" t="s">
        <v>614</v>
      </c>
      <c r="E117" s="51">
        <v>0</v>
      </c>
      <c r="F117" s="52" t="s">
        <v>597</v>
      </c>
      <c r="G117" s="53">
        <v>12.53</v>
      </c>
      <c r="H117" s="53">
        <v>12</v>
      </c>
      <c r="I117" s="53">
        <v>12</v>
      </c>
      <c r="J117" s="50" t="s">
        <v>844</v>
      </c>
      <c r="K117" s="50" t="s">
        <v>844</v>
      </c>
    </row>
    <row r="118" spans="1:11">
      <c r="A118" s="54" t="s">
        <v>845</v>
      </c>
      <c r="B118" s="54" t="s">
        <v>846</v>
      </c>
      <c r="C118" s="54" t="s">
        <v>592</v>
      </c>
      <c r="D118" s="54" t="s">
        <v>614</v>
      </c>
      <c r="E118" s="55">
        <v>0</v>
      </c>
      <c r="F118" s="56" t="s">
        <v>597</v>
      </c>
      <c r="G118" s="57">
        <v>12.53</v>
      </c>
      <c r="H118" s="57">
        <v>12</v>
      </c>
      <c r="I118" s="57">
        <v>12</v>
      </c>
      <c r="J118" s="54" t="s">
        <v>847</v>
      </c>
      <c r="K118" s="54" t="s">
        <v>847</v>
      </c>
    </row>
    <row r="119" spans="1:11">
      <c r="A119" s="50" t="s">
        <v>848</v>
      </c>
      <c r="B119" s="50" t="s">
        <v>849</v>
      </c>
      <c r="C119" s="50" t="s">
        <v>592</v>
      </c>
      <c r="D119" s="50" t="s">
        <v>614</v>
      </c>
      <c r="E119" s="51">
        <v>0</v>
      </c>
      <c r="F119" s="52" t="s">
        <v>597</v>
      </c>
      <c r="G119" s="53">
        <v>12.53</v>
      </c>
      <c r="H119" s="53">
        <v>12</v>
      </c>
      <c r="I119" s="53">
        <v>12</v>
      </c>
      <c r="J119" s="50" t="s">
        <v>850</v>
      </c>
      <c r="K119" s="50" t="s">
        <v>850</v>
      </c>
    </row>
    <row r="120" spans="1:11">
      <c r="A120" s="54" t="s">
        <v>851</v>
      </c>
      <c r="B120" s="54" t="s">
        <v>852</v>
      </c>
      <c r="C120" s="54" t="s">
        <v>592</v>
      </c>
      <c r="D120" s="54" t="s">
        <v>614</v>
      </c>
      <c r="E120" s="55">
        <v>0</v>
      </c>
      <c r="F120" s="56" t="s">
        <v>597</v>
      </c>
      <c r="G120" s="57">
        <v>12.53</v>
      </c>
      <c r="H120" s="57">
        <v>12</v>
      </c>
      <c r="I120" s="57">
        <v>12</v>
      </c>
      <c r="J120" s="54" t="s">
        <v>853</v>
      </c>
      <c r="K120" s="54" t="s">
        <v>853</v>
      </c>
    </row>
    <row r="121" spans="1:11">
      <c r="A121" s="50" t="s">
        <v>854</v>
      </c>
      <c r="B121" s="50" t="s">
        <v>855</v>
      </c>
      <c r="C121" s="50" t="s">
        <v>592</v>
      </c>
      <c r="D121" s="50" t="s">
        <v>614</v>
      </c>
      <c r="E121" s="51">
        <v>0</v>
      </c>
      <c r="F121" s="52" t="s">
        <v>597</v>
      </c>
      <c r="G121" s="53">
        <v>12.53</v>
      </c>
      <c r="H121" s="53">
        <v>12</v>
      </c>
      <c r="I121" s="53">
        <v>12</v>
      </c>
      <c r="J121" s="50" t="s">
        <v>856</v>
      </c>
      <c r="K121" s="50" t="s">
        <v>856</v>
      </c>
    </row>
    <row r="122" spans="1:11">
      <c r="A122" s="54" t="s">
        <v>857</v>
      </c>
      <c r="B122" s="54" t="s">
        <v>858</v>
      </c>
      <c r="C122" s="54" t="s">
        <v>592</v>
      </c>
      <c r="D122" s="54" t="s">
        <v>614</v>
      </c>
      <c r="E122" s="55">
        <v>0</v>
      </c>
      <c r="F122" s="56" t="s">
        <v>597</v>
      </c>
      <c r="G122" s="57">
        <v>12.53</v>
      </c>
      <c r="H122" s="57">
        <v>12</v>
      </c>
      <c r="I122" s="57">
        <v>12</v>
      </c>
      <c r="J122" s="54" t="s">
        <v>859</v>
      </c>
      <c r="K122" s="54" t="s">
        <v>859</v>
      </c>
    </row>
    <row r="123" spans="1:11">
      <c r="A123" s="50" t="s">
        <v>860</v>
      </c>
      <c r="B123" s="50" t="s">
        <v>861</v>
      </c>
      <c r="C123" s="50" t="s">
        <v>592</v>
      </c>
      <c r="D123" s="50" t="s">
        <v>614</v>
      </c>
      <c r="E123" s="51">
        <v>0</v>
      </c>
      <c r="F123" s="52" t="s">
        <v>597</v>
      </c>
      <c r="G123" s="53">
        <v>12.53</v>
      </c>
      <c r="H123" s="53">
        <v>12</v>
      </c>
      <c r="I123" s="53">
        <v>12</v>
      </c>
      <c r="J123" s="50" t="s">
        <v>597</v>
      </c>
      <c r="K123" s="50" t="s">
        <v>597</v>
      </c>
    </row>
    <row r="124" spans="1:11">
      <c r="A124" s="54" t="s">
        <v>862</v>
      </c>
      <c r="B124" s="54" t="s">
        <v>863</v>
      </c>
      <c r="C124" s="54" t="s">
        <v>592</v>
      </c>
      <c r="D124" s="54" t="s">
        <v>614</v>
      </c>
      <c r="E124" s="55">
        <v>0</v>
      </c>
      <c r="F124" s="56" t="s">
        <v>597</v>
      </c>
      <c r="G124" s="57">
        <v>12.53</v>
      </c>
      <c r="H124" s="57">
        <v>12</v>
      </c>
      <c r="I124" s="57">
        <v>12</v>
      </c>
      <c r="J124" s="54" t="s">
        <v>864</v>
      </c>
      <c r="K124" s="54" t="s">
        <v>864</v>
      </c>
    </row>
    <row r="125" spans="1:11">
      <c r="A125" s="50" t="s">
        <v>865</v>
      </c>
      <c r="B125" s="50" t="s">
        <v>866</v>
      </c>
      <c r="C125" s="50" t="s">
        <v>592</v>
      </c>
      <c r="D125" s="50" t="s">
        <v>70</v>
      </c>
      <c r="E125" s="51">
        <v>0</v>
      </c>
      <c r="F125" s="52" t="s">
        <v>597</v>
      </c>
      <c r="G125" s="53">
        <v>4</v>
      </c>
      <c r="H125" s="53">
        <v>4</v>
      </c>
      <c r="I125" s="53">
        <v>0</v>
      </c>
      <c r="J125" s="50" t="s">
        <v>597</v>
      </c>
      <c r="K125" s="50" t="s">
        <v>597</v>
      </c>
    </row>
    <row r="126" spans="1:11">
      <c r="A126" s="54" t="s">
        <v>867</v>
      </c>
      <c r="B126" s="54" t="s">
        <v>868</v>
      </c>
      <c r="C126" s="54" t="s">
        <v>592</v>
      </c>
      <c r="D126" s="54" t="s">
        <v>70</v>
      </c>
      <c r="E126" s="55">
        <v>0</v>
      </c>
      <c r="F126" s="56" t="s">
        <v>597</v>
      </c>
      <c r="G126" s="57">
        <v>4</v>
      </c>
      <c r="H126" s="57">
        <v>4</v>
      </c>
      <c r="I126" s="57">
        <v>0</v>
      </c>
      <c r="J126" s="54" t="s">
        <v>597</v>
      </c>
      <c r="K126" s="54" t="s">
        <v>597</v>
      </c>
    </row>
    <row r="127" spans="1:11">
      <c r="A127" s="50" t="s">
        <v>869</v>
      </c>
      <c r="B127" s="50" t="s">
        <v>870</v>
      </c>
      <c r="C127" s="50" t="s">
        <v>592</v>
      </c>
      <c r="D127" s="50" t="s">
        <v>70</v>
      </c>
      <c r="E127" s="51">
        <v>0</v>
      </c>
      <c r="F127" s="52" t="s">
        <v>597</v>
      </c>
      <c r="G127" s="53">
        <v>5</v>
      </c>
      <c r="H127" s="53">
        <v>5</v>
      </c>
      <c r="I127" s="53">
        <v>0</v>
      </c>
      <c r="J127" s="50" t="s">
        <v>597</v>
      </c>
      <c r="K127" s="50" t="s">
        <v>597</v>
      </c>
    </row>
    <row r="128" spans="1:11">
      <c r="A128" s="54" t="s">
        <v>871</v>
      </c>
      <c r="B128" s="54" t="s">
        <v>872</v>
      </c>
      <c r="C128" s="54" t="s">
        <v>592</v>
      </c>
      <c r="D128" s="54" t="s">
        <v>70</v>
      </c>
      <c r="E128" s="55">
        <v>0</v>
      </c>
      <c r="F128" s="56" t="s">
        <v>597</v>
      </c>
      <c r="G128" s="57">
        <v>4</v>
      </c>
      <c r="H128" s="57">
        <v>4</v>
      </c>
      <c r="I128" s="57">
        <v>0</v>
      </c>
      <c r="J128" s="54" t="s">
        <v>597</v>
      </c>
      <c r="K128" s="54" t="s">
        <v>597</v>
      </c>
    </row>
    <row r="129" spans="1:11">
      <c r="A129" s="50" t="s">
        <v>85</v>
      </c>
      <c r="B129" s="50" t="s">
        <v>873</v>
      </c>
      <c r="C129" s="50" t="s">
        <v>592</v>
      </c>
      <c r="D129" s="50" t="s">
        <v>76</v>
      </c>
      <c r="E129" s="51">
        <v>39.659999999999997</v>
      </c>
      <c r="F129" s="52">
        <v>46070</v>
      </c>
      <c r="G129" s="53">
        <v>1</v>
      </c>
      <c r="H129" s="53">
        <v>4</v>
      </c>
      <c r="I129" s="53">
        <v>25</v>
      </c>
      <c r="J129" s="50" t="s">
        <v>597</v>
      </c>
      <c r="K129" s="50" t="s">
        <v>597</v>
      </c>
    </row>
    <row r="130" spans="1:11">
      <c r="A130" s="54" t="s">
        <v>403</v>
      </c>
      <c r="B130" s="54" t="s">
        <v>874</v>
      </c>
      <c r="C130" s="54" t="s">
        <v>592</v>
      </c>
      <c r="D130" s="54" t="s">
        <v>76</v>
      </c>
      <c r="E130" s="55">
        <v>48.59</v>
      </c>
      <c r="F130" s="56">
        <v>46069</v>
      </c>
      <c r="G130" s="57">
        <v>1</v>
      </c>
      <c r="H130" s="57">
        <v>4</v>
      </c>
      <c r="I130" s="57">
        <v>25</v>
      </c>
      <c r="J130" s="54" t="s">
        <v>875</v>
      </c>
      <c r="K130" s="54" t="s">
        <v>875</v>
      </c>
    </row>
    <row r="131" spans="1:11">
      <c r="A131" s="50" t="s">
        <v>876</v>
      </c>
      <c r="B131" s="50" t="s">
        <v>877</v>
      </c>
      <c r="C131" s="50" t="s">
        <v>592</v>
      </c>
      <c r="D131" s="50" t="s">
        <v>76</v>
      </c>
      <c r="E131" s="51">
        <v>0</v>
      </c>
      <c r="F131" s="52" t="s">
        <v>597</v>
      </c>
      <c r="G131" s="53">
        <v>1</v>
      </c>
      <c r="H131" s="53">
        <v>4</v>
      </c>
      <c r="I131" s="53">
        <v>25</v>
      </c>
      <c r="J131" s="50" t="s">
        <v>597</v>
      </c>
      <c r="K131" s="50" t="s">
        <v>597</v>
      </c>
    </row>
    <row r="132" spans="1:11">
      <c r="A132" s="54" t="s">
        <v>878</v>
      </c>
      <c r="B132" s="54" t="s">
        <v>879</v>
      </c>
      <c r="C132" s="54" t="s">
        <v>592</v>
      </c>
      <c r="D132" s="54" t="s">
        <v>76</v>
      </c>
      <c r="E132" s="55">
        <v>0</v>
      </c>
      <c r="F132" s="56" t="s">
        <v>597</v>
      </c>
      <c r="G132" s="57">
        <v>1</v>
      </c>
      <c r="H132" s="57">
        <v>4</v>
      </c>
      <c r="I132" s="57">
        <v>0</v>
      </c>
      <c r="J132" s="54" t="s">
        <v>597</v>
      </c>
      <c r="K132" s="54" t="s">
        <v>597</v>
      </c>
    </row>
    <row r="133" spans="1:11">
      <c r="A133" s="50" t="s">
        <v>880</v>
      </c>
      <c r="B133" s="50" t="s">
        <v>881</v>
      </c>
      <c r="C133" s="50" t="s">
        <v>592</v>
      </c>
      <c r="D133" s="50" t="s">
        <v>76</v>
      </c>
      <c r="E133" s="51">
        <v>0</v>
      </c>
      <c r="F133" s="52" t="s">
        <v>597</v>
      </c>
      <c r="G133" s="53">
        <v>1</v>
      </c>
      <c r="H133" s="53">
        <v>4</v>
      </c>
      <c r="I133" s="53">
        <v>0</v>
      </c>
      <c r="J133" s="50" t="s">
        <v>597</v>
      </c>
      <c r="K133" s="50" t="s">
        <v>597</v>
      </c>
    </row>
    <row r="134" spans="1:11">
      <c r="A134" s="54" t="s">
        <v>882</v>
      </c>
      <c r="B134" s="54" t="s">
        <v>883</v>
      </c>
      <c r="C134" s="54" t="s">
        <v>592</v>
      </c>
      <c r="D134" s="54" t="s">
        <v>70</v>
      </c>
      <c r="E134" s="55">
        <v>0</v>
      </c>
      <c r="F134" s="56" t="s">
        <v>597</v>
      </c>
      <c r="G134" s="57">
        <v>1</v>
      </c>
      <c r="H134" s="57">
        <v>1</v>
      </c>
      <c r="I134" s="57">
        <v>0</v>
      </c>
      <c r="J134" s="54" t="s">
        <v>597</v>
      </c>
      <c r="K134" s="54" t="s">
        <v>597</v>
      </c>
    </row>
    <row r="135" spans="1:11">
      <c r="A135" s="50" t="s">
        <v>884</v>
      </c>
      <c r="B135" s="50" t="s">
        <v>885</v>
      </c>
      <c r="C135" s="50" t="s">
        <v>592</v>
      </c>
      <c r="D135" s="50" t="s">
        <v>76</v>
      </c>
      <c r="E135" s="51">
        <v>0</v>
      </c>
      <c r="F135" s="52" t="s">
        <v>597</v>
      </c>
      <c r="G135" s="53">
        <v>1.1000000000000001</v>
      </c>
      <c r="H135" s="53">
        <v>5.5</v>
      </c>
      <c r="I135" s="53">
        <v>0</v>
      </c>
      <c r="J135" s="50" t="s">
        <v>597</v>
      </c>
      <c r="K135" s="50" t="s">
        <v>597</v>
      </c>
    </row>
    <row r="136" spans="1:11">
      <c r="A136" s="54" t="s">
        <v>886</v>
      </c>
      <c r="B136" s="54" t="s">
        <v>887</v>
      </c>
      <c r="C136" s="54" t="s">
        <v>592</v>
      </c>
      <c r="D136" s="54" t="s">
        <v>76</v>
      </c>
      <c r="E136" s="55">
        <v>0</v>
      </c>
      <c r="F136" s="56" t="s">
        <v>597</v>
      </c>
      <c r="G136" s="57">
        <v>1.8</v>
      </c>
      <c r="H136" s="57">
        <v>5.4</v>
      </c>
      <c r="I136" s="57">
        <v>0</v>
      </c>
      <c r="J136" s="54" t="s">
        <v>597</v>
      </c>
      <c r="K136" s="54" t="s">
        <v>597</v>
      </c>
    </row>
    <row r="137" spans="1:11">
      <c r="A137" s="50" t="s">
        <v>888</v>
      </c>
      <c r="B137" s="50" t="s">
        <v>889</v>
      </c>
      <c r="C137" s="50" t="s">
        <v>592</v>
      </c>
      <c r="D137" s="50" t="s">
        <v>76</v>
      </c>
      <c r="E137" s="51">
        <v>0</v>
      </c>
      <c r="F137" s="52" t="s">
        <v>597</v>
      </c>
      <c r="G137" s="53">
        <v>1.8</v>
      </c>
      <c r="H137" s="53">
        <v>3.6</v>
      </c>
      <c r="I137" s="53">
        <v>0</v>
      </c>
      <c r="J137" s="50" t="s">
        <v>597</v>
      </c>
      <c r="K137" s="50" t="s">
        <v>597</v>
      </c>
    </row>
    <row r="138" spans="1:11">
      <c r="A138" s="54" t="s">
        <v>890</v>
      </c>
      <c r="B138" s="54" t="s">
        <v>891</v>
      </c>
      <c r="C138" s="54" t="s">
        <v>592</v>
      </c>
      <c r="D138" s="54" t="s">
        <v>76</v>
      </c>
      <c r="E138" s="55">
        <v>0</v>
      </c>
      <c r="F138" s="56" t="s">
        <v>597</v>
      </c>
      <c r="G138" s="57">
        <v>1.8</v>
      </c>
      <c r="H138" s="57">
        <v>3.6</v>
      </c>
      <c r="I138" s="57">
        <v>25</v>
      </c>
      <c r="J138" s="54" t="s">
        <v>597</v>
      </c>
      <c r="K138" s="54" t="s">
        <v>597</v>
      </c>
    </row>
    <row r="139" spans="1:11">
      <c r="A139" s="50" t="s">
        <v>892</v>
      </c>
      <c r="B139" s="50" t="s">
        <v>893</v>
      </c>
      <c r="C139" s="50" t="s">
        <v>592</v>
      </c>
      <c r="D139" s="50" t="s">
        <v>76</v>
      </c>
      <c r="E139" s="51">
        <v>0</v>
      </c>
      <c r="F139" s="52" t="s">
        <v>597</v>
      </c>
      <c r="G139" s="53">
        <v>1.8</v>
      </c>
      <c r="H139" s="53">
        <v>5.4</v>
      </c>
      <c r="I139" s="53">
        <v>0</v>
      </c>
      <c r="J139" s="50" t="s">
        <v>597</v>
      </c>
      <c r="K139" s="50" t="s">
        <v>597</v>
      </c>
    </row>
    <row r="140" spans="1:11">
      <c r="A140" s="54" t="s">
        <v>894</v>
      </c>
      <c r="B140" s="54" t="s">
        <v>895</v>
      </c>
      <c r="C140" s="54" t="s">
        <v>592</v>
      </c>
      <c r="D140" s="54" t="s">
        <v>70</v>
      </c>
      <c r="E140" s="55">
        <v>0</v>
      </c>
      <c r="F140" s="56" t="s">
        <v>597</v>
      </c>
      <c r="G140" s="57">
        <v>0</v>
      </c>
      <c r="H140" s="57">
        <v>0</v>
      </c>
      <c r="I140" s="57">
        <v>0</v>
      </c>
      <c r="J140" s="54" t="s">
        <v>597</v>
      </c>
      <c r="K140" s="54" t="s">
        <v>597</v>
      </c>
    </row>
    <row r="141" spans="1:11">
      <c r="A141" s="50" t="s">
        <v>896</v>
      </c>
      <c r="B141" s="50" t="s">
        <v>897</v>
      </c>
      <c r="C141" s="50" t="s">
        <v>592</v>
      </c>
      <c r="D141" s="50" t="s">
        <v>76</v>
      </c>
      <c r="E141" s="51">
        <v>0</v>
      </c>
      <c r="F141" s="52" t="s">
        <v>597</v>
      </c>
      <c r="G141" s="53">
        <v>0.72</v>
      </c>
      <c r="H141" s="53">
        <v>5.04</v>
      </c>
      <c r="I141" s="53">
        <v>25</v>
      </c>
      <c r="J141" s="50" t="s">
        <v>597</v>
      </c>
      <c r="K141" s="50" t="s">
        <v>597</v>
      </c>
    </row>
    <row r="142" spans="1:11">
      <c r="A142" s="54" t="s">
        <v>898</v>
      </c>
      <c r="B142" s="54" t="s">
        <v>899</v>
      </c>
      <c r="C142" s="54" t="s">
        <v>592</v>
      </c>
      <c r="D142" s="54" t="s">
        <v>76</v>
      </c>
      <c r="E142" s="55">
        <v>0</v>
      </c>
      <c r="F142" s="56" t="s">
        <v>597</v>
      </c>
      <c r="G142" s="57">
        <v>0.72</v>
      </c>
      <c r="H142" s="57">
        <v>5.04</v>
      </c>
      <c r="I142" s="57">
        <v>25</v>
      </c>
      <c r="J142" s="54" t="s">
        <v>597</v>
      </c>
      <c r="K142" s="54" t="s">
        <v>597</v>
      </c>
    </row>
    <row r="143" spans="1:11">
      <c r="A143" s="50" t="s">
        <v>900</v>
      </c>
      <c r="B143" s="50" t="s">
        <v>901</v>
      </c>
      <c r="C143" s="50" t="s">
        <v>592</v>
      </c>
      <c r="D143" s="50" t="s">
        <v>70</v>
      </c>
      <c r="E143" s="51">
        <v>0</v>
      </c>
      <c r="F143" s="52" t="s">
        <v>597</v>
      </c>
      <c r="G143" s="53">
        <v>1</v>
      </c>
      <c r="H143" s="53">
        <v>1</v>
      </c>
      <c r="I143" s="53">
        <v>0</v>
      </c>
      <c r="J143" s="50" t="s">
        <v>597</v>
      </c>
      <c r="K143" s="50" t="s">
        <v>597</v>
      </c>
    </row>
    <row r="144" spans="1:11">
      <c r="A144" s="54" t="s">
        <v>902</v>
      </c>
      <c r="B144" s="54" t="s">
        <v>903</v>
      </c>
      <c r="C144" s="54" t="s">
        <v>592</v>
      </c>
      <c r="D144" s="54" t="s">
        <v>76</v>
      </c>
      <c r="E144" s="55">
        <v>0</v>
      </c>
      <c r="F144" s="56" t="s">
        <v>597</v>
      </c>
      <c r="G144" s="57">
        <v>1.8</v>
      </c>
      <c r="H144" s="57">
        <v>5.4</v>
      </c>
      <c r="I144" s="57">
        <v>0</v>
      </c>
      <c r="J144" s="54" t="s">
        <v>597</v>
      </c>
      <c r="K144" s="54" t="s">
        <v>597</v>
      </c>
    </row>
    <row r="145" spans="1:11">
      <c r="A145" s="50" t="s">
        <v>904</v>
      </c>
      <c r="B145" s="50" t="s">
        <v>905</v>
      </c>
      <c r="C145" s="50" t="s">
        <v>592</v>
      </c>
      <c r="D145" s="50" t="s">
        <v>76</v>
      </c>
      <c r="E145" s="51">
        <v>0</v>
      </c>
      <c r="F145" s="52" t="s">
        <v>597</v>
      </c>
      <c r="G145" s="53">
        <v>2</v>
      </c>
      <c r="H145" s="53">
        <v>4</v>
      </c>
      <c r="I145" s="53">
        <v>0</v>
      </c>
      <c r="J145" s="50" t="s">
        <v>597</v>
      </c>
      <c r="K145" s="50" t="s">
        <v>597</v>
      </c>
    </row>
    <row r="146" spans="1:11">
      <c r="A146" s="54" t="s">
        <v>906</v>
      </c>
      <c r="B146" s="54" t="s">
        <v>907</v>
      </c>
      <c r="C146" s="54" t="s">
        <v>592</v>
      </c>
      <c r="D146" s="54" t="s">
        <v>76</v>
      </c>
      <c r="E146" s="55">
        <v>0</v>
      </c>
      <c r="F146" s="56" t="s">
        <v>597</v>
      </c>
      <c r="G146" s="57">
        <v>2</v>
      </c>
      <c r="H146" s="57">
        <v>4</v>
      </c>
      <c r="I146" s="57">
        <v>0</v>
      </c>
      <c r="J146" s="54" t="s">
        <v>597</v>
      </c>
      <c r="K146" s="54" t="s">
        <v>597</v>
      </c>
    </row>
    <row r="147" spans="1:11">
      <c r="A147" s="50" t="s">
        <v>908</v>
      </c>
      <c r="B147" s="50" t="s">
        <v>909</v>
      </c>
      <c r="C147" s="50" t="s">
        <v>592</v>
      </c>
      <c r="D147" s="50" t="s">
        <v>76</v>
      </c>
      <c r="E147" s="51">
        <v>0</v>
      </c>
      <c r="F147" s="52" t="s">
        <v>597</v>
      </c>
      <c r="G147" s="53">
        <v>2</v>
      </c>
      <c r="H147" s="53">
        <v>6</v>
      </c>
      <c r="I147" s="53">
        <v>0</v>
      </c>
      <c r="J147" s="50" t="s">
        <v>597</v>
      </c>
      <c r="K147" s="50" t="s">
        <v>597</v>
      </c>
    </row>
    <row r="148" spans="1:11">
      <c r="A148" s="54" t="s">
        <v>910</v>
      </c>
      <c r="B148" s="54" t="s">
        <v>911</v>
      </c>
      <c r="C148" s="54" t="s">
        <v>592</v>
      </c>
      <c r="D148" s="54" t="s">
        <v>76</v>
      </c>
      <c r="E148" s="55">
        <v>0</v>
      </c>
      <c r="F148" s="56" t="s">
        <v>597</v>
      </c>
      <c r="G148" s="57">
        <v>2</v>
      </c>
      <c r="H148" s="57">
        <v>6</v>
      </c>
      <c r="I148" s="57">
        <v>0</v>
      </c>
      <c r="J148" s="54" t="s">
        <v>597</v>
      </c>
      <c r="K148" s="54" t="s">
        <v>597</v>
      </c>
    </row>
    <row r="149" spans="1:11">
      <c r="A149" s="50" t="s">
        <v>912</v>
      </c>
      <c r="B149" s="50" t="s">
        <v>913</v>
      </c>
      <c r="C149" s="50" t="s">
        <v>592</v>
      </c>
      <c r="D149" s="50" t="s">
        <v>70</v>
      </c>
      <c r="E149" s="51">
        <v>0</v>
      </c>
      <c r="F149" s="52" t="s">
        <v>597</v>
      </c>
      <c r="G149" s="53">
        <v>3</v>
      </c>
      <c r="H149" s="53">
        <v>3</v>
      </c>
      <c r="I149" s="53">
        <v>0</v>
      </c>
      <c r="J149" s="50" t="s">
        <v>597</v>
      </c>
      <c r="K149" s="50" t="s">
        <v>597</v>
      </c>
    </row>
    <row r="150" spans="1:11">
      <c r="A150" s="54" t="s">
        <v>404</v>
      </c>
      <c r="B150" s="54" t="s">
        <v>914</v>
      </c>
      <c r="C150" s="54" t="s">
        <v>592</v>
      </c>
      <c r="D150" s="54" t="s">
        <v>76</v>
      </c>
      <c r="E150" s="55">
        <v>79.239999999999995</v>
      </c>
      <c r="F150" s="56">
        <v>45894</v>
      </c>
      <c r="G150" s="57">
        <v>3</v>
      </c>
      <c r="H150" s="57">
        <v>6</v>
      </c>
      <c r="I150" s="57">
        <v>25</v>
      </c>
      <c r="J150" s="54" t="s">
        <v>915</v>
      </c>
      <c r="K150" s="54" t="s">
        <v>915</v>
      </c>
    </row>
    <row r="151" spans="1:11">
      <c r="A151" s="50" t="s">
        <v>916</v>
      </c>
      <c r="B151" s="50" t="s">
        <v>917</v>
      </c>
      <c r="C151" s="50" t="s">
        <v>592</v>
      </c>
      <c r="D151" s="50" t="s">
        <v>70</v>
      </c>
      <c r="E151" s="51">
        <v>0</v>
      </c>
      <c r="F151" s="52" t="s">
        <v>597</v>
      </c>
      <c r="G151" s="53">
        <v>3</v>
      </c>
      <c r="H151" s="53">
        <v>3</v>
      </c>
      <c r="I151" s="53">
        <v>0</v>
      </c>
      <c r="J151" s="50" t="s">
        <v>597</v>
      </c>
      <c r="K151" s="50" t="s">
        <v>597</v>
      </c>
    </row>
    <row r="152" spans="1:11">
      <c r="A152" s="54" t="s">
        <v>405</v>
      </c>
      <c r="B152" s="54" t="s">
        <v>918</v>
      </c>
      <c r="C152" s="54" t="s">
        <v>592</v>
      </c>
      <c r="D152" s="54" t="s">
        <v>76</v>
      </c>
      <c r="E152" s="55">
        <v>102.8</v>
      </c>
      <c r="F152" s="56">
        <v>46014</v>
      </c>
      <c r="G152" s="57">
        <v>6</v>
      </c>
      <c r="H152" s="57">
        <v>6</v>
      </c>
      <c r="I152" s="57">
        <v>25</v>
      </c>
      <c r="J152" s="54" t="s">
        <v>597</v>
      </c>
      <c r="K152" s="54" t="s">
        <v>597</v>
      </c>
    </row>
    <row r="153" spans="1:11">
      <c r="A153" s="50" t="s">
        <v>919</v>
      </c>
      <c r="B153" s="50" t="s">
        <v>920</v>
      </c>
      <c r="C153" s="50" t="s">
        <v>592</v>
      </c>
      <c r="D153" s="50" t="s">
        <v>70</v>
      </c>
      <c r="E153" s="51">
        <v>0</v>
      </c>
      <c r="F153" s="52" t="s">
        <v>597</v>
      </c>
      <c r="G153" s="53">
        <v>3</v>
      </c>
      <c r="H153" s="53">
        <v>3</v>
      </c>
      <c r="I153" s="53">
        <v>0</v>
      </c>
      <c r="J153" s="50" t="s">
        <v>597</v>
      </c>
      <c r="K153" s="50" t="s">
        <v>597</v>
      </c>
    </row>
    <row r="154" spans="1:11">
      <c r="A154" s="54" t="s">
        <v>921</v>
      </c>
      <c r="B154" s="54" t="s">
        <v>922</v>
      </c>
      <c r="C154" s="54" t="s">
        <v>592</v>
      </c>
      <c r="D154" s="54" t="s">
        <v>76</v>
      </c>
      <c r="E154" s="55">
        <v>0</v>
      </c>
      <c r="F154" s="56" t="s">
        <v>597</v>
      </c>
      <c r="G154" s="57">
        <v>3</v>
      </c>
      <c r="H154" s="57">
        <v>6</v>
      </c>
      <c r="I154" s="57">
        <v>0</v>
      </c>
      <c r="J154" s="54" t="s">
        <v>597</v>
      </c>
      <c r="K154" s="54" t="s">
        <v>597</v>
      </c>
    </row>
    <row r="155" spans="1:11">
      <c r="A155" s="50" t="s">
        <v>406</v>
      </c>
      <c r="B155" s="50" t="s">
        <v>923</v>
      </c>
      <c r="C155" s="50" t="s">
        <v>592</v>
      </c>
      <c r="D155" s="50" t="s">
        <v>76</v>
      </c>
      <c r="E155" s="51">
        <v>110</v>
      </c>
      <c r="F155" s="52">
        <v>45834</v>
      </c>
      <c r="G155" s="53">
        <v>3</v>
      </c>
      <c r="H155" s="53">
        <v>6</v>
      </c>
      <c r="I155" s="53">
        <v>25</v>
      </c>
      <c r="J155" s="50" t="s">
        <v>597</v>
      </c>
      <c r="K155" s="50" t="s">
        <v>597</v>
      </c>
    </row>
    <row r="156" spans="1:11">
      <c r="A156" s="54" t="s">
        <v>924</v>
      </c>
      <c r="B156" s="54" t="s">
        <v>925</v>
      </c>
      <c r="C156" s="54" t="s">
        <v>592</v>
      </c>
      <c r="D156" s="54" t="s">
        <v>76</v>
      </c>
      <c r="E156" s="55">
        <v>0</v>
      </c>
      <c r="F156" s="56" t="s">
        <v>597</v>
      </c>
      <c r="G156" s="57">
        <v>3</v>
      </c>
      <c r="H156" s="57">
        <v>6</v>
      </c>
      <c r="I156" s="57">
        <v>0</v>
      </c>
      <c r="J156" s="54" t="s">
        <v>597</v>
      </c>
      <c r="K156" s="54" t="s">
        <v>597</v>
      </c>
    </row>
    <row r="157" spans="1:11">
      <c r="A157" s="50" t="s">
        <v>926</v>
      </c>
      <c r="B157" s="50" t="s">
        <v>927</v>
      </c>
      <c r="C157" s="50" t="s">
        <v>592</v>
      </c>
      <c r="D157" s="50" t="s">
        <v>76</v>
      </c>
      <c r="E157" s="51">
        <v>0</v>
      </c>
      <c r="F157" s="52" t="s">
        <v>597</v>
      </c>
      <c r="G157" s="53">
        <v>5</v>
      </c>
      <c r="H157" s="53">
        <v>5</v>
      </c>
      <c r="I157" s="53">
        <v>0</v>
      </c>
      <c r="J157" s="50" t="s">
        <v>597</v>
      </c>
      <c r="K157" s="50" t="s">
        <v>597</v>
      </c>
    </row>
    <row r="158" spans="1:11">
      <c r="A158" s="54" t="s">
        <v>928</v>
      </c>
      <c r="B158" s="54" t="s">
        <v>929</v>
      </c>
      <c r="C158" s="54" t="s">
        <v>592</v>
      </c>
      <c r="D158" s="54" t="s">
        <v>76</v>
      </c>
      <c r="E158" s="55">
        <v>0</v>
      </c>
      <c r="F158" s="56" t="s">
        <v>597</v>
      </c>
      <c r="G158" s="57">
        <v>5</v>
      </c>
      <c r="H158" s="57">
        <v>5</v>
      </c>
      <c r="I158" s="57">
        <v>0</v>
      </c>
      <c r="J158" s="54" t="s">
        <v>597</v>
      </c>
      <c r="K158" s="54" t="s">
        <v>597</v>
      </c>
    </row>
    <row r="159" spans="1:11">
      <c r="A159" s="50" t="s">
        <v>930</v>
      </c>
      <c r="B159" s="50" t="s">
        <v>931</v>
      </c>
      <c r="C159" s="50" t="s">
        <v>592</v>
      </c>
      <c r="D159" s="50" t="s">
        <v>76</v>
      </c>
      <c r="E159" s="51">
        <v>0</v>
      </c>
      <c r="F159" s="52" t="s">
        <v>597</v>
      </c>
      <c r="G159" s="53">
        <v>5</v>
      </c>
      <c r="H159" s="53">
        <v>5</v>
      </c>
      <c r="I159" s="53">
        <v>0</v>
      </c>
      <c r="J159" s="50" t="s">
        <v>597</v>
      </c>
      <c r="K159" s="50" t="s">
        <v>597</v>
      </c>
    </row>
    <row r="160" spans="1:11">
      <c r="A160" s="54" t="s">
        <v>932</v>
      </c>
      <c r="B160" s="54" t="s">
        <v>933</v>
      </c>
      <c r="C160" s="54" t="s">
        <v>592</v>
      </c>
      <c r="D160" s="54" t="s">
        <v>76</v>
      </c>
      <c r="E160" s="55">
        <v>0</v>
      </c>
      <c r="F160" s="56" t="s">
        <v>597</v>
      </c>
      <c r="G160" s="57">
        <v>5</v>
      </c>
      <c r="H160" s="57">
        <v>5</v>
      </c>
      <c r="I160" s="57">
        <v>0</v>
      </c>
      <c r="J160" s="54" t="s">
        <v>597</v>
      </c>
      <c r="K160" s="54" t="s">
        <v>597</v>
      </c>
    </row>
    <row r="161" spans="1:11">
      <c r="A161" s="50" t="s">
        <v>934</v>
      </c>
      <c r="B161" s="50" t="s">
        <v>935</v>
      </c>
      <c r="C161" s="50" t="s">
        <v>592</v>
      </c>
      <c r="D161" s="50" t="s">
        <v>76</v>
      </c>
      <c r="E161" s="51">
        <v>72.510000000000005</v>
      </c>
      <c r="F161" s="52">
        <v>45782</v>
      </c>
      <c r="G161" s="53">
        <v>6</v>
      </c>
      <c r="H161" s="53">
        <v>6</v>
      </c>
      <c r="I161" s="53">
        <v>25</v>
      </c>
      <c r="J161" s="50" t="s">
        <v>597</v>
      </c>
      <c r="K161" s="50" t="s">
        <v>597</v>
      </c>
    </row>
    <row r="162" spans="1:11">
      <c r="A162" s="54" t="s">
        <v>936</v>
      </c>
      <c r="B162" s="54" t="s">
        <v>937</v>
      </c>
      <c r="C162" s="54" t="s">
        <v>592</v>
      </c>
      <c r="D162" s="54" t="s">
        <v>76</v>
      </c>
      <c r="E162" s="55">
        <v>108.3</v>
      </c>
      <c r="F162" s="56">
        <v>45771</v>
      </c>
      <c r="G162" s="57">
        <v>6</v>
      </c>
      <c r="H162" s="57">
        <v>6</v>
      </c>
      <c r="I162" s="57">
        <v>25</v>
      </c>
      <c r="J162" s="54" t="s">
        <v>597</v>
      </c>
      <c r="K162" s="54" t="s">
        <v>597</v>
      </c>
    </row>
    <row r="163" spans="1:11">
      <c r="A163" s="50" t="s">
        <v>938</v>
      </c>
      <c r="B163" s="50" t="s">
        <v>939</v>
      </c>
      <c r="C163" s="50" t="s">
        <v>592</v>
      </c>
      <c r="D163" s="50" t="s">
        <v>76</v>
      </c>
      <c r="E163" s="51">
        <v>0</v>
      </c>
      <c r="F163" s="52" t="s">
        <v>597</v>
      </c>
      <c r="G163" s="53">
        <v>1</v>
      </c>
      <c r="H163" s="53">
        <v>1</v>
      </c>
      <c r="I163" s="53">
        <v>0</v>
      </c>
      <c r="J163" s="50" t="s">
        <v>597</v>
      </c>
      <c r="K163" s="50" t="s">
        <v>597</v>
      </c>
    </row>
    <row r="164" spans="1:11">
      <c r="A164" s="54" t="s">
        <v>940</v>
      </c>
      <c r="B164" s="54" t="s">
        <v>941</v>
      </c>
      <c r="C164" s="54" t="s">
        <v>592</v>
      </c>
      <c r="D164" s="54" t="s">
        <v>70</v>
      </c>
      <c r="E164" s="55">
        <v>0</v>
      </c>
      <c r="F164" s="56" t="s">
        <v>597</v>
      </c>
      <c r="G164" s="57">
        <v>1</v>
      </c>
      <c r="H164" s="57">
        <v>1</v>
      </c>
      <c r="I164" s="57">
        <v>0</v>
      </c>
      <c r="J164" s="54" t="s">
        <v>597</v>
      </c>
      <c r="K164" s="54" t="s">
        <v>597</v>
      </c>
    </row>
    <row r="165" spans="1:11">
      <c r="A165" s="50" t="s">
        <v>942</v>
      </c>
      <c r="B165" s="50" t="s">
        <v>943</v>
      </c>
      <c r="C165" s="50" t="s">
        <v>592</v>
      </c>
      <c r="D165" s="50" t="s">
        <v>76</v>
      </c>
      <c r="E165" s="51">
        <v>0</v>
      </c>
      <c r="F165" s="52" t="s">
        <v>597</v>
      </c>
      <c r="G165" s="53">
        <v>6</v>
      </c>
      <c r="H165" s="53">
        <v>6</v>
      </c>
      <c r="I165" s="53">
        <v>0</v>
      </c>
      <c r="J165" s="50" t="s">
        <v>597</v>
      </c>
      <c r="K165" s="50" t="s">
        <v>597</v>
      </c>
    </row>
    <row r="166" spans="1:11">
      <c r="A166" s="54" t="s">
        <v>944</v>
      </c>
      <c r="B166" s="54" t="s">
        <v>945</v>
      </c>
      <c r="C166" s="54" t="s">
        <v>592</v>
      </c>
      <c r="D166" s="54" t="s">
        <v>76</v>
      </c>
      <c r="E166" s="55">
        <v>0</v>
      </c>
      <c r="F166" s="56" t="s">
        <v>597</v>
      </c>
      <c r="G166" s="57">
        <v>5</v>
      </c>
      <c r="H166" s="57">
        <v>5</v>
      </c>
      <c r="I166" s="57">
        <v>0</v>
      </c>
      <c r="J166" s="54" t="s">
        <v>597</v>
      </c>
      <c r="K166" s="54" t="s">
        <v>597</v>
      </c>
    </row>
    <row r="167" spans="1:11">
      <c r="A167" s="50" t="s">
        <v>946</v>
      </c>
      <c r="B167" s="50" t="s">
        <v>947</v>
      </c>
      <c r="C167" s="50" t="s">
        <v>592</v>
      </c>
      <c r="D167" s="50" t="s">
        <v>76</v>
      </c>
      <c r="E167" s="51">
        <v>0</v>
      </c>
      <c r="F167" s="52" t="s">
        <v>597</v>
      </c>
      <c r="G167" s="53">
        <v>6</v>
      </c>
      <c r="H167" s="53">
        <v>6</v>
      </c>
      <c r="I167" s="53">
        <v>0</v>
      </c>
      <c r="J167" s="50" t="s">
        <v>597</v>
      </c>
      <c r="K167" s="50" t="s">
        <v>597</v>
      </c>
    </row>
    <row r="168" spans="1:11">
      <c r="A168" s="54" t="s">
        <v>948</v>
      </c>
      <c r="B168" s="54" t="s">
        <v>949</v>
      </c>
      <c r="C168" s="54" t="s">
        <v>592</v>
      </c>
      <c r="D168" s="54" t="s">
        <v>76</v>
      </c>
      <c r="E168" s="55">
        <v>0</v>
      </c>
      <c r="F168" s="56" t="s">
        <v>597</v>
      </c>
      <c r="G168" s="57">
        <v>5</v>
      </c>
      <c r="H168" s="57">
        <v>5</v>
      </c>
      <c r="I168" s="57">
        <v>0</v>
      </c>
      <c r="J168" s="54" t="s">
        <v>597</v>
      </c>
      <c r="K168" s="54" t="s">
        <v>597</v>
      </c>
    </row>
    <row r="169" spans="1:11">
      <c r="A169" s="50" t="s">
        <v>950</v>
      </c>
      <c r="B169" s="50" t="s">
        <v>951</v>
      </c>
      <c r="C169" s="50" t="s">
        <v>592</v>
      </c>
      <c r="D169" s="50" t="s">
        <v>76</v>
      </c>
      <c r="E169" s="51">
        <v>0</v>
      </c>
      <c r="F169" s="52" t="s">
        <v>597</v>
      </c>
      <c r="G169" s="53">
        <v>6</v>
      </c>
      <c r="H169" s="53">
        <v>6</v>
      </c>
      <c r="I169" s="53">
        <v>0</v>
      </c>
      <c r="J169" s="50" t="s">
        <v>597</v>
      </c>
      <c r="K169" s="50" t="s">
        <v>597</v>
      </c>
    </row>
    <row r="170" spans="1:11">
      <c r="A170" s="54" t="s">
        <v>952</v>
      </c>
      <c r="B170" s="54" t="s">
        <v>953</v>
      </c>
      <c r="C170" s="54" t="s">
        <v>592</v>
      </c>
      <c r="D170" s="54" t="s">
        <v>76</v>
      </c>
      <c r="E170" s="55">
        <v>0</v>
      </c>
      <c r="F170" s="56" t="s">
        <v>597</v>
      </c>
      <c r="G170" s="57">
        <v>5</v>
      </c>
      <c r="H170" s="57">
        <v>5</v>
      </c>
      <c r="I170" s="57">
        <v>0</v>
      </c>
      <c r="J170" s="54" t="s">
        <v>597</v>
      </c>
      <c r="K170" s="54" t="s">
        <v>597</v>
      </c>
    </row>
    <row r="171" spans="1:11">
      <c r="A171" s="50" t="s">
        <v>954</v>
      </c>
      <c r="B171" s="50" t="s">
        <v>955</v>
      </c>
      <c r="C171" s="50" t="s">
        <v>592</v>
      </c>
      <c r="D171" s="50" t="s">
        <v>76</v>
      </c>
      <c r="E171" s="51">
        <v>0</v>
      </c>
      <c r="F171" s="52" t="s">
        <v>597</v>
      </c>
      <c r="G171" s="53">
        <v>6</v>
      </c>
      <c r="H171" s="53">
        <v>6</v>
      </c>
      <c r="I171" s="53">
        <v>0</v>
      </c>
      <c r="J171" s="50" t="s">
        <v>597</v>
      </c>
      <c r="K171" s="50" t="s">
        <v>597</v>
      </c>
    </row>
    <row r="172" spans="1:11">
      <c r="A172" s="54" t="s">
        <v>956</v>
      </c>
      <c r="B172" s="54" t="s">
        <v>957</v>
      </c>
      <c r="C172" s="54" t="s">
        <v>592</v>
      </c>
      <c r="D172" s="54" t="s">
        <v>76</v>
      </c>
      <c r="E172" s="55">
        <v>0</v>
      </c>
      <c r="F172" s="56" t="s">
        <v>597</v>
      </c>
      <c r="G172" s="57">
        <v>6</v>
      </c>
      <c r="H172" s="57">
        <v>6</v>
      </c>
      <c r="I172" s="57">
        <v>0</v>
      </c>
      <c r="J172" s="54" t="s">
        <v>597</v>
      </c>
      <c r="K172" s="54" t="s">
        <v>597</v>
      </c>
    </row>
    <row r="173" spans="1:11">
      <c r="A173" s="50" t="s">
        <v>958</v>
      </c>
      <c r="B173" s="50" t="s">
        <v>959</v>
      </c>
      <c r="C173" s="50" t="s">
        <v>592</v>
      </c>
      <c r="D173" s="50" t="s">
        <v>76</v>
      </c>
      <c r="E173" s="51">
        <v>0</v>
      </c>
      <c r="F173" s="52" t="s">
        <v>597</v>
      </c>
      <c r="G173" s="53">
        <v>6</v>
      </c>
      <c r="H173" s="53">
        <v>6</v>
      </c>
      <c r="I173" s="53">
        <v>0</v>
      </c>
      <c r="J173" s="50" t="s">
        <v>597</v>
      </c>
      <c r="K173" s="50" t="s">
        <v>597</v>
      </c>
    </row>
    <row r="174" spans="1:11">
      <c r="A174" s="54" t="s">
        <v>960</v>
      </c>
      <c r="B174" s="54" t="s">
        <v>961</v>
      </c>
      <c r="C174" s="54" t="s">
        <v>592</v>
      </c>
      <c r="D174" s="54" t="s">
        <v>76</v>
      </c>
      <c r="E174" s="55">
        <v>0</v>
      </c>
      <c r="F174" s="56" t="s">
        <v>597</v>
      </c>
      <c r="G174" s="57">
        <v>6</v>
      </c>
      <c r="H174" s="57">
        <v>6</v>
      </c>
      <c r="I174" s="57">
        <v>0</v>
      </c>
      <c r="J174" s="54" t="s">
        <v>597</v>
      </c>
      <c r="K174" s="54" t="s">
        <v>597</v>
      </c>
    </row>
    <row r="175" spans="1:11">
      <c r="A175" s="50" t="s">
        <v>962</v>
      </c>
      <c r="B175" s="50" t="s">
        <v>963</v>
      </c>
      <c r="C175" s="50" t="s">
        <v>592</v>
      </c>
      <c r="D175" s="50" t="s">
        <v>76</v>
      </c>
      <c r="E175" s="51">
        <v>0</v>
      </c>
      <c r="F175" s="52" t="s">
        <v>597</v>
      </c>
      <c r="G175" s="53">
        <v>6</v>
      </c>
      <c r="H175" s="53">
        <v>6</v>
      </c>
      <c r="I175" s="53">
        <v>0</v>
      </c>
      <c r="J175" s="50" t="s">
        <v>597</v>
      </c>
      <c r="K175" s="50" t="s">
        <v>597</v>
      </c>
    </row>
    <row r="176" spans="1:11">
      <c r="A176" s="54" t="s">
        <v>964</v>
      </c>
      <c r="B176" s="54" t="s">
        <v>965</v>
      </c>
      <c r="C176" s="54" t="s">
        <v>592</v>
      </c>
      <c r="D176" s="54" t="s">
        <v>76</v>
      </c>
      <c r="E176" s="55">
        <v>0</v>
      </c>
      <c r="F176" s="56" t="s">
        <v>597</v>
      </c>
      <c r="G176" s="57">
        <v>6</v>
      </c>
      <c r="H176" s="57">
        <v>6</v>
      </c>
      <c r="I176" s="57">
        <v>0</v>
      </c>
      <c r="J176" s="54" t="s">
        <v>597</v>
      </c>
      <c r="K176" s="54" t="s">
        <v>597</v>
      </c>
    </row>
    <row r="177" spans="1:11">
      <c r="A177" s="50" t="s">
        <v>966</v>
      </c>
      <c r="B177" s="50" t="s">
        <v>967</v>
      </c>
      <c r="C177" s="50" t="s">
        <v>592</v>
      </c>
      <c r="D177" s="50" t="s">
        <v>76</v>
      </c>
      <c r="E177" s="51">
        <v>0</v>
      </c>
      <c r="F177" s="52" t="s">
        <v>597</v>
      </c>
      <c r="G177" s="53">
        <v>6</v>
      </c>
      <c r="H177" s="53">
        <v>6</v>
      </c>
      <c r="I177" s="53">
        <v>0</v>
      </c>
      <c r="J177" s="50" t="s">
        <v>597</v>
      </c>
      <c r="K177" s="50" t="s">
        <v>597</v>
      </c>
    </row>
    <row r="178" spans="1:11">
      <c r="A178" s="54" t="s">
        <v>968</v>
      </c>
      <c r="B178" s="54" t="s">
        <v>969</v>
      </c>
      <c r="C178" s="54" t="s">
        <v>592</v>
      </c>
      <c r="D178" s="54" t="s">
        <v>76</v>
      </c>
      <c r="E178" s="55">
        <v>0</v>
      </c>
      <c r="F178" s="56" t="s">
        <v>597</v>
      </c>
      <c r="G178" s="57">
        <v>6</v>
      </c>
      <c r="H178" s="57">
        <v>6</v>
      </c>
      <c r="I178" s="57">
        <v>0</v>
      </c>
      <c r="J178" s="54" t="s">
        <v>597</v>
      </c>
      <c r="K178" s="54" t="s">
        <v>597</v>
      </c>
    </row>
    <row r="179" spans="1:11">
      <c r="A179" s="50" t="s">
        <v>970</v>
      </c>
      <c r="B179" s="50" t="s">
        <v>971</v>
      </c>
      <c r="C179" s="50" t="s">
        <v>592</v>
      </c>
      <c r="D179" s="50" t="s">
        <v>76</v>
      </c>
      <c r="E179" s="51">
        <v>0</v>
      </c>
      <c r="F179" s="52" t="s">
        <v>597</v>
      </c>
      <c r="G179" s="53">
        <v>6</v>
      </c>
      <c r="H179" s="53">
        <v>6</v>
      </c>
      <c r="I179" s="53">
        <v>0</v>
      </c>
      <c r="J179" s="50" t="s">
        <v>597</v>
      </c>
      <c r="K179" s="50" t="s">
        <v>597</v>
      </c>
    </row>
    <row r="180" spans="1:11">
      <c r="A180" s="54" t="s">
        <v>972</v>
      </c>
      <c r="B180" s="54" t="s">
        <v>973</v>
      </c>
      <c r="C180" s="54" t="s">
        <v>592</v>
      </c>
      <c r="D180" s="54" t="s">
        <v>76</v>
      </c>
      <c r="E180" s="55">
        <v>0</v>
      </c>
      <c r="F180" s="56" t="s">
        <v>597</v>
      </c>
      <c r="G180" s="57">
        <v>6</v>
      </c>
      <c r="H180" s="57">
        <v>6</v>
      </c>
      <c r="I180" s="57">
        <v>0</v>
      </c>
      <c r="J180" s="54" t="s">
        <v>597</v>
      </c>
      <c r="K180" s="54" t="s">
        <v>597</v>
      </c>
    </row>
    <row r="181" spans="1:11">
      <c r="A181" s="50" t="s">
        <v>974</v>
      </c>
      <c r="B181" s="50" t="s">
        <v>975</v>
      </c>
      <c r="C181" s="50" t="s">
        <v>592</v>
      </c>
      <c r="D181" s="50" t="s">
        <v>76</v>
      </c>
      <c r="E181" s="51">
        <v>0</v>
      </c>
      <c r="F181" s="52" t="s">
        <v>597</v>
      </c>
      <c r="G181" s="53">
        <v>6</v>
      </c>
      <c r="H181" s="53">
        <v>6</v>
      </c>
      <c r="I181" s="53">
        <v>0</v>
      </c>
      <c r="J181" s="50" t="s">
        <v>597</v>
      </c>
      <c r="K181" s="50" t="s">
        <v>597</v>
      </c>
    </row>
    <row r="182" spans="1:11">
      <c r="A182" s="54" t="s">
        <v>976</v>
      </c>
      <c r="B182" s="54" t="s">
        <v>977</v>
      </c>
      <c r="C182" s="54" t="s">
        <v>592</v>
      </c>
      <c r="D182" s="54" t="s">
        <v>70</v>
      </c>
      <c r="E182" s="55">
        <v>0</v>
      </c>
      <c r="F182" s="56" t="s">
        <v>597</v>
      </c>
      <c r="G182" s="57">
        <v>3.6</v>
      </c>
      <c r="H182" s="57">
        <v>3.6</v>
      </c>
      <c r="I182" s="57">
        <v>0</v>
      </c>
      <c r="J182" s="54" t="s">
        <v>597</v>
      </c>
      <c r="K182" s="54" t="s">
        <v>597</v>
      </c>
    </row>
    <row r="183" spans="1:11">
      <c r="A183" s="50" t="s">
        <v>978</v>
      </c>
      <c r="B183" s="50" t="s">
        <v>979</v>
      </c>
      <c r="C183" s="50" t="s">
        <v>592</v>
      </c>
      <c r="D183" s="50" t="s">
        <v>70</v>
      </c>
      <c r="E183" s="51">
        <v>0</v>
      </c>
      <c r="F183" s="52" t="s">
        <v>597</v>
      </c>
      <c r="G183" s="53">
        <v>3.6</v>
      </c>
      <c r="H183" s="53">
        <v>3.6</v>
      </c>
      <c r="I183" s="53">
        <v>0</v>
      </c>
      <c r="J183" s="50" t="s">
        <v>597</v>
      </c>
      <c r="K183" s="50" t="s">
        <v>597</v>
      </c>
    </row>
    <row r="184" spans="1:11">
      <c r="A184" s="54" t="s">
        <v>980</v>
      </c>
      <c r="B184" s="54" t="s">
        <v>981</v>
      </c>
      <c r="C184" s="54" t="s">
        <v>592</v>
      </c>
      <c r="D184" s="54" t="s">
        <v>76</v>
      </c>
      <c r="E184" s="55">
        <v>0</v>
      </c>
      <c r="F184" s="56" t="s">
        <v>597</v>
      </c>
      <c r="G184" s="57">
        <v>3.6</v>
      </c>
      <c r="H184" s="57">
        <v>3.6</v>
      </c>
      <c r="I184" s="57">
        <v>0</v>
      </c>
      <c r="J184" s="54" t="s">
        <v>982</v>
      </c>
      <c r="K184" s="54" t="s">
        <v>982</v>
      </c>
    </row>
    <row r="185" spans="1:11">
      <c r="A185" s="50" t="s">
        <v>983</v>
      </c>
      <c r="B185" s="50" t="s">
        <v>984</v>
      </c>
      <c r="C185" s="50" t="s">
        <v>592</v>
      </c>
      <c r="D185" s="50" t="s">
        <v>70</v>
      </c>
      <c r="E185" s="51">
        <v>0</v>
      </c>
      <c r="F185" s="52" t="s">
        <v>597</v>
      </c>
      <c r="G185" s="53">
        <v>3.6</v>
      </c>
      <c r="H185" s="53">
        <v>3.6</v>
      </c>
      <c r="I185" s="53">
        <v>0</v>
      </c>
      <c r="J185" s="50" t="s">
        <v>597</v>
      </c>
      <c r="K185" s="50" t="s">
        <v>597</v>
      </c>
    </row>
    <row r="186" spans="1:11">
      <c r="A186" s="54" t="s">
        <v>407</v>
      </c>
      <c r="B186" s="54" t="s">
        <v>985</v>
      </c>
      <c r="C186" s="54" t="s">
        <v>592</v>
      </c>
      <c r="D186" s="54" t="s">
        <v>76</v>
      </c>
      <c r="E186" s="55">
        <v>0</v>
      </c>
      <c r="F186" s="56" t="s">
        <v>597</v>
      </c>
      <c r="G186" s="57">
        <v>3.6</v>
      </c>
      <c r="H186" s="57">
        <v>3.6</v>
      </c>
      <c r="I186" s="57">
        <v>0</v>
      </c>
      <c r="J186" s="54" t="s">
        <v>597</v>
      </c>
      <c r="K186" s="54" t="s">
        <v>597</v>
      </c>
    </row>
    <row r="187" spans="1:11">
      <c r="A187" s="50" t="s">
        <v>143</v>
      </c>
      <c r="B187" s="50" t="s">
        <v>986</v>
      </c>
      <c r="C187" s="50" t="s">
        <v>592</v>
      </c>
      <c r="D187" s="50" t="s">
        <v>76</v>
      </c>
      <c r="E187" s="51">
        <v>0</v>
      </c>
      <c r="F187" s="52" t="s">
        <v>597</v>
      </c>
      <c r="G187" s="53">
        <v>3.6</v>
      </c>
      <c r="H187" s="53">
        <v>3.6</v>
      </c>
      <c r="I187" s="53">
        <v>0</v>
      </c>
      <c r="J187" s="50" t="s">
        <v>987</v>
      </c>
      <c r="K187" s="50" t="s">
        <v>987</v>
      </c>
    </row>
    <row r="188" spans="1:11">
      <c r="A188" s="54" t="s">
        <v>988</v>
      </c>
      <c r="B188" s="54" t="s">
        <v>989</v>
      </c>
      <c r="C188" s="54" t="s">
        <v>592</v>
      </c>
      <c r="D188" s="54" t="s">
        <v>76</v>
      </c>
      <c r="E188" s="55">
        <v>0</v>
      </c>
      <c r="F188" s="56" t="s">
        <v>597</v>
      </c>
      <c r="G188" s="57">
        <v>0</v>
      </c>
      <c r="H188" s="57">
        <v>0</v>
      </c>
      <c r="I188" s="57">
        <v>0</v>
      </c>
      <c r="J188" s="54" t="s">
        <v>597</v>
      </c>
      <c r="K188" s="54" t="s">
        <v>597</v>
      </c>
    </row>
    <row r="189" spans="1:11">
      <c r="A189" s="50" t="s">
        <v>990</v>
      </c>
      <c r="B189" s="50" t="s">
        <v>991</v>
      </c>
      <c r="C189" s="50" t="s">
        <v>592</v>
      </c>
      <c r="D189" s="50" t="s">
        <v>76</v>
      </c>
      <c r="E189" s="51">
        <v>0</v>
      </c>
      <c r="F189" s="52" t="s">
        <v>597</v>
      </c>
      <c r="G189" s="53">
        <v>0</v>
      </c>
      <c r="H189" s="53">
        <v>0</v>
      </c>
      <c r="I189" s="53">
        <v>0</v>
      </c>
      <c r="J189" s="50" t="s">
        <v>597</v>
      </c>
      <c r="K189" s="50" t="s">
        <v>597</v>
      </c>
    </row>
    <row r="190" spans="1:11">
      <c r="A190" s="54" t="s">
        <v>992</v>
      </c>
      <c r="B190" s="54" t="s">
        <v>993</v>
      </c>
      <c r="C190" s="54" t="s">
        <v>592</v>
      </c>
      <c r="D190" s="54" t="s">
        <v>76</v>
      </c>
      <c r="E190" s="55">
        <v>0</v>
      </c>
      <c r="F190" s="56" t="s">
        <v>597</v>
      </c>
      <c r="G190" s="57">
        <v>5.2</v>
      </c>
      <c r="H190" s="57">
        <v>4</v>
      </c>
      <c r="I190" s="57">
        <v>0</v>
      </c>
      <c r="J190" s="54" t="s">
        <v>597</v>
      </c>
      <c r="K190" s="54" t="s">
        <v>597</v>
      </c>
    </row>
    <row r="191" spans="1:11">
      <c r="A191" s="50" t="s">
        <v>994</v>
      </c>
      <c r="B191" s="50" t="s">
        <v>995</v>
      </c>
      <c r="C191" s="50" t="s">
        <v>592</v>
      </c>
      <c r="D191" s="50" t="s">
        <v>76</v>
      </c>
      <c r="E191" s="51">
        <v>0</v>
      </c>
      <c r="F191" s="52" t="s">
        <v>597</v>
      </c>
      <c r="G191" s="53">
        <v>0</v>
      </c>
      <c r="H191" s="53">
        <v>0</v>
      </c>
      <c r="I191" s="53">
        <v>0</v>
      </c>
      <c r="J191" s="50" t="s">
        <v>597</v>
      </c>
      <c r="K191" s="50" t="s">
        <v>597</v>
      </c>
    </row>
    <row r="192" spans="1:11">
      <c r="A192" s="54" t="s">
        <v>996</v>
      </c>
      <c r="B192" s="54" t="s">
        <v>997</v>
      </c>
      <c r="C192" s="54" t="s">
        <v>592</v>
      </c>
      <c r="D192" s="54" t="s">
        <v>76</v>
      </c>
      <c r="E192" s="55">
        <v>0</v>
      </c>
      <c r="F192" s="56" t="s">
        <v>597</v>
      </c>
      <c r="G192" s="57">
        <v>3.6</v>
      </c>
      <c r="H192" s="57">
        <v>3.6</v>
      </c>
      <c r="I192" s="57">
        <v>0</v>
      </c>
      <c r="J192" s="54" t="s">
        <v>597</v>
      </c>
      <c r="K192" s="54" t="s">
        <v>597</v>
      </c>
    </row>
    <row r="193" spans="1:11">
      <c r="A193" s="50" t="s">
        <v>998</v>
      </c>
      <c r="B193" s="50" t="s">
        <v>999</v>
      </c>
      <c r="C193" s="50" t="s">
        <v>592</v>
      </c>
      <c r="D193" s="50" t="s">
        <v>132</v>
      </c>
      <c r="E193" s="51">
        <v>0</v>
      </c>
      <c r="F193" s="52" t="s">
        <v>597</v>
      </c>
      <c r="G193" s="53">
        <v>0</v>
      </c>
      <c r="H193" s="53">
        <v>0</v>
      </c>
      <c r="I193" s="53">
        <v>0</v>
      </c>
      <c r="J193" s="50" t="s">
        <v>597</v>
      </c>
      <c r="K193" s="50" t="s">
        <v>597</v>
      </c>
    </row>
    <row r="194" spans="1:11">
      <c r="A194" s="54" t="s">
        <v>1000</v>
      </c>
      <c r="B194" s="54" t="s">
        <v>1001</v>
      </c>
      <c r="C194" s="54" t="s">
        <v>592</v>
      </c>
      <c r="D194" s="54" t="s">
        <v>76</v>
      </c>
      <c r="E194" s="55">
        <v>0</v>
      </c>
      <c r="F194" s="56" t="s">
        <v>597</v>
      </c>
      <c r="G194" s="57">
        <v>5.55</v>
      </c>
      <c r="H194" s="57">
        <v>5</v>
      </c>
      <c r="I194" s="57">
        <v>0</v>
      </c>
      <c r="J194" s="54" t="s">
        <v>597</v>
      </c>
      <c r="K194" s="54" t="s">
        <v>597</v>
      </c>
    </row>
    <row r="195" spans="1:11">
      <c r="A195" s="50" t="s">
        <v>1002</v>
      </c>
      <c r="B195" s="50" t="s">
        <v>1003</v>
      </c>
      <c r="C195" s="50" t="s">
        <v>592</v>
      </c>
      <c r="D195" s="50" t="s">
        <v>76</v>
      </c>
      <c r="E195" s="51">
        <v>0</v>
      </c>
      <c r="F195" s="52" t="s">
        <v>597</v>
      </c>
      <c r="G195" s="53">
        <v>5.55</v>
      </c>
      <c r="H195" s="53">
        <v>5</v>
      </c>
      <c r="I195" s="53">
        <v>0</v>
      </c>
      <c r="J195" s="50" t="s">
        <v>597</v>
      </c>
      <c r="K195" s="50" t="s">
        <v>597</v>
      </c>
    </row>
    <row r="196" spans="1:11">
      <c r="A196" s="54" t="s">
        <v>1004</v>
      </c>
      <c r="B196" s="54" t="s">
        <v>1005</v>
      </c>
      <c r="C196" s="54" t="s">
        <v>592</v>
      </c>
      <c r="D196" s="54" t="s">
        <v>614</v>
      </c>
      <c r="E196" s="55">
        <v>0</v>
      </c>
      <c r="F196" s="56" t="s">
        <v>597</v>
      </c>
      <c r="G196" s="57">
        <v>4.53</v>
      </c>
      <c r="H196" s="57">
        <v>4</v>
      </c>
      <c r="I196" s="57">
        <v>12</v>
      </c>
      <c r="J196" s="54" t="s">
        <v>1006</v>
      </c>
      <c r="K196" s="54" t="s">
        <v>1006</v>
      </c>
    </row>
    <row r="197" spans="1:11">
      <c r="A197" s="50" t="s">
        <v>1007</v>
      </c>
      <c r="B197" s="50" t="s">
        <v>1008</v>
      </c>
      <c r="C197" s="50" t="s">
        <v>592</v>
      </c>
      <c r="D197" s="50" t="s">
        <v>614</v>
      </c>
      <c r="E197" s="51">
        <v>0</v>
      </c>
      <c r="F197" s="52" t="s">
        <v>597</v>
      </c>
      <c r="G197" s="53">
        <v>4.53</v>
      </c>
      <c r="H197" s="53">
        <v>4</v>
      </c>
      <c r="I197" s="53">
        <v>12</v>
      </c>
      <c r="J197" s="50" t="s">
        <v>1009</v>
      </c>
      <c r="K197" s="50" t="s">
        <v>1009</v>
      </c>
    </row>
    <row r="198" spans="1:11">
      <c r="A198" s="54" t="s">
        <v>1010</v>
      </c>
      <c r="B198" s="54" t="s">
        <v>1011</v>
      </c>
      <c r="C198" s="54" t="s">
        <v>592</v>
      </c>
      <c r="D198" s="54" t="s">
        <v>614</v>
      </c>
      <c r="E198" s="55">
        <v>0</v>
      </c>
      <c r="F198" s="56" t="s">
        <v>597</v>
      </c>
      <c r="G198" s="57">
        <v>4.53</v>
      </c>
      <c r="H198" s="57">
        <v>4</v>
      </c>
      <c r="I198" s="57">
        <v>12</v>
      </c>
      <c r="J198" s="54" t="s">
        <v>1012</v>
      </c>
      <c r="K198" s="54" t="s">
        <v>1012</v>
      </c>
    </row>
    <row r="199" spans="1:11">
      <c r="A199" s="50" t="s">
        <v>1013</v>
      </c>
      <c r="B199" s="50" t="s">
        <v>1014</v>
      </c>
      <c r="C199" s="50" t="s">
        <v>592</v>
      </c>
      <c r="D199" s="50" t="s">
        <v>614</v>
      </c>
      <c r="E199" s="51">
        <v>0</v>
      </c>
      <c r="F199" s="52" t="s">
        <v>597</v>
      </c>
      <c r="G199" s="53">
        <v>4.03</v>
      </c>
      <c r="H199" s="53">
        <v>3.5</v>
      </c>
      <c r="I199" s="53">
        <v>12</v>
      </c>
      <c r="J199" s="50" t="s">
        <v>1015</v>
      </c>
      <c r="K199" s="50" t="s">
        <v>1015</v>
      </c>
    </row>
    <row r="200" spans="1:11">
      <c r="A200" s="54" t="s">
        <v>1016</v>
      </c>
      <c r="B200" s="54" t="s">
        <v>1017</v>
      </c>
      <c r="C200" s="54" t="s">
        <v>592</v>
      </c>
      <c r="D200" s="54" t="s">
        <v>614</v>
      </c>
      <c r="E200" s="55">
        <v>0</v>
      </c>
      <c r="F200" s="56" t="s">
        <v>597</v>
      </c>
      <c r="G200" s="57">
        <v>4.03</v>
      </c>
      <c r="H200" s="57">
        <v>3.5</v>
      </c>
      <c r="I200" s="57">
        <v>12</v>
      </c>
      <c r="J200" s="54" t="s">
        <v>1018</v>
      </c>
      <c r="K200" s="54" t="s">
        <v>1018</v>
      </c>
    </row>
    <row r="201" spans="1:11">
      <c r="A201" s="50" t="s">
        <v>1019</v>
      </c>
      <c r="B201" s="50" t="s">
        <v>1020</v>
      </c>
      <c r="C201" s="50" t="s">
        <v>592</v>
      </c>
      <c r="D201" s="50" t="s">
        <v>614</v>
      </c>
      <c r="E201" s="51">
        <v>0</v>
      </c>
      <c r="F201" s="52" t="s">
        <v>597</v>
      </c>
      <c r="G201" s="53">
        <v>4.03</v>
      </c>
      <c r="H201" s="53">
        <v>3.5</v>
      </c>
      <c r="I201" s="53">
        <v>12</v>
      </c>
      <c r="J201" s="50" t="s">
        <v>1021</v>
      </c>
      <c r="K201" s="50" t="s">
        <v>1021</v>
      </c>
    </row>
    <row r="202" spans="1:11">
      <c r="A202" s="54" t="s">
        <v>1022</v>
      </c>
      <c r="B202" s="54" t="s">
        <v>1023</v>
      </c>
      <c r="C202" s="54" t="s">
        <v>592</v>
      </c>
      <c r="D202" s="54" t="s">
        <v>614</v>
      </c>
      <c r="E202" s="55">
        <v>0</v>
      </c>
      <c r="F202" s="56" t="s">
        <v>597</v>
      </c>
      <c r="G202" s="57">
        <v>5.03</v>
      </c>
      <c r="H202" s="57">
        <v>4.5</v>
      </c>
      <c r="I202" s="57">
        <v>12</v>
      </c>
      <c r="J202" s="54" t="s">
        <v>1024</v>
      </c>
      <c r="K202" s="54" t="s">
        <v>1024</v>
      </c>
    </row>
    <row r="203" spans="1:11">
      <c r="A203" s="50" t="s">
        <v>1025</v>
      </c>
      <c r="B203" s="50" t="s">
        <v>1026</v>
      </c>
      <c r="C203" s="50" t="s">
        <v>592</v>
      </c>
      <c r="D203" s="50" t="s">
        <v>614</v>
      </c>
      <c r="E203" s="51">
        <v>0</v>
      </c>
      <c r="F203" s="52" t="s">
        <v>597</v>
      </c>
      <c r="G203" s="53">
        <v>3.53</v>
      </c>
      <c r="H203" s="53">
        <v>3</v>
      </c>
      <c r="I203" s="53">
        <v>12</v>
      </c>
      <c r="J203" s="50" t="s">
        <v>1027</v>
      </c>
      <c r="K203" s="50" t="s">
        <v>1027</v>
      </c>
    </row>
    <row r="204" spans="1:11">
      <c r="A204" s="54" t="s">
        <v>1028</v>
      </c>
      <c r="B204" s="54" t="s">
        <v>1029</v>
      </c>
      <c r="C204" s="54" t="s">
        <v>592</v>
      </c>
      <c r="D204" s="54" t="s">
        <v>614</v>
      </c>
      <c r="E204" s="55">
        <v>0</v>
      </c>
      <c r="F204" s="56" t="s">
        <v>597</v>
      </c>
      <c r="G204" s="57">
        <v>3.56</v>
      </c>
      <c r="H204" s="57">
        <v>3</v>
      </c>
      <c r="I204" s="57">
        <v>12</v>
      </c>
      <c r="J204" s="54" t="s">
        <v>1030</v>
      </c>
      <c r="K204" s="54" t="s">
        <v>1030</v>
      </c>
    </row>
    <row r="205" spans="1:11">
      <c r="A205" s="50" t="s">
        <v>1031</v>
      </c>
      <c r="B205" s="50" t="s">
        <v>1032</v>
      </c>
      <c r="C205" s="50" t="s">
        <v>592</v>
      </c>
      <c r="D205" s="50" t="s">
        <v>614</v>
      </c>
      <c r="E205" s="51">
        <v>0</v>
      </c>
      <c r="F205" s="52" t="s">
        <v>597</v>
      </c>
      <c r="G205" s="53">
        <v>6.56</v>
      </c>
      <c r="H205" s="53">
        <v>6</v>
      </c>
      <c r="I205" s="53">
        <v>25</v>
      </c>
      <c r="J205" s="50" t="s">
        <v>1033</v>
      </c>
      <c r="K205" s="50" t="s">
        <v>1033</v>
      </c>
    </row>
    <row r="206" spans="1:11">
      <c r="A206" s="54" t="s">
        <v>1034</v>
      </c>
      <c r="B206" s="54" t="s">
        <v>1035</v>
      </c>
      <c r="C206" s="54" t="s">
        <v>592</v>
      </c>
      <c r="D206" s="54" t="s">
        <v>614</v>
      </c>
      <c r="E206" s="55">
        <v>0</v>
      </c>
      <c r="F206" s="56" t="s">
        <v>597</v>
      </c>
      <c r="G206" s="57">
        <v>6.56</v>
      </c>
      <c r="H206" s="57">
        <v>6</v>
      </c>
      <c r="I206" s="57">
        <v>25</v>
      </c>
      <c r="J206" s="54" t="s">
        <v>1036</v>
      </c>
      <c r="K206" s="54" t="s">
        <v>1036</v>
      </c>
    </row>
    <row r="207" spans="1:11">
      <c r="A207" s="50" t="s">
        <v>1037</v>
      </c>
      <c r="B207" s="50" t="s">
        <v>1038</v>
      </c>
      <c r="C207" s="50" t="s">
        <v>592</v>
      </c>
      <c r="D207" s="50" t="s">
        <v>76</v>
      </c>
      <c r="E207" s="51">
        <v>0</v>
      </c>
      <c r="F207" s="52" t="s">
        <v>597</v>
      </c>
      <c r="G207" s="53">
        <v>4.53</v>
      </c>
      <c r="H207" s="53">
        <v>4</v>
      </c>
      <c r="I207" s="53">
        <v>12</v>
      </c>
      <c r="J207" s="50" t="s">
        <v>1039</v>
      </c>
      <c r="K207" s="50" t="s">
        <v>1039</v>
      </c>
    </row>
    <row r="208" spans="1:11">
      <c r="A208" s="54" t="s">
        <v>1040</v>
      </c>
      <c r="B208" s="54" t="s">
        <v>1041</v>
      </c>
      <c r="C208" s="54" t="s">
        <v>592</v>
      </c>
      <c r="D208" s="54" t="s">
        <v>614</v>
      </c>
      <c r="E208" s="55">
        <v>0</v>
      </c>
      <c r="F208" s="56" t="s">
        <v>597</v>
      </c>
      <c r="G208" s="57">
        <v>2.5299999999999998</v>
      </c>
      <c r="H208" s="57">
        <v>2</v>
      </c>
      <c r="I208" s="57">
        <v>12</v>
      </c>
      <c r="J208" s="54" t="s">
        <v>1042</v>
      </c>
      <c r="K208" s="54" t="s">
        <v>1042</v>
      </c>
    </row>
    <row r="209" spans="1:11">
      <c r="A209" s="50" t="s">
        <v>1043</v>
      </c>
      <c r="B209" s="50" t="s">
        <v>1044</v>
      </c>
      <c r="C209" s="50" t="s">
        <v>592</v>
      </c>
      <c r="D209" s="50" t="s">
        <v>614</v>
      </c>
      <c r="E209" s="51">
        <v>0</v>
      </c>
      <c r="F209" s="52" t="s">
        <v>597</v>
      </c>
      <c r="G209" s="53">
        <v>2.5299999999999998</v>
      </c>
      <c r="H209" s="53">
        <v>2</v>
      </c>
      <c r="I209" s="53">
        <v>12</v>
      </c>
      <c r="J209" s="50" t="s">
        <v>1045</v>
      </c>
      <c r="K209" s="50" t="s">
        <v>1045</v>
      </c>
    </row>
    <row r="210" spans="1:11">
      <c r="A210" s="54" t="s">
        <v>1046</v>
      </c>
      <c r="B210" s="54" t="s">
        <v>1047</v>
      </c>
      <c r="C210" s="54" t="s">
        <v>592</v>
      </c>
      <c r="D210" s="54" t="s">
        <v>70</v>
      </c>
      <c r="E210" s="55">
        <v>0</v>
      </c>
      <c r="F210" s="56" t="s">
        <v>597</v>
      </c>
      <c r="G210" s="57">
        <v>0.6</v>
      </c>
      <c r="H210" s="57">
        <v>0.6</v>
      </c>
      <c r="I210" s="57">
        <v>0</v>
      </c>
      <c r="J210" s="54" t="s">
        <v>597</v>
      </c>
      <c r="K210" s="54" t="s">
        <v>597</v>
      </c>
    </row>
    <row r="211" spans="1:11">
      <c r="A211" s="50" t="s">
        <v>1048</v>
      </c>
      <c r="B211" s="50" t="s">
        <v>1049</v>
      </c>
      <c r="C211" s="50" t="s">
        <v>592</v>
      </c>
      <c r="D211" s="50" t="s">
        <v>76</v>
      </c>
      <c r="E211" s="51">
        <v>0</v>
      </c>
      <c r="F211" s="52" t="s">
        <v>597</v>
      </c>
      <c r="G211" s="53">
        <v>0.6</v>
      </c>
      <c r="H211" s="53">
        <v>4.8</v>
      </c>
      <c r="I211" s="53">
        <v>0</v>
      </c>
      <c r="J211" s="50" t="s">
        <v>597</v>
      </c>
      <c r="K211" s="50" t="s">
        <v>597</v>
      </c>
    </row>
    <row r="212" spans="1:11">
      <c r="A212" s="54" t="s">
        <v>1050</v>
      </c>
      <c r="B212" s="54" t="s">
        <v>1051</v>
      </c>
      <c r="C212" s="54" t="s">
        <v>592</v>
      </c>
      <c r="D212" s="54" t="s">
        <v>76</v>
      </c>
      <c r="E212" s="55">
        <v>0</v>
      </c>
      <c r="F212" s="56" t="s">
        <v>597</v>
      </c>
      <c r="G212" s="57">
        <v>0.6</v>
      </c>
      <c r="H212" s="57">
        <v>4.8</v>
      </c>
      <c r="I212" s="57">
        <v>0</v>
      </c>
      <c r="J212" s="54" t="s">
        <v>597</v>
      </c>
      <c r="K212" s="54" t="s">
        <v>597</v>
      </c>
    </row>
    <row r="213" spans="1:11">
      <c r="A213" s="50" t="s">
        <v>1052</v>
      </c>
      <c r="B213" s="50" t="s">
        <v>1053</v>
      </c>
      <c r="C213" s="50" t="s">
        <v>592</v>
      </c>
      <c r="D213" s="50" t="s">
        <v>70</v>
      </c>
      <c r="E213" s="51">
        <v>0</v>
      </c>
      <c r="F213" s="52" t="s">
        <v>597</v>
      </c>
      <c r="G213" s="53">
        <v>0.6</v>
      </c>
      <c r="H213" s="53">
        <v>0.6</v>
      </c>
      <c r="I213" s="53">
        <v>0</v>
      </c>
      <c r="J213" s="50" t="s">
        <v>597</v>
      </c>
      <c r="K213" s="50" t="s">
        <v>597</v>
      </c>
    </row>
    <row r="214" spans="1:11">
      <c r="A214" s="54" t="s">
        <v>1054</v>
      </c>
      <c r="B214" s="54" t="s">
        <v>1055</v>
      </c>
      <c r="C214" s="54" t="s">
        <v>592</v>
      </c>
      <c r="D214" s="54" t="s">
        <v>76</v>
      </c>
      <c r="E214" s="55">
        <v>0</v>
      </c>
      <c r="F214" s="56" t="s">
        <v>597</v>
      </c>
      <c r="G214" s="57">
        <v>0.6</v>
      </c>
      <c r="H214" s="57">
        <v>4.8</v>
      </c>
      <c r="I214" s="57">
        <v>0</v>
      </c>
      <c r="J214" s="54" t="s">
        <v>597</v>
      </c>
      <c r="K214" s="54" t="s">
        <v>597</v>
      </c>
    </row>
    <row r="215" spans="1:11">
      <c r="A215" s="50" t="s">
        <v>1056</v>
      </c>
      <c r="B215" s="50" t="s">
        <v>1057</v>
      </c>
      <c r="C215" s="50" t="s">
        <v>592</v>
      </c>
      <c r="D215" s="50" t="s">
        <v>76</v>
      </c>
      <c r="E215" s="51">
        <v>0</v>
      </c>
      <c r="F215" s="52" t="s">
        <v>597</v>
      </c>
      <c r="G215" s="53">
        <v>0.99</v>
      </c>
      <c r="H215" s="53">
        <v>4.95</v>
      </c>
      <c r="I215" s="53">
        <v>0</v>
      </c>
      <c r="J215" s="50" t="s">
        <v>597</v>
      </c>
      <c r="K215" s="50" t="s">
        <v>597</v>
      </c>
    </row>
    <row r="216" spans="1:11">
      <c r="A216" s="54" t="s">
        <v>1058</v>
      </c>
      <c r="B216" s="54" t="s">
        <v>1059</v>
      </c>
      <c r="C216" s="54" t="s">
        <v>592</v>
      </c>
      <c r="D216" s="54" t="s">
        <v>76</v>
      </c>
      <c r="E216" s="55">
        <v>0</v>
      </c>
      <c r="F216" s="56" t="s">
        <v>597</v>
      </c>
      <c r="G216" s="57">
        <v>0.99</v>
      </c>
      <c r="H216" s="57">
        <v>4.95</v>
      </c>
      <c r="I216" s="57">
        <v>0</v>
      </c>
      <c r="J216" s="54" t="s">
        <v>597</v>
      </c>
      <c r="K216" s="54" t="s">
        <v>597</v>
      </c>
    </row>
    <row r="217" spans="1:11">
      <c r="A217" s="50" t="s">
        <v>1060</v>
      </c>
      <c r="B217" s="50" t="s">
        <v>1061</v>
      </c>
      <c r="C217" s="50" t="s">
        <v>592</v>
      </c>
      <c r="D217" s="50" t="s">
        <v>70</v>
      </c>
      <c r="E217" s="51">
        <v>0</v>
      </c>
      <c r="F217" s="52" t="s">
        <v>597</v>
      </c>
      <c r="G217" s="53">
        <v>0.99</v>
      </c>
      <c r="H217" s="53">
        <v>0.99</v>
      </c>
      <c r="I217" s="53">
        <v>0</v>
      </c>
      <c r="J217" s="50" t="s">
        <v>597</v>
      </c>
      <c r="K217" s="50" t="s">
        <v>597</v>
      </c>
    </row>
    <row r="218" spans="1:11">
      <c r="A218" s="54" t="s">
        <v>1062</v>
      </c>
      <c r="B218" s="54" t="s">
        <v>1063</v>
      </c>
      <c r="C218" s="54" t="s">
        <v>592</v>
      </c>
      <c r="D218" s="54" t="s">
        <v>70</v>
      </c>
      <c r="E218" s="55">
        <v>0</v>
      </c>
      <c r="F218" s="56" t="s">
        <v>597</v>
      </c>
      <c r="G218" s="57">
        <v>0.28000000000000003</v>
      </c>
      <c r="H218" s="57">
        <v>0.28000000000000003</v>
      </c>
      <c r="I218" s="57">
        <v>0</v>
      </c>
      <c r="J218" s="54" t="s">
        <v>597</v>
      </c>
      <c r="K218" s="54" t="s">
        <v>597</v>
      </c>
    </row>
    <row r="219" spans="1:11">
      <c r="A219" s="50" t="s">
        <v>1064</v>
      </c>
      <c r="B219" s="50" t="s">
        <v>1065</v>
      </c>
      <c r="C219" s="50" t="s">
        <v>592</v>
      </c>
      <c r="D219" s="50" t="s">
        <v>132</v>
      </c>
      <c r="E219" s="51">
        <v>0</v>
      </c>
      <c r="F219" s="52" t="s">
        <v>597</v>
      </c>
      <c r="G219" s="53">
        <v>0.6</v>
      </c>
      <c r="H219" s="53">
        <v>0.6</v>
      </c>
      <c r="I219" s="53">
        <v>0</v>
      </c>
      <c r="J219" s="50" t="s">
        <v>597</v>
      </c>
      <c r="K219" s="50" t="s">
        <v>597</v>
      </c>
    </row>
    <row r="220" spans="1:11">
      <c r="A220" s="54" t="s">
        <v>1066</v>
      </c>
      <c r="B220" s="54" t="s">
        <v>1067</v>
      </c>
      <c r="C220" s="54" t="s">
        <v>592</v>
      </c>
      <c r="D220" s="54" t="s">
        <v>70</v>
      </c>
      <c r="E220" s="55">
        <v>0</v>
      </c>
      <c r="F220" s="56" t="s">
        <v>597</v>
      </c>
      <c r="G220" s="57">
        <v>0.5</v>
      </c>
      <c r="H220" s="57">
        <v>0.5</v>
      </c>
      <c r="I220" s="57">
        <v>0</v>
      </c>
      <c r="J220" s="54" t="s">
        <v>597</v>
      </c>
      <c r="K220" s="54" t="s">
        <v>597</v>
      </c>
    </row>
    <row r="221" spans="1:11">
      <c r="A221" s="50" t="s">
        <v>1068</v>
      </c>
      <c r="B221" s="50" t="s">
        <v>1069</v>
      </c>
      <c r="C221" s="50" t="s">
        <v>592</v>
      </c>
      <c r="D221" s="50" t="s">
        <v>76</v>
      </c>
      <c r="E221" s="51">
        <v>0</v>
      </c>
      <c r="F221" s="52" t="s">
        <v>597</v>
      </c>
      <c r="G221" s="53">
        <v>0</v>
      </c>
      <c r="H221" s="53">
        <v>0</v>
      </c>
      <c r="I221" s="53">
        <v>0</v>
      </c>
      <c r="J221" s="50" t="s">
        <v>597</v>
      </c>
      <c r="K221" s="50" t="s">
        <v>597</v>
      </c>
    </row>
    <row r="222" spans="1:11">
      <c r="A222" s="54" t="s">
        <v>1070</v>
      </c>
      <c r="B222" s="54" t="s">
        <v>1071</v>
      </c>
      <c r="C222" s="54" t="s">
        <v>592</v>
      </c>
      <c r="D222" s="54" t="s">
        <v>76</v>
      </c>
      <c r="E222" s="55">
        <v>0</v>
      </c>
      <c r="F222" s="56" t="s">
        <v>597</v>
      </c>
      <c r="G222" s="57">
        <v>0</v>
      </c>
      <c r="H222" s="57">
        <v>0</v>
      </c>
      <c r="I222" s="57">
        <v>0</v>
      </c>
      <c r="J222" s="54" t="s">
        <v>597</v>
      </c>
      <c r="K222" s="54" t="s">
        <v>597</v>
      </c>
    </row>
    <row r="223" spans="1:11">
      <c r="A223" s="50" t="s">
        <v>1072</v>
      </c>
      <c r="B223" s="50" t="s">
        <v>1073</v>
      </c>
      <c r="C223" s="50" t="s">
        <v>592</v>
      </c>
      <c r="D223" s="50" t="s">
        <v>76</v>
      </c>
      <c r="E223" s="51">
        <v>0</v>
      </c>
      <c r="F223" s="52" t="s">
        <v>597</v>
      </c>
      <c r="G223" s="53">
        <v>0</v>
      </c>
      <c r="H223" s="53">
        <v>5</v>
      </c>
      <c r="I223" s="53">
        <v>0</v>
      </c>
      <c r="J223" s="50" t="s">
        <v>597</v>
      </c>
      <c r="K223" s="50" t="s">
        <v>597</v>
      </c>
    </row>
    <row r="224" spans="1:11">
      <c r="A224" s="54" t="s">
        <v>1074</v>
      </c>
      <c r="B224" s="54" t="s">
        <v>1075</v>
      </c>
      <c r="C224" s="54" t="s">
        <v>592</v>
      </c>
      <c r="D224" s="54" t="s">
        <v>76</v>
      </c>
      <c r="E224" s="55">
        <v>0</v>
      </c>
      <c r="F224" s="56" t="s">
        <v>597</v>
      </c>
      <c r="G224" s="57">
        <v>0</v>
      </c>
      <c r="H224" s="57">
        <v>5</v>
      </c>
      <c r="I224" s="57">
        <v>0</v>
      </c>
      <c r="J224" s="54" t="s">
        <v>597</v>
      </c>
      <c r="K224" s="54" t="s">
        <v>597</v>
      </c>
    </row>
    <row r="225" spans="1:11">
      <c r="A225" s="50" t="s">
        <v>1076</v>
      </c>
      <c r="B225" s="50" t="s">
        <v>1077</v>
      </c>
      <c r="C225" s="50" t="s">
        <v>592</v>
      </c>
      <c r="D225" s="50" t="s">
        <v>132</v>
      </c>
      <c r="E225" s="51">
        <v>0</v>
      </c>
      <c r="F225" s="52" t="s">
        <v>597</v>
      </c>
      <c r="G225" s="53">
        <v>1.62</v>
      </c>
      <c r="H225" s="53">
        <v>1.62</v>
      </c>
      <c r="I225" s="53">
        <v>0</v>
      </c>
      <c r="J225" s="50" t="s">
        <v>597</v>
      </c>
      <c r="K225" s="50" t="s">
        <v>597</v>
      </c>
    </row>
    <row r="226" spans="1:11">
      <c r="A226" s="54" t="s">
        <v>1078</v>
      </c>
      <c r="B226" s="54" t="s">
        <v>1079</v>
      </c>
      <c r="C226" s="54" t="s">
        <v>592</v>
      </c>
      <c r="D226" s="54" t="s">
        <v>132</v>
      </c>
      <c r="E226" s="55">
        <v>0</v>
      </c>
      <c r="F226" s="56" t="s">
        <v>597</v>
      </c>
      <c r="G226" s="57">
        <v>1.62</v>
      </c>
      <c r="H226" s="57">
        <v>1.62</v>
      </c>
      <c r="I226" s="57">
        <v>0</v>
      </c>
      <c r="J226" s="54" t="s">
        <v>597</v>
      </c>
      <c r="K226" s="54" t="s">
        <v>597</v>
      </c>
    </row>
    <row r="227" spans="1:11">
      <c r="A227" s="50" t="s">
        <v>1080</v>
      </c>
      <c r="B227" s="50" t="s">
        <v>1081</v>
      </c>
      <c r="C227" s="50" t="s">
        <v>592</v>
      </c>
      <c r="D227" s="50" t="s">
        <v>132</v>
      </c>
      <c r="E227" s="51">
        <v>0</v>
      </c>
      <c r="F227" s="52" t="s">
        <v>597</v>
      </c>
      <c r="G227" s="53">
        <v>1.62</v>
      </c>
      <c r="H227" s="53">
        <v>1.62</v>
      </c>
      <c r="I227" s="53">
        <v>0</v>
      </c>
      <c r="J227" s="50" t="s">
        <v>597</v>
      </c>
      <c r="K227" s="50" t="s">
        <v>597</v>
      </c>
    </row>
    <row r="228" spans="1:11">
      <c r="A228" s="54" t="s">
        <v>1082</v>
      </c>
      <c r="B228" s="54" t="s">
        <v>1083</v>
      </c>
      <c r="C228" s="54" t="s">
        <v>592</v>
      </c>
      <c r="D228" s="54" t="s">
        <v>132</v>
      </c>
      <c r="E228" s="55">
        <v>0</v>
      </c>
      <c r="F228" s="56" t="s">
        <v>597</v>
      </c>
      <c r="G228" s="57">
        <v>1.62</v>
      </c>
      <c r="H228" s="57">
        <v>1.62</v>
      </c>
      <c r="I228" s="57">
        <v>0</v>
      </c>
      <c r="J228" s="54" t="s">
        <v>597</v>
      </c>
      <c r="K228" s="54" t="s">
        <v>597</v>
      </c>
    </row>
    <row r="229" spans="1:11">
      <c r="A229" s="50" t="s">
        <v>1084</v>
      </c>
      <c r="B229" s="50" t="s">
        <v>1085</v>
      </c>
      <c r="C229" s="50" t="s">
        <v>592</v>
      </c>
      <c r="D229" s="50" t="s">
        <v>76</v>
      </c>
      <c r="E229" s="51">
        <v>0</v>
      </c>
      <c r="F229" s="52" t="s">
        <v>597</v>
      </c>
      <c r="G229" s="53">
        <v>3.6</v>
      </c>
      <c r="H229" s="53">
        <v>3.6</v>
      </c>
      <c r="I229" s="53">
        <v>0</v>
      </c>
      <c r="J229" s="50" t="s">
        <v>597</v>
      </c>
      <c r="K229" s="50" t="s">
        <v>597</v>
      </c>
    </row>
    <row r="230" spans="1:11">
      <c r="A230" s="54" t="s">
        <v>1086</v>
      </c>
      <c r="B230" s="54" t="s">
        <v>1087</v>
      </c>
      <c r="C230" s="54" t="s">
        <v>592</v>
      </c>
      <c r="D230" s="54" t="s">
        <v>76</v>
      </c>
      <c r="E230" s="55">
        <v>0</v>
      </c>
      <c r="F230" s="56" t="s">
        <v>597</v>
      </c>
      <c r="G230" s="57">
        <v>3.6</v>
      </c>
      <c r="H230" s="57">
        <v>3.6</v>
      </c>
      <c r="I230" s="57">
        <v>0</v>
      </c>
      <c r="J230" s="54" t="s">
        <v>597</v>
      </c>
      <c r="K230" s="54" t="s">
        <v>597</v>
      </c>
    </row>
    <row r="231" spans="1:11">
      <c r="A231" s="50" t="s">
        <v>1088</v>
      </c>
      <c r="B231" s="50" t="s">
        <v>1089</v>
      </c>
      <c r="C231" s="50" t="s">
        <v>592</v>
      </c>
      <c r="D231" s="50" t="s">
        <v>76</v>
      </c>
      <c r="E231" s="51">
        <v>0</v>
      </c>
      <c r="F231" s="52" t="s">
        <v>597</v>
      </c>
      <c r="G231" s="53">
        <v>4.2</v>
      </c>
      <c r="H231" s="53">
        <v>4.2</v>
      </c>
      <c r="I231" s="53">
        <v>0</v>
      </c>
      <c r="J231" s="50" t="s">
        <v>597</v>
      </c>
      <c r="K231" s="50" t="s">
        <v>597</v>
      </c>
    </row>
    <row r="232" spans="1:11">
      <c r="A232" s="54" t="s">
        <v>1090</v>
      </c>
      <c r="B232" s="54" t="s">
        <v>1091</v>
      </c>
      <c r="C232" s="54" t="s">
        <v>592</v>
      </c>
      <c r="D232" s="54" t="s">
        <v>76</v>
      </c>
      <c r="E232" s="55">
        <v>0</v>
      </c>
      <c r="F232" s="56" t="s">
        <v>597</v>
      </c>
      <c r="G232" s="57">
        <v>3.6</v>
      </c>
      <c r="H232" s="57">
        <v>3.6</v>
      </c>
      <c r="I232" s="57">
        <v>0</v>
      </c>
      <c r="J232" s="54" t="s">
        <v>597</v>
      </c>
      <c r="K232" s="54" t="s">
        <v>597</v>
      </c>
    </row>
    <row r="233" spans="1:11">
      <c r="A233" s="50" t="s">
        <v>1092</v>
      </c>
      <c r="B233" s="50" t="s">
        <v>1093</v>
      </c>
      <c r="C233" s="50" t="s">
        <v>592</v>
      </c>
      <c r="D233" s="50" t="s">
        <v>76</v>
      </c>
      <c r="E233" s="51">
        <v>0</v>
      </c>
      <c r="F233" s="52" t="s">
        <v>597</v>
      </c>
      <c r="G233" s="53">
        <v>3.6</v>
      </c>
      <c r="H233" s="53">
        <v>3.6</v>
      </c>
      <c r="I233" s="53">
        <v>0</v>
      </c>
      <c r="J233" s="50" t="s">
        <v>597</v>
      </c>
      <c r="K233" s="50" t="s">
        <v>597</v>
      </c>
    </row>
    <row r="234" spans="1:11">
      <c r="A234" s="54" t="s">
        <v>1094</v>
      </c>
      <c r="B234" s="54" t="s">
        <v>1095</v>
      </c>
      <c r="C234" s="54" t="s">
        <v>592</v>
      </c>
      <c r="D234" s="54" t="s">
        <v>76</v>
      </c>
      <c r="E234" s="55">
        <v>0</v>
      </c>
      <c r="F234" s="56" t="s">
        <v>597</v>
      </c>
      <c r="G234" s="57">
        <v>3.24</v>
      </c>
      <c r="H234" s="57">
        <v>3.24</v>
      </c>
      <c r="I234" s="57">
        <v>0</v>
      </c>
      <c r="J234" s="54" t="s">
        <v>597</v>
      </c>
      <c r="K234" s="54" t="s">
        <v>597</v>
      </c>
    </row>
    <row r="235" spans="1:11">
      <c r="A235" s="50" t="s">
        <v>113</v>
      </c>
      <c r="B235" s="50" t="s">
        <v>114</v>
      </c>
      <c r="C235" s="50" t="s">
        <v>592</v>
      </c>
      <c r="D235" s="50" t="s">
        <v>76</v>
      </c>
      <c r="E235" s="51">
        <v>0</v>
      </c>
      <c r="F235" s="52" t="s">
        <v>597</v>
      </c>
      <c r="G235" s="53">
        <v>4.16</v>
      </c>
      <c r="H235" s="53">
        <v>3.6</v>
      </c>
      <c r="I235" s="53">
        <v>25</v>
      </c>
      <c r="J235" s="50" t="s">
        <v>1096</v>
      </c>
      <c r="K235" s="50" t="s">
        <v>1096</v>
      </c>
    </row>
    <row r="236" spans="1:11">
      <c r="A236" s="54" t="s">
        <v>115</v>
      </c>
      <c r="B236" s="54" t="s">
        <v>116</v>
      </c>
      <c r="C236" s="54" t="s">
        <v>592</v>
      </c>
      <c r="D236" s="54" t="s">
        <v>76</v>
      </c>
      <c r="E236" s="55">
        <v>0</v>
      </c>
      <c r="F236" s="56" t="s">
        <v>597</v>
      </c>
      <c r="G236" s="57">
        <v>4.16</v>
      </c>
      <c r="H236" s="57">
        <v>3.6</v>
      </c>
      <c r="I236" s="57">
        <v>25</v>
      </c>
      <c r="J236" s="54" t="s">
        <v>1097</v>
      </c>
      <c r="K236" s="54" t="s">
        <v>1097</v>
      </c>
    </row>
    <row r="237" spans="1:11">
      <c r="A237" s="50" t="s">
        <v>117</v>
      </c>
      <c r="B237" s="50" t="s">
        <v>118</v>
      </c>
      <c r="C237" s="50" t="s">
        <v>592</v>
      </c>
      <c r="D237" s="50" t="s">
        <v>76</v>
      </c>
      <c r="E237" s="51">
        <v>0</v>
      </c>
      <c r="F237" s="52" t="s">
        <v>597</v>
      </c>
      <c r="G237" s="53">
        <v>4.76</v>
      </c>
      <c r="H237" s="53">
        <v>4.2</v>
      </c>
      <c r="I237" s="53">
        <v>25</v>
      </c>
      <c r="J237" s="50" t="s">
        <v>1098</v>
      </c>
      <c r="K237" s="50" t="s">
        <v>1098</v>
      </c>
    </row>
    <row r="238" spans="1:11">
      <c r="A238" s="54" t="s">
        <v>125</v>
      </c>
      <c r="B238" s="54" t="s">
        <v>126</v>
      </c>
      <c r="C238" s="54" t="s">
        <v>592</v>
      </c>
      <c r="D238" s="54" t="s">
        <v>76</v>
      </c>
      <c r="E238" s="55">
        <v>51.65</v>
      </c>
      <c r="F238" s="56">
        <v>45691</v>
      </c>
      <c r="G238" s="57">
        <v>4.16</v>
      </c>
      <c r="H238" s="57">
        <v>3.6</v>
      </c>
      <c r="I238" s="57">
        <v>25</v>
      </c>
      <c r="J238" s="54" t="s">
        <v>1099</v>
      </c>
      <c r="K238" s="54" t="s">
        <v>1099</v>
      </c>
    </row>
    <row r="239" spans="1:11">
      <c r="A239" s="50" t="s">
        <v>1100</v>
      </c>
      <c r="B239" s="50" t="s">
        <v>1101</v>
      </c>
      <c r="C239" s="50" t="s">
        <v>592</v>
      </c>
      <c r="D239" s="50" t="s">
        <v>76</v>
      </c>
      <c r="E239" s="51">
        <v>0</v>
      </c>
      <c r="F239" s="52" t="s">
        <v>597</v>
      </c>
      <c r="G239" s="53">
        <v>3.68</v>
      </c>
      <c r="H239" s="53">
        <v>3.12</v>
      </c>
      <c r="I239" s="53">
        <v>25</v>
      </c>
      <c r="J239" s="50" t="s">
        <v>1102</v>
      </c>
      <c r="K239" s="50" t="s">
        <v>1102</v>
      </c>
    </row>
    <row r="240" spans="1:11">
      <c r="A240" s="54" t="s">
        <v>119</v>
      </c>
      <c r="B240" s="54" t="s">
        <v>120</v>
      </c>
      <c r="C240" s="54" t="s">
        <v>592</v>
      </c>
      <c r="D240" s="54" t="s">
        <v>76</v>
      </c>
      <c r="E240" s="55">
        <v>0</v>
      </c>
      <c r="F240" s="56" t="s">
        <v>597</v>
      </c>
      <c r="G240" s="57">
        <v>3.8</v>
      </c>
      <c r="H240" s="57">
        <v>3.24</v>
      </c>
      <c r="I240" s="57">
        <v>25</v>
      </c>
      <c r="J240" s="54" t="s">
        <v>1103</v>
      </c>
      <c r="K240" s="54" t="s">
        <v>1103</v>
      </c>
    </row>
    <row r="241" spans="1:11">
      <c r="A241" s="50" t="s">
        <v>1104</v>
      </c>
      <c r="B241" s="50" t="s">
        <v>1105</v>
      </c>
      <c r="C241" s="50" t="s">
        <v>592</v>
      </c>
      <c r="D241" s="50" t="s">
        <v>76</v>
      </c>
      <c r="E241" s="51">
        <v>0</v>
      </c>
      <c r="F241" s="52" t="s">
        <v>597</v>
      </c>
      <c r="G241" s="53">
        <v>4.16</v>
      </c>
      <c r="H241" s="53">
        <v>3.6</v>
      </c>
      <c r="I241" s="53">
        <v>25</v>
      </c>
      <c r="J241" s="50" t="s">
        <v>1106</v>
      </c>
      <c r="K241" s="50" t="s">
        <v>1106</v>
      </c>
    </row>
    <row r="242" spans="1:11">
      <c r="A242" s="54" t="s">
        <v>1107</v>
      </c>
      <c r="B242" s="54" t="s">
        <v>1108</v>
      </c>
      <c r="C242" s="54" t="s">
        <v>592</v>
      </c>
      <c r="D242" s="54" t="s">
        <v>76</v>
      </c>
      <c r="E242" s="55">
        <v>0</v>
      </c>
      <c r="F242" s="56" t="s">
        <v>597</v>
      </c>
      <c r="G242" s="57">
        <v>4.16</v>
      </c>
      <c r="H242" s="57">
        <v>3.6</v>
      </c>
      <c r="I242" s="57">
        <v>25</v>
      </c>
      <c r="J242" s="54" t="s">
        <v>1109</v>
      </c>
      <c r="K242" s="54" t="s">
        <v>1109</v>
      </c>
    </row>
    <row r="243" spans="1:11">
      <c r="A243" s="50" t="s">
        <v>1110</v>
      </c>
      <c r="B243" s="50" t="s">
        <v>1111</v>
      </c>
      <c r="C243" s="50" t="s">
        <v>592</v>
      </c>
      <c r="D243" s="50" t="s">
        <v>76</v>
      </c>
      <c r="E243" s="51">
        <v>0</v>
      </c>
      <c r="F243" s="52" t="s">
        <v>597</v>
      </c>
      <c r="G243" s="53">
        <v>4.76</v>
      </c>
      <c r="H243" s="53">
        <v>4.2</v>
      </c>
      <c r="I243" s="53">
        <v>25</v>
      </c>
      <c r="J243" s="50" t="s">
        <v>1112</v>
      </c>
      <c r="K243" s="50" t="s">
        <v>1112</v>
      </c>
    </row>
    <row r="244" spans="1:11">
      <c r="A244" s="54" t="s">
        <v>1113</v>
      </c>
      <c r="B244" s="54" t="s">
        <v>1114</v>
      </c>
      <c r="C244" s="54" t="s">
        <v>592</v>
      </c>
      <c r="D244" s="54" t="s">
        <v>76</v>
      </c>
      <c r="E244" s="55">
        <v>0</v>
      </c>
      <c r="F244" s="56" t="s">
        <v>597</v>
      </c>
      <c r="G244" s="57">
        <v>4.16</v>
      </c>
      <c r="H244" s="57">
        <v>3.6</v>
      </c>
      <c r="I244" s="57">
        <v>25</v>
      </c>
      <c r="J244" s="54" t="s">
        <v>1115</v>
      </c>
      <c r="K244" s="54" t="s">
        <v>1115</v>
      </c>
    </row>
    <row r="245" spans="1:11">
      <c r="A245" s="50" t="s">
        <v>1116</v>
      </c>
      <c r="B245" s="50" t="s">
        <v>1117</v>
      </c>
      <c r="C245" s="50" t="s">
        <v>592</v>
      </c>
      <c r="D245" s="50" t="s">
        <v>76</v>
      </c>
      <c r="E245" s="51">
        <v>0</v>
      </c>
      <c r="F245" s="52" t="s">
        <v>597</v>
      </c>
      <c r="G245" s="53">
        <v>3.68</v>
      </c>
      <c r="H245" s="53">
        <v>3.12</v>
      </c>
      <c r="I245" s="53">
        <v>25</v>
      </c>
      <c r="J245" s="50" t="s">
        <v>1118</v>
      </c>
      <c r="K245" s="50" t="s">
        <v>1118</v>
      </c>
    </row>
    <row r="246" spans="1:11">
      <c r="A246" s="54" t="s">
        <v>1119</v>
      </c>
      <c r="B246" s="54" t="s">
        <v>1120</v>
      </c>
      <c r="C246" s="54" t="s">
        <v>592</v>
      </c>
      <c r="D246" s="54" t="s">
        <v>76</v>
      </c>
      <c r="E246" s="55">
        <v>0</v>
      </c>
      <c r="F246" s="56" t="s">
        <v>597</v>
      </c>
      <c r="G246" s="57">
        <v>3.8</v>
      </c>
      <c r="H246" s="57">
        <v>3.24</v>
      </c>
      <c r="I246" s="57">
        <v>25</v>
      </c>
      <c r="J246" s="54" t="s">
        <v>1121</v>
      </c>
      <c r="K246" s="54" t="s">
        <v>1121</v>
      </c>
    </row>
    <row r="247" spans="1:11">
      <c r="A247" s="50" t="s">
        <v>1122</v>
      </c>
      <c r="B247" s="50" t="s">
        <v>1123</v>
      </c>
      <c r="C247" s="50" t="s">
        <v>592</v>
      </c>
      <c r="D247" s="50" t="s">
        <v>76</v>
      </c>
      <c r="E247" s="51">
        <v>0</v>
      </c>
      <c r="F247" s="52" t="s">
        <v>597</v>
      </c>
      <c r="G247" s="53">
        <v>5.04</v>
      </c>
      <c r="H247" s="53">
        <v>5.04</v>
      </c>
      <c r="I247" s="53">
        <v>0</v>
      </c>
      <c r="J247" s="50" t="s">
        <v>597</v>
      </c>
      <c r="K247" s="50" t="s">
        <v>597</v>
      </c>
    </row>
    <row r="248" spans="1:11">
      <c r="A248" s="54" t="s">
        <v>1124</v>
      </c>
      <c r="B248" s="54" t="s">
        <v>1125</v>
      </c>
      <c r="C248" s="54" t="s">
        <v>592</v>
      </c>
      <c r="D248" s="54" t="s">
        <v>70</v>
      </c>
      <c r="E248" s="55">
        <v>0</v>
      </c>
      <c r="F248" s="56" t="s">
        <v>597</v>
      </c>
      <c r="G248" s="57">
        <v>0</v>
      </c>
      <c r="H248" s="57">
        <v>0.3</v>
      </c>
      <c r="I248" s="57">
        <v>0</v>
      </c>
      <c r="J248" s="54" t="s">
        <v>597</v>
      </c>
      <c r="K248" s="54" t="s">
        <v>597</v>
      </c>
    </row>
    <row r="249" spans="1:11">
      <c r="A249" s="50" t="s">
        <v>87</v>
      </c>
      <c r="B249" s="50" t="s">
        <v>88</v>
      </c>
      <c r="C249" s="50" t="s">
        <v>592</v>
      </c>
      <c r="D249" s="50" t="s">
        <v>76</v>
      </c>
      <c r="E249" s="51">
        <v>62.5</v>
      </c>
      <c r="F249" s="52">
        <v>45690</v>
      </c>
      <c r="G249" s="53">
        <v>4.96</v>
      </c>
      <c r="H249" s="53">
        <v>4.4000000000000004</v>
      </c>
      <c r="I249" s="53">
        <v>25</v>
      </c>
      <c r="J249" s="50" t="s">
        <v>1126</v>
      </c>
      <c r="K249" s="50" t="s">
        <v>1126</v>
      </c>
    </row>
    <row r="250" spans="1:11">
      <c r="A250" s="54" t="s">
        <v>77</v>
      </c>
      <c r="B250" s="54" t="s">
        <v>78</v>
      </c>
      <c r="C250" s="54" t="s">
        <v>592</v>
      </c>
      <c r="D250" s="54" t="s">
        <v>76</v>
      </c>
      <c r="E250" s="55">
        <v>0</v>
      </c>
      <c r="F250" s="56" t="s">
        <v>597</v>
      </c>
      <c r="G250" s="57">
        <v>4.96</v>
      </c>
      <c r="H250" s="57">
        <v>4.4000000000000004</v>
      </c>
      <c r="I250" s="57">
        <v>25</v>
      </c>
      <c r="J250" s="54" t="s">
        <v>1127</v>
      </c>
      <c r="K250" s="54" t="s">
        <v>1127</v>
      </c>
    </row>
    <row r="251" spans="1:11">
      <c r="A251" s="50" t="s">
        <v>1128</v>
      </c>
      <c r="B251" s="50" t="s">
        <v>1129</v>
      </c>
      <c r="C251" s="50" t="s">
        <v>592</v>
      </c>
      <c r="D251" s="50" t="s">
        <v>76</v>
      </c>
      <c r="E251" s="51">
        <v>62.5</v>
      </c>
      <c r="F251" s="52">
        <v>45690</v>
      </c>
      <c r="G251" s="53">
        <v>5.36</v>
      </c>
      <c r="H251" s="53">
        <v>4.8</v>
      </c>
      <c r="I251" s="53">
        <v>25</v>
      </c>
      <c r="J251" s="50" t="s">
        <v>1130</v>
      </c>
      <c r="K251" s="50" t="s">
        <v>1130</v>
      </c>
    </row>
    <row r="252" spans="1:11">
      <c r="A252" s="54" t="s">
        <v>183</v>
      </c>
      <c r="B252" s="54" t="s">
        <v>184</v>
      </c>
      <c r="C252" s="54" t="s">
        <v>592</v>
      </c>
      <c r="D252" s="54" t="s">
        <v>76</v>
      </c>
      <c r="E252" s="55">
        <v>0</v>
      </c>
      <c r="F252" s="56" t="s">
        <v>597</v>
      </c>
      <c r="G252" s="57">
        <v>5.36</v>
      </c>
      <c r="H252" s="57">
        <v>4.8</v>
      </c>
      <c r="I252" s="57">
        <v>25</v>
      </c>
      <c r="J252" s="54" t="s">
        <v>1131</v>
      </c>
      <c r="K252" s="54" t="s">
        <v>1131</v>
      </c>
    </row>
    <row r="253" spans="1:11">
      <c r="A253" s="50" t="s">
        <v>1132</v>
      </c>
      <c r="B253" s="50" t="s">
        <v>1133</v>
      </c>
      <c r="C253" s="50" t="s">
        <v>592</v>
      </c>
      <c r="D253" s="50" t="s">
        <v>70</v>
      </c>
      <c r="E253" s="51">
        <v>0</v>
      </c>
      <c r="F253" s="52" t="s">
        <v>597</v>
      </c>
      <c r="G253" s="53">
        <v>0.23499999999999999</v>
      </c>
      <c r="H253" s="53">
        <v>0.22</v>
      </c>
      <c r="I253" s="53">
        <v>0</v>
      </c>
      <c r="J253" s="50" t="s">
        <v>597</v>
      </c>
      <c r="K253" s="50" t="s">
        <v>597</v>
      </c>
    </row>
    <row r="254" spans="1:11">
      <c r="A254" s="54" t="s">
        <v>1134</v>
      </c>
      <c r="B254" s="54" t="s">
        <v>1135</v>
      </c>
      <c r="C254" s="54" t="s">
        <v>592</v>
      </c>
      <c r="D254" s="54" t="s">
        <v>70</v>
      </c>
      <c r="E254" s="55">
        <v>0</v>
      </c>
      <c r="F254" s="56" t="s">
        <v>597</v>
      </c>
      <c r="G254" s="57">
        <v>0.23499999999999999</v>
      </c>
      <c r="H254" s="57">
        <v>0.22</v>
      </c>
      <c r="I254" s="57">
        <v>0</v>
      </c>
      <c r="J254" s="54" t="s">
        <v>597</v>
      </c>
      <c r="K254" s="54" t="s">
        <v>597</v>
      </c>
    </row>
    <row r="255" spans="1:11">
      <c r="A255" s="50" t="s">
        <v>1136</v>
      </c>
      <c r="B255" s="50" t="s">
        <v>1137</v>
      </c>
      <c r="C255" s="50" t="s">
        <v>592</v>
      </c>
      <c r="D255" s="50" t="s">
        <v>70</v>
      </c>
      <c r="E255" s="51">
        <v>0</v>
      </c>
      <c r="F255" s="52" t="s">
        <v>597</v>
      </c>
      <c r="G255" s="53">
        <v>0.255</v>
      </c>
      <c r="H255" s="53">
        <v>0.24</v>
      </c>
      <c r="I255" s="53">
        <v>0</v>
      </c>
      <c r="J255" s="50" t="s">
        <v>597</v>
      </c>
      <c r="K255" s="50" t="s">
        <v>597</v>
      </c>
    </row>
    <row r="256" spans="1:11">
      <c r="A256" s="54" t="s">
        <v>1138</v>
      </c>
      <c r="B256" s="54" t="s">
        <v>1139</v>
      </c>
      <c r="C256" s="54" t="s">
        <v>592</v>
      </c>
      <c r="D256" s="54" t="s">
        <v>70</v>
      </c>
      <c r="E256" s="55">
        <v>0</v>
      </c>
      <c r="F256" s="56" t="s">
        <v>597</v>
      </c>
      <c r="G256" s="57">
        <v>0.255</v>
      </c>
      <c r="H256" s="57">
        <v>0.24</v>
      </c>
      <c r="I256" s="57">
        <v>0</v>
      </c>
      <c r="J256" s="54" t="s">
        <v>597</v>
      </c>
      <c r="K256" s="54" t="s">
        <v>597</v>
      </c>
    </row>
    <row r="257" spans="1:11">
      <c r="A257" s="50" t="s">
        <v>1140</v>
      </c>
      <c r="B257" s="50" t="s">
        <v>1141</v>
      </c>
      <c r="C257" s="50" t="s">
        <v>592</v>
      </c>
      <c r="D257" s="50" t="s">
        <v>70</v>
      </c>
      <c r="E257" s="51">
        <v>0</v>
      </c>
      <c r="F257" s="52" t="s">
        <v>597</v>
      </c>
      <c r="G257" s="53">
        <v>0.215</v>
      </c>
      <c r="H257" s="53">
        <v>0.2</v>
      </c>
      <c r="I257" s="53">
        <v>0</v>
      </c>
      <c r="J257" s="50" t="s">
        <v>597</v>
      </c>
      <c r="K257" s="50" t="s">
        <v>597</v>
      </c>
    </row>
    <row r="258" spans="1:11">
      <c r="A258" s="54" t="s">
        <v>189</v>
      </c>
      <c r="B258" s="54" t="s">
        <v>1142</v>
      </c>
      <c r="C258" s="54" t="s">
        <v>592</v>
      </c>
      <c r="D258" s="54" t="s">
        <v>76</v>
      </c>
      <c r="E258" s="55">
        <v>0</v>
      </c>
      <c r="F258" s="56" t="s">
        <v>597</v>
      </c>
      <c r="G258" s="57">
        <v>3.2</v>
      </c>
      <c r="H258" s="57">
        <v>2.64</v>
      </c>
      <c r="I258" s="57">
        <v>25</v>
      </c>
      <c r="J258" s="54" t="s">
        <v>597</v>
      </c>
      <c r="K258" s="54" t="s">
        <v>1143</v>
      </c>
    </row>
    <row r="259" spans="1:11">
      <c r="A259" s="50" t="s">
        <v>79</v>
      </c>
      <c r="B259" s="50" t="s">
        <v>1144</v>
      </c>
      <c r="C259" s="50" t="s">
        <v>592</v>
      </c>
      <c r="D259" s="50" t="s">
        <v>76</v>
      </c>
      <c r="E259" s="51">
        <v>0</v>
      </c>
      <c r="F259" s="52" t="s">
        <v>597</v>
      </c>
      <c r="G259" s="53">
        <v>3.2</v>
      </c>
      <c r="H259" s="53">
        <v>2.64</v>
      </c>
      <c r="I259" s="53">
        <v>25</v>
      </c>
      <c r="J259" s="50" t="s">
        <v>597</v>
      </c>
      <c r="K259" s="50" t="s">
        <v>1145</v>
      </c>
    </row>
    <row r="260" spans="1:11">
      <c r="A260" s="54" t="s">
        <v>1146</v>
      </c>
      <c r="B260" s="54" t="s">
        <v>1147</v>
      </c>
      <c r="C260" s="54" t="s">
        <v>592</v>
      </c>
      <c r="D260" s="54" t="s">
        <v>76</v>
      </c>
      <c r="E260" s="55">
        <v>0</v>
      </c>
      <c r="F260" s="56" t="s">
        <v>597</v>
      </c>
      <c r="G260" s="57">
        <v>12.53</v>
      </c>
      <c r="H260" s="57">
        <v>12</v>
      </c>
      <c r="I260" s="57">
        <v>12</v>
      </c>
      <c r="J260" s="54" t="s">
        <v>1148</v>
      </c>
      <c r="K260" s="54" t="s">
        <v>1148</v>
      </c>
    </row>
    <row r="261" spans="1:11">
      <c r="A261" s="50" t="s">
        <v>1149</v>
      </c>
      <c r="B261" s="50" t="s">
        <v>1150</v>
      </c>
      <c r="C261" s="50" t="s">
        <v>592</v>
      </c>
      <c r="D261" s="50" t="s">
        <v>70</v>
      </c>
      <c r="E261" s="51">
        <v>0</v>
      </c>
      <c r="F261" s="52" t="s">
        <v>597</v>
      </c>
      <c r="G261" s="53">
        <v>0</v>
      </c>
      <c r="H261" s="53">
        <v>0</v>
      </c>
      <c r="I261" s="53">
        <v>0</v>
      </c>
      <c r="J261" s="50" t="s">
        <v>597</v>
      </c>
      <c r="K261" s="50" t="s">
        <v>597</v>
      </c>
    </row>
    <row r="262" spans="1:11">
      <c r="A262" s="54" t="s">
        <v>1151</v>
      </c>
      <c r="B262" s="54" t="s">
        <v>1152</v>
      </c>
      <c r="C262" s="54" t="s">
        <v>592</v>
      </c>
      <c r="D262" s="54" t="s">
        <v>70</v>
      </c>
      <c r="E262" s="55">
        <v>0</v>
      </c>
      <c r="F262" s="56" t="s">
        <v>597</v>
      </c>
      <c r="G262" s="57">
        <v>0</v>
      </c>
      <c r="H262" s="57">
        <v>0</v>
      </c>
      <c r="I262" s="57">
        <v>0</v>
      </c>
      <c r="J262" s="54" t="s">
        <v>597</v>
      </c>
      <c r="K262" s="54" t="s">
        <v>597</v>
      </c>
    </row>
    <row r="263" spans="1:11">
      <c r="A263" s="50" t="s">
        <v>1153</v>
      </c>
      <c r="B263" s="50" t="s">
        <v>1154</v>
      </c>
      <c r="C263" s="50" t="s">
        <v>592</v>
      </c>
      <c r="D263" s="50" t="s">
        <v>70</v>
      </c>
      <c r="E263" s="51">
        <v>0</v>
      </c>
      <c r="F263" s="52" t="s">
        <v>597</v>
      </c>
      <c r="G263" s="53">
        <v>0</v>
      </c>
      <c r="H263" s="53">
        <v>0</v>
      </c>
      <c r="I263" s="53">
        <v>0</v>
      </c>
      <c r="J263" s="50" t="s">
        <v>597</v>
      </c>
      <c r="K263" s="50" t="s">
        <v>597</v>
      </c>
    </row>
    <row r="264" spans="1:11">
      <c r="A264" s="50" t="s">
        <v>1155</v>
      </c>
      <c r="B264" s="50" t="s">
        <v>1156</v>
      </c>
      <c r="C264" s="50" t="s">
        <v>592</v>
      </c>
      <c r="D264" s="50" t="s">
        <v>70</v>
      </c>
      <c r="E264" s="51">
        <v>0</v>
      </c>
      <c r="F264" s="52" t="s">
        <v>597</v>
      </c>
      <c r="G264" s="53">
        <v>2</v>
      </c>
      <c r="H264" s="53">
        <v>2</v>
      </c>
      <c r="I264" s="53">
        <v>0</v>
      </c>
      <c r="J264" s="50" t="s">
        <v>597</v>
      </c>
      <c r="K264" s="50" t="s">
        <v>597</v>
      </c>
    </row>
    <row r="265" spans="1:11">
      <c r="A265" s="54" t="s">
        <v>408</v>
      </c>
      <c r="B265" s="54" t="s">
        <v>409</v>
      </c>
      <c r="C265" s="54" t="s">
        <v>592</v>
      </c>
      <c r="D265" s="54" t="s">
        <v>70</v>
      </c>
      <c r="E265" s="55">
        <v>30.16</v>
      </c>
      <c r="F265" s="56">
        <v>45692</v>
      </c>
      <c r="G265" s="57">
        <v>2</v>
      </c>
      <c r="H265" s="57">
        <v>2</v>
      </c>
      <c r="I265" s="57">
        <v>2</v>
      </c>
      <c r="J265" s="54" t="s">
        <v>597</v>
      </c>
      <c r="K265" s="54" t="s">
        <v>597</v>
      </c>
    </row>
    <row r="266" spans="1:11">
      <c r="A266" s="50" t="s">
        <v>161</v>
      </c>
      <c r="B266" s="50" t="s">
        <v>162</v>
      </c>
      <c r="C266" s="50" t="s">
        <v>592</v>
      </c>
      <c r="D266" s="50" t="s">
        <v>76</v>
      </c>
      <c r="E266" s="51">
        <v>0</v>
      </c>
      <c r="F266" s="52" t="s">
        <v>597</v>
      </c>
      <c r="G266" s="53">
        <v>6.97</v>
      </c>
      <c r="H266" s="53">
        <v>6.48</v>
      </c>
      <c r="I266" s="53">
        <v>0</v>
      </c>
      <c r="J266" s="50" t="s">
        <v>597</v>
      </c>
      <c r="K266" s="50" t="s">
        <v>597</v>
      </c>
    </row>
    <row r="267" spans="1:11">
      <c r="A267" s="54" t="s">
        <v>163</v>
      </c>
      <c r="B267" s="54" t="s">
        <v>164</v>
      </c>
      <c r="C267" s="54" t="s">
        <v>592</v>
      </c>
      <c r="D267" s="54" t="s">
        <v>76</v>
      </c>
      <c r="E267" s="55">
        <v>0</v>
      </c>
      <c r="F267" s="56" t="s">
        <v>597</v>
      </c>
      <c r="G267" s="57">
        <v>7.21</v>
      </c>
      <c r="H267" s="57">
        <v>6.72</v>
      </c>
      <c r="I267" s="57">
        <v>0</v>
      </c>
      <c r="J267" s="54" t="s">
        <v>597</v>
      </c>
      <c r="K267" s="54" t="s">
        <v>597</v>
      </c>
    </row>
    <row r="268" spans="1:11">
      <c r="A268" s="50" t="s">
        <v>410</v>
      </c>
      <c r="B268" s="50" t="s">
        <v>1157</v>
      </c>
      <c r="C268" s="50" t="s">
        <v>592</v>
      </c>
      <c r="D268" s="50" t="s">
        <v>76</v>
      </c>
      <c r="E268" s="51">
        <v>175.12</v>
      </c>
      <c r="F268" s="52">
        <v>45926</v>
      </c>
      <c r="G268" s="53">
        <v>9.2799999999999994</v>
      </c>
      <c r="H268" s="53">
        <v>8.8000000000000007</v>
      </c>
      <c r="I268" s="53">
        <v>0</v>
      </c>
      <c r="J268" s="50" t="s">
        <v>597</v>
      </c>
      <c r="K268" s="50" t="s">
        <v>1158</v>
      </c>
    </row>
    <row r="269" spans="1:11">
      <c r="A269" s="54" t="s">
        <v>103</v>
      </c>
      <c r="B269" s="54" t="s">
        <v>104</v>
      </c>
      <c r="C269" s="54" t="s">
        <v>592</v>
      </c>
      <c r="D269" s="54" t="s">
        <v>76</v>
      </c>
      <c r="E269" s="55">
        <v>0</v>
      </c>
      <c r="F269" s="56" t="s">
        <v>597</v>
      </c>
      <c r="G269" s="57">
        <v>12</v>
      </c>
      <c r="H269" s="57">
        <v>0</v>
      </c>
      <c r="I269" s="57">
        <v>0</v>
      </c>
      <c r="J269" s="54" t="s">
        <v>597</v>
      </c>
      <c r="K269" s="54" t="s">
        <v>1159</v>
      </c>
    </row>
    <row r="270" spans="1:11">
      <c r="A270" s="50" t="s">
        <v>1160</v>
      </c>
      <c r="B270" s="50" t="s">
        <v>1161</v>
      </c>
      <c r="C270" s="50" t="s">
        <v>592</v>
      </c>
      <c r="D270" s="50" t="s">
        <v>76</v>
      </c>
      <c r="E270" s="51">
        <v>0</v>
      </c>
      <c r="F270" s="52" t="s">
        <v>597</v>
      </c>
      <c r="G270" s="53">
        <v>10.891999999999999</v>
      </c>
      <c r="H270" s="53">
        <v>10.4</v>
      </c>
      <c r="I270" s="53">
        <v>0</v>
      </c>
      <c r="J270" s="50" t="s">
        <v>597</v>
      </c>
      <c r="K270" s="50" t="s">
        <v>1162</v>
      </c>
    </row>
    <row r="271" spans="1:11">
      <c r="A271" s="54" t="s">
        <v>411</v>
      </c>
      <c r="B271" s="54" t="s">
        <v>412</v>
      </c>
      <c r="C271" s="54" t="s">
        <v>592</v>
      </c>
      <c r="D271" s="54" t="s">
        <v>70</v>
      </c>
      <c r="E271" s="55">
        <v>43.63</v>
      </c>
      <c r="F271" s="56">
        <v>45692</v>
      </c>
      <c r="G271" s="57">
        <v>2</v>
      </c>
      <c r="H271" s="57">
        <v>2</v>
      </c>
      <c r="I271" s="57">
        <v>2</v>
      </c>
      <c r="J271" s="54" t="s">
        <v>597</v>
      </c>
      <c r="K271" s="54" t="s">
        <v>597</v>
      </c>
    </row>
    <row r="272" spans="1:11">
      <c r="A272" s="50" t="s">
        <v>1163</v>
      </c>
      <c r="B272" s="50" t="s">
        <v>1164</v>
      </c>
      <c r="C272" s="50" t="s">
        <v>592</v>
      </c>
      <c r="D272" s="50" t="s">
        <v>70</v>
      </c>
      <c r="E272" s="51">
        <v>0</v>
      </c>
      <c r="F272" s="52" t="s">
        <v>597</v>
      </c>
      <c r="G272" s="53">
        <v>2</v>
      </c>
      <c r="H272" s="53">
        <v>2</v>
      </c>
      <c r="I272" s="53">
        <v>0</v>
      </c>
      <c r="J272" s="50" t="s">
        <v>597</v>
      </c>
      <c r="K272" s="50" t="s">
        <v>597</v>
      </c>
    </row>
    <row r="273" spans="1:11">
      <c r="A273" s="54" t="s">
        <v>1165</v>
      </c>
      <c r="B273" s="54" t="s">
        <v>1166</v>
      </c>
      <c r="C273" s="54" t="s">
        <v>592</v>
      </c>
      <c r="D273" s="54" t="s">
        <v>70</v>
      </c>
      <c r="E273" s="55">
        <v>0</v>
      </c>
      <c r="F273" s="56" t="s">
        <v>597</v>
      </c>
      <c r="G273" s="57">
        <v>2</v>
      </c>
      <c r="H273" s="57">
        <v>2</v>
      </c>
      <c r="I273" s="57">
        <v>0</v>
      </c>
      <c r="J273" s="54" t="s">
        <v>597</v>
      </c>
      <c r="K273" s="54" t="s">
        <v>597</v>
      </c>
    </row>
    <row r="274" spans="1:11">
      <c r="A274" s="50" t="s">
        <v>1167</v>
      </c>
      <c r="B274" s="50" t="s">
        <v>1168</v>
      </c>
      <c r="C274" s="50" t="s">
        <v>592</v>
      </c>
      <c r="D274" s="50" t="s">
        <v>70</v>
      </c>
      <c r="E274" s="51">
        <v>0</v>
      </c>
      <c r="F274" s="52" t="s">
        <v>597</v>
      </c>
      <c r="G274" s="53">
        <v>2</v>
      </c>
      <c r="H274" s="53">
        <v>2</v>
      </c>
      <c r="I274" s="53">
        <v>0</v>
      </c>
      <c r="J274" s="50" t="s">
        <v>597</v>
      </c>
      <c r="K274" s="50" t="s">
        <v>597</v>
      </c>
    </row>
    <row r="275" spans="1:11">
      <c r="A275" s="54" t="s">
        <v>413</v>
      </c>
      <c r="B275" s="54" t="s">
        <v>414</v>
      </c>
      <c r="C275" s="54" t="s">
        <v>592</v>
      </c>
      <c r="D275" s="54" t="s">
        <v>70</v>
      </c>
      <c r="E275" s="55">
        <v>44.81</v>
      </c>
      <c r="F275" s="56">
        <v>45692</v>
      </c>
      <c r="G275" s="57">
        <v>2</v>
      </c>
      <c r="H275" s="57">
        <v>2</v>
      </c>
      <c r="I275" s="57">
        <v>2</v>
      </c>
      <c r="J275" s="54" t="s">
        <v>597</v>
      </c>
      <c r="K275" s="54" t="s">
        <v>597</v>
      </c>
    </row>
    <row r="276" spans="1:11">
      <c r="A276" s="50" t="s">
        <v>1169</v>
      </c>
      <c r="B276" s="50" t="s">
        <v>1170</v>
      </c>
      <c r="C276" s="50" t="s">
        <v>592</v>
      </c>
      <c r="D276" s="50" t="s">
        <v>70</v>
      </c>
      <c r="E276" s="51">
        <v>0</v>
      </c>
      <c r="F276" s="52" t="s">
        <v>597</v>
      </c>
      <c r="G276" s="53">
        <v>2</v>
      </c>
      <c r="H276" s="53">
        <v>2</v>
      </c>
      <c r="I276" s="53">
        <v>0</v>
      </c>
      <c r="J276" s="50" t="s">
        <v>597</v>
      </c>
      <c r="K276" s="50" t="s">
        <v>597</v>
      </c>
    </row>
    <row r="277" spans="1:11">
      <c r="A277" s="54" t="s">
        <v>1171</v>
      </c>
      <c r="B277" s="54" t="s">
        <v>1172</v>
      </c>
      <c r="C277" s="54" t="s">
        <v>592</v>
      </c>
      <c r="D277" s="54" t="s">
        <v>70</v>
      </c>
      <c r="E277" s="55">
        <v>0</v>
      </c>
      <c r="F277" s="56" t="s">
        <v>597</v>
      </c>
      <c r="G277" s="57">
        <v>2</v>
      </c>
      <c r="H277" s="57">
        <v>2</v>
      </c>
      <c r="I277" s="57">
        <v>0</v>
      </c>
      <c r="J277" s="54" t="s">
        <v>597</v>
      </c>
      <c r="K277" s="54" t="s">
        <v>597</v>
      </c>
    </row>
    <row r="278" spans="1:11">
      <c r="A278" s="50" t="s">
        <v>1173</v>
      </c>
      <c r="B278" s="50" t="s">
        <v>1174</v>
      </c>
      <c r="C278" s="50" t="s">
        <v>592</v>
      </c>
      <c r="D278" s="50" t="s">
        <v>70</v>
      </c>
      <c r="E278" s="51">
        <v>0</v>
      </c>
      <c r="F278" s="52" t="s">
        <v>597</v>
      </c>
      <c r="G278" s="53">
        <v>2</v>
      </c>
      <c r="H278" s="53">
        <v>2</v>
      </c>
      <c r="I278" s="53">
        <v>0</v>
      </c>
      <c r="J278" s="50" t="s">
        <v>597</v>
      </c>
      <c r="K278" s="50" t="s">
        <v>597</v>
      </c>
    </row>
    <row r="279" spans="1:11">
      <c r="A279" s="54" t="s">
        <v>1175</v>
      </c>
      <c r="B279" s="54" t="s">
        <v>1176</v>
      </c>
      <c r="C279" s="54" t="s">
        <v>592</v>
      </c>
      <c r="D279" s="54" t="s">
        <v>70</v>
      </c>
      <c r="E279" s="55">
        <v>0</v>
      </c>
      <c r="F279" s="56" t="s">
        <v>597</v>
      </c>
      <c r="G279" s="57">
        <v>2</v>
      </c>
      <c r="H279" s="57">
        <v>2</v>
      </c>
      <c r="I279" s="57">
        <v>0</v>
      </c>
      <c r="J279" s="54" t="s">
        <v>597</v>
      </c>
      <c r="K279" s="54" t="s">
        <v>597</v>
      </c>
    </row>
    <row r="280" spans="1:11">
      <c r="A280" s="50" t="s">
        <v>1177</v>
      </c>
      <c r="B280" s="50" t="s">
        <v>1178</v>
      </c>
      <c r="C280" s="50" t="s">
        <v>592</v>
      </c>
      <c r="D280" s="50" t="s">
        <v>70</v>
      </c>
      <c r="E280" s="51">
        <v>0</v>
      </c>
      <c r="F280" s="52" t="s">
        <v>597</v>
      </c>
      <c r="G280" s="53">
        <v>2</v>
      </c>
      <c r="H280" s="53">
        <v>2</v>
      </c>
      <c r="I280" s="53">
        <v>0</v>
      </c>
      <c r="J280" s="50" t="s">
        <v>597</v>
      </c>
      <c r="K280" s="50" t="s">
        <v>597</v>
      </c>
    </row>
    <row r="281" spans="1:11">
      <c r="A281" s="54" t="s">
        <v>1179</v>
      </c>
      <c r="B281" s="54" t="s">
        <v>1180</v>
      </c>
      <c r="C281" s="54" t="s">
        <v>592</v>
      </c>
      <c r="D281" s="54" t="s">
        <v>70</v>
      </c>
      <c r="E281" s="55">
        <v>0</v>
      </c>
      <c r="F281" s="56" t="s">
        <v>597</v>
      </c>
      <c r="G281" s="57">
        <v>2</v>
      </c>
      <c r="H281" s="57">
        <v>2</v>
      </c>
      <c r="I281" s="57">
        <v>0</v>
      </c>
      <c r="J281" s="54" t="s">
        <v>597</v>
      </c>
      <c r="K281" s="54" t="s">
        <v>597</v>
      </c>
    </row>
    <row r="282" spans="1:11">
      <c r="A282" s="50" t="s">
        <v>1181</v>
      </c>
      <c r="B282" s="50" t="s">
        <v>1182</v>
      </c>
      <c r="C282" s="50" t="s">
        <v>592</v>
      </c>
      <c r="D282" s="50" t="s">
        <v>70</v>
      </c>
      <c r="E282" s="51">
        <v>0</v>
      </c>
      <c r="F282" s="52" t="s">
        <v>597</v>
      </c>
      <c r="G282" s="53">
        <v>2</v>
      </c>
      <c r="H282" s="53">
        <v>2</v>
      </c>
      <c r="I282" s="53">
        <v>0</v>
      </c>
      <c r="J282" s="50" t="s">
        <v>597</v>
      </c>
      <c r="K282" s="50" t="s">
        <v>597</v>
      </c>
    </row>
    <row r="283" spans="1:11">
      <c r="A283" s="54" t="s">
        <v>1183</v>
      </c>
      <c r="B283" s="54" t="s">
        <v>1184</v>
      </c>
      <c r="C283" s="54" t="s">
        <v>592</v>
      </c>
      <c r="D283" s="54" t="s">
        <v>70</v>
      </c>
      <c r="E283" s="55">
        <v>0</v>
      </c>
      <c r="F283" s="56" t="s">
        <v>597</v>
      </c>
      <c r="G283" s="57">
        <v>2</v>
      </c>
      <c r="H283" s="57">
        <v>2</v>
      </c>
      <c r="I283" s="57">
        <v>0</v>
      </c>
      <c r="J283" s="54" t="s">
        <v>597</v>
      </c>
      <c r="K283" s="54" t="s">
        <v>597</v>
      </c>
    </row>
    <row r="284" spans="1:11">
      <c r="A284" s="50" t="s">
        <v>1185</v>
      </c>
      <c r="B284" s="50" t="s">
        <v>1186</v>
      </c>
      <c r="C284" s="50" t="s">
        <v>592</v>
      </c>
      <c r="D284" s="50" t="s">
        <v>70</v>
      </c>
      <c r="E284" s="51">
        <v>0</v>
      </c>
      <c r="F284" s="52" t="s">
        <v>597</v>
      </c>
      <c r="G284" s="53">
        <v>2</v>
      </c>
      <c r="H284" s="53">
        <v>2</v>
      </c>
      <c r="I284" s="53">
        <v>0</v>
      </c>
      <c r="J284" s="50" t="s">
        <v>597</v>
      </c>
      <c r="K284" s="50" t="s">
        <v>597</v>
      </c>
    </row>
    <row r="285" spans="1:11">
      <c r="A285" s="54" t="s">
        <v>1187</v>
      </c>
      <c r="B285" s="54" t="s">
        <v>1188</v>
      </c>
      <c r="C285" s="54" t="s">
        <v>592</v>
      </c>
      <c r="D285" s="54" t="s">
        <v>70</v>
      </c>
      <c r="E285" s="55">
        <v>0</v>
      </c>
      <c r="F285" s="56" t="s">
        <v>597</v>
      </c>
      <c r="G285" s="57">
        <v>2</v>
      </c>
      <c r="H285" s="57">
        <v>2</v>
      </c>
      <c r="I285" s="57">
        <v>0</v>
      </c>
      <c r="J285" s="54" t="s">
        <v>597</v>
      </c>
      <c r="K285" s="54" t="s">
        <v>597</v>
      </c>
    </row>
    <row r="286" spans="1:11">
      <c r="A286" s="50" t="s">
        <v>1189</v>
      </c>
      <c r="B286" s="50" t="s">
        <v>1190</v>
      </c>
      <c r="C286" s="50" t="s">
        <v>592</v>
      </c>
      <c r="D286" s="50" t="s">
        <v>70</v>
      </c>
      <c r="E286" s="51">
        <v>0</v>
      </c>
      <c r="F286" s="52" t="s">
        <v>597</v>
      </c>
      <c r="G286" s="53">
        <v>2</v>
      </c>
      <c r="H286" s="53">
        <v>2</v>
      </c>
      <c r="I286" s="53">
        <v>0</v>
      </c>
      <c r="J286" s="50" t="s">
        <v>597</v>
      </c>
      <c r="K286" s="50" t="s">
        <v>597</v>
      </c>
    </row>
    <row r="287" spans="1:11">
      <c r="A287" s="54" t="s">
        <v>1191</v>
      </c>
      <c r="B287" s="54" t="s">
        <v>1192</v>
      </c>
      <c r="C287" s="54" t="s">
        <v>592</v>
      </c>
      <c r="D287" s="54" t="s">
        <v>70</v>
      </c>
      <c r="E287" s="55">
        <v>0</v>
      </c>
      <c r="F287" s="56" t="s">
        <v>597</v>
      </c>
      <c r="G287" s="57">
        <v>2</v>
      </c>
      <c r="H287" s="57">
        <v>2</v>
      </c>
      <c r="I287" s="57">
        <v>0</v>
      </c>
      <c r="J287" s="54" t="s">
        <v>597</v>
      </c>
      <c r="K287" s="54" t="s">
        <v>597</v>
      </c>
    </row>
    <row r="288" spans="1:11">
      <c r="A288" s="50" t="s">
        <v>1193</v>
      </c>
      <c r="B288" s="50" t="s">
        <v>1194</v>
      </c>
      <c r="C288" s="50" t="s">
        <v>592</v>
      </c>
      <c r="D288" s="50" t="s">
        <v>70</v>
      </c>
      <c r="E288" s="51">
        <v>0</v>
      </c>
      <c r="F288" s="52" t="s">
        <v>597</v>
      </c>
      <c r="G288" s="53">
        <v>2</v>
      </c>
      <c r="H288" s="53">
        <v>2</v>
      </c>
      <c r="I288" s="53">
        <v>0</v>
      </c>
      <c r="J288" s="50" t="s">
        <v>597</v>
      </c>
      <c r="K288" s="50" t="s">
        <v>597</v>
      </c>
    </row>
    <row r="289" spans="1:11">
      <c r="A289" s="54" t="s">
        <v>415</v>
      </c>
      <c r="B289" s="54" t="s">
        <v>416</v>
      </c>
      <c r="C289" s="54" t="s">
        <v>592</v>
      </c>
      <c r="D289" s="54" t="s">
        <v>70</v>
      </c>
      <c r="E289" s="55">
        <v>0</v>
      </c>
      <c r="F289" s="56" t="s">
        <v>597</v>
      </c>
      <c r="G289" s="57">
        <v>2</v>
      </c>
      <c r="H289" s="57">
        <v>2</v>
      </c>
      <c r="I289" s="57">
        <v>2</v>
      </c>
      <c r="J289" s="54" t="s">
        <v>597</v>
      </c>
      <c r="K289" s="54" t="s">
        <v>597</v>
      </c>
    </row>
    <row r="290" spans="1:11">
      <c r="A290" s="50" t="s">
        <v>1195</v>
      </c>
      <c r="B290" s="50" t="s">
        <v>1196</v>
      </c>
      <c r="C290" s="50" t="s">
        <v>592</v>
      </c>
      <c r="D290" s="50" t="s">
        <v>70</v>
      </c>
      <c r="E290" s="51">
        <v>0</v>
      </c>
      <c r="F290" s="52" t="s">
        <v>597</v>
      </c>
      <c r="G290" s="53">
        <v>2</v>
      </c>
      <c r="H290" s="53">
        <v>2</v>
      </c>
      <c r="I290" s="53">
        <v>0</v>
      </c>
      <c r="J290" s="50" t="s">
        <v>597</v>
      </c>
      <c r="K290" s="50" t="s">
        <v>597</v>
      </c>
    </row>
    <row r="291" spans="1:11">
      <c r="A291" s="54" t="s">
        <v>417</v>
      </c>
      <c r="B291" s="54" t="s">
        <v>418</v>
      </c>
      <c r="C291" s="54" t="s">
        <v>592</v>
      </c>
      <c r="D291" s="54" t="s">
        <v>70</v>
      </c>
      <c r="E291" s="55">
        <v>24.14</v>
      </c>
      <c r="F291" s="56">
        <v>45692</v>
      </c>
      <c r="G291" s="57">
        <v>2</v>
      </c>
      <c r="H291" s="57">
        <v>2</v>
      </c>
      <c r="I291" s="57">
        <v>2</v>
      </c>
      <c r="J291" s="54" t="s">
        <v>597</v>
      </c>
      <c r="K291" s="54" t="s">
        <v>597</v>
      </c>
    </row>
    <row r="292" spans="1:11">
      <c r="A292" s="50" t="s">
        <v>1197</v>
      </c>
      <c r="B292" s="50" t="s">
        <v>1198</v>
      </c>
      <c r="C292" s="50" t="s">
        <v>592</v>
      </c>
      <c r="D292" s="50" t="s">
        <v>70</v>
      </c>
      <c r="E292" s="51">
        <v>0</v>
      </c>
      <c r="F292" s="52" t="s">
        <v>597</v>
      </c>
      <c r="G292" s="53">
        <v>2</v>
      </c>
      <c r="H292" s="53">
        <v>2</v>
      </c>
      <c r="I292" s="53">
        <v>0</v>
      </c>
      <c r="J292" s="50" t="s">
        <v>597</v>
      </c>
      <c r="K292" s="50" t="s">
        <v>597</v>
      </c>
    </row>
    <row r="293" spans="1:11">
      <c r="A293" s="54" t="s">
        <v>1199</v>
      </c>
      <c r="B293" s="54" t="s">
        <v>1200</v>
      </c>
      <c r="C293" s="54" t="s">
        <v>592</v>
      </c>
      <c r="D293" s="54" t="s">
        <v>70</v>
      </c>
      <c r="E293" s="55">
        <v>0</v>
      </c>
      <c r="F293" s="56" t="s">
        <v>597</v>
      </c>
      <c r="G293" s="57">
        <v>0</v>
      </c>
      <c r="H293" s="57">
        <v>2</v>
      </c>
      <c r="I293" s="57">
        <v>0</v>
      </c>
      <c r="J293" s="54" t="s">
        <v>597</v>
      </c>
      <c r="K293" s="54" t="s">
        <v>597</v>
      </c>
    </row>
    <row r="294" spans="1:11">
      <c r="A294" s="50" t="s">
        <v>419</v>
      </c>
      <c r="B294" s="50" t="s">
        <v>420</v>
      </c>
      <c r="C294" s="50" t="s">
        <v>592</v>
      </c>
      <c r="D294" s="50" t="s">
        <v>70</v>
      </c>
      <c r="E294" s="51">
        <v>1</v>
      </c>
      <c r="F294" s="52">
        <v>45692</v>
      </c>
      <c r="G294" s="53">
        <v>2</v>
      </c>
      <c r="H294" s="53">
        <v>2</v>
      </c>
      <c r="I294" s="53">
        <v>2</v>
      </c>
      <c r="J294" s="50" t="s">
        <v>597</v>
      </c>
      <c r="K294" s="50" t="s">
        <v>597</v>
      </c>
    </row>
    <row r="295" spans="1:11">
      <c r="A295" s="54" t="s">
        <v>421</v>
      </c>
      <c r="B295" s="54" t="s">
        <v>422</v>
      </c>
      <c r="C295" s="54" t="s">
        <v>592</v>
      </c>
      <c r="D295" s="54" t="s">
        <v>70</v>
      </c>
      <c r="E295" s="55">
        <v>1</v>
      </c>
      <c r="F295" s="56">
        <v>45692</v>
      </c>
      <c r="G295" s="57">
        <v>2</v>
      </c>
      <c r="H295" s="57">
        <v>2</v>
      </c>
      <c r="I295" s="57">
        <v>2</v>
      </c>
      <c r="J295" s="54" t="s">
        <v>597</v>
      </c>
      <c r="K295" s="54" t="s">
        <v>597</v>
      </c>
    </row>
    <row r="296" spans="1:11">
      <c r="A296" s="50" t="s">
        <v>177</v>
      </c>
      <c r="B296" s="50" t="s">
        <v>178</v>
      </c>
      <c r="C296" s="50" t="s">
        <v>592</v>
      </c>
      <c r="D296" s="50" t="s">
        <v>76</v>
      </c>
      <c r="E296" s="51">
        <v>0</v>
      </c>
      <c r="F296" s="52" t="s">
        <v>597</v>
      </c>
      <c r="G296" s="53">
        <v>3.96</v>
      </c>
      <c r="H296" s="53">
        <v>3.6</v>
      </c>
      <c r="I296" s="53">
        <v>0</v>
      </c>
      <c r="J296" s="50" t="s">
        <v>597</v>
      </c>
      <c r="K296" s="50" t="s">
        <v>597</v>
      </c>
    </row>
    <row r="297" spans="1:11">
      <c r="A297" s="54" t="s">
        <v>173</v>
      </c>
      <c r="B297" s="54" t="s">
        <v>174</v>
      </c>
      <c r="C297" s="54" t="s">
        <v>592</v>
      </c>
      <c r="D297" s="54" t="s">
        <v>76</v>
      </c>
      <c r="E297" s="55">
        <v>0</v>
      </c>
      <c r="F297" s="56" t="s">
        <v>597</v>
      </c>
      <c r="G297" s="57">
        <v>0.16</v>
      </c>
      <c r="H297" s="57">
        <v>0.15</v>
      </c>
      <c r="I297" s="57">
        <v>0</v>
      </c>
      <c r="J297" s="54" t="s">
        <v>597</v>
      </c>
      <c r="K297" s="54" t="s">
        <v>597</v>
      </c>
    </row>
    <row r="298" spans="1:11">
      <c r="A298" s="50" t="s">
        <v>1201</v>
      </c>
      <c r="B298" s="50" t="s">
        <v>1202</v>
      </c>
      <c r="C298" s="50" t="s">
        <v>592</v>
      </c>
      <c r="D298" s="50" t="s">
        <v>76</v>
      </c>
      <c r="E298" s="51">
        <v>0</v>
      </c>
      <c r="F298" s="52" t="s">
        <v>597</v>
      </c>
      <c r="G298" s="53">
        <v>0.16</v>
      </c>
      <c r="H298" s="53">
        <v>0.15</v>
      </c>
      <c r="I298" s="53">
        <v>0</v>
      </c>
      <c r="J298" s="50" t="s">
        <v>597</v>
      </c>
      <c r="K298" s="50" t="s">
        <v>597</v>
      </c>
    </row>
    <row r="299" spans="1:11">
      <c r="A299" s="54" t="s">
        <v>423</v>
      </c>
      <c r="B299" s="54" t="s">
        <v>424</v>
      </c>
      <c r="C299" s="54" t="s">
        <v>592</v>
      </c>
      <c r="D299" s="54" t="s">
        <v>76</v>
      </c>
      <c r="E299" s="55">
        <v>0</v>
      </c>
      <c r="F299" s="56" t="s">
        <v>597</v>
      </c>
      <c r="G299" s="57">
        <v>8</v>
      </c>
      <c r="H299" s="57">
        <v>8</v>
      </c>
      <c r="I299" s="57">
        <v>0</v>
      </c>
      <c r="J299" s="54" t="s">
        <v>597</v>
      </c>
      <c r="K299" s="54" t="s">
        <v>1203</v>
      </c>
    </row>
    <row r="300" spans="1:11">
      <c r="A300" s="50" t="s">
        <v>378</v>
      </c>
      <c r="B300" s="50" t="s">
        <v>379</v>
      </c>
      <c r="C300" s="50" t="s">
        <v>592</v>
      </c>
      <c r="D300" s="50" t="s">
        <v>76</v>
      </c>
      <c r="E300" s="51">
        <v>0</v>
      </c>
      <c r="F300" s="52" t="s">
        <v>597</v>
      </c>
      <c r="G300" s="53">
        <v>11</v>
      </c>
      <c r="H300" s="53">
        <v>2</v>
      </c>
      <c r="I300" s="53">
        <v>0</v>
      </c>
      <c r="J300" s="50" t="s">
        <v>597</v>
      </c>
      <c r="K300" s="50" t="s">
        <v>1204</v>
      </c>
    </row>
    <row r="301" spans="1:11">
      <c r="A301" s="54" t="s">
        <v>425</v>
      </c>
      <c r="B301" s="54" t="s">
        <v>426</v>
      </c>
      <c r="C301" s="54" t="s">
        <v>592</v>
      </c>
      <c r="D301" s="54" t="s">
        <v>76</v>
      </c>
      <c r="E301" s="55">
        <v>0</v>
      </c>
      <c r="F301" s="56" t="s">
        <v>597</v>
      </c>
      <c r="G301" s="57">
        <v>11</v>
      </c>
      <c r="H301" s="57">
        <v>2</v>
      </c>
      <c r="I301" s="57">
        <v>0</v>
      </c>
      <c r="J301" s="54" t="s">
        <v>597</v>
      </c>
      <c r="K301" s="54" t="s">
        <v>1205</v>
      </c>
    </row>
    <row r="302" spans="1:11">
      <c r="A302" s="50" t="s">
        <v>380</v>
      </c>
      <c r="B302" s="50" t="s">
        <v>381</v>
      </c>
      <c r="C302" s="50" t="s">
        <v>592</v>
      </c>
      <c r="D302" s="50" t="s">
        <v>76</v>
      </c>
      <c r="E302" s="51">
        <v>0</v>
      </c>
      <c r="F302" s="52" t="s">
        <v>597</v>
      </c>
      <c r="G302" s="53">
        <v>11</v>
      </c>
      <c r="H302" s="53">
        <v>2</v>
      </c>
      <c r="I302" s="53">
        <v>0</v>
      </c>
      <c r="J302" s="50" t="s">
        <v>597</v>
      </c>
      <c r="K302" s="50" t="s">
        <v>1206</v>
      </c>
    </row>
    <row r="303" spans="1:11">
      <c r="A303" s="54" t="s">
        <v>427</v>
      </c>
      <c r="B303" s="54" t="s">
        <v>428</v>
      </c>
      <c r="C303" s="54" t="s">
        <v>592</v>
      </c>
      <c r="D303" s="54" t="s">
        <v>76</v>
      </c>
      <c r="E303" s="55">
        <v>0</v>
      </c>
      <c r="F303" s="56" t="s">
        <v>597</v>
      </c>
      <c r="G303" s="57">
        <v>11</v>
      </c>
      <c r="H303" s="57">
        <v>2</v>
      </c>
      <c r="I303" s="57">
        <v>0</v>
      </c>
      <c r="J303" s="54" t="s">
        <v>597</v>
      </c>
      <c r="K303" s="54" t="s">
        <v>1207</v>
      </c>
    </row>
    <row r="304" spans="1:11">
      <c r="A304" s="50" t="s">
        <v>429</v>
      </c>
      <c r="B304" s="50" t="s">
        <v>430</v>
      </c>
      <c r="C304" s="50" t="s">
        <v>592</v>
      </c>
      <c r="D304" s="50" t="s">
        <v>76</v>
      </c>
      <c r="E304" s="51">
        <v>0</v>
      </c>
      <c r="F304" s="52" t="s">
        <v>597</v>
      </c>
      <c r="G304" s="53">
        <v>12</v>
      </c>
      <c r="H304" s="53">
        <v>0</v>
      </c>
      <c r="I304" s="53">
        <v>0</v>
      </c>
      <c r="J304" s="50" t="s">
        <v>597</v>
      </c>
      <c r="K304" s="50" t="s">
        <v>1208</v>
      </c>
    </row>
    <row r="305" spans="1:11">
      <c r="A305" s="54" t="s">
        <v>1209</v>
      </c>
      <c r="B305" s="54" t="s">
        <v>1210</v>
      </c>
      <c r="C305" s="54" t="s">
        <v>592</v>
      </c>
      <c r="D305" s="54" t="s">
        <v>76</v>
      </c>
      <c r="E305" s="55">
        <v>0</v>
      </c>
      <c r="F305" s="56" t="s">
        <v>597</v>
      </c>
      <c r="G305" s="57">
        <v>4.92</v>
      </c>
      <c r="H305" s="57">
        <v>4.5</v>
      </c>
      <c r="I305" s="57">
        <v>0</v>
      </c>
      <c r="J305" s="54" t="s">
        <v>597</v>
      </c>
      <c r="K305" s="54" t="s">
        <v>1211</v>
      </c>
    </row>
    <row r="306" spans="1:11">
      <c r="A306" s="50" t="s">
        <v>1212</v>
      </c>
      <c r="B306" s="50" t="s">
        <v>1213</v>
      </c>
      <c r="C306" s="50" t="s">
        <v>592</v>
      </c>
      <c r="D306" s="50" t="s">
        <v>76</v>
      </c>
      <c r="E306" s="51">
        <v>0</v>
      </c>
      <c r="F306" s="52" t="s">
        <v>597</v>
      </c>
      <c r="G306" s="53">
        <v>2.65</v>
      </c>
      <c r="H306" s="53">
        <v>2.4</v>
      </c>
      <c r="I306" s="53">
        <v>0</v>
      </c>
      <c r="J306" s="50" t="s">
        <v>1214</v>
      </c>
      <c r="K306" s="50" t="s">
        <v>1214</v>
      </c>
    </row>
    <row r="307" spans="1:11">
      <c r="A307" s="54" t="s">
        <v>1215</v>
      </c>
      <c r="B307" s="54" t="s">
        <v>1216</v>
      </c>
      <c r="C307" s="54" t="s">
        <v>592</v>
      </c>
      <c r="D307" s="54" t="s">
        <v>76</v>
      </c>
      <c r="E307" s="55">
        <v>0</v>
      </c>
      <c r="F307" s="56" t="s">
        <v>597</v>
      </c>
      <c r="G307" s="57">
        <v>4.3479999999999999</v>
      </c>
      <c r="H307" s="57">
        <v>4</v>
      </c>
      <c r="I307" s="57">
        <v>0</v>
      </c>
      <c r="J307" s="54" t="s">
        <v>597</v>
      </c>
      <c r="K307" s="54" t="s">
        <v>1217</v>
      </c>
    </row>
    <row r="308" spans="1:11">
      <c r="A308" s="50" t="s">
        <v>1218</v>
      </c>
      <c r="B308" s="50" t="s">
        <v>1219</v>
      </c>
      <c r="C308" s="50" t="s">
        <v>592</v>
      </c>
      <c r="D308" s="50" t="s">
        <v>76</v>
      </c>
      <c r="E308" s="51">
        <v>0</v>
      </c>
      <c r="F308" s="52" t="s">
        <v>597</v>
      </c>
      <c r="G308" s="53">
        <v>3.948</v>
      </c>
      <c r="H308" s="53">
        <v>3.6</v>
      </c>
      <c r="I308" s="53">
        <v>0</v>
      </c>
      <c r="J308" s="50" t="s">
        <v>597</v>
      </c>
      <c r="K308" s="50" t="s">
        <v>1220</v>
      </c>
    </row>
    <row r="309" spans="1:11">
      <c r="A309" s="54" t="s">
        <v>1221</v>
      </c>
      <c r="B309" s="54" t="s">
        <v>1222</v>
      </c>
      <c r="C309" s="54" t="s">
        <v>592</v>
      </c>
      <c r="D309" s="54" t="s">
        <v>76</v>
      </c>
      <c r="E309" s="55">
        <v>0</v>
      </c>
      <c r="F309" s="56" t="s">
        <v>597</v>
      </c>
      <c r="G309" s="57">
        <v>3.6480000000000001</v>
      </c>
      <c r="H309" s="57">
        <v>3.3</v>
      </c>
      <c r="I309" s="57">
        <v>0</v>
      </c>
      <c r="J309" s="54" t="s">
        <v>597</v>
      </c>
      <c r="K309" s="54" t="s">
        <v>1223</v>
      </c>
    </row>
    <row r="310" spans="1:11">
      <c r="A310" s="50" t="s">
        <v>1224</v>
      </c>
      <c r="B310" s="50" t="s">
        <v>1225</v>
      </c>
      <c r="C310" s="50" t="s">
        <v>592</v>
      </c>
      <c r="D310" s="50" t="s">
        <v>76</v>
      </c>
      <c r="E310" s="51">
        <v>0</v>
      </c>
      <c r="F310" s="52" t="s">
        <v>597</v>
      </c>
      <c r="G310" s="53">
        <v>8.1</v>
      </c>
      <c r="H310" s="53">
        <v>7.68</v>
      </c>
      <c r="I310" s="53">
        <v>0</v>
      </c>
      <c r="J310" s="50" t="s">
        <v>597</v>
      </c>
      <c r="K310" s="50" t="s">
        <v>597</v>
      </c>
    </row>
    <row r="311" spans="1:11">
      <c r="A311" s="54" t="s">
        <v>1226</v>
      </c>
      <c r="B311" s="54" t="s">
        <v>1227</v>
      </c>
      <c r="C311" s="54" t="s">
        <v>592</v>
      </c>
      <c r="D311" s="54" t="s">
        <v>76</v>
      </c>
      <c r="E311" s="55">
        <v>0</v>
      </c>
      <c r="F311" s="56" t="s">
        <v>597</v>
      </c>
      <c r="G311" s="57">
        <v>3.72</v>
      </c>
      <c r="H311" s="57">
        <v>3.3</v>
      </c>
      <c r="I311" s="57">
        <v>0</v>
      </c>
      <c r="J311" s="54" t="s">
        <v>1228</v>
      </c>
      <c r="K311" s="54" t="s">
        <v>1229</v>
      </c>
    </row>
    <row r="312" spans="1:11">
      <c r="A312" s="50" t="s">
        <v>1230</v>
      </c>
      <c r="B312" s="50" t="s">
        <v>1231</v>
      </c>
      <c r="C312" s="50" t="s">
        <v>592</v>
      </c>
      <c r="D312" s="50" t="s">
        <v>76</v>
      </c>
      <c r="E312" s="51">
        <v>0</v>
      </c>
      <c r="F312" s="52" t="s">
        <v>597</v>
      </c>
      <c r="G312" s="53">
        <v>6.42</v>
      </c>
      <c r="H312" s="53">
        <v>6</v>
      </c>
      <c r="I312" s="53">
        <v>0</v>
      </c>
      <c r="J312" s="50" t="s">
        <v>597</v>
      </c>
      <c r="K312" s="50" t="s">
        <v>597</v>
      </c>
    </row>
    <row r="313" spans="1:11">
      <c r="A313" s="54" t="s">
        <v>1232</v>
      </c>
      <c r="B313" s="54" t="s">
        <v>1233</v>
      </c>
      <c r="C313" s="54" t="s">
        <v>592</v>
      </c>
      <c r="D313" s="54" t="s">
        <v>76</v>
      </c>
      <c r="E313" s="55">
        <v>0</v>
      </c>
      <c r="F313" s="56" t="s">
        <v>597</v>
      </c>
      <c r="G313" s="57">
        <v>0.16</v>
      </c>
      <c r="H313" s="57">
        <v>0.15</v>
      </c>
      <c r="I313" s="57">
        <v>0</v>
      </c>
      <c r="J313" s="54" t="s">
        <v>1234</v>
      </c>
      <c r="K313" s="54" t="s">
        <v>1235</v>
      </c>
    </row>
    <row r="314" spans="1:11">
      <c r="A314" s="50" t="s">
        <v>1236</v>
      </c>
      <c r="B314" s="50" t="s">
        <v>1237</v>
      </c>
      <c r="C314" s="50" t="s">
        <v>592</v>
      </c>
      <c r="D314" s="50" t="s">
        <v>76</v>
      </c>
      <c r="E314" s="51">
        <v>0</v>
      </c>
      <c r="F314" s="52" t="s">
        <v>597</v>
      </c>
      <c r="G314" s="53">
        <v>0</v>
      </c>
      <c r="H314" s="53">
        <v>0</v>
      </c>
      <c r="I314" s="53">
        <v>0</v>
      </c>
      <c r="J314" s="50" t="s">
        <v>1238</v>
      </c>
      <c r="K314" s="50" t="s">
        <v>1239</v>
      </c>
    </row>
    <row r="315" spans="1:11">
      <c r="A315" s="54" t="s">
        <v>105</v>
      </c>
      <c r="B315" s="54" t="s">
        <v>106</v>
      </c>
      <c r="C315" s="54" t="s">
        <v>592</v>
      </c>
      <c r="D315" s="54" t="s">
        <v>76</v>
      </c>
      <c r="E315" s="55">
        <v>50</v>
      </c>
      <c r="F315" s="56">
        <v>45723</v>
      </c>
      <c r="G315" s="57">
        <v>2.5</v>
      </c>
      <c r="H315" s="57">
        <v>2.5</v>
      </c>
      <c r="I315" s="57">
        <v>12</v>
      </c>
      <c r="J315" s="54" t="s">
        <v>597</v>
      </c>
      <c r="K315" s="54" t="s">
        <v>597</v>
      </c>
    </row>
    <row r="316" spans="1:11">
      <c r="A316" s="50" t="s">
        <v>431</v>
      </c>
      <c r="B316" s="50" t="s">
        <v>1240</v>
      </c>
      <c r="C316" s="50" t="s">
        <v>592</v>
      </c>
      <c r="D316" s="50" t="s">
        <v>614</v>
      </c>
      <c r="E316" s="51">
        <v>0</v>
      </c>
      <c r="F316" s="52" t="s">
        <v>597</v>
      </c>
      <c r="G316" s="53">
        <v>1.1000000000000001</v>
      </c>
      <c r="H316" s="53">
        <v>1.1000000000000001</v>
      </c>
      <c r="I316" s="53">
        <v>2.5</v>
      </c>
      <c r="J316" s="50" t="s">
        <v>597</v>
      </c>
      <c r="K316" s="50" t="s">
        <v>597</v>
      </c>
    </row>
    <row r="317" spans="1:11">
      <c r="A317" s="54" t="s">
        <v>1241</v>
      </c>
      <c r="B317" s="54" t="s">
        <v>1242</v>
      </c>
      <c r="C317" s="54" t="s">
        <v>592</v>
      </c>
      <c r="D317" s="54" t="s">
        <v>76</v>
      </c>
      <c r="E317" s="55">
        <v>0</v>
      </c>
      <c r="F317" s="56" t="s">
        <v>597</v>
      </c>
      <c r="G317" s="57">
        <v>2</v>
      </c>
      <c r="H317" s="57">
        <v>2</v>
      </c>
      <c r="I317" s="57">
        <v>0</v>
      </c>
      <c r="J317" s="54" t="s">
        <v>597</v>
      </c>
      <c r="K317" s="54" t="s">
        <v>597</v>
      </c>
    </row>
    <row r="318" spans="1:11">
      <c r="A318" s="50" t="s">
        <v>1243</v>
      </c>
      <c r="B318" s="50" t="s">
        <v>1244</v>
      </c>
      <c r="C318" s="50" t="s">
        <v>592</v>
      </c>
      <c r="D318" s="50" t="s">
        <v>76</v>
      </c>
      <c r="E318" s="51">
        <v>0</v>
      </c>
      <c r="F318" s="52" t="s">
        <v>597</v>
      </c>
      <c r="G318" s="53">
        <v>2</v>
      </c>
      <c r="H318" s="53">
        <v>2</v>
      </c>
      <c r="I318" s="53">
        <v>0</v>
      </c>
      <c r="J318" s="50" t="s">
        <v>597</v>
      </c>
      <c r="K318" s="50" t="s">
        <v>597</v>
      </c>
    </row>
    <row r="319" spans="1:11">
      <c r="A319" s="54" t="s">
        <v>1245</v>
      </c>
      <c r="B319" s="54" t="s">
        <v>1246</v>
      </c>
      <c r="C319" s="54" t="s">
        <v>592</v>
      </c>
      <c r="D319" s="54" t="s">
        <v>76</v>
      </c>
      <c r="E319" s="55">
        <v>0</v>
      </c>
      <c r="F319" s="56" t="s">
        <v>597</v>
      </c>
      <c r="G319" s="57">
        <v>2</v>
      </c>
      <c r="H319" s="57">
        <v>2</v>
      </c>
      <c r="I319" s="57">
        <v>0</v>
      </c>
      <c r="J319" s="54" t="s">
        <v>597</v>
      </c>
      <c r="K319" s="54" t="s">
        <v>597</v>
      </c>
    </row>
    <row r="320" spans="1:11">
      <c r="A320" s="50" t="s">
        <v>1247</v>
      </c>
      <c r="B320" s="50" t="s">
        <v>1248</v>
      </c>
      <c r="C320" s="50" t="s">
        <v>592</v>
      </c>
      <c r="D320" s="50" t="s">
        <v>76</v>
      </c>
      <c r="E320" s="51">
        <v>0</v>
      </c>
      <c r="F320" s="52" t="s">
        <v>597</v>
      </c>
      <c r="G320" s="53">
        <v>2</v>
      </c>
      <c r="H320" s="53">
        <v>2</v>
      </c>
      <c r="I320" s="53">
        <v>0</v>
      </c>
      <c r="J320" s="50" t="s">
        <v>597</v>
      </c>
      <c r="K320" s="50" t="s">
        <v>597</v>
      </c>
    </row>
    <row r="321" spans="1:11">
      <c r="A321" s="54" t="s">
        <v>1249</v>
      </c>
      <c r="B321" s="54" t="s">
        <v>1250</v>
      </c>
      <c r="C321" s="54" t="s">
        <v>592</v>
      </c>
      <c r="D321" s="54" t="s">
        <v>76</v>
      </c>
      <c r="E321" s="55">
        <v>0</v>
      </c>
      <c r="F321" s="56" t="s">
        <v>597</v>
      </c>
      <c r="G321" s="57">
        <v>2</v>
      </c>
      <c r="H321" s="57">
        <v>2</v>
      </c>
      <c r="I321" s="57">
        <v>0</v>
      </c>
      <c r="J321" s="54" t="s">
        <v>597</v>
      </c>
      <c r="K321" s="54" t="s">
        <v>597</v>
      </c>
    </row>
    <row r="322" spans="1:11">
      <c r="A322" s="50" t="s">
        <v>1251</v>
      </c>
      <c r="B322" s="50" t="s">
        <v>1252</v>
      </c>
      <c r="C322" s="50" t="s">
        <v>592</v>
      </c>
      <c r="D322" s="50" t="s">
        <v>76</v>
      </c>
      <c r="E322" s="51">
        <v>0</v>
      </c>
      <c r="F322" s="52" t="s">
        <v>597</v>
      </c>
      <c r="G322" s="53">
        <v>2.5</v>
      </c>
      <c r="H322" s="53">
        <v>2</v>
      </c>
      <c r="I322" s="53">
        <v>0</v>
      </c>
      <c r="J322" s="50" t="s">
        <v>597</v>
      </c>
      <c r="K322" s="50" t="s">
        <v>597</v>
      </c>
    </row>
    <row r="323" spans="1:11">
      <c r="A323" s="54" t="s">
        <v>1253</v>
      </c>
      <c r="B323" s="54" t="s">
        <v>1254</v>
      </c>
      <c r="C323" s="54" t="s">
        <v>592</v>
      </c>
      <c r="D323" s="54" t="s">
        <v>76</v>
      </c>
      <c r="E323" s="55">
        <v>0</v>
      </c>
      <c r="F323" s="56" t="s">
        <v>597</v>
      </c>
      <c r="G323" s="57">
        <v>2.5</v>
      </c>
      <c r="H323" s="57">
        <v>2</v>
      </c>
      <c r="I323" s="57">
        <v>0</v>
      </c>
      <c r="J323" s="54" t="s">
        <v>597</v>
      </c>
      <c r="K323" s="54" t="s">
        <v>597</v>
      </c>
    </row>
    <row r="324" spans="1:11">
      <c r="A324" s="50" t="s">
        <v>1255</v>
      </c>
      <c r="B324" s="50" t="s">
        <v>1256</v>
      </c>
      <c r="C324" s="50" t="s">
        <v>592</v>
      </c>
      <c r="D324" s="50" t="s">
        <v>76</v>
      </c>
      <c r="E324" s="51">
        <v>0</v>
      </c>
      <c r="F324" s="52" t="s">
        <v>597</v>
      </c>
      <c r="G324" s="53">
        <v>2.5</v>
      </c>
      <c r="H324" s="53">
        <v>2</v>
      </c>
      <c r="I324" s="53">
        <v>0</v>
      </c>
      <c r="J324" s="50" t="s">
        <v>597</v>
      </c>
      <c r="K324" s="50" t="s">
        <v>597</v>
      </c>
    </row>
    <row r="325" spans="1:11">
      <c r="A325" s="54" t="s">
        <v>1257</v>
      </c>
      <c r="B325" s="54" t="s">
        <v>1258</v>
      </c>
      <c r="C325" s="54" t="s">
        <v>592</v>
      </c>
      <c r="D325" s="54" t="s">
        <v>76</v>
      </c>
      <c r="E325" s="55">
        <v>0</v>
      </c>
      <c r="F325" s="56" t="s">
        <v>597</v>
      </c>
      <c r="G325" s="57">
        <v>2.5</v>
      </c>
      <c r="H325" s="57">
        <v>2</v>
      </c>
      <c r="I325" s="57">
        <v>0</v>
      </c>
      <c r="J325" s="54" t="s">
        <v>597</v>
      </c>
      <c r="K325" s="54" t="s">
        <v>597</v>
      </c>
    </row>
    <row r="326" spans="1:11">
      <c r="A326" s="50" t="s">
        <v>1259</v>
      </c>
      <c r="B326" s="50" t="s">
        <v>1260</v>
      </c>
      <c r="C326" s="50" t="s">
        <v>592</v>
      </c>
      <c r="D326" s="50" t="s">
        <v>76</v>
      </c>
      <c r="E326" s="51">
        <v>0</v>
      </c>
      <c r="F326" s="52" t="s">
        <v>597</v>
      </c>
      <c r="G326" s="53">
        <v>2.5</v>
      </c>
      <c r="H326" s="53">
        <v>2</v>
      </c>
      <c r="I326" s="53">
        <v>0</v>
      </c>
      <c r="J326" s="50" t="s">
        <v>597</v>
      </c>
      <c r="K326" s="50" t="s">
        <v>597</v>
      </c>
    </row>
    <row r="327" spans="1:11">
      <c r="A327" s="54" t="s">
        <v>269</v>
      </c>
      <c r="B327" s="54" t="s">
        <v>270</v>
      </c>
      <c r="C327" s="54" t="s">
        <v>592</v>
      </c>
      <c r="D327" s="54" t="s">
        <v>76</v>
      </c>
      <c r="E327" s="55">
        <v>0</v>
      </c>
      <c r="F327" s="56" t="s">
        <v>597</v>
      </c>
      <c r="G327" s="57">
        <v>2.5</v>
      </c>
      <c r="H327" s="57">
        <v>2.5</v>
      </c>
      <c r="I327" s="57">
        <v>0</v>
      </c>
      <c r="J327" s="54" t="s">
        <v>597</v>
      </c>
      <c r="K327" s="54" t="s">
        <v>597</v>
      </c>
    </row>
    <row r="328" spans="1:11">
      <c r="A328" s="50" t="s">
        <v>1261</v>
      </c>
      <c r="B328" s="50" t="s">
        <v>999</v>
      </c>
      <c r="C328" s="50" t="s">
        <v>592</v>
      </c>
      <c r="D328" s="50" t="s">
        <v>132</v>
      </c>
      <c r="E328" s="51">
        <v>0</v>
      </c>
      <c r="F328" s="52" t="s">
        <v>597</v>
      </c>
      <c r="G328" s="53">
        <v>0</v>
      </c>
      <c r="H328" s="53">
        <v>0</v>
      </c>
      <c r="I328" s="53">
        <v>0</v>
      </c>
      <c r="J328" s="50" t="s">
        <v>597</v>
      </c>
      <c r="K328" s="50" t="s">
        <v>597</v>
      </c>
    </row>
    <row r="329" spans="1:11">
      <c r="A329" s="54" t="s">
        <v>1262</v>
      </c>
      <c r="B329" s="54" t="s">
        <v>1263</v>
      </c>
      <c r="C329" s="54" t="s">
        <v>592</v>
      </c>
      <c r="D329" s="54" t="s">
        <v>76</v>
      </c>
      <c r="E329" s="55">
        <v>0</v>
      </c>
      <c r="F329" s="56" t="s">
        <v>597</v>
      </c>
      <c r="G329" s="57">
        <v>0</v>
      </c>
      <c r="H329" s="57">
        <v>1.8</v>
      </c>
      <c r="I329" s="57">
        <v>0</v>
      </c>
      <c r="J329" s="54" t="s">
        <v>597</v>
      </c>
      <c r="K329" s="54" t="s">
        <v>597</v>
      </c>
    </row>
    <row r="330" spans="1:11">
      <c r="A330" s="50" t="s">
        <v>1264</v>
      </c>
      <c r="B330" s="50" t="s">
        <v>1265</v>
      </c>
      <c r="C330" s="50" t="s">
        <v>592</v>
      </c>
      <c r="D330" s="50" t="s">
        <v>76</v>
      </c>
      <c r="E330" s="51">
        <v>0</v>
      </c>
      <c r="F330" s="52" t="s">
        <v>597</v>
      </c>
      <c r="G330" s="53">
        <v>0</v>
      </c>
      <c r="H330" s="53">
        <v>1.8</v>
      </c>
      <c r="I330" s="53">
        <v>0</v>
      </c>
      <c r="J330" s="50" t="s">
        <v>597</v>
      </c>
      <c r="K330" s="50" t="s">
        <v>597</v>
      </c>
    </row>
    <row r="331" spans="1:11">
      <c r="A331" s="54" t="s">
        <v>1266</v>
      </c>
      <c r="B331" s="54" t="s">
        <v>1267</v>
      </c>
      <c r="C331" s="54" t="s">
        <v>592</v>
      </c>
      <c r="D331" s="54" t="s">
        <v>76</v>
      </c>
      <c r="E331" s="55">
        <v>0</v>
      </c>
      <c r="F331" s="56" t="s">
        <v>597</v>
      </c>
      <c r="G331" s="57">
        <v>0</v>
      </c>
      <c r="H331" s="57">
        <v>1.8</v>
      </c>
      <c r="I331" s="57">
        <v>0</v>
      </c>
      <c r="J331" s="54" t="s">
        <v>597</v>
      </c>
      <c r="K331" s="54" t="s">
        <v>597</v>
      </c>
    </row>
    <row r="332" spans="1:11">
      <c r="A332" s="50" t="s">
        <v>1268</v>
      </c>
      <c r="B332" s="50" t="s">
        <v>1269</v>
      </c>
      <c r="C332" s="50" t="s">
        <v>592</v>
      </c>
      <c r="D332" s="50" t="s">
        <v>132</v>
      </c>
      <c r="E332" s="51">
        <v>0</v>
      </c>
      <c r="F332" s="52" t="s">
        <v>597</v>
      </c>
      <c r="G332" s="53">
        <v>0</v>
      </c>
      <c r="H332" s="53">
        <v>1.8</v>
      </c>
      <c r="I332" s="53">
        <v>0</v>
      </c>
      <c r="J332" s="50" t="s">
        <v>597</v>
      </c>
      <c r="K332" s="50" t="s">
        <v>597</v>
      </c>
    </row>
    <row r="333" spans="1:11">
      <c r="A333" s="54" t="s">
        <v>1270</v>
      </c>
      <c r="B333" s="54" t="s">
        <v>1271</v>
      </c>
      <c r="C333" s="54" t="s">
        <v>592</v>
      </c>
      <c r="D333" s="54" t="s">
        <v>132</v>
      </c>
      <c r="E333" s="55">
        <v>0</v>
      </c>
      <c r="F333" s="56" t="s">
        <v>597</v>
      </c>
      <c r="G333" s="57">
        <v>0</v>
      </c>
      <c r="H333" s="57">
        <v>2</v>
      </c>
      <c r="I333" s="57">
        <v>0</v>
      </c>
      <c r="J333" s="54" t="s">
        <v>597</v>
      </c>
      <c r="K333" s="54" t="s">
        <v>597</v>
      </c>
    </row>
    <row r="334" spans="1:11">
      <c r="A334" s="50" t="s">
        <v>1272</v>
      </c>
      <c r="B334" s="50" t="s">
        <v>1273</v>
      </c>
      <c r="C334" s="50" t="s">
        <v>592</v>
      </c>
      <c r="D334" s="50" t="s">
        <v>76</v>
      </c>
      <c r="E334" s="51">
        <v>57.78</v>
      </c>
      <c r="F334" s="52">
        <v>45499</v>
      </c>
      <c r="G334" s="53">
        <v>0</v>
      </c>
      <c r="H334" s="53">
        <v>1</v>
      </c>
      <c r="I334" s="53">
        <v>0</v>
      </c>
      <c r="J334" s="50" t="s">
        <v>597</v>
      </c>
      <c r="K334" s="50" t="s">
        <v>597</v>
      </c>
    </row>
    <row r="335" spans="1:11">
      <c r="A335" s="54" t="s">
        <v>1274</v>
      </c>
      <c r="B335" s="54" t="s">
        <v>1275</v>
      </c>
      <c r="C335" s="54" t="s">
        <v>592</v>
      </c>
      <c r="D335" s="54" t="s">
        <v>76</v>
      </c>
      <c r="E335" s="55">
        <v>57.78</v>
      </c>
      <c r="F335" s="56">
        <v>45499</v>
      </c>
      <c r="G335" s="57">
        <v>0</v>
      </c>
      <c r="H335" s="57">
        <v>1</v>
      </c>
      <c r="I335" s="57">
        <v>0</v>
      </c>
      <c r="J335" s="54" t="s">
        <v>597</v>
      </c>
      <c r="K335" s="54" t="s">
        <v>597</v>
      </c>
    </row>
    <row r="336" spans="1:11">
      <c r="A336" s="50" t="s">
        <v>1276</v>
      </c>
      <c r="B336" s="50" t="s">
        <v>1277</v>
      </c>
      <c r="C336" s="50" t="s">
        <v>592</v>
      </c>
      <c r="D336" s="50" t="s">
        <v>76</v>
      </c>
      <c r="E336" s="51">
        <v>57.78</v>
      </c>
      <c r="F336" s="52">
        <v>45499</v>
      </c>
      <c r="G336" s="53">
        <v>0</v>
      </c>
      <c r="H336" s="53">
        <v>1</v>
      </c>
      <c r="I336" s="53">
        <v>0</v>
      </c>
      <c r="J336" s="50" t="s">
        <v>597</v>
      </c>
      <c r="K336" s="50" t="s">
        <v>597</v>
      </c>
    </row>
    <row r="337" spans="1:11">
      <c r="A337" s="54" t="s">
        <v>1278</v>
      </c>
      <c r="B337" s="54" t="s">
        <v>1279</v>
      </c>
      <c r="C337" s="54" t="s">
        <v>592</v>
      </c>
      <c r="D337" s="54" t="s">
        <v>76</v>
      </c>
      <c r="E337" s="55">
        <v>57.78</v>
      </c>
      <c r="F337" s="56">
        <v>45499</v>
      </c>
      <c r="G337" s="57">
        <v>0</v>
      </c>
      <c r="H337" s="57">
        <v>1</v>
      </c>
      <c r="I337" s="57">
        <v>0</v>
      </c>
      <c r="J337" s="54" t="s">
        <v>597</v>
      </c>
      <c r="K337" s="54" t="s">
        <v>597</v>
      </c>
    </row>
    <row r="338" spans="1:11">
      <c r="A338" s="50" t="s">
        <v>1280</v>
      </c>
      <c r="B338" s="50" t="s">
        <v>1281</v>
      </c>
      <c r="C338" s="50" t="s">
        <v>592</v>
      </c>
      <c r="D338" s="50" t="s">
        <v>76</v>
      </c>
      <c r="E338" s="51">
        <v>57.78</v>
      </c>
      <c r="F338" s="52">
        <v>45499</v>
      </c>
      <c r="G338" s="53">
        <v>0</v>
      </c>
      <c r="H338" s="53">
        <v>0.95</v>
      </c>
      <c r="I338" s="53">
        <v>0</v>
      </c>
      <c r="J338" s="50" t="s">
        <v>597</v>
      </c>
      <c r="K338" s="50" t="s">
        <v>597</v>
      </c>
    </row>
    <row r="339" spans="1:11">
      <c r="A339" s="54" t="s">
        <v>432</v>
      </c>
      <c r="B339" s="54" t="s">
        <v>1282</v>
      </c>
      <c r="C339" s="54" t="s">
        <v>592</v>
      </c>
      <c r="D339" s="54" t="s">
        <v>76</v>
      </c>
      <c r="E339" s="55">
        <v>0</v>
      </c>
      <c r="F339" s="56" t="s">
        <v>597</v>
      </c>
      <c r="G339" s="57">
        <v>1.68</v>
      </c>
      <c r="H339" s="57">
        <v>1.25</v>
      </c>
      <c r="I339" s="57">
        <v>0</v>
      </c>
      <c r="J339" s="54" t="s">
        <v>597</v>
      </c>
      <c r="K339" s="54" t="s">
        <v>597</v>
      </c>
    </row>
    <row r="340" spans="1:11">
      <c r="A340" s="50" t="s">
        <v>175</v>
      </c>
      <c r="B340" s="50" t="s">
        <v>176</v>
      </c>
      <c r="C340" s="50" t="s">
        <v>592</v>
      </c>
      <c r="D340" s="50" t="s">
        <v>76</v>
      </c>
      <c r="E340" s="51">
        <v>0</v>
      </c>
      <c r="F340" s="52" t="s">
        <v>597</v>
      </c>
      <c r="G340" s="53">
        <v>0.18</v>
      </c>
      <c r="H340" s="53">
        <v>0.14000000000000001</v>
      </c>
      <c r="I340" s="53">
        <v>0</v>
      </c>
      <c r="J340" s="50" t="s">
        <v>597</v>
      </c>
      <c r="K340" s="50" t="s">
        <v>1283</v>
      </c>
    </row>
    <row r="341" spans="1:11">
      <c r="A341" s="54" t="s">
        <v>1284</v>
      </c>
      <c r="B341" s="54" t="s">
        <v>1285</v>
      </c>
      <c r="C341" s="54" t="s">
        <v>592</v>
      </c>
      <c r="D341" s="54" t="s">
        <v>76</v>
      </c>
      <c r="E341" s="55">
        <v>0</v>
      </c>
      <c r="F341" s="56" t="s">
        <v>597</v>
      </c>
      <c r="G341" s="57">
        <v>2.5</v>
      </c>
      <c r="H341" s="57">
        <v>2.1</v>
      </c>
      <c r="I341" s="57">
        <v>0</v>
      </c>
      <c r="J341" s="54" t="s">
        <v>597</v>
      </c>
      <c r="K341" s="54" t="s">
        <v>597</v>
      </c>
    </row>
    <row r="342" spans="1:11">
      <c r="A342" s="50" t="s">
        <v>165</v>
      </c>
      <c r="B342" s="50" t="s">
        <v>166</v>
      </c>
      <c r="C342" s="50" t="s">
        <v>592</v>
      </c>
      <c r="D342" s="50" t="s">
        <v>76</v>
      </c>
      <c r="E342" s="51">
        <v>0</v>
      </c>
      <c r="F342" s="52" t="s">
        <v>597</v>
      </c>
      <c r="G342" s="53">
        <v>2.5</v>
      </c>
      <c r="H342" s="53">
        <v>2.1</v>
      </c>
      <c r="I342" s="53">
        <v>0</v>
      </c>
      <c r="J342" s="50" t="s">
        <v>597</v>
      </c>
      <c r="K342" s="50" t="s">
        <v>597</v>
      </c>
    </row>
    <row r="343" spans="1:11">
      <c r="A343" s="54" t="s">
        <v>171</v>
      </c>
      <c r="B343" s="54" t="s">
        <v>1286</v>
      </c>
      <c r="C343" s="54" t="s">
        <v>592</v>
      </c>
      <c r="D343" s="54" t="s">
        <v>76</v>
      </c>
      <c r="E343" s="55">
        <v>0</v>
      </c>
      <c r="F343" s="56" t="s">
        <v>597</v>
      </c>
      <c r="G343" s="57">
        <v>1.77</v>
      </c>
      <c r="H343" s="57">
        <v>1.6</v>
      </c>
      <c r="I343" s="57">
        <v>0</v>
      </c>
      <c r="J343" s="54" t="s">
        <v>597</v>
      </c>
      <c r="K343" s="54" t="s">
        <v>1287</v>
      </c>
    </row>
    <row r="344" spans="1:11">
      <c r="A344" s="50" t="s">
        <v>167</v>
      </c>
      <c r="B344" s="50" t="s">
        <v>168</v>
      </c>
      <c r="C344" s="50" t="s">
        <v>592</v>
      </c>
      <c r="D344" s="50" t="s">
        <v>76</v>
      </c>
      <c r="E344" s="51">
        <v>0</v>
      </c>
      <c r="F344" s="52" t="s">
        <v>597</v>
      </c>
      <c r="G344" s="53">
        <v>1.67</v>
      </c>
      <c r="H344" s="53">
        <v>1.5</v>
      </c>
      <c r="I344" s="53">
        <v>0</v>
      </c>
      <c r="J344" s="50" t="s">
        <v>597</v>
      </c>
      <c r="K344" s="50" t="s">
        <v>1288</v>
      </c>
    </row>
    <row r="345" spans="1:11">
      <c r="A345" s="54" t="s">
        <v>1289</v>
      </c>
      <c r="B345" s="54" t="s">
        <v>1290</v>
      </c>
      <c r="C345" s="54" t="s">
        <v>592</v>
      </c>
      <c r="D345" s="54" t="s">
        <v>76</v>
      </c>
      <c r="E345" s="55">
        <v>0</v>
      </c>
      <c r="F345" s="56" t="s">
        <v>597</v>
      </c>
      <c r="G345" s="57">
        <v>3.1880000000000002</v>
      </c>
      <c r="H345" s="57">
        <v>2.88</v>
      </c>
      <c r="I345" s="57">
        <v>0</v>
      </c>
      <c r="J345" s="54" t="s">
        <v>597</v>
      </c>
      <c r="K345" s="54" t="s">
        <v>1291</v>
      </c>
    </row>
    <row r="346" spans="1:11">
      <c r="A346" s="50" t="s">
        <v>1292</v>
      </c>
      <c r="B346" s="50" t="s">
        <v>1293</v>
      </c>
      <c r="C346" s="50" t="s">
        <v>592</v>
      </c>
      <c r="D346" s="50" t="s">
        <v>76</v>
      </c>
      <c r="E346" s="51">
        <v>0</v>
      </c>
      <c r="F346" s="52" t="s">
        <v>597</v>
      </c>
      <c r="G346" s="53">
        <v>4.7290000000000001</v>
      </c>
      <c r="H346" s="53">
        <v>4.2</v>
      </c>
      <c r="I346" s="53">
        <v>0</v>
      </c>
      <c r="J346" s="50" t="s">
        <v>597</v>
      </c>
      <c r="K346" s="50" t="s">
        <v>1294</v>
      </c>
    </row>
    <row r="347" spans="1:11">
      <c r="A347" s="54" t="s">
        <v>1295</v>
      </c>
      <c r="B347" s="54" t="s">
        <v>1296</v>
      </c>
      <c r="C347" s="54" t="s">
        <v>592</v>
      </c>
      <c r="D347" s="54" t="s">
        <v>76</v>
      </c>
      <c r="E347" s="55">
        <v>0</v>
      </c>
      <c r="F347" s="56" t="s">
        <v>597</v>
      </c>
      <c r="G347" s="57">
        <v>1.5</v>
      </c>
      <c r="H347" s="57">
        <v>1.2</v>
      </c>
      <c r="I347" s="57">
        <v>0</v>
      </c>
      <c r="J347" s="54" t="s">
        <v>1297</v>
      </c>
      <c r="K347" s="54" t="s">
        <v>1297</v>
      </c>
    </row>
    <row r="348" spans="1:11">
      <c r="A348" s="50" t="s">
        <v>1298</v>
      </c>
      <c r="B348" s="50" t="s">
        <v>1299</v>
      </c>
      <c r="C348" s="50" t="s">
        <v>592</v>
      </c>
      <c r="D348" s="50" t="s">
        <v>76</v>
      </c>
      <c r="E348" s="51">
        <v>0</v>
      </c>
      <c r="F348" s="52" t="s">
        <v>597</v>
      </c>
      <c r="G348" s="53">
        <v>1.5</v>
      </c>
      <c r="H348" s="53">
        <v>1.2</v>
      </c>
      <c r="I348" s="53">
        <v>0</v>
      </c>
      <c r="J348" s="50" t="s">
        <v>1300</v>
      </c>
      <c r="K348" s="50" t="s">
        <v>1300</v>
      </c>
    </row>
    <row r="349" spans="1:11">
      <c r="A349" s="54" t="s">
        <v>1301</v>
      </c>
      <c r="B349" s="54" t="s">
        <v>1302</v>
      </c>
      <c r="C349" s="54" t="s">
        <v>592</v>
      </c>
      <c r="D349" s="54" t="s">
        <v>76</v>
      </c>
      <c r="E349" s="55">
        <v>0</v>
      </c>
      <c r="F349" s="56" t="s">
        <v>597</v>
      </c>
      <c r="G349" s="57">
        <v>3.1</v>
      </c>
      <c r="H349" s="57">
        <v>2.8</v>
      </c>
      <c r="I349" s="57">
        <v>0</v>
      </c>
      <c r="J349" s="54" t="s">
        <v>1303</v>
      </c>
      <c r="K349" s="54" t="s">
        <v>597</v>
      </c>
    </row>
    <row r="350" spans="1:11">
      <c r="A350" s="50" t="s">
        <v>1304</v>
      </c>
      <c r="B350" s="50" t="s">
        <v>1305</v>
      </c>
      <c r="C350" s="50" t="s">
        <v>592</v>
      </c>
      <c r="D350" s="50" t="s">
        <v>76</v>
      </c>
      <c r="E350" s="51">
        <v>225</v>
      </c>
      <c r="F350" s="52">
        <v>46030</v>
      </c>
      <c r="G350" s="53">
        <v>10.63</v>
      </c>
      <c r="H350" s="53">
        <v>10</v>
      </c>
      <c r="I350" s="53">
        <v>10</v>
      </c>
      <c r="J350" s="50" t="s">
        <v>1306</v>
      </c>
      <c r="K350" s="50" t="s">
        <v>1307</v>
      </c>
    </row>
    <row r="351" spans="1:11">
      <c r="A351" s="54" t="s">
        <v>1308</v>
      </c>
      <c r="B351" s="54" t="s">
        <v>1309</v>
      </c>
      <c r="C351" s="54" t="s">
        <v>592</v>
      </c>
      <c r="D351" s="54" t="s">
        <v>76</v>
      </c>
      <c r="E351" s="55">
        <v>75</v>
      </c>
      <c r="F351" s="56">
        <v>46065</v>
      </c>
      <c r="G351" s="57">
        <v>10.63</v>
      </c>
      <c r="H351" s="57">
        <v>10</v>
      </c>
      <c r="I351" s="57">
        <v>10</v>
      </c>
      <c r="J351" s="54" t="s">
        <v>1310</v>
      </c>
      <c r="K351" s="54" t="s">
        <v>1311</v>
      </c>
    </row>
    <row r="352" spans="1:11">
      <c r="A352" s="50" t="s">
        <v>1312</v>
      </c>
      <c r="B352" s="50" t="s">
        <v>1313</v>
      </c>
      <c r="C352" s="50" t="s">
        <v>592</v>
      </c>
      <c r="D352" s="50" t="s">
        <v>76</v>
      </c>
      <c r="E352" s="51">
        <v>49.5</v>
      </c>
      <c r="F352" s="52">
        <v>46044</v>
      </c>
      <c r="G352" s="53">
        <v>10.63</v>
      </c>
      <c r="H352" s="53">
        <v>10</v>
      </c>
      <c r="I352" s="53">
        <v>10</v>
      </c>
      <c r="J352" s="50" t="s">
        <v>1314</v>
      </c>
      <c r="K352" s="50" t="s">
        <v>1315</v>
      </c>
    </row>
    <row r="353" spans="1:11">
      <c r="A353" s="54" t="s">
        <v>1316</v>
      </c>
      <c r="B353" s="54" t="s">
        <v>1317</v>
      </c>
      <c r="C353" s="54" t="s">
        <v>592</v>
      </c>
      <c r="D353" s="54" t="s">
        <v>76</v>
      </c>
      <c r="E353" s="55">
        <v>0</v>
      </c>
      <c r="F353" s="56" t="s">
        <v>597</v>
      </c>
      <c r="G353" s="57">
        <v>10.63</v>
      </c>
      <c r="H353" s="57">
        <v>10</v>
      </c>
      <c r="I353" s="57">
        <v>10</v>
      </c>
      <c r="J353" s="54" t="s">
        <v>1318</v>
      </c>
      <c r="K353" s="54" t="s">
        <v>1319</v>
      </c>
    </row>
    <row r="354" spans="1:11">
      <c r="A354" s="50" t="s">
        <v>1320</v>
      </c>
      <c r="B354" s="50" t="s">
        <v>1321</v>
      </c>
      <c r="C354" s="50" t="s">
        <v>592</v>
      </c>
      <c r="D354" s="50" t="s">
        <v>76</v>
      </c>
      <c r="E354" s="51">
        <v>225</v>
      </c>
      <c r="F354" s="52">
        <v>46030</v>
      </c>
      <c r="G354" s="53">
        <v>10.63</v>
      </c>
      <c r="H354" s="53">
        <v>10</v>
      </c>
      <c r="I354" s="53">
        <v>10</v>
      </c>
      <c r="J354" s="50" t="s">
        <v>1322</v>
      </c>
      <c r="K354" s="50" t="s">
        <v>1323</v>
      </c>
    </row>
    <row r="355" spans="1:11">
      <c r="A355" s="54" t="s">
        <v>1324</v>
      </c>
      <c r="B355" s="54" t="s">
        <v>1325</v>
      </c>
      <c r="C355" s="54" t="s">
        <v>592</v>
      </c>
      <c r="D355" s="54" t="s">
        <v>76</v>
      </c>
      <c r="E355" s="55">
        <v>90</v>
      </c>
      <c r="F355" s="56">
        <v>46044</v>
      </c>
      <c r="G355" s="57">
        <v>10.63</v>
      </c>
      <c r="H355" s="57">
        <v>10</v>
      </c>
      <c r="I355" s="57">
        <v>10</v>
      </c>
      <c r="J355" s="54" t="s">
        <v>1326</v>
      </c>
      <c r="K355" s="54" t="s">
        <v>1327</v>
      </c>
    </row>
    <row r="356" spans="1:11">
      <c r="A356" s="50" t="s">
        <v>1328</v>
      </c>
      <c r="B356" s="50" t="s">
        <v>1329</v>
      </c>
      <c r="C356" s="50" t="s">
        <v>592</v>
      </c>
      <c r="D356" s="50" t="s">
        <v>76</v>
      </c>
      <c r="E356" s="51">
        <v>75</v>
      </c>
      <c r="F356" s="52">
        <v>46065</v>
      </c>
      <c r="G356" s="53">
        <v>10.63</v>
      </c>
      <c r="H356" s="53">
        <v>10</v>
      </c>
      <c r="I356" s="53">
        <v>10</v>
      </c>
      <c r="J356" s="50" t="s">
        <v>1330</v>
      </c>
      <c r="K356" s="50" t="s">
        <v>1331</v>
      </c>
    </row>
    <row r="357" spans="1:11">
      <c r="A357" s="54" t="s">
        <v>135</v>
      </c>
      <c r="B357" s="54" t="s">
        <v>136</v>
      </c>
      <c r="C357" s="54" t="s">
        <v>592</v>
      </c>
      <c r="D357" s="54" t="s">
        <v>76</v>
      </c>
      <c r="E357" s="55">
        <v>75</v>
      </c>
      <c r="F357" s="56">
        <v>46065</v>
      </c>
      <c r="G357" s="57">
        <v>10.63</v>
      </c>
      <c r="H357" s="57">
        <v>10</v>
      </c>
      <c r="I357" s="57">
        <v>10</v>
      </c>
      <c r="J357" s="54" t="s">
        <v>1332</v>
      </c>
      <c r="K357" s="54" t="s">
        <v>1333</v>
      </c>
    </row>
    <row r="358" spans="1:11">
      <c r="A358" s="50" t="s">
        <v>1334</v>
      </c>
      <c r="B358" s="50" t="s">
        <v>1335</v>
      </c>
      <c r="C358" s="50" t="s">
        <v>592</v>
      </c>
      <c r="D358" s="50" t="s">
        <v>76</v>
      </c>
      <c r="E358" s="51">
        <v>75</v>
      </c>
      <c r="F358" s="52">
        <v>46064</v>
      </c>
      <c r="G358" s="53">
        <v>10.63</v>
      </c>
      <c r="H358" s="53">
        <v>10</v>
      </c>
      <c r="I358" s="53">
        <v>10</v>
      </c>
      <c r="J358" s="50" t="s">
        <v>1336</v>
      </c>
      <c r="K358" s="50" t="s">
        <v>1337</v>
      </c>
    </row>
    <row r="359" spans="1:11">
      <c r="A359" s="54" t="s">
        <v>137</v>
      </c>
      <c r="B359" s="54" t="s">
        <v>138</v>
      </c>
      <c r="C359" s="54" t="s">
        <v>592</v>
      </c>
      <c r="D359" s="54" t="s">
        <v>76</v>
      </c>
      <c r="E359" s="55">
        <v>75</v>
      </c>
      <c r="F359" s="56">
        <v>46065</v>
      </c>
      <c r="G359" s="57">
        <v>10.63</v>
      </c>
      <c r="H359" s="57">
        <v>10</v>
      </c>
      <c r="I359" s="57">
        <v>10</v>
      </c>
      <c r="J359" s="54" t="s">
        <v>1338</v>
      </c>
      <c r="K359" s="54" t="s">
        <v>1339</v>
      </c>
    </row>
    <row r="360" spans="1:11">
      <c r="A360" s="50" t="s">
        <v>1340</v>
      </c>
      <c r="B360" s="50" t="s">
        <v>1341</v>
      </c>
      <c r="C360" s="50" t="s">
        <v>592</v>
      </c>
      <c r="D360" s="50" t="s">
        <v>76</v>
      </c>
      <c r="E360" s="51">
        <v>83.3</v>
      </c>
      <c r="F360" s="52">
        <v>46044</v>
      </c>
      <c r="G360" s="53">
        <v>10.63</v>
      </c>
      <c r="H360" s="53">
        <v>10</v>
      </c>
      <c r="I360" s="53">
        <v>10</v>
      </c>
      <c r="J360" s="50" t="s">
        <v>1342</v>
      </c>
      <c r="K360" s="50" t="s">
        <v>1343</v>
      </c>
    </row>
    <row r="361" spans="1:11">
      <c r="A361" s="54" t="s">
        <v>1344</v>
      </c>
      <c r="B361" s="54" t="s">
        <v>1345</v>
      </c>
      <c r="C361" s="54" t="s">
        <v>592</v>
      </c>
      <c r="D361" s="54" t="s">
        <v>76</v>
      </c>
      <c r="E361" s="55">
        <v>62.5</v>
      </c>
      <c r="F361" s="56">
        <v>46065</v>
      </c>
      <c r="G361" s="57">
        <v>10.63</v>
      </c>
      <c r="H361" s="57">
        <v>10</v>
      </c>
      <c r="I361" s="57">
        <v>10</v>
      </c>
      <c r="J361" s="54" t="s">
        <v>1346</v>
      </c>
      <c r="K361" s="54" t="s">
        <v>1347</v>
      </c>
    </row>
    <row r="362" spans="1:11">
      <c r="A362" s="50" t="s">
        <v>1348</v>
      </c>
      <c r="B362" s="50" t="s">
        <v>1349</v>
      </c>
      <c r="C362" s="50" t="s">
        <v>592</v>
      </c>
      <c r="D362" s="50" t="s">
        <v>76</v>
      </c>
      <c r="E362" s="51">
        <v>62.5</v>
      </c>
      <c r="F362" s="52">
        <v>46065</v>
      </c>
      <c r="G362" s="53">
        <v>10.63</v>
      </c>
      <c r="H362" s="53">
        <v>10</v>
      </c>
      <c r="I362" s="53">
        <v>10</v>
      </c>
      <c r="J362" s="50" t="s">
        <v>1350</v>
      </c>
      <c r="K362" s="50" t="s">
        <v>1351</v>
      </c>
    </row>
    <row r="363" spans="1:11">
      <c r="A363" s="54" t="s">
        <v>386</v>
      </c>
      <c r="B363" s="54" t="s">
        <v>387</v>
      </c>
      <c r="C363" s="54" t="s">
        <v>592</v>
      </c>
      <c r="D363" s="54" t="s">
        <v>76</v>
      </c>
      <c r="E363" s="55">
        <v>0</v>
      </c>
      <c r="F363" s="56" t="s">
        <v>597</v>
      </c>
      <c r="G363" s="57">
        <v>10.63</v>
      </c>
      <c r="H363" s="57">
        <v>10</v>
      </c>
      <c r="I363" s="57">
        <v>10</v>
      </c>
      <c r="J363" s="54" t="s">
        <v>1352</v>
      </c>
      <c r="K363" s="54" t="s">
        <v>1353</v>
      </c>
    </row>
    <row r="364" spans="1:11">
      <c r="A364" s="50" t="s">
        <v>388</v>
      </c>
      <c r="B364" s="50" t="s">
        <v>389</v>
      </c>
      <c r="C364" s="50" t="s">
        <v>592</v>
      </c>
      <c r="D364" s="50" t="s">
        <v>76</v>
      </c>
      <c r="E364" s="51">
        <v>0</v>
      </c>
      <c r="F364" s="52" t="s">
        <v>597</v>
      </c>
      <c r="G364" s="53">
        <v>10.63</v>
      </c>
      <c r="H364" s="53">
        <v>10</v>
      </c>
      <c r="I364" s="53">
        <v>10</v>
      </c>
      <c r="J364" s="50" t="s">
        <v>1354</v>
      </c>
      <c r="K364" s="50" t="s">
        <v>1355</v>
      </c>
    </row>
    <row r="365" spans="1:11">
      <c r="A365" s="54" t="s">
        <v>383</v>
      </c>
      <c r="B365" s="54" t="s">
        <v>384</v>
      </c>
      <c r="C365" s="54" t="s">
        <v>592</v>
      </c>
      <c r="D365" s="54" t="s">
        <v>70</v>
      </c>
      <c r="E365" s="55">
        <v>35.03</v>
      </c>
      <c r="F365" s="56">
        <v>45996</v>
      </c>
      <c r="G365" s="57">
        <v>3.125</v>
      </c>
      <c r="H365" s="57">
        <v>3.125</v>
      </c>
      <c r="I365" s="57">
        <v>0</v>
      </c>
      <c r="J365" s="54" t="s">
        <v>1356</v>
      </c>
      <c r="K365" s="54" t="s">
        <v>1356</v>
      </c>
    </row>
    <row r="366" spans="1:11">
      <c r="A366" s="50" t="s">
        <v>145</v>
      </c>
      <c r="B366" s="50" t="s">
        <v>146</v>
      </c>
      <c r="C366" s="50" t="s">
        <v>592</v>
      </c>
      <c r="D366" s="50" t="s">
        <v>70</v>
      </c>
      <c r="E366" s="51">
        <v>16.559999999999999</v>
      </c>
      <c r="F366" s="52">
        <v>45848</v>
      </c>
      <c r="G366" s="53">
        <v>0</v>
      </c>
      <c r="H366" s="53">
        <v>3</v>
      </c>
      <c r="I366" s="53">
        <v>3</v>
      </c>
      <c r="J366" s="50" t="s">
        <v>1357</v>
      </c>
      <c r="K366" s="50" t="s">
        <v>1357</v>
      </c>
    </row>
    <row r="367" spans="1:11">
      <c r="A367" s="54" t="s">
        <v>147</v>
      </c>
      <c r="B367" s="54" t="s">
        <v>148</v>
      </c>
      <c r="C367" s="54" t="s">
        <v>592</v>
      </c>
      <c r="D367" s="54" t="s">
        <v>70</v>
      </c>
      <c r="E367" s="55">
        <v>15.61</v>
      </c>
      <c r="F367" s="56">
        <v>45499</v>
      </c>
      <c r="G367" s="57">
        <v>2.4500000000000002</v>
      </c>
      <c r="H367" s="57">
        <v>2.4500000000000002</v>
      </c>
      <c r="I367" s="57">
        <v>0</v>
      </c>
      <c r="J367" s="54" t="s">
        <v>1358</v>
      </c>
      <c r="K367" s="54" t="s">
        <v>1358</v>
      </c>
    </row>
    <row r="368" spans="1:11">
      <c r="A368" s="50" t="s">
        <v>433</v>
      </c>
      <c r="B368" s="50" t="s">
        <v>434</v>
      </c>
      <c r="C368" s="50" t="s">
        <v>592</v>
      </c>
      <c r="D368" s="50" t="s">
        <v>70</v>
      </c>
      <c r="E368" s="51">
        <v>10.67</v>
      </c>
      <c r="F368" s="52">
        <v>45499</v>
      </c>
      <c r="G368" s="53">
        <v>0</v>
      </c>
      <c r="H368" s="53">
        <v>1.8</v>
      </c>
      <c r="I368" s="53">
        <v>1.8</v>
      </c>
      <c r="J368" s="50" t="s">
        <v>1359</v>
      </c>
      <c r="K368" s="50" t="s">
        <v>1359</v>
      </c>
    </row>
    <row r="369" spans="1:11">
      <c r="A369" s="54" t="s">
        <v>435</v>
      </c>
      <c r="B369" s="54" t="s">
        <v>436</v>
      </c>
      <c r="C369" s="54" t="s">
        <v>592</v>
      </c>
      <c r="D369" s="54" t="s">
        <v>70</v>
      </c>
      <c r="E369" s="55">
        <v>9.92</v>
      </c>
      <c r="F369" s="56">
        <v>45499</v>
      </c>
      <c r="G369" s="57">
        <v>0</v>
      </c>
      <c r="H369" s="57">
        <v>1.6</v>
      </c>
      <c r="I369" s="57">
        <v>1.6</v>
      </c>
      <c r="J369" s="54" t="s">
        <v>1360</v>
      </c>
      <c r="K369" s="54" t="s">
        <v>1360</v>
      </c>
    </row>
    <row r="370" spans="1:11">
      <c r="A370" s="50" t="s">
        <v>437</v>
      </c>
      <c r="B370" s="50" t="s">
        <v>438</v>
      </c>
      <c r="C370" s="50" t="s">
        <v>592</v>
      </c>
      <c r="D370" s="50" t="s">
        <v>70</v>
      </c>
      <c r="E370" s="51">
        <v>9.49</v>
      </c>
      <c r="F370" s="52">
        <v>45499</v>
      </c>
      <c r="G370" s="53">
        <v>0</v>
      </c>
      <c r="H370" s="53">
        <v>1.6</v>
      </c>
      <c r="I370" s="53">
        <v>1.6</v>
      </c>
      <c r="J370" s="50" t="s">
        <v>1361</v>
      </c>
      <c r="K370" s="50" t="s">
        <v>1361</v>
      </c>
    </row>
    <row r="371" spans="1:11">
      <c r="A371" s="54" t="s">
        <v>439</v>
      </c>
      <c r="B371" s="54" t="s">
        <v>440</v>
      </c>
      <c r="C371" s="54" t="s">
        <v>592</v>
      </c>
      <c r="D371" s="54" t="s">
        <v>70</v>
      </c>
      <c r="E371" s="55">
        <v>15.5</v>
      </c>
      <c r="F371" s="56">
        <v>45499</v>
      </c>
      <c r="G371" s="57">
        <v>0</v>
      </c>
      <c r="H371" s="57">
        <v>2.5</v>
      </c>
      <c r="I371" s="57">
        <v>2.5</v>
      </c>
      <c r="J371" s="54" t="s">
        <v>1362</v>
      </c>
      <c r="K371" s="54" t="s">
        <v>1362</v>
      </c>
    </row>
    <row r="372" spans="1:11">
      <c r="A372" s="50" t="s">
        <v>441</v>
      </c>
      <c r="B372" s="50" t="s">
        <v>442</v>
      </c>
      <c r="C372" s="50" t="s">
        <v>592</v>
      </c>
      <c r="D372" s="50" t="s">
        <v>70</v>
      </c>
      <c r="E372" s="51">
        <v>18.600000000000001</v>
      </c>
      <c r="F372" s="52">
        <v>45499</v>
      </c>
      <c r="G372" s="53">
        <v>0</v>
      </c>
      <c r="H372" s="53">
        <v>3</v>
      </c>
      <c r="I372" s="53">
        <v>3</v>
      </c>
      <c r="J372" s="50" t="s">
        <v>1363</v>
      </c>
      <c r="K372" s="50" t="s">
        <v>1363</v>
      </c>
    </row>
    <row r="373" spans="1:11">
      <c r="A373" s="54" t="s">
        <v>1364</v>
      </c>
      <c r="B373" s="54" t="s">
        <v>1365</v>
      </c>
      <c r="C373" s="54" t="s">
        <v>592</v>
      </c>
      <c r="D373" s="54" t="s">
        <v>70</v>
      </c>
      <c r="E373" s="55">
        <v>9.4</v>
      </c>
      <c r="F373" s="56">
        <v>45499</v>
      </c>
      <c r="G373" s="57">
        <v>0</v>
      </c>
      <c r="H373" s="57">
        <v>3.5</v>
      </c>
      <c r="I373" s="57">
        <v>3.5</v>
      </c>
      <c r="J373" s="54" t="s">
        <v>597</v>
      </c>
      <c r="K373" s="54" t="s">
        <v>597</v>
      </c>
    </row>
    <row r="374" spans="1:11">
      <c r="A374" s="50" t="s">
        <v>1366</v>
      </c>
      <c r="B374" s="50" t="s">
        <v>1367</v>
      </c>
      <c r="C374" s="50" t="s">
        <v>592</v>
      </c>
      <c r="D374" s="50" t="s">
        <v>70</v>
      </c>
      <c r="E374" s="51">
        <v>0</v>
      </c>
      <c r="F374" s="52" t="s">
        <v>597</v>
      </c>
      <c r="G374" s="53">
        <v>0</v>
      </c>
      <c r="H374" s="53">
        <v>2.92</v>
      </c>
      <c r="I374" s="53">
        <v>0</v>
      </c>
      <c r="J374" s="50" t="s">
        <v>597</v>
      </c>
      <c r="K374" s="50" t="s">
        <v>597</v>
      </c>
    </row>
    <row r="375" spans="1:11">
      <c r="A375" s="54" t="s">
        <v>1368</v>
      </c>
      <c r="B375" s="54" t="s">
        <v>1369</v>
      </c>
      <c r="C375" s="54" t="s">
        <v>592</v>
      </c>
      <c r="D375" s="54" t="s">
        <v>70</v>
      </c>
      <c r="E375" s="55">
        <v>0</v>
      </c>
      <c r="F375" s="56" t="s">
        <v>597</v>
      </c>
      <c r="G375" s="57">
        <v>0</v>
      </c>
      <c r="H375" s="57">
        <v>3</v>
      </c>
      <c r="I375" s="57">
        <v>0</v>
      </c>
      <c r="J375" s="54" t="s">
        <v>597</v>
      </c>
      <c r="K375" s="54" t="s">
        <v>597</v>
      </c>
    </row>
    <row r="376" spans="1:11">
      <c r="A376" s="50" t="s">
        <v>149</v>
      </c>
      <c r="B376" s="50" t="s">
        <v>150</v>
      </c>
      <c r="C376" s="50" t="s">
        <v>592</v>
      </c>
      <c r="D376" s="50" t="s">
        <v>70</v>
      </c>
      <c r="E376" s="51">
        <v>0</v>
      </c>
      <c r="F376" s="52" t="s">
        <v>597</v>
      </c>
      <c r="G376" s="53">
        <v>5</v>
      </c>
      <c r="H376" s="53">
        <v>5</v>
      </c>
      <c r="I376" s="53">
        <v>5</v>
      </c>
      <c r="J376" s="50" t="s">
        <v>1370</v>
      </c>
      <c r="K376" s="50" t="s">
        <v>1370</v>
      </c>
    </row>
    <row r="377" spans="1:11">
      <c r="A377" s="54" t="s">
        <v>151</v>
      </c>
      <c r="B377" s="54" t="s">
        <v>152</v>
      </c>
      <c r="C377" s="54" t="s">
        <v>592</v>
      </c>
      <c r="D377" s="54" t="s">
        <v>70</v>
      </c>
      <c r="E377" s="55">
        <v>0</v>
      </c>
      <c r="F377" s="56" t="s">
        <v>597</v>
      </c>
      <c r="G377" s="57">
        <v>5</v>
      </c>
      <c r="H377" s="57">
        <v>5</v>
      </c>
      <c r="I377" s="57">
        <v>5</v>
      </c>
      <c r="J377" s="54" t="s">
        <v>1371</v>
      </c>
      <c r="K377" s="54" t="s">
        <v>1371</v>
      </c>
    </row>
    <row r="378" spans="1:11">
      <c r="A378" s="50" t="s">
        <v>153</v>
      </c>
      <c r="B378" s="50" t="s">
        <v>154</v>
      </c>
      <c r="C378" s="50" t="s">
        <v>592</v>
      </c>
      <c r="D378" s="50" t="s">
        <v>70</v>
      </c>
      <c r="E378" s="51">
        <v>0</v>
      </c>
      <c r="F378" s="52" t="s">
        <v>597</v>
      </c>
      <c r="G378" s="53">
        <v>5</v>
      </c>
      <c r="H378" s="53">
        <v>5</v>
      </c>
      <c r="I378" s="53">
        <v>5</v>
      </c>
      <c r="J378" s="50" t="s">
        <v>1372</v>
      </c>
      <c r="K378" s="50" t="s">
        <v>1372</v>
      </c>
    </row>
    <row r="379" spans="1:11">
      <c r="A379" s="54" t="s">
        <v>1373</v>
      </c>
      <c r="B379" s="54" t="s">
        <v>1374</v>
      </c>
      <c r="C379" s="54" t="s">
        <v>592</v>
      </c>
      <c r="D379" s="54" t="s">
        <v>70</v>
      </c>
      <c r="E379" s="55">
        <v>0</v>
      </c>
      <c r="F379" s="56" t="s">
        <v>597</v>
      </c>
      <c r="G379" s="57">
        <v>0</v>
      </c>
      <c r="H379" s="57">
        <v>5</v>
      </c>
      <c r="I379" s="57">
        <v>0</v>
      </c>
      <c r="J379" s="54" t="s">
        <v>597</v>
      </c>
      <c r="K379" s="54" t="s">
        <v>597</v>
      </c>
    </row>
    <row r="380" spans="1:11">
      <c r="A380" s="50" t="s">
        <v>443</v>
      </c>
      <c r="B380" s="50" t="s">
        <v>1375</v>
      </c>
      <c r="C380" s="50" t="s">
        <v>592</v>
      </c>
      <c r="D380" s="50" t="s">
        <v>70</v>
      </c>
      <c r="E380" s="51">
        <v>63</v>
      </c>
      <c r="F380" s="52">
        <v>45755</v>
      </c>
      <c r="G380" s="53">
        <v>0</v>
      </c>
      <c r="H380" s="53">
        <v>5</v>
      </c>
      <c r="I380" s="53">
        <v>0</v>
      </c>
      <c r="J380" s="50" t="s">
        <v>597</v>
      </c>
      <c r="K380" s="50" t="s">
        <v>597</v>
      </c>
    </row>
    <row r="381" spans="1:11">
      <c r="A381" s="54" t="s">
        <v>444</v>
      </c>
      <c r="B381" s="54" t="s">
        <v>1376</v>
      </c>
      <c r="C381" s="54" t="s">
        <v>592</v>
      </c>
      <c r="D381" s="54" t="s">
        <v>70</v>
      </c>
      <c r="E381" s="55">
        <v>63</v>
      </c>
      <c r="F381" s="56">
        <v>45755</v>
      </c>
      <c r="G381" s="57">
        <v>0</v>
      </c>
      <c r="H381" s="57">
        <v>5</v>
      </c>
      <c r="I381" s="57">
        <v>0</v>
      </c>
      <c r="J381" s="54" t="s">
        <v>597</v>
      </c>
      <c r="K381" s="54" t="s">
        <v>597</v>
      </c>
    </row>
    <row r="382" spans="1:11">
      <c r="A382" s="50" t="s">
        <v>1377</v>
      </c>
      <c r="B382" s="50" t="s">
        <v>1378</v>
      </c>
      <c r="C382" s="50" t="s">
        <v>592</v>
      </c>
      <c r="D382" s="50" t="s">
        <v>70</v>
      </c>
      <c r="E382" s="51">
        <v>0</v>
      </c>
      <c r="F382" s="52" t="s">
        <v>597</v>
      </c>
      <c r="G382" s="53">
        <v>0</v>
      </c>
      <c r="H382" s="53">
        <v>5</v>
      </c>
      <c r="I382" s="53">
        <v>0</v>
      </c>
      <c r="J382" s="50" t="s">
        <v>1379</v>
      </c>
      <c r="K382" s="50" t="s">
        <v>1379</v>
      </c>
    </row>
    <row r="383" spans="1:11">
      <c r="A383" s="54" t="s">
        <v>445</v>
      </c>
      <c r="B383" s="54" t="s">
        <v>446</v>
      </c>
      <c r="C383" s="54" t="s">
        <v>592</v>
      </c>
      <c r="D383" s="54" t="s">
        <v>70</v>
      </c>
      <c r="E383" s="55">
        <v>0</v>
      </c>
      <c r="F383" s="56" t="s">
        <v>597</v>
      </c>
      <c r="G383" s="57">
        <v>0</v>
      </c>
      <c r="H383" s="57">
        <v>5</v>
      </c>
      <c r="I383" s="57">
        <v>0</v>
      </c>
      <c r="J383" s="54" t="s">
        <v>1380</v>
      </c>
      <c r="K383" s="54" t="s">
        <v>1380</v>
      </c>
    </row>
    <row r="384" spans="1:11">
      <c r="A384" s="50" t="s">
        <v>1381</v>
      </c>
      <c r="B384" s="50" t="s">
        <v>1382</v>
      </c>
      <c r="C384" s="50" t="s">
        <v>592</v>
      </c>
      <c r="D384" s="50" t="s">
        <v>70</v>
      </c>
      <c r="E384" s="51">
        <v>0</v>
      </c>
      <c r="F384" s="52" t="s">
        <v>597</v>
      </c>
      <c r="G384" s="53">
        <v>0</v>
      </c>
      <c r="H384" s="53">
        <v>5</v>
      </c>
      <c r="I384" s="53">
        <v>0</v>
      </c>
      <c r="J384" s="50" t="s">
        <v>1383</v>
      </c>
      <c r="K384" s="50" t="s">
        <v>1383</v>
      </c>
    </row>
    <row r="385" spans="1:11">
      <c r="A385" s="54" t="s">
        <v>447</v>
      </c>
      <c r="B385" s="54" t="s">
        <v>448</v>
      </c>
      <c r="C385" s="54" t="s">
        <v>592</v>
      </c>
      <c r="D385" s="54" t="s">
        <v>70</v>
      </c>
      <c r="E385" s="55">
        <v>0</v>
      </c>
      <c r="F385" s="56" t="s">
        <v>597</v>
      </c>
      <c r="G385" s="57">
        <v>0</v>
      </c>
      <c r="H385" s="57">
        <v>5</v>
      </c>
      <c r="I385" s="57">
        <v>0</v>
      </c>
      <c r="J385" s="54" t="s">
        <v>1384</v>
      </c>
      <c r="K385" s="54" t="s">
        <v>1384</v>
      </c>
    </row>
    <row r="386" spans="1:11">
      <c r="A386" s="50" t="s">
        <v>449</v>
      </c>
      <c r="B386" s="50" t="s">
        <v>1385</v>
      </c>
      <c r="C386" s="50" t="s">
        <v>592</v>
      </c>
      <c r="D386" s="50" t="s">
        <v>70</v>
      </c>
      <c r="E386" s="51">
        <v>0</v>
      </c>
      <c r="F386" s="52" t="s">
        <v>597</v>
      </c>
      <c r="G386" s="53">
        <v>5</v>
      </c>
      <c r="H386" s="53">
        <v>5</v>
      </c>
      <c r="I386" s="53">
        <v>5</v>
      </c>
      <c r="J386" s="50" t="s">
        <v>1386</v>
      </c>
      <c r="K386" s="50" t="s">
        <v>1387</v>
      </c>
    </row>
    <row r="387" spans="1:11">
      <c r="A387" s="54" t="s">
        <v>1388</v>
      </c>
      <c r="B387" s="54" t="s">
        <v>1389</v>
      </c>
      <c r="C387" s="54" t="s">
        <v>592</v>
      </c>
      <c r="D387" s="54" t="s">
        <v>76</v>
      </c>
      <c r="E387" s="55">
        <v>0</v>
      </c>
      <c r="F387" s="56" t="s">
        <v>597</v>
      </c>
      <c r="G387" s="57">
        <v>1.2</v>
      </c>
      <c r="H387" s="57">
        <v>0.96</v>
      </c>
      <c r="I387" s="57">
        <v>0</v>
      </c>
      <c r="J387" s="54" t="s">
        <v>597</v>
      </c>
      <c r="K387" s="54" t="s">
        <v>597</v>
      </c>
    </row>
    <row r="388" spans="1:11">
      <c r="A388" s="50" t="s">
        <v>1390</v>
      </c>
      <c r="B388" s="50" t="s">
        <v>1391</v>
      </c>
      <c r="C388" s="50" t="s">
        <v>592</v>
      </c>
      <c r="D388" s="50" t="s">
        <v>76</v>
      </c>
      <c r="E388" s="51">
        <v>0</v>
      </c>
      <c r="F388" s="52" t="s">
        <v>597</v>
      </c>
      <c r="G388" s="53">
        <v>1.8</v>
      </c>
      <c r="H388" s="53">
        <v>0.84</v>
      </c>
      <c r="I388" s="53">
        <v>0</v>
      </c>
      <c r="J388" s="50" t="s">
        <v>597</v>
      </c>
      <c r="K388" s="50" t="s">
        <v>597</v>
      </c>
    </row>
    <row r="389" spans="1:11">
      <c r="A389" s="54" t="s">
        <v>1392</v>
      </c>
      <c r="B389" s="54" t="s">
        <v>1393</v>
      </c>
      <c r="C389" s="54" t="s">
        <v>592</v>
      </c>
      <c r="D389" s="54" t="s">
        <v>76</v>
      </c>
      <c r="E389" s="55">
        <v>0</v>
      </c>
      <c r="F389" s="56" t="s">
        <v>597</v>
      </c>
      <c r="G389" s="57">
        <v>3.18</v>
      </c>
      <c r="H389" s="57">
        <v>2.4</v>
      </c>
      <c r="I389" s="57">
        <v>0</v>
      </c>
      <c r="J389" s="54" t="s">
        <v>597</v>
      </c>
      <c r="K389" s="54" t="s">
        <v>597</v>
      </c>
    </row>
    <row r="390" spans="1:11">
      <c r="A390" s="50" t="s">
        <v>1394</v>
      </c>
      <c r="B390" s="50" t="s">
        <v>1395</v>
      </c>
      <c r="C390" s="50" t="s">
        <v>592</v>
      </c>
      <c r="D390" s="50" t="s">
        <v>76</v>
      </c>
      <c r="E390" s="51">
        <v>0</v>
      </c>
      <c r="F390" s="52" t="s">
        <v>597</v>
      </c>
      <c r="G390" s="53">
        <v>0.67700000000000005</v>
      </c>
      <c r="H390" s="53">
        <v>0.52700000000000002</v>
      </c>
      <c r="I390" s="53">
        <v>0</v>
      </c>
      <c r="J390" s="50" t="s">
        <v>597</v>
      </c>
      <c r="K390" s="50" t="s">
        <v>597</v>
      </c>
    </row>
    <row r="391" spans="1:11">
      <c r="A391" s="54" t="s">
        <v>1396</v>
      </c>
      <c r="B391" s="54" t="s">
        <v>1397</v>
      </c>
      <c r="C391" s="54" t="s">
        <v>592</v>
      </c>
      <c r="D391" s="54" t="s">
        <v>76</v>
      </c>
      <c r="E391" s="55">
        <v>0</v>
      </c>
      <c r="F391" s="56" t="s">
        <v>597</v>
      </c>
      <c r="G391" s="57">
        <v>0</v>
      </c>
      <c r="H391" s="57">
        <v>4</v>
      </c>
      <c r="I391" s="57">
        <v>0</v>
      </c>
      <c r="J391" s="54" t="s">
        <v>597</v>
      </c>
      <c r="K391" s="54" t="s">
        <v>597</v>
      </c>
    </row>
    <row r="392" spans="1:11">
      <c r="A392" s="50" t="s">
        <v>1398</v>
      </c>
      <c r="B392" s="50" t="s">
        <v>1399</v>
      </c>
      <c r="C392" s="50" t="s">
        <v>592</v>
      </c>
      <c r="D392" s="50" t="s">
        <v>144</v>
      </c>
      <c r="E392" s="51">
        <v>0</v>
      </c>
      <c r="F392" s="52" t="s">
        <v>597</v>
      </c>
      <c r="G392" s="53">
        <v>0</v>
      </c>
      <c r="H392" s="53">
        <v>4.2</v>
      </c>
      <c r="I392" s="53">
        <v>0</v>
      </c>
      <c r="J392" s="50" t="s">
        <v>597</v>
      </c>
      <c r="K392" s="50" t="s">
        <v>597</v>
      </c>
    </row>
    <row r="393" spans="1:11">
      <c r="A393" s="54" t="s">
        <v>1400</v>
      </c>
      <c r="B393" s="54" t="s">
        <v>1401</v>
      </c>
      <c r="C393" s="54" t="s">
        <v>592</v>
      </c>
      <c r="D393" s="54" t="s">
        <v>76</v>
      </c>
      <c r="E393" s="55">
        <v>0</v>
      </c>
      <c r="F393" s="56" t="s">
        <v>597</v>
      </c>
      <c r="G393" s="57">
        <v>0</v>
      </c>
      <c r="H393" s="57">
        <v>2.4</v>
      </c>
      <c r="I393" s="57">
        <v>0</v>
      </c>
      <c r="J393" s="54" t="s">
        <v>597</v>
      </c>
      <c r="K393" s="54" t="s">
        <v>597</v>
      </c>
    </row>
    <row r="394" spans="1:11">
      <c r="A394" s="50" t="s">
        <v>1402</v>
      </c>
      <c r="B394" s="50" t="s">
        <v>1403</v>
      </c>
      <c r="C394" s="50" t="s">
        <v>592</v>
      </c>
      <c r="D394" s="50" t="s">
        <v>144</v>
      </c>
      <c r="E394" s="51">
        <v>0</v>
      </c>
      <c r="F394" s="52" t="s">
        <v>597</v>
      </c>
      <c r="G394" s="53">
        <v>0</v>
      </c>
      <c r="H394" s="53">
        <v>4.2</v>
      </c>
      <c r="I394" s="53">
        <v>0</v>
      </c>
      <c r="J394" s="50" t="s">
        <v>597</v>
      </c>
      <c r="K394" s="50" t="s">
        <v>597</v>
      </c>
    </row>
    <row r="395" spans="1:11">
      <c r="A395" s="54" t="s">
        <v>1404</v>
      </c>
      <c r="B395" s="54" t="s">
        <v>1405</v>
      </c>
      <c r="C395" s="54" t="s">
        <v>592</v>
      </c>
      <c r="D395" s="54" t="s">
        <v>144</v>
      </c>
      <c r="E395" s="55">
        <v>0</v>
      </c>
      <c r="F395" s="56" t="s">
        <v>597</v>
      </c>
      <c r="G395" s="57">
        <v>0</v>
      </c>
      <c r="H395" s="57">
        <v>4.2</v>
      </c>
      <c r="I395" s="57">
        <v>0</v>
      </c>
      <c r="J395" s="54" t="s">
        <v>597</v>
      </c>
      <c r="K395" s="54" t="s">
        <v>597</v>
      </c>
    </row>
    <row r="396" spans="1:11">
      <c r="A396" s="50" t="s">
        <v>1406</v>
      </c>
      <c r="B396" s="50" t="s">
        <v>1407</v>
      </c>
      <c r="C396" s="50" t="s">
        <v>592</v>
      </c>
      <c r="D396" s="50" t="s">
        <v>144</v>
      </c>
      <c r="E396" s="51">
        <v>0</v>
      </c>
      <c r="F396" s="52" t="s">
        <v>597</v>
      </c>
      <c r="G396" s="53">
        <v>0</v>
      </c>
      <c r="H396" s="53">
        <v>0.15</v>
      </c>
      <c r="I396" s="53">
        <v>0</v>
      </c>
      <c r="J396" s="50" t="s">
        <v>597</v>
      </c>
      <c r="K396" s="50" t="s">
        <v>597</v>
      </c>
    </row>
    <row r="397" spans="1:11">
      <c r="A397" s="54" t="s">
        <v>1408</v>
      </c>
      <c r="B397" s="54" t="s">
        <v>1409</v>
      </c>
      <c r="C397" s="54" t="s">
        <v>592</v>
      </c>
      <c r="D397" s="54" t="s">
        <v>144</v>
      </c>
      <c r="E397" s="55">
        <v>0</v>
      </c>
      <c r="F397" s="56" t="s">
        <v>597</v>
      </c>
      <c r="G397" s="57">
        <v>0</v>
      </c>
      <c r="H397" s="57">
        <v>0.16</v>
      </c>
      <c r="I397" s="57">
        <v>0</v>
      </c>
      <c r="J397" s="54" t="s">
        <v>597</v>
      </c>
      <c r="K397" s="54" t="s">
        <v>597</v>
      </c>
    </row>
    <row r="398" spans="1:11">
      <c r="A398" s="50" t="s">
        <v>1410</v>
      </c>
      <c r="B398" s="50" t="s">
        <v>1411</v>
      </c>
      <c r="C398" s="50" t="s">
        <v>592</v>
      </c>
      <c r="D398" s="50" t="s">
        <v>144</v>
      </c>
      <c r="E398" s="51">
        <v>0</v>
      </c>
      <c r="F398" s="52" t="s">
        <v>597</v>
      </c>
      <c r="G398" s="53">
        <v>0</v>
      </c>
      <c r="H398" s="53">
        <v>1.25</v>
      </c>
      <c r="I398" s="53">
        <v>0</v>
      </c>
      <c r="J398" s="50" t="s">
        <v>597</v>
      </c>
      <c r="K398" s="50" t="s">
        <v>597</v>
      </c>
    </row>
    <row r="399" spans="1:11">
      <c r="A399" s="54" t="s">
        <v>1412</v>
      </c>
      <c r="B399" s="54" t="s">
        <v>1413</v>
      </c>
      <c r="C399" s="54" t="s">
        <v>592</v>
      </c>
      <c r="D399" s="54" t="s">
        <v>144</v>
      </c>
      <c r="E399" s="55">
        <v>0</v>
      </c>
      <c r="F399" s="56" t="s">
        <v>597</v>
      </c>
      <c r="G399" s="57">
        <v>0</v>
      </c>
      <c r="H399" s="57">
        <v>0.17</v>
      </c>
      <c r="I399" s="57">
        <v>0</v>
      </c>
      <c r="J399" s="54" t="s">
        <v>597</v>
      </c>
      <c r="K399" s="54" t="s">
        <v>597</v>
      </c>
    </row>
    <row r="400" spans="1:11">
      <c r="A400" s="50" t="s">
        <v>1414</v>
      </c>
      <c r="B400" s="50" t="s">
        <v>1415</v>
      </c>
      <c r="C400" s="50" t="s">
        <v>592</v>
      </c>
      <c r="D400" s="50" t="s">
        <v>144</v>
      </c>
      <c r="E400" s="51">
        <v>0</v>
      </c>
      <c r="F400" s="52" t="s">
        <v>597</v>
      </c>
      <c r="G400" s="53">
        <v>0</v>
      </c>
      <c r="H400" s="53">
        <v>0.17</v>
      </c>
      <c r="I400" s="53">
        <v>0</v>
      </c>
      <c r="J400" s="50" t="s">
        <v>597</v>
      </c>
      <c r="K400" s="50" t="s">
        <v>597</v>
      </c>
    </row>
    <row r="401" spans="1:11">
      <c r="A401" s="54" t="s">
        <v>1416</v>
      </c>
      <c r="B401" s="54" t="s">
        <v>1417</v>
      </c>
      <c r="C401" s="54" t="s">
        <v>592</v>
      </c>
      <c r="D401" s="54" t="s">
        <v>144</v>
      </c>
      <c r="E401" s="55">
        <v>0</v>
      </c>
      <c r="F401" s="56" t="s">
        <v>597</v>
      </c>
      <c r="G401" s="57">
        <v>0</v>
      </c>
      <c r="H401" s="57">
        <v>0.17</v>
      </c>
      <c r="I401" s="57">
        <v>0</v>
      </c>
      <c r="J401" s="54" t="s">
        <v>597</v>
      </c>
      <c r="K401" s="54" t="s">
        <v>597</v>
      </c>
    </row>
    <row r="402" spans="1:11">
      <c r="A402" s="50" t="s">
        <v>1418</v>
      </c>
      <c r="B402" s="50" t="s">
        <v>1419</v>
      </c>
      <c r="C402" s="50" t="s">
        <v>592</v>
      </c>
      <c r="D402" s="50" t="s">
        <v>144</v>
      </c>
      <c r="E402" s="51">
        <v>0</v>
      </c>
      <c r="F402" s="52" t="s">
        <v>597</v>
      </c>
      <c r="G402" s="53">
        <v>0</v>
      </c>
      <c r="H402" s="53">
        <v>0.1</v>
      </c>
      <c r="I402" s="53">
        <v>0</v>
      </c>
      <c r="J402" s="50" t="s">
        <v>597</v>
      </c>
      <c r="K402" s="50" t="s">
        <v>597</v>
      </c>
    </row>
    <row r="403" spans="1:11">
      <c r="A403" s="54" t="s">
        <v>1420</v>
      </c>
      <c r="B403" s="54" t="s">
        <v>1421</v>
      </c>
      <c r="C403" s="54" t="s">
        <v>592</v>
      </c>
      <c r="D403" s="54" t="s">
        <v>70</v>
      </c>
      <c r="E403" s="55">
        <v>0</v>
      </c>
      <c r="F403" s="56" t="s">
        <v>597</v>
      </c>
      <c r="G403" s="57">
        <v>0</v>
      </c>
      <c r="H403" s="57">
        <v>0.18</v>
      </c>
      <c r="I403" s="57">
        <v>0</v>
      </c>
      <c r="J403" s="54" t="s">
        <v>597</v>
      </c>
      <c r="K403" s="54" t="s">
        <v>597</v>
      </c>
    </row>
    <row r="404" spans="1:11">
      <c r="A404" s="50" t="s">
        <v>1422</v>
      </c>
      <c r="B404" s="50" t="s">
        <v>1423</v>
      </c>
      <c r="C404" s="50" t="s">
        <v>592</v>
      </c>
      <c r="D404" s="50" t="s">
        <v>70</v>
      </c>
      <c r="E404" s="51">
        <v>0</v>
      </c>
      <c r="F404" s="52" t="s">
        <v>597</v>
      </c>
      <c r="G404" s="53">
        <v>0</v>
      </c>
      <c r="H404" s="53">
        <v>0.45</v>
      </c>
      <c r="I404" s="53">
        <v>0</v>
      </c>
      <c r="J404" s="50" t="s">
        <v>597</v>
      </c>
      <c r="K404" s="50" t="s">
        <v>597</v>
      </c>
    </row>
    <row r="405" spans="1:11">
      <c r="A405" s="50" t="s">
        <v>1424</v>
      </c>
      <c r="B405" s="50" t="s">
        <v>1425</v>
      </c>
      <c r="C405" s="50" t="s">
        <v>592</v>
      </c>
      <c r="D405" s="50" t="s">
        <v>144</v>
      </c>
      <c r="E405" s="51">
        <v>0</v>
      </c>
      <c r="F405" s="52" t="s">
        <v>597</v>
      </c>
      <c r="G405" s="53">
        <v>0</v>
      </c>
      <c r="H405" s="53">
        <v>0</v>
      </c>
      <c r="I405" s="53">
        <v>0</v>
      </c>
      <c r="J405" s="50" t="s">
        <v>597</v>
      </c>
      <c r="K405" s="50" t="s">
        <v>597</v>
      </c>
    </row>
    <row r="406" spans="1:11">
      <c r="A406" s="54" t="s">
        <v>1426</v>
      </c>
      <c r="B406" s="54" t="s">
        <v>1427</v>
      </c>
      <c r="C406" s="54" t="s">
        <v>592</v>
      </c>
      <c r="D406" s="54" t="s">
        <v>144</v>
      </c>
      <c r="E406" s="55">
        <v>0</v>
      </c>
      <c r="F406" s="56" t="s">
        <v>597</v>
      </c>
      <c r="G406" s="57">
        <v>0</v>
      </c>
      <c r="H406" s="57">
        <v>0</v>
      </c>
      <c r="I406" s="57">
        <v>0</v>
      </c>
      <c r="J406" s="54" t="s">
        <v>597</v>
      </c>
      <c r="K406" s="54" t="s">
        <v>597</v>
      </c>
    </row>
    <row r="407" spans="1:11">
      <c r="A407" s="50" t="s">
        <v>1428</v>
      </c>
      <c r="B407" s="50" t="s">
        <v>1429</v>
      </c>
      <c r="C407" s="50" t="s">
        <v>592</v>
      </c>
      <c r="D407" s="50" t="s">
        <v>144</v>
      </c>
      <c r="E407" s="51">
        <v>0</v>
      </c>
      <c r="F407" s="52" t="s">
        <v>597</v>
      </c>
      <c r="G407" s="53">
        <v>0</v>
      </c>
      <c r="H407" s="53">
        <v>0</v>
      </c>
      <c r="I407" s="53">
        <v>0</v>
      </c>
      <c r="J407" s="50" t="s">
        <v>597</v>
      </c>
      <c r="K407" s="50" t="s">
        <v>597</v>
      </c>
    </row>
    <row r="408" spans="1:11">
      <c r="A408" s="54" t="s">
        <v>1430</v>
      </c>
      <c r="B408" s="54" t="s">
        <v>1431</v>
      </c>
      <c r="C408" s="54" t="s">
        <v>592</v>
      </c>
      <c r="D408" s="54" t="s">
        <v>144</v>
      </c>
      <c r="E408" s="55">
        <v>0</v>
      </c>
      <c r="F408" s="56" t="s">
        <v>597</v>
      </c>
      <c r="G408" s="57">
        <v>0</v>
      </c>
      <c r="H408" s="57">
        <v>0</v>
      </c>
      <c r="I408" s="57">
        <v>0</v>
      </c>
      <c r="J408" s="54" t="s">
        <v>597</v>
      </c>
      <c r="K408" s="54" t="s">
        <v>597</v>
      </c>
    </row>
    <row r="409" spans="1:11">
      <c r="A409" s="50" t="s">
        <v>1432</v>
      </c>
      <c r="B409" s="50" t="s">
        <v>1433</v>
      </c>
      <c r="C409" s="50" t="s">
        <v>592</v>
      </c>
      <c r="D409" s="50" t="s">
        <v>144</v>
      </c>
      <c r="E409" s="51">
        <v>0</v>
      </c>
      <c r="F409" s="52" t="s">
        <v>597</v>
      </c>
      <c r="G409" s="53">
        <v>0</v>
      </c>
      <c r="H409" s="53">
        <v>0</v>
      </c>
      <c r="I409" s="53">
        <v>0</v>
      </c>
      <c r="J409" s="50" t="s">
        <v>597</v>
      </c>
      <c r="K409" s="50" t="s">
        <v>597</v>
      </c>
    </row>
    <row r="410" spans="1:11">
      <c r="A410" s="50" t="s">
        <v>1434</v>
      </c>
      <c r="B410" s="50" t="s">
        <v>1435</v>
      </c>
      <c r="C410" s="50" t="s">
        <v>592</v>
      </c>
      <c r="D410" s="50" t="s">
        <v>144</v>
      </c>
      <c r="E410" s="51">
        <v>0</v>
      </c>
      <c r="F410" s="52" t="s">
        <v>597</v>
      </c>
      <c r="G410" s="53">
        <v>0</v>
      </c>
      <c r="H410" s="53">
        <v>0</v>
      </c>
      <c r="I410" s="53">
        <v>0</v>
      </c>
      <c r="J410" s="50" t="s">
        <v>597</v>
      </c>
      <c r="K410" s="50" t="s">
        <v>597</v>
      </c>
    </row>
    <row r="411" spans="1:11">
      <c r="A411" s="54" t="s">
        <v>1436</v>
      </c>
      <c r="B411" s="54" t="s">
        <v>1437</v>
      </c>
      <c r="C411" s="54" t="s">
        <v>592</v>
      </c>
      <c r="D411" s="54" t="s">
        <v>144</v>
      </c>
      <c r="E411" s="55">
        <v>0</v>
      </c>
      <c r="F411" s="56" t="s">
        <v>597</v>
      </c>
      <c r="G411" s="57">
        <v>0</v>
      </c>
      <c r="H411" s="57">
        <v>0</v>
      </c>
      <c r="I411" s="57">
        <v>0</v>
      </c>
      <c r="J411" s="54" t="s">
        <v>597</v>
      </c>
      <c r="K411" s="54" t="s">
        <v>597</v>
      </c>
    </row>
    <row r="412" spans="1:11">
      <c r="A412" s="50" t="s">
        <v>1438</v>
      </c>
      <c r="B412" s="50" t="s">
        <v>1439</v>
      </c>
      <c r="C412" s="50" t="s">
        <v>592</v>
      </c>
      <c r="D412" s="50" t="s">
        <v>144</v>
      </c>
      <c r="E412" s="51">
        <v>0</v>
      </c>
      <c r="F412" s="52" t="s">
        <v>597</v>
      </c>
      <c r="G412" s="53">
        <v>0</v>
      </c>
      <c r="H412" s="53">
        <v>0</v>
      </c>
      <c r="I412" s="53">
        <v>0</v>
      </c>
      <c r="J412" s="50" t="s">
        <v>597</v>
      </c>
      <c r="K412" s="50" t="s">
        <v>597</v>
      </c>
    </row>
    <row r="413" spans="1:11">
      <c r="A413" s="54" t="s">
        <v>1440</v>
      </c>
      <c r="B413" s="54" t="s">
        <v>1441</v>
      </c>
      <c r="C413" s="54" t="s">
        <v>592</v>
      </c>
      <c r="D413" s="54" t="s">
        <v>144</v>
      </c>
      <c r="E413" s="55">
        <v>0</v>
      </c>
      <c r="F413" s="56" t="s">
        <v>597</v>
      </c>
      <c r="G413" s="57">
        <v>0</v>
      </c>
      <c r="H413" s="57">
        <v>0</v>
      </c>
      <c r="I413" s="57">
        <v>0</v>
      </c>
      <c r="J413" s="54" t="s">
        <v>597</v>
      </c>
      <c r="K413" s="54" t="s">
        <v>597</v>
      </c>
    </row>
    <row r="414" spans="1:11">
      <c r="A414" s="50" t="s">
        <v>1442</v>
      </c>
      <c r="B414" s="50" t="s">
        <v>1443</v>
      </c>
      <c r="C414" s="50" t="s">
        <v>592</v>
      </c>
      <c r="D414" s="50" t="s">
        <v>144</v>
      </c>
      <c r="E414" s="51">
        <v>0</v>
      </c>
      <c r="F414" s="52" t="s">
        <v>597</v>
      </c>
      <c r="G414" s="53">
        <v>0</v>
      </c>
      <c r="H414" s="53">
        <v>0</v>
      </c>
      <c r="I414" s="53">
        <v>0</v>
      </c>
      <c r="J414" s="50" t="s">
        <v>597</v>
      </c>
      <c r="K414" s="50" t="s">
        <v>597</v>
      </c>
    </row>
    <row r="415" spans="1:11">
      <c r="A415" s="54" t="s">
        <v>1444</v>
      </c>
      <c r="B415" s="54" t="s">
        <v>1445</v>
      </c>
      <c r="C415" s="54" t="s">
        <v>592</v>
      </c>
      <c r="D415" s="54" t="s">
        <v>144</v>
      </c>
      <c r="E415" s="55">
        <v>0</v>
      </c>
      <c r="F415" s="56" t="s">
        <v>597</v>
      </c>
      <c r="G415" s="57">
        <v>0</v>
      </c>
      <c r="H415" s="57">
        <v>0</v>
      </c>
      <c r="I415" s="57">
        <v>0</v>
      </c>
      <c r="J415" s="54" t="s">
        <v>597</v>
      </c>
      <c r="K415" s="54" t="s">
        <v>597</v>
      </c>
    </row>
    <row r="416" spans="1:11">
      <c r="A416" s="50" t="s">
        <v>1446</v>
      </c>
      <c r="B416" s="50" t="s">
        <v>1447</v>
      </c>
      <c r="C416" s="50" t="s">
        <v>592</v>
      </c>
      <c r="D416" s="50" t="s">
        <v>144</v>
      </c>
      <c r="E416" s="51">
        <v>0</v>
      </c>
      <c r="F416" s="52" t="s">
        <v>597</v>
      </c>
      <c r="G416" s="53">
        <v>0</v>
      </c>
      <c r="H416" s="53">
        <v>0</v>
      </c>
      <c r="I416" s="53">
        <v>0</v>
      </c>
      <c r="J416" s="50" t="s">
        <v>597</v>
      </c>
      <c r="K416" s="50" t="s">
        <v>597</v>
      </c>
    </row>
    <row r="417" spans="1:11">
      <c r="A417" s="54" t="s">
        <v>1448</v>
      </c>
      <c r="B417" s="54" t="s">
        <v>1449</v>
      </c>
      <c r="C417" s="54" t="s">
        <v>592</v>
      </c>
      <c r="D417" s="54" t="s">
        <v>144</v>
      </c>
      <c r="E417" s="55">
        <v>0</v>
      </c>
      <c r="F417" s="56" t="s">
        <v>597</v>
      </c>
      <c r="G417" s="57">
        <v>0</v>
      </c>
      <c r="H417" s="57">
        <v>0</v>
      </c>
      <c r="I417" s="57">
        <v>0</v>
      </c>
      <c r="J417" s="54" t="s">
        <v>597</v>
      </c>
      <c r="K417" s="54" t="s">
        <v>597</v>
      </c>
    </row>
    <row r="418" spans="1:11">
      <c r="A418" s="50" t="s">
        <v>1450</v>
      </c>
      <c r="B418" s="50" t="s">
        <v>1451</v>
      </c>
      <c r="C418" s="50" t="s">
        <v>592</v>
      </c>
      <c r="D418" s="50" t="s">
        <v>144</v>
      </c>
      <c r="E418" s="51">
        <v>0</v>
      </c>
      <c r="F418" s="52" t="s">
        <v>597</v>
      </c>
      <c r="G418" s="53">
        <v>0</v>
      </c>
      <c r="H418" s="53">
        <v>0</v>
      </c>
      <c r="I418" s="53">
        <v>0</v>
      </c>
      <c r="J418" s="50" t="s">
        <v>597</v>
      </c>
      <c r="K418" s="50" t="s">
        <v>597</v>
      </c>
    </row>
    <row r="419" spans="1:11">
      <c r="A419" s="54" t="s">
        <v>1452</v>
      </c>
      <c r="B419" s="54" t="s">
        <v>1453</v>
      </c>
      <c r="C419" s="54" t="s">
        <v>592</v>
      </c>
      <c r="D419" s="54" t="s">
        <v>144</v>
      </c>
      <c r="E419" s="55">
        <v>0</v>
      </c>
      <c r="F419" s="56" t="s">
        <v>597</v>
      </c>
      <c r="G419" s="57">
        <v>0</v>
      </c>
      <c r="H419" s="57">
        <v>0</v>
      </c>
      <c r="I419" s="57">
        <v>0</v>
      </c>
      <c r="J419" s="54" t="s">
        <v>597</v>
      </c>
      <c r="K419" s="54" t="s">
        <v>597</v>
      </c>
    </row>
    <row r="420" spans="1:11">
      <c r="A420" s="50" t="s">
        <v>1454</v>
      </c>
      <c r="B420" s="50" t="s">
        <v>1455</v>
      </c>
      <c r="C420" s="50" t="s">
        <v>592</v>
      </c>
      <c r="D420" s="50" t="s">
        <v>144</v>
      </c>
      <c r="E420" s="51">
        <v>0</v>
      </c>
      <c r="F420" s="52" t="s">
        <v>597</v>
      </c>
      <c r="G420" s="53">
        <v>0</v>
      </c>
      <c r="H420" s="53">
        <v>0</v>
      </c>
      <c r="I420" s="53">
        <v>0</v>
      </c>
      <c r="J420" s="50" t="s">
        <v>597</v>
      </c>
      <c r="K420" s="50" t="s">
        <v>597</v>
      </c>
    </row>
    <row r="421" spans="1:11">
      <c r="A421" s="54" t="s">
        <v>1456</v>
      </c>
      <c r="B421" s="54" t="s">
        <v>1457</v>
      </c>
      <c r="C421" s="54" t="s">
        <v>592</v>
      </c>
      <c r="D421" s="54" t="s">
        <v>144</v>
      </c>
      <c r="E421" s="55">
        <v>0</v>
      </c>
      <c r="F421" s="56" t="s">
        <v>597</v>
      </c>
      <c r="G421" s="57">
        <v>0</v>
      </c>
      <c r="H421" s="57">
        <v>0</v>
      </c>
      <c r="I421" s="57">
        <v>0</v>
      </c>
      <c r="J421" s="54" t="s">
        <v>597</v>
      </c>
      <c r="K421" s="54" t="s">
        <v>597</v>
      </c>
    </row>
    <row r="422" spans="1:11">
      <c r="A422" s="50" t="s">
        <v>1458</v>
      </c>
      <c r="B422" s="50" t="s">
        <v>1459</v>
      </c>
      <c r="C422" s="50" t="s">
        <v>592</v>
      </c>
      <c r="D422" s="50" t="s">
        <v>144</v>
      </c>
      <c r="E422" s="51">
        <v>0</v>
      </c>
      <c r="F422" s="52" t="s">
        <v>597</v>
      </c>
      <c r="G422" s="53">
        <v>0</v>
      </c>
      <c r="H422" s="53">
        <v>0</v>
      </c>
      <c r="I422" s="53">
        <v>0</v>
      </c>
      <c r="J422" s="50" t="s">
        <v>597</v>
      </c>
      <c r="K422" s="50" t="s">
        <v>597</v>
      </c>
    </row>
    <row r="423" spans="1:11">
      <c r="A423" s="50" t="s">
        <v>1460</v>
      </c>
      <c r="B423" s="50" t="s">
        <v>69</v>
      </c>
      <c r="C423" s="50" t="s">
        <v>1461</v>
      </c>
      <c r="D423" s="50" t="s">
        <v>614</v>
      </c>
      <c r="E423" s="51">
        <v>0</v>
      </c>
      <c r="F423" s="52" t="s">
        <v>597</v>
      </c>
      <c r="G423" s="53">
        <v>0</v>
      </c>
      <c r="H423" s="53">
        <v>0</v>
      </c>
      <c r="I423" s="53">
        <v>0</v>
      </c>
      <c r="J423" s="50" t="s">
        <v>597</v>
      </c>
      <c r="K423" s="50" t="s">
        <v>597</v>
      </c>
    </row>
    <row r="424" spans="1:11">
      <c r="A424" s="54" t="s">
        <v>1462</v>
      </c>
      <c r="B424" s="54" t="s">
        <v>110</v>
      </c>
      <c r="C424" s="54" t="s">
        <v>1461</v>
      </c>
      <c r="D424" s="54" t="s">
        <v>614</v>
      </c>
      <c r="E424" s="55">
        <v>0</v>
      </c>
      <c r="F424" s="56" t="s">
        <v>597</v>
      </c>
      <c r="G424" s="57">
        <v>0</v>
      </c>
      <c r="H424" s="57">
        <v>0</v>
      </c>
      <c r="I424" s="57">
        <v>0</v>
      </c>
      <c r="J424" s="54" t="s">
        <v>597</v>
      </c>
      <c r="K424" s="54" t="s">
        <v>597</v>
      </c>
    </row>
    <row r="425" spans="1:11">
      <c r="A425" s="50" t="s">
        <v>1463</v>
      </c>
      <c r="B425" s="50" t="s">
        <v>596</v>
      </c>
      <c r="C425" s="50" t="s">
        <v>1461</v>
      </c>
      <c r="D425" s="50" t="s">
        <v>614</v>
      </c>
      <c r="E425" s="51">
        <v>0</v>
      </c>
      <c r="F425" s="52" t="s">
        <v>597</v>
      </c>
      <c r="G425" s="53">
        <v>0</v>
      </c>
      <c r="H425" s="53">
        <v>0</v>
      </c>
      <c r="I425" s="53">
        <v>0</v>
      </c>
      <c r="J425" s="50" t="s">
        <v>597</v>
      </c>
      <c r="K425" s="50" t="s">
        <v>597</v>
      </c>
    </row>
    <row r="426" spans="1:11">
      <c r="A426" s="54" t="s">
        <v>1464</v>
      </c>
      <c r="B426" s="54" t="s">
        <v>600</v>
      </c>
      <c r="C426" s="54" t="s">
        <v>1461</v>
      </c>
      <c r="D426" s="54" t="s">
        <v>614</v>
      </c>
      <c r="E426" s="55">
        <v>0</v>
      </c>
      <c r="F426" s="56" t="s">
        <v>597</v>
      </c>
      <c r="G426" s="57">
        <v>0</v>
      </c>
      <c r="H426" s="57">
        <v>0</v>
      </c>
      <c r="I426" s="57">
        <v>0</v>
      </c>
      <c r="J426" s="54" t="s">
        <v>597</v>
      </c>
      <c r="K426" s="54" t="s">
        <v>597</v>
      </c>
    </row>
    <row r="427" spans="1:11">
      <c r="A427" s="50" t="s">
        <v>1465</v>
      </c>
      <c r="B427" s="50" t="s">
        <v>603</v>
      </c>
      <c r="C427" s="50" t="s">
        <v>1461</v>
      </c>
      <c r="D427" s="50" t="s">
        <v>614</v>
      </c>
      <c r="E427" s="51">
        <v>0</v>
      </c>
      <c r="F427" s="52" t="s">
        <v>597</v>
      </c>
      <c r="G427" s="53">
        <v>0</v>
      </c>
      <c r="H427" s="53">
        <v>0</v>
      </c>
      <c r="I427" s="53">
        <v>0</v>
      </c>
      <c r="J427" s="50" t="s">
        <v>597</v>
      </c>
      <c r="K427" s="50" t="s">
        <v>597</v>
      </c>
    </row>
    <row r="428" spans="1:11">
      <c r="A428" s="54" t="s">
        <v>1466</v>
      </c>
      <c r="B428" s="54" t="s">
        <v>1467</v>
      </c>
      <c r="C428" s="54" t="s">
        <v>592</v>
      </c>
      <c r="D428" s="54" t="s">
        <v>614</v>
      </c>
      <c r="E428" s="55">
        <v>4.5999999999999996</v>
      </c>
      <c r="F428" s="56">
        <v>44876</v>
      </c>
      <c r="G428" s="57">
        <v>0</v>
      </c>
      <c r="H428" s="57">
        <v>0</v>
      </c>
      <c r="I428" s="57">
        <v>0</v>
      </c>
      <c r="J428" s="54" t="s">
        <v>597</v>
      </c>
      <c r="K428" s="54" t="s">
        <v>597</v>
      </c>
    </row>
    <row r="429" spans="1:11">
      <c r="A429" s="50" t="s">
        <v>1468</v>
      </c>
      <c r="B429" s="50" t="s">
        <v>92</v>
      </c>
      <c r="C429" s="50" t="s">
        <v>1461</v>
      </c>
      <c r="D429" s="50" t="s">
        <v>614</v>
      </c>
      <c r="E429" s="51">
        <v>0</v>
      </c>
      <c r="F429" s="52" t="s">
        <v>597</v>
      </c>
      <c r="G429" s="53">
        <v>0</v>
      </c>
      <c r="H429" s="53">
        <v>0</v>
      </c>
      <c r="I429" s="53">
        <v>0</v>
      </c>
      <c r="J429" s="50" t="s">
        <v>597</v>
      </c>
      <c r="K429" s="50" t="s">
        <v>597</v>
      </c>
    </row>
    <row r="430" spans="1:11">
      <c r="A430" s="54" t="s">
        <v>1469</v>
      </c>
      <c r="B430" s="54" t="s">
        <v>621</v>
      </c>
      <c r="C430" s="54" t="s">
        <v>1461</v>
      </c>
      <c r="D430" s="54" t="s">
        <v>614</v>
      </c>
      <c r="E430" s="55">
        <v>0</v>
      </c>
      <c r="F430" s="56" t="s">
        <v>597</v>
      </c>
      <c r="G430" s="57">
        <v>0</v>
      </c>
      <c r="H430" s="57">
        <v>0</v>
      </c>
      <c r="I430" s="57">
        <v>0</v>
      </c>
      <c r="J430" s="54" t="s">
        <v>597</v>
      </c>
      <c r="K430" s="54" t="s">
        <v>597</v>
      </c>
    </row>
    <row r="431" spans="1:11">
      <c r="A431" s="50" t="s">
        <v>1470</v>
      </c>
      <c r="B431" s="50" t="s">
        <v>142</v>
      </c>
      <c r="C431" s="50" t="s">
        <v>1461</v>
      </c>
      <c r="D431" s="50" t="s">
        <v>614</v>
      </c>
      <c r="E431" s="51">
        <v>0</v>
      </c>
      <c r="F431" s="52" t="s">
        <v>597</v>
      </c>
      <c r="G431" s="53">
        <v>0</v>
      </c>
      <c r="H431" s="53">
        <v>0</v>
      </c>
      <c r="I431" s="53">
        <v>0</v>
      </c>
      <c r="J431" s="50" t="s">
        <v>597</v>
      </c>
      <c r="K431" s="50" t="s">
        <v>597</v>
      </c>
    </row>
    <row r="432" spans="1:11">
      <c r="A432" s="54" t="s">
        <v>1471</v>
      </c>
      <c r="B432" s="54" t="s">
        <v>625</v>
      </c>
      <c r="C432" s="54" t="s">
        <v>1461</v>
      </c>
      <c r="D432" s="54" t="s">
        <v>614</v>
      </c>
      <c r="E432" s="55">
        <v>0</v>
      </c>
      <c r="F432" s="56" t="s">
        <v>597</v>
      </c>
      <c r="G432" s="57">
        <v>0</v>
      </c>
      <c r="H432" s="57">
        <v>0</v>
      </c>
      <c r="I432" s="57">
        <v>0</v>
      </c>
      <c r="J432" s="54" t="s">
        <v>597</v>
      </c>
      <c r="K432" s="54" t="s">
        <v>597</v>
      </c>
    </row>
    <row r="433" spans="1:11">
      <c r="A433" s="50" t="s">
        <v>1472</v>
      </c>
      <c r="B433" s="50" t="s">
        <v>94</v>
      </c>
      <c r="C433" s="50" t="s">
        <v>1461</v>
      </c>
      <c r="D433" s="50" t="s">
        <v>614</v>
      </c>
      <c r="E433" s="51">
        <v>0</v>
      </c>
      <c r="F433" s="52" t="s">
        <v>597</v>
      </c>
      <c r="G433" s="53">
        <v>0</v>
      </c>
      <c r="H433" s="53">
        <v>0</v>
      </c>
      <c r="I433" s="53">
        <v>0</v>
      </c>
      <c r="J433" s="50" t="s">
        <v>597</v>
      </c>
      <c r="K433" s="50" t="s">
        <v>597</v>
      </c>
    </row>
    <row r="434" spans="1:11">
      <c r="A434" s="54" t="s">
        <v>1473</v>
      </c>
      <c r="B434" s="54" t="s">
        <v>629</v>
      </c>
      <c r="C434" s="54" t="s">
        <v>1461</v>
      </c>
      <c r="D434" s="54" t="s">
        <v>614</v>
      </c>
      <c r="E434" s="55">
        <v>0</v>
      </c>
      <c r="F434" s="56" t="s">
        <v>597</v>
      </c>
      <c r="G434" s="57">
        <v>0</v>
      </c>
      <c r="H434" s="57">
        <v>0</v>
      </c>
      <c r="I434" s="57">
        <v>0</v>
      </c>
      <c r="J434" s="54" t="s">
        <v>597</v>
      </c>
      <c r="K434" s="54" t="s">
        <v>597</v>
      </c>
    </row>
    <row r="435" spans="1:11">
      <c r="A435" s="50" t="s">
        <v>1474</v>
      </c>
      <c r="B435" s="50" t="s">
        <v>73</v>
      </c>
      <c r="C435" s="50" t="s">
        <v>1461</v>
      </c>
      <c r="D435" s="50" t="s">
        <v>614</v>
      </c>
      <c r="E435" s="51">
        <v>0</v>
      </c>
      <c r="F435" s="52" t="s">
        <v>597</v>
      </c>
      <c r="G435" s="53">
        <v>0</v>
      </c>
      <c r="H435" s="53">
        <v>0</v>
      </c>
      <c r="I435" s="53">
        <v>0</v>
      </c>
      <c r="J435" s="50" t="s">
        <v>597</v>
      </c>
      <c r="K435" s="50" t="s">
        <v>597</v>
      </c>
    </row>
    <row r="436" spans="1:11">
      <c r="A436" s="54" t="s">
        <v>1475</v>
      </c>
      <c r="B436" s="54" t="s">
        <v>633</v>
      </c>
      <c r="C436" s="54" t="s">
        <v>1461</v>
      </c>
      <c r="D436" s="54" t="s">
        <v>614</v>
      </c>
      <c r="E436" s="55">
        <v>0</v>
      </c>
      <c r="F436" s="56" t="s">
        <v>597</v>
      </c>
      <c r="G436" s="57">
        <v>0</v>
      </c>
      <c r="H436" s="57">
        <v>0</v>
      </c>
      <c r="I436" s="57">
        <v>0</v>
      </c>
      <c r="J436" s="54" t="s">
        <v>597</v>
      </c>
      <c r="K436" s="54" t="s">
        <v>597</v>
      </c>
    </row>
    <row r="437" spans="1:11">
      <c r="A437" s="50" t="s">
        <v>1476</v>
      </c>
      <c r="B437" s="50" t="s">
        <v>98</v>
      </c>
      <c r="C437" s="50" t="s">
        <v>1461</v>
      </c>
      <c r="D437" s="50" t="s">
        <v>614</v>
      </c>
      <c r="E437" s="51">
        <v>0</v>
      </c>
      <c r="F437" s="52" t="s">
        <v>597</v>
      </c>
      <c r="G437" s="53">
        <v>0</v>
      </c>
      <c r="H437" s="53">
        <v>0</v>
      </c>
      <c r="I437" s="53">
        <v>0</v>
      </c>
      <c r="J437" s="50" t="s">
        <v>597</v>
      </c>
      <c r="K437" s="50" t="s">
        <v>597</v>
      </c>
    </row>
    <row r="438" spans="1:11">
      <c r="A438" s="54" t="s">
        <v>1477</v>
      </c>
      <c r="B438" s="54" t="s">
        <v>637</v>
      </c>
      <c r="C438" s="54" t="s">
        <v>1461</v>
      </c>
      <c r="D438" s="54" t="s">
        <v>614</v>
      </c>
      <c r="E438" s="55">
        <v>0</v>
      </c>
      <c r="F438" s="56" t="s">
        <v>597</v>
      </c>
      <c r="G438" s="57">
        <v>0</v>
      </c>
      <c r="H438" s="57">
        <v>0</v>
      </c>
      <c r="I438" s="57">
        <v>0</v>
      </c>
      <c r="J438" s="54" t="s">
        <v>597</v>
      </c>
      <c r="K438" s="54" t="s">
        <v>597</v>
      </c>
    </row>
    <row r="439" spans="1:11">
      <c r="A439" s="50" t="s">
        <v>1478</v>
      </c>
      <c r="B439" s="50" t="s">
        <v>100</v>
      </c>
      <c r="C439" s="50" t="s">
        <v>1461</v>
      </c>
      <c r="D439" s="50" t="s">
        <v>614</v>
      </c>
      <c r="E439" s="51">
        <v>0</v>
      </c>
      <c r="F439" s="52" t="s">
        <v>597</v>
      </c>
      <c r="G439" s="53">
        <v>0</v>
      </c>
      <c r="H439" s="53">
        <v>0</v>
      </c>
      <c r="I439" s="53">
        <v>0</v>
      </c>
      <c r="J439" s="50" t="s">
        <v>597</v>
      </c>
      <c r="K439" s="50" t="s">
        <v>597</v>
      </c>
    </row>
    <row r="440" spans="1:11">
      <c r="A440" s="54" t="s">
        <v>1479</v>
      </c>
      <c r="B440" s="54" t="s">
        <v>641</v>
      </c>
      <c r="C440" s="54" t="s">
        <v>1461</v>
      </c>
      <c r="D440" s="54" t="s">
        <v>614</v>
      </c>
      <c r="E440" s="55">
        <v>0</v>
      </c>
      <c r="F440" s="56" t="s">
        <v>597</v>
      </c>
      <c r="G440" s="57">
        <v>0</v>
      </c>
      <c r="H440" s="57">
        <v>0</v>
      </c>
      <c r="I440" s="57">
        <v>0</v>
      </c>
      <c r="J440" s="54" t="s">
        <v>597</v>
      </c>
      <c r="K440" s="54" t="s">
        <v>597</v>
      </c>
    </row>
    <row r="441" spans="1:11">
      <c r="A441" s="50" t="s">
        <v>1480</v>
      </c>
      <c r="B441" s="50" t="s">
        <v>644</v>
      </c>
      <c r="C441" s="50" t="s">
        <v>1461</v>
      </c>
      <c r="D441" s="50" t="s">
        <v>614</v>
      </c>
      <c r="E441" s="51">
        <v>0</v>
      </c>
      <c r="F441" s="52" t="s">
        <v>597</v>
      </c>
      <c r="G441" s="53">
        <v>0</v>
      </c>
      <c r="H441" s="53">
        <v>0</v>
      </c>
      <c r="I441" s="53">
        <v>0</v>
      </c>
      <c r="J441" s="50" t="s">
        <v>597</v>
      </c>
      <c r="K441" s="50" t="s">
        <v>597</v>
      </c>
    </row>
    <row r="442" spans="1:11">
      <c r="A442" s="54" t="s">
        <v>1481</v>
      </c>
      <c r="B442" s="54" t="s">
        <v>647</v>
      </c>
      <c r="C442" s="54" t="s">
        <v>1461</v>
      </c>
      <c r="D442" s="54" t="s">
        <v>614</v>
      </c>
      <c r="E442" s="55">
        <v>0</v>
      </c>
      <c r="F442" s="56" t="s">
        <v>597</v>
      </c>
      <c r="G442" s="57">
        <v>0</v>
      </c>
      <c r="H442" s="57">
        <v>0</v>
      </c>
      <c r="I442" s="57">
        <v>0</v>
      </c>
      <c r="J442" s="54" t="s">
        <v>597</v>
      </c>
      <c r="K442" s="54" t="s">
        <v>597</v>
      </c>
    </row>
    <row r="443" spans="1:11">
      <c r="A443" s="50" t="s">
        <v>1482</v>
      </c>
      <c r="B443" s="50" t="s">
        <v>650</v>
      </c>
      <c r="C443" s="50" t="s">
        <v>1461</v>
      </c>
      <c r="D443" s="50" t="s">
        <v>614</v>
      </c>
      <c r="E443" s="51">
        <v>0</v>
      </c>
      <c r="F443" s="52" t="s">
        <v>597</v>
      </c>
      <c r="G443" s="53">
        <v>0</v>
      </c>
      <c r="H443" s="53">
        <v>0</v>
      </c>
      <c r="I443" s="53">
        <v>0</v>
      </c>
      <c r="J443" s="50" t="s">
        <v>597</v>
      </c>
      <c r="K443" s="50" t="s">
        <v>597</v>
      </c>
    </row>
    <row r="444" spans="1:11">
      <c r="A444" s="54" t="s">
        <v>1483</v>
      </c>
      <c r="B444" s="54" t="s">
        <v>653</v>
      </c>
      <c r="C444" s="54" t="s">
        <v>1461</v>
      </c>
      <c r="D444" s="54" t="s">
        <v>614</v>
      </c>
      <c r="E444" s="55">
        <v>0</v>
      </c>
      <c r="F444" s="56" t="s">
        <v>597</v>
      </c>
      <c r="G444" s="57">
        <v>0</v>
      </c>
      <c r="H444" s="57">
        <v>0</v>
      </c>
      <c r="I444" s="57">
        <v>0</v>
      </c>
      <c r="J444" s="54" t="s">
        <v>597</v>
      </c>
      <c r="K444" s="54" t="s">
        <v>597</v>
      </c>
    </row>
    <row r="445" spans="1:11">
      <c r="A445" s="50" t="s">
        <v>1484</v>
      </c>
      <c r="B445" s="50" t="s">
        <v>656</v>
      </c>
      <c r="C445" s="50" t="s">
        <v>1461</v>
      </c>
      <c r="D445" s="50" t="s">
        <v>614</v>
      </c>
      <c r="E445" s="51">
        <v>0</v>
      </c>
      <c r="F445" s="52" t="s">
        <v>597</v>
      </c>
      <c r="G445" s="53">
        <v>0</v>
      </c>
      <c r="H445" s="53">
        <v>0</v>
      </c>
      <c r="I445" s="53">
        <v>0</v>
      </c>
      <c r="J445" s="50" t="s">
        <v>597</v>
      </c>
      <c r="K445" s="50" t="s">
        <v>597</v>
      </c>
    </row>
    <row r="446" spans="1:11">
      <c r="A446" s="54" t="s">
        <v>1485</v>
      </c>
      <c r="B446" s="54" t="s">
        <v>658</v>
      </c>
      <c r="C446" s="54" t="s">
        <v>1461</v>
      </c>
      <c r="D446" s="54" t="s">
        <v>614</v>
      </c>
      <c r="E446" s="55">
        <v>0</v>
      </c>
      <c r="F446" s="56" t="s">
        <v>597</v>
      </c>
      <c r="G446" s="57">
        <v>0</v>
      </c>
      <c r="H446" s="57">
        <v>0</v>
      </c>
      <c r="I446" s="57">
        <v>0</v>
      </c>
      <c r="J446" s="54" t="s">
        <v>597</v>
      </c>
      <c r="K446" s="54" t="s">
        <v>597</v>
      </c>
    </row>
    <row r="447" spans="1:11">
      <c r="A447" s="50" t="s">
        <v>1486</v>
      </c>
      <c r="B447" s="50" t="s">
        <v>660</v>
      </c>
      <c r="C447" s="50" t="s">
        <v>1461</v>
      </c>
      <c r="D447" s="50" t="s">
        <v>614</v>
      </c>
      <c r="E447" s="51">
        <v>0</v>
      </c>
      <c r="F447" s="52" t="s">
        <v>597</v>
      </c>
      <c r="G447" s="53">
        <v>0</v>
      </c>
      <c r="H447" s="53">
        <v>0</v>
      </c>
      <c r="I447" s="53">
        <v>0</v>
      </c>
      <c r="J447" s="50" t="s">
        <v>597</v>
      </c>
      <c r="K447" s="50" t="s">
        <v>597</v>
      </c>
    </row>
    <row r="448" spans="1:11">
      <c r="A448" s="54" t="s">
        <v>1487</v>
      </c>
      <c r="B448" s="54" t="s">
        <v>663</v>
      </c>
      <c r="C448" s="54" t="s">
        <v>1461</v>
      </c>
      <c r="D448" s="54" t="s">
        <v>614</v>
      </c>
      <c r="E448" s="55">
        <v>0</v>
      </c>
      <c r="F448" s="56" t="s">
        <v>597</v>
      </c>
      <c r="G448" s="57">
        <v>0</v>
      </c>
      <c r="H448" s="57">
        <v>0</v>
      </c>
      <c r="I448" s="57">
        <v>0</v>
      </c>
      <c r="J448" s="54" t="s">
        <v>597</v>
      </c>
      <c r="K448" s="54" t="s">
        <v>597</v>
      </c>
    </row>
    <row r="449" spans="1:11">
      <c r="A449" s="50" t="s">
        <v>1488</v>
      </c>
      <c r="B449" s="50" t="s">
        <v>666</v>
      </c>
      <c r="C449" s="50" t="s">
        <v>1461</v>
      </c>
      <c r="D449" s="50" t="s">
        <v>614</v>
      </c>
      <c r="E449" s="51">
        <v>0</v>
      </c>
      <c r="F449" s="52" t="s">
        <v>597</v>
      </c>
      <c r="G449" s="53">
        <v>0</v>
      </c>
      <c r="H449" s="53">
        <v>0</v>
      </c>
      <c r="I449" s="53">
        <v>0</v>
      </c>
      <c r="J449" s="50" t="s">
        <v>597</v>
      </c>
      <c r="K449" s="50" t="s">
        <v>597</v>
      </c>
    </row>
    <row r="450" spans="1:11">
      <c r="A450" s="54" t="s">
        <v>1489</v>
      </c>
      <c r="B450" s="54" t="s">
        <v>668</v>
      </c>
      <c r="C450" s="54" t="s">
        <v>1461</v>
      </c>
      <c r="D450" s="54" t="s">
        <v>614</v>
      </c>
      <c r="E450" s="55">
        <v>0</v>
      </c>
      <c r="F450" s="56" t="s">
        <v>597</v>
      </c>
      <c r="G450" s="57">
        <v>0</v>
      </c>
      <c r="H450" s="57">
        <v>0</v>
      </c>
      <c r="I450" s="57">
        <v>0</v>
      </c>
      <c r="J450" s="54" t="s">
        <v>597</v>
      </c>
      <c r="K450" s="54" t="s">
        <v>597</v>
      </c>
    </row>
    <row r="451" spans="1:11">
      <c r="A451" s="50" t="s">
        <v>1490</v>
      </c>
      <c r="B451" s="50" t="s">
        <v>671</v>
      </c>
      <c r="C451" s="50" t="s">
        <v>1461</v>
      </c>
      <c r="D451" s="50" t="s">
        <v>614</v>
      </c>
      <c r="E451" s="51">
        <v>0</v>
      </c>
      <c r="F451" s="52" t="s">
        <v>597</v>
      </c>
      <c r="G451" s="53">
        <v>0</v>
      </c>
      <c r="H451" s="53">
        <v>0</v>
      </c>
      <c r="I451" s="53">
        <v>0</v>
      </c>
      <c r="J451" s="50" t="s">
        <v>597</v>
      </c>
      <c r="K451" s="50" t="s">
        <v>597</v>
      </c>
    </row>
    <row r="452" spans="1:11">
      <c r="A452" s="54" t="s">
        <v>1491</v>
      </c>
      <c r="B452" s="54" t="s">
        <v>674</v>
      </c>
      <c r="C452" s="54" t="s">
        <v>1461</v>
      </c>
      <c r="D452" s="54" t="s">
        <v>614</v>
      </c>
      <c r="E452" s="55">
        <v>0</v>
      </c>
      <c r="F452" s="56" t="s">
        <v>597</v>
      </c>
      <c r="G452" s="57">
        <v>0</v>
      </c>
      <c r="H452" s="57">
        <v>0</v>
      </c>
      <c r="I452" s="57">
        <v>0</v>
      </c>
      <c r="J452" s="54" t="s">
        <v>597</v>
      </c>
      <c r="K452" s="54" t="s">
        <v>597</v>
      </c>
    </row>
    <row r="453" spans="1:11">
      <c r="A453" s="50" t="s">
        <v>1492</v>
      </c>
      <c r="B453" s="50" t="s">
        <v>710</v>
      </c>
      <c r="C453" s="50" t="s">
        <v>1461</v>
      </c>
      <c r="D453" s="50" t="s">
        <v>614</v>
      </c>
      <c r="E453" s="51">
        <v>0</v>
      </c>
      <c r="F453" s="52" t="s">
        <v>597</v>
      </c>
      <c r="G453" s="53">
        <v>0</v>
      </c>
      <c r="H453" s="53">
        <v>0</v>
      </c>
      <c r="I453" s="53">
        <v>0</v>
      </c>
      <c r="J453" s="50" t="s">
        <v>597</v>
      </c>
      <c r="K453" s="50" t="s">
        <v>597</v>
      </c>
    </row>
    <row r="454" spans="1:11">
      <c r="A454" s="54" t="s">
        <v>1493</v>
      </c>
      <c r="B454" s="54" t="s">
        <v>712</v>
      </c>
      <c r="C454" s="54" t="s">
        <v>1461</v>
      </c>
      <c r="D454" s="54" t="s">
        <v>614</v>
      </c>
      <c r="E454" s="55">
        <v>0</v>
      </c>
      <c r="F454" s="56" t="s">
        <v>597</v>
      </c>
      <c r="G454" s="57">
        <v>0</v>
      </c>
      <c r="H454" s="57">
        <v>0</v>
      </c>
      <c r="I454" s="57">
        <v>0</v>
      </c>
      <c r="J454" s="54" t="s">
        <v>597</v>
      </c>
      <c r="K454" s="54" t="s">
        <v>597</v>
      </c>
    </row>
    <row r="455" spans="1:11">
      <c r="A455" s="50" t="s">
        <v>1494</v>
      </c>
      <c r="B455" s="50" t="s">
        <v>714</v>
      </c>
      <c r="C455" s="50" t="s">
        <v>1461</v>
      </c>
      <c r="D455" s="50" t="s">
        <v>614</v>
      </c>
      <c r="E455" s="51">
        <v>0</v>
      </c>
      <c r="F455" s="52" t="s">
        <v>597</v>
      </c>
      <c r="G455" s="53">
        <v>0</v>
      </c>
      <c r="H455" s="53">
        <v>0</v>
      </c>
      <c r="I455" s="53">
        <v>0</v>
      </c>
      <c r="J455" s="50" t="s">
        <v>597</v>
      </c>
      <c r="K455" s="50" t="s">
        <v>597</v>
      </c>
    </row>
    <row r="456" spans="1:11">
      <c r="A456" s="54" t="s">
        <v>1495</v>
      </c>
      <c r="B456" s="54" t="s">
        <v>715</v>
      </c>
      <c r="C456" s="54" t="s">
        <v>1461</v>
      </c>
      <c r="D456" s="54" t="s">
        <v>614</v>
      </c>
      <c r="E456" s="55">
        <v>0</v>
      </c>
      <c r="F456" s="56" t="s">
        <v>597</v>
      </c>
      <c r="G456" s="57">
        <v>0</v>
      </c>
      <c r="H456" s="57">
        <v>0</v>
      </c>
      <c r="I456" s="57">
        <v>0</v>
      </c>
      <c r="J456" s="54" t="s">
        <v>597</v>
      </c>
      <c r="K456" s="54" t="s">
        <v>597</v>
      </c>
    </row>
    <row r="457" spans="1:11">
      <c r="A457" s="50" t="s">
        <v>1496</v>
      </c>
      <c r="B457" s="50" t="s">
        <v>718</v>
      </c>
      <c r="C457" s="50" t="s">
        <v>1461</v>
      </c>
      <c r="D457" s="50" t="s">
        <v>614</v>
      </c>
      <c r="E457" s="51">
        <v>0</v>
      </c>
      <c r="F457" s="52" t="s">
        <v>597</v>
      </c>
      <c r="G457" s="53">
        <v>0</v>
      </c>
      <c r="H457" s="53">
        <v>0</v>
      </c>
      <c r="I457" s="53">
        <v>0</v>
      </c>
      <c r="J457" s="50" t="s">
        <v>597</v>
      </c>
      <c r="K457" s="50" t="s">
        <v>597</v>
      </c>
    </row>
    <row r="458" spans="1:11">
      <c r="A458" s="54" t="s">
        <v>1497</v>
      </c>
      <c r="B458" s="54" t="s">
        <v>720</v>
      </c>
      <c r="C458" s="54" t="s">
        <v>1461</v>
      </c>
      <c r="D458" s="54" t="s">
        <v>614</v>
      </c>
      <c r="E458" s="55">
        <v>0</v>
      </c>
      <c r="F458" s="56" t="s">
        <v>597</v>
      </c>
      <c r="G458" s="57">
        <v>0</v>
      </c>
      <c r="H458" s="57">
        <v>0</v>
      </c>
      <c r="I458" s="57">
        <v>0</v>
      </c>
      <c r="J458" s="54" t="s">
        <v>597</v>
      </c>
      <c r="K458" s="54" t="s">
        <v>597</v>
      </c>
    </row>
    <row r="459" spans="1:11">
      <c r="A459" s="50" t="s">
        <v>1498</v>
      </c>
      <c r="B459" s="50" t="s">
        <v>722</v>
      </c>
      <c r="C459" s="50" t="s">
        <v>1461</v>
      </c>
      <c r="D459" s="50" t="s">
        <v>614</v>
      </c>
      <c r="E459" s="51">
        <v>0</v>
      </c>
      <c r="F459" s="52" t="s">
        <v>597</v>
      </c>
      <c r="G459" s="53">
        <v>0</v>
      </c>
      <c r="H459" s="53">
        <v>0</v>
      </c>
      <c r="I459" s="53">
        <v>0</v>
      </c>
      <c r="J459" s="50" t="s">
        <v>597</v>
      </c>
      <c r="K459" s="50" t="s">
        <v>597</v>
      </c>
    </row>
    <row r="460" spans="1:11">
      <c r="A460" s="54" t="s">
        <v>1499</v>
      </c>
      <c r="B460" s="54" t="s">
        <v>724</v>
      </c>
      <c r="C460" s="54" t="s">
        <v>1461</v>
      </c>
      <c r="D460" s="54" t="s">
        <v>614</v>
      </c>
      <c r="E460" s="55">
        <v>0</v>
      </c>
      <c r="F460" s="56" t="s">
        <v>597</v>
      </c>
      <c r="G460" s="57">
        <v>0</v>
      </c>
      <c r="H460" s="57">
        <v>0</v>
      </c>
      <c r="I460" s="57">
        <v>0</v>
      </c>
      <c r="J460" s="54" t="s">
        <v>597</v>
      </c>
      <c r="K460" s="54" t="s">
        <v>597</v>
      </c>
    </row>
    <row r="461" spans="1:11">
      <c r="A461" s="50" t="s">
        <v>1500</v>
      </c>
      <c r="B461" s="50" t="s">
        <v>726</v>
      </c>
      <c r="C461" s="50" t="s">
        <v>1461</v>
      </c>
      <c r="D461" s="50" t="s">
        <v>614</v>
      </c>
      <c r="E461" s="51">
        <v>0</v>
      </c>
      <c r="F461" s="52" t="s">
        <v>597</v>
      </c>
      <c r="G461" s="53">
        <v>0</v>
      </c>
      <c r="H461" s="53">
        <v>0</v>
      </c>
      <c r="I461" s="53">
        <v>0</v>
      </c>
      <c r="J461" s="50" t="s">
        <v>597</v>
      </c>
      <c r="K461" s="50" t="s">
        <v>597</v>
      </c>
    </row>
    <row r="462" spans="1:11">
      <c r="A462" s="54" t="s">
        <v>1501</v>
      </c>
      <c r="B462" s="54" t="s">
        <v>728</v>
      </c>
      <c r="C462" s="54" t="s">
        <v>1461</v>
      </c>
      <c r="D462" s="54" t="s">
        <v>614</v>
      </c>
      <c r="E462" s="55">
        <v>0</v>
      </c>
      <c r="F462" s="56" t="s">
        <v>597</v>
      </c>
      <c r="G462" s="57">
        <v>0</v>
      </c>
      <c r="H462" s="57">
        <v>0</v>
      </c>
      <c r="I462" s="57">
        <v>0</v>
      </c>
      <c r="J462" s="54" t="s">
        <v>597</v>
      </c>
      <c r="K462" s="54" t="s">
        <v>597</v>
      </c>
    </row>
    <row r="463" spans="1:11">
      <c r="A463" s="50" t="s">
        <v>1502</v>
      </c>
      <c r="B463" s="50" t="s">
        <v>391</v>
      </c>
      <c r="C463" s="50" t="s">
        <v>1461</v>
      </c>
      <c r="D463" s="50" t="s">
        <v>614</v>
      </c>
      <c r="E463" s="51">
        <v>0</v>
      </c>
      <c r="F463" s="52" t="s">
        <v>597</v>
      </c>
      <c r="G463" s="53">
        <v>0</v>
      </c>
      <c r="H463" s="53">
        <v>0</v>
      </c>
      <c r="I463" s="53">
        <v>0</v>
      </c>
      <c r="J463" s="50" t="s">
        <v>597</v>
      </c>
      <c r="K463" s="50" t="s">
        <v>597</v>
      </c>
    </row>
    <row r="464" spans="1:11">
      <c r="A464" s="54" t="s">
        <v>1503</v>
      </c>
      <c r="B464" s="54" t="s">
        <v>112</v>
      </c>
      <c r="C464" s="54" t="s">
        <v>1461</v>
      </c>
      <c r="D464" s="54" t="s">
        <v>614</v>
      </c>
      <c r="E464" s="55">
        <v>0</v>
      </c>
      <c r="F464" s="56" t="s">
        <v>597</v>
      </c>
      <c r="G464" s="57">
        <v>0</v>
      </c>
      <c r="H464" s="57">
        <v>0</v>
      </c>
      <c r="I464" s="57">
        <v>0</v>
      </c>
      <c r="J464" s="54" t="s">
        <v>597</v>
      </c>
      <c r="K464" s="54" t="s">
        <v>597</v>
      </c>
    </row>
    <row r="465" spans="1:11">
      <c r="A465" s="50" t="s">
        <v>1504</v>
      </c>
      <c r="B465" s="50" t="s">
        <v>747</v>
      </c>
      <c r="C465" s="50" t="s">
        <v>1461</v>
      </c>
      <c r="D465" s="50" t="s">
        <v>614</v>
      </c>
      <c r="E465" s="51">
        <v>0</v>
      </c>
      <c r="F465" s="52" t="s">
        <v>597</v>
      </c>
      <c r="G465" s="53">
        <v>0</v>
      </c>
      <c r="H465" s="53">
        <v>0</v>
      </c>
      <c r="I465" s="53">
        <v>0</v>
      </c>
      <c r="J465" s="50" t="s">
        <v>597</v>
      </c>
      <c r="K465" s="50" t="s">
        <v>597</v>
      </c>
    </row>
    <row r="466" spans="1:11">
      <c r="A466" s="54" t="s">
        <v>1505</v>
      </c>
      <c r="B466" s="54" t="s">
        <v>748</v>
      </c>
      <c r="C466" s="54" t="s">
        <v>1461</v>
      </c>
      <c r="D466" s="54" t="s">
        <v>614</v>
      </c>
      <c r="E466" s="55">
        <v>0</v>
      </c>
      <c r="F466" s="56" t="s">
        <v>597</v>
      </c>
      <c r="G466" s="57">
        <v>0</v>
      </c>
      <c r="H466" s="57">
        <v>0</v>
      </c>
      <c r="I466" s="57">
        <v>0</v>
      </c>
      <c r="J466" s="54" t="s">
        <v>597</v>
      </c>
      <c r="K466" s="54" t="s">
        <v>597</v>
      </c>
    </row>
    <row r="467" spans="1:11">
      <c r="A467" s="50" t="s">
        <v>1506</v>
      </c>
      <c r="B467" s="50" t="s">
        <v>122</v>
      </c>
      <c r="C467" s="50" t="s">
        <v>1461</v>
      </c>
      <c r="D467" s="50" t="s">
        <v>614</v>
      </c>
      <c r="E467" s="51">
        <v>0</v>
      </c>
      <c r="F467" s="52" t="s">
        <v>597</v>
      </c>
      <c r="G467" s="53">
        <v>0</v>
      </c>
      <c r="H467" s="53">
        <v>0</v>
      </c>
      <c r="I467" s="53">
        <v>0</v>
      </c>
      <c r="J467" s="50" t="s">
        <v>597</v>
      </c>
      <c r="K467" s="50" t="s">
        <v>597</v>
      </c>
    </row>
    <row r="468" spans="1:11">
      <c r="A468" s="54" t="s">
        <v>1507</v>
      </c>
      <c r="B468" s="54" t="s">
        <v>124</v>
      </c>
      <c r="C468" s="54" t="s">
        <v>1461</v>
      </c>
      <c r="D468" s="54" t="s">
        <v>614</v>
      </c>
      <c r="E468" s="55">
        <v>0</v>
      </c>
      <c r="F468" s="56" t="s">
        <v>597</v>
      </c>
      <c r="G468" s="57">
        <v>0</v>
      </c>
      <c r="H468" s="57">
        <v>0</v>
      </c>
      <c r="I468" s="57">
        <v>0</v>
      </c>
      <c r="J468" s="54" t="s">
        <v>597</v>
      </c>
      <c r="K468" s="54" t="s">
        <v>597</v>
      </c>
    </row>
    <row r="469" spans="1:11">
      <c r="A469" s="50" t="s">
        <v>1508</v>
      </c>
      <c r="B469" s="50" t="s">
        <v>750</v>
      </c>
      <c r="C469" s="50" t="s">
        <v>1461</v>
      </c>
      <c r="D469" s="50" t="s">
        <v>614</v>
      </c>
      <c r="E469" s="51">
        <v>0</v>
      </c>
      <c r="F469" s="52" t="s">
        <v>597</v>
      </c>
      <c r="G469" s="53">
        <v>0</v>
      </c>
      <c r="H469" s="53">
        <v>0</v>
      </c>
      <c r="I469" s="53">
        <v>0</v>
      </c>
      <c r="J469" s="50" t="s">
        <v>597</v>
      </c>
      <c r="K469" s="50" t="s">
        <v>597</v>
      </c>
    </row>
    <row r="470" spans="1:11">
      <c r="A470" s="54" t="s">
        <v>1509</v>
      </c>
      <c r="B470" s="54" t="s">
        <v>75</v>
      </c>
      <c r="C470" s="54" t="s">
        <v>1461</v>
      </c>
      <c r="D470" s="54" t="s">
        <v>614</v>
      </c>
      <c r="E470" s="55">
        <v>0</v>
      </c>
      <c r="F470" s="56" t="s">
        <v>597</v>
      </c>
      <c r="G470" s="57">
        <v>0</v>
      </c>
      <c r="H470" s="57">
        <v>0</v>
      </c>
      <c r="I470" s="57">
        <v>0</v>
      </c>
      <c r="J470" s="54" t="s">
        <v>597</v>
      </c>
      <c r="K470" s="54" t="s">
        <v>597</v>
      </c>
    </row>
    <row r="471" spans="1:11">
      <c r="A471" s="50" t="s">
        <v>1510</v>
      </c>
      <c r="B471" s="50" t="s">
        <v>157</v>
      </c>
      <c r="C471" s="50" t="s">
        <v>1461</v>
      </c>
      <c r="D471" s="50" t="s">
        <v>614</v>
      </c>
      <c r="E471" s="51">
        <v>0</v>
      </c>
      <c r="F471" s="52" t="s">
        <v>597</v>
      </c>
      <c r="G471" s="53">
        <v>0</v>
      </c>
      <c r="H471" s="53">
        <v>0</v>
      </c>
      <c r="I471" s="53">
        <v>0</v>
      </c>
      <c r="J471" s="50" t="s">
        <v>597</v>
      </c>
      <c r="K471" s="50" t="s">
        <v>597</v>
      </c>
    </row>
    <row r="472" spans="1:11">
      <c r="A472" s="54" t="s">
        <v>1511</v>
      </c>
      <c r="B472" s="54" t="s">
        <v>131</v>
      </c>
      <c r="C472" s="54" t="s">
        <v>1461</v>
      </c>
      <c r="D472" s="54" t="s">
        <v>614</v>
      </c>
      <c r="E472" s="55">
        <v>0</v>
      </c>
      <c r="F472" s="56" t="s">
        <v>597</v>
      </c>
      <c r="G472" s="57">
        <v>0</v>
      </c>
      <c r="H472" s="57">
        <v>0</v>
      </c>
      <c r="I472" s="57">
        <v>0</v>
      </c>
      <c r="J472" s="54" t="s">
        <v>597</v>
      </c>
      <c r="K472" s="54" t="s">
        <v>597</v>
      </c>
    </row>
    <row r="473" spans="1:11">
      <c r="A473" s="50" t="s">
        <v>1512</v>
      </c>
      <c r="B473" s="50" t="s">
        <v>752</v>
      </c>
      <c r="C473" s="50" t="s">
        <v>1461</v>
      </c>
      <c r="D473" s="50" t="s">
        <v>614</v>
      </c>
      <c r="E473" s="51">
        <v>0</v>
      </c>
      <c r="F473" s="52" t="s">
        <v>597</v>
      </c>
      <c r="G473" s="53">
        <v>0</v>
      </c>
      <c r="H473" s="53">
        <v>0</v>
      </c>
      <c r="I473" s="53">
        <v>0</v>
      </c>
      <c r="J473" s="50" t="s">
        <v>597</v>
      </c>
      <c r="K473" s="50" t="s">
        <v>597</v>
      </c>
    </row>
    <row r="474" spans="1:11">
      <c r="A474" s="54" t="s">
        <v>1513</v>
      </c>
      <c r="B474" s="54" t="s">
        <v>1514</v>
      </c>
      <c r="C474" s="54" t="s">
        <v>1461</v>
      </c>
      <c r="D474" s="54" t="s">
        <v>614</v>
      </c>
      <c r="E474" s="55">
        <v>0</v>
      </c>
      <c r="F474" s="56" t="s">
        <v>597</v>
      </c>
      <c r="G474" s="57">
        <v>0</v>
      </c>
      <c r="H474" s="57">
        <v>0</v>
      </c>
      <c r="I474" s="57">
        <v>0</v>
      </c>
      <c r="J474" s="54" t="s">
        <v>597</v>
      </c>
      <c r="K474" s="54" t="s">
        <v>597</v>
      </c>
    </row>
    <row r="475" spans="1:11">
      <c r="A475" s="50" t="s">
        <v>1515</v>
      </c>
      <c r="B475" s="50" t="s">
        <v>1516</v>
      </c>
      <c r="C475" s="50" t="s">
        <v>1461</v>
      </c>
      <c r="D475" s="50" t="s">
        <v>614</v>
      </c>
      <c r="E475" s="51">
        <v>0</v>
      </c>
      <c r="F475" s="52" t="s">
        <v>597</v>
      </c>
      <c r="G475" s="53">
        <v>0</v>
      </c>
      <c r="H475" s="53">
        <v>0</v>
      </c>
      <c r="I475" s="53">
        <v>0</v>
      </c>
      <c r="J475" s="50" t="s">
        <v>597</v>
      </c>
      <c r="K475" s="50" t="s">
        <v>597</v>
      </c>
    </row>
    <row r="476" spans="1:11">
      <c r="A476" s="54" t="s">
        <v>1517</v>
      </c>
      <c r="B476" s="54" t="s">
        <v>1518</v>
      </c>
      <c r="C476" s="54" t="s">
        <v>1461</v>
      </c>
      <c r="D476" s="54" t="s">
        <v>614</v>
      </c>
      <c r="E476" s="55">
        <v>0</v>
      </c>
      <c r="F476" s="56" t="s">
        <v>597</v>
      </c>
      <c r="G476" s="57">
        <v>0</v>
      </c>
      <c r="H476" s="57">
        <v>0</v>
      </c>
      <c r="I476" s="57">
        <v>0</v>
      </c>
      <c r="J476" s="54" t="s">
        <v>597</v>
      </c>
      <c r="K476" s="54" t="s">
        <v>597</v>
      </c>
    </row>
    <row r="477" spans="1:11">
      <c r="A477" s="50" t="s">
        <v>1519</v>
      </c>
      <c r="B477" s="50" t="s">
        <v>763</v>
      </c>
      <c r="C477" s="50" t="s">
        <v>1461</v>
      </c>
      <c r="D477" s="50" t="s">
        <v>614</v>
      </c>
      <c r="E477" s="51">
        <v>0</v>
      </c>
      <c r="F477" s="52" t="s">
        <v>597</v>
      </c>
      <c r="G477" s="53">
        <v>0</v>
      </c>
      <c r="H477" s="53">
        <v>0</v>
      </c>
      <c r="I477" s="53">
        <v>0</v>
      </c>
      <c r="J477" s="50" t="s">
        <v>597</v>
      </c>
      <c r="K477" s="50" t="s">
        <v>597</v>
      </c>
    </row>
    <row r="478" spans="1:11">
      <c r="A478" s="54" t="s">
        <v>1520</v>
      </c>
      <c r="B478" s="54" t="s">
        <v>866</v>
      </c>
      <c r="C478" s="54" t="s">
        <v>1461</v>
      </c>
      <c r="D478" s="54" t="s">
        <v>614</v>
      </c>
      <c r="E478" s="55">
        <v>0</v>
      </c>
      <c r="F478" s="56" t="s">
        <v>597</v>
      </c>
      <c r="G478" s="57">
        <v>0</v>
      </c>
      <c r="H478" s="57">
        <v>0</v>
      </c>
      <c r="I478" s="57">
        <v>0</v>
      </c>
      <c r="J478" s="54" t="s">
        <v>597</v>
      </c>
      <c r="K478" s="54" t="s">
        <v>597</v>
      </c>
    </row>
    <row r="479" spans="1:11">
      <c r="A479" s="50" t="s">
        <v>1521</v>
      </c>
      <c r="B479" s="50" t="s">
        <v>868</v>
      </c>
      <c r="C479" s="50" t="s">
        <v>1461</v>
      </c>
      <c r="D479" s="50" t="s">
        <v>614</v>
      </c>
      <c r="E479" s="51">
        <v>0</v>
      </c>
      <c r="F479" s="52" t="s">
        <v>597</v>
      </c>
      <c r="G479" s="53">
        <v>0</v>
      </c>
      <c r="H479" s="53">
        <v>0</v>
      </c>
      <c r="I479" s="53">
        <v>0</v>
      </c>
      <c r="J479" s="50" t="s">
        <v>597</v>
      </c>
      <c r="K479" s="50" t="s">
        <v>597</v>
      </c>
    </row>
    <row r="480" spans="1:11">
      <c r="A480" s="54" t="s">
        <v>1522</v>
      </c>
      <c r="B480" s="54" t="s">
        <v>870</v>
      </c>
      <c r="C480" s="54" t="s">
        <v>1461</v>
      </c>
      <c r="D480" s="54" t="s">
        <v>614</v>
      </c>
      <c r="E480" s="55">
        <v>0</v>
      </c>
      <c r="F480" s="56" t="s">
        <v>597</v>
      </c>
      <c r="G480" s="57">
        <v>0</v>
      </c>
      <c r="H480" s="57">
        <v>0</v>
      </c>
      <c r="I480" s="57">
        <v>0</v>
      </c>
      <c r="J480" s="54" t="s">
        <v>597</v>
      </c>
      <c r="K480" s="54" t="s">
        <v>597</v>
      </c>
    </row>
    <row r="481" spans="1:11">
      <c r="A481" s="50" t="s">
        <v>1523</v>
      </c>
      <c r="B481" s="50" t="s">
        <v>1524</v>
      </c>
      <c r="C481" s="50" t="s">
        <v>1461</v>
      </c>
      <c r="D481" s="50" t="s">
        <v>614</v>
      </c>
      <c r="E481" s="51">
        <v>0</v>
      </c>
      <c r="F481" s="52" t="s">
        <v>597</v>
      </c>
      <c r="G481" s="53">
        <v>0</v>
      </c>
      <c r="H481" s="53">
        <v>0</v>
      </c>
      <c r="I481" s="53">
        <v>0</v>
      </c>
      <c r="J481" s="50" t="s">
        <v>597</v>
      </c>
      <c r="K481" s="50" t="s">
        <v>597</v>
      </c>
    </row>
    <row r="482" spans="1:11">
      <c r="A482" s="54" t="s">
        <v>1525</v>
      </c>
      <c r="B482" s="54" t="s">
        <v>1526</v>
      </c>
      <c r="C482" s="54" t="s">
        <v>1461</v>
      </c>
      <c r="D482" s="54" t="s">
        <v>614</v>
      </c>
      <c r="E482" s="55">
        <v>0</v>
      </c>
      <c r="F482" s="56" t="s">
        <v>597</v>
      </c>
      <c r="G482" s="57">
        <v>0</v>
      </c>
      <c r="H482" s="57">
        <v>0</v>
      </c>
      <c r="I482" s="57">
        <v>0</v>
      </c>
      <c r="J482" s="54" t="s">
        <v>597</v>
      </c>
      <c r="K482" s="54" t="s">
        <v>597</v>
      </c>
    </row>
    <row r="483" spans="1:11">
      <c r="A483" s="50" t="s">
        <v>1527</v>
      </c>
      <c r="B483" s="50" t="s">
        <v>1528</v>
      </c>
      <c r="C483" s="50" t="s">
        <v>1461</v>
      </c>
      <c r="D483" s="50" t="s">
        <v>614</v>
      </c>
      <c r="E483" s="51">
        <v>0</v>
      </c>
      <c r="F483" s="52" t="s">
        <v>597</v>
      </c>
      <c r="G483" s="53">
        <v>0</v>
      </c>
      <c r="H483" s="53">
        <v>0</v>
      </c>
      <c r="I483" s="53">
        <v>0</v>
      </c>
      <c r="J483" s="50" t="s">
        <v>597</v>
      </c>
      <c r="K483" s="50" t="s">
        <v>597</v>
      </c>
    </row>
    <row r="484" spans="1:11">
      <c r="A484" s="54" t="s">
        <v>1529</v>
      </c>
      <c r="B484" s="54" t="s">
        <v>1530</v>
      </c>
      <c r="C484" s="54" t="s">
        <v>1461</v>
      </c>
      <c r="D484" s="54" t="s">
        <v>614</v>
      </c>
      <c r="E484" s="55">
        <v>0</v>
      </c>
      <c r="F484" s="56" t="s">
        <v>597</v>
      </c>
      <c r="G484" s="57">
        <v>0</v>
      </c>
      <c r="H484" s="57">
        <v>0</v>
      </c>
      <c r="I484" s="57">
        <v>0</v>
      </c>
      <c r="J484" s="54" t="s">
        <v>597</v>
      </c>
      <c r="K484" s="54" t="s">
        <v>597</v>
      </c>
    </row>
    <row r="485" spans="1:11">
      <c r="A485" s="50" t="s">
        <v>1531</v>
      </c>
      <c r="B485" s="50" t="s">
        <v>1532</v>
      </c>
      <c r="C485" s="50" t="s">
        <v>1461</v>
      </c>
      <c r="D485" s="50" t="s">
        <v>614</v>
      </c>
      <c r="E485" s="51">
        <v>0</v>
      </c>
      <c r="F485" s="52" t="s">
        <v>597</v>
      </c>
      <c r="G485" s="53">
        <v>0</v>
      </c>
      <c r="H485" s="53">
        <v>0</v>
      </c>
      <c r="I485" s="53">
        <v>0</v>
      </c>
      <c r="J485" s="50" t="s">
        <v>597</v>
      </c>
      <c r="K485" s="50" t="s">
        <v>597</v>
      </c>
    </row>
    <row r="486" spans="1:11">
      <c r="A486" s="54" t="s">
        <v>1533</v>
      </c>
      <c r="B486" s="54" t="s">
        <v>883</v>
      </c>
      <c r="C486" s="54" t="s">
        <v>1461</v>
      </c>
      <c r="D486" s="54" t="s">
        <v>614</v>
      </c>
      <c r="E486" s="55">
        <v>0</v>
      </c>
      <c r="F486" s="56" t="s">
        <v>597</v>
      </c>
      <c r="G486" s="57">
        <v>0</v>
      </c>
      <c r="H486" s="57">
        <v>0</v>
      </c>
      <c r="I486" s="57">
        <v>0</v>
      </c>
      <c r="J486" s="54" t="s">
        <v>597</v>
      </c>
      <c r="K486" s="54" t="s">
        <v>597</v>
      </c>
    </row>
    <row r="487" spans="1:11">
      <c r="A487" s="50" t="s">
        <v>1534</v>
      </c>
      <c r="B487" s="50" t="s">
        <v>1535</v>
      </c>
      <c r="C487" s="50" t="s">
        <v>1461</v>
      </c>
      <c r="D487" s="50" t="s">
        <v>614</v>
      </c>
      <c r="E487" s="51">
        <v>0</v>
      </c>
      <c r="F487" s="52" t="s">
        <v>597</v>
      </c>
      <c r="G487" s="53">
        <v>0</v>
      </c>
      <c r="H487" s="53">
        <v>0</v>
      </c>
      <c r="I487" s="53">
        <v>0</v>
      </c>
      <c r="J487" s="50" t="s">
        <v>597</v>
      </c>
      <c r="K487" s="50" t="s">
        <v>597</v>
      </c>
    </row>
    <row r="488" spans="1:11">
      <c r="A488" s="54" t="s">
        <v>1536</v>
      </c>
      <c r="B488" s="54" t="s">
        <v>1537</v>
      </c>
      <c r="C488" s="54" t="s">
        <v>1461</v>
      </c>
      <c r="D488" s="54" t="s">
        <v>614</v>
      </c>
      <c r="E488" s="55">
        <v>0</v>
      </c>
      <c r="F488" s="56" t="s">
        <v>597</v>
      </c>
      <c r="G488" s="57">
        <v>0</v>
      </c>
      <c r="H488" s="57">
        <v>0</v>
      </c>
      <c r="I488" s="57">
        <v>0</v>
      </c>
      <c r="J488" s="54" t="s">
        <v>597</v>
      </c>
      <c r="K488" s="54" t="s">
        <v>597</v>
      </c>
    </row>
    <row r="489" spans="1:11">
      <c r="A489" s="50" t="s">
        <v>1538</v>
      </c>
      <c r="B489" s="50" t="s">
        <v>1539</v>
      </c>
      <c r="C489" s="50" t="s">
        <v>1461</v>
      </c>
      <c r="D489" s="50" t="s">
        <v>614</v>
      </c>
      <c r="E489" s="51">
        <v>0</v>
      </c>
      <c r="F489" s="52" t="s">
        <v>597</v>
      </c>
      <c r="G489" s="53">
        <v>0</v>
      </c>
      <c r="H489" s="53">
        <v>0</v>
      </c>
      <c r="I489" s="53">
        <v>0</v>
      </c>
      <c r="J489" s="50" t="s">
        <v>597</v>
      </c>
      <c r="K489" s="50" t="s">
        <v>597</v>
      </c>
    </row>
    <row r="490" spans="1:11">
      <c r="A490" s="54" t="s">
        <v>1540</v>
      </c>
      <c r="B490" s="54" t="s">
        <v>1541</v>
      </c>
      <c r="C490" s="54" t="s">
        <v>1461</v>
      </c>
      <c r="D490" s="54" t="s">
        <v>614</v>
      </c>
      <c r="E490" s="55">
        <v>0</v>
      </c>
      <c r="F490" s="56" t="s">
        <v>597</v>
      </c>
      <c r="G490" s="57">
        <v>0</v>
      </c>
      <c r="H490" s="57">
        <v>0</v>
      </c>
      <c r="I490" s="57">
        <v>0</v>
      </c>
      <c r="J490" s="54" t="s">
        <v>597</v>
      </c>
      <c r="K490" s="54" t="s">
        <v>597</v>
      </c>
    </row>
    <row r="491" spans="1:11">
      <c r="A491" s="50" t="s">
        <v>1542</v>
      </c>
      <c r="B491" s="50" t="s">
        <v>1543</v>
      </c>
      <c r="C491" s="50" t="s">
        <v>1461</v>
      </c>
      <c r="D491" s="50" t="s">
        <v>614</v>
      </c>
      <c r="E491" s="51">
        <v>0</v>
      </c>
      <c r="F491" s="52" t="s">
        <v>597</v>
      </c>
      <c r="G491" s="53">
        <v>0</v>
      </c>
      <c r="H491" s="53">
        <v>0</v>
      </c>
      <c r="I491" s="53">
        <v>0</v>
      </c>
      <c r="J491" s="50" t="s">
        <v>597</v>
      </c>
      <c r="K491" s="50" t="s">
        <v>597</v>
      </c>
    </row>
    <row r="492" spans="1:11">
      <c r="A492" s="54" t="s">
        <v>1544</v>
      </c>
      <c r="B492" s="54" t="s">
        <v>895</v>
      </c>
      <c r="C492" s="54" t="s">
        <v>1461</v>
      </c>
      <c r="D492" s="54" t="s">
        <v>614</v>
      </c>
      <c r="E492" s="55">
        <v>0</v>
      </c>
      <c r="F492" s="56" t="s">
        <v>597</v>
      </c>
      <c r="G492" s="57">
        <v>0</v>
      </c>
      <c r="H492" s="57">
        <v>0</v>
      </c>
      <c r="I492" s="57">
        <v>0</v>
      </c>
      <c r="J492" s="54" t="s">
        <v>597</v>
      </c>
      <c r="K492" s="54" t="s">
        <v>597</v>
      </c>
    </row>
    <row r="493" spans="1:11">
      <c r="A493" s="50" t="s">
        <v>1545</v>
      </c>
      <c r="B493" s="50" t="s">
        <v>1546</v>
      </c>
      <c r="C493" s="50" t="s">
        <v>1461</v>
      </c>
      <c r="D493" s="50" t="s">
        <v>614</v>
      </c>
      <c r="E493" s="51">
        <v>0</v>
      </c>
      <c r="F493" s="52" t="s">
        <v>597</v>
      </c>
      <c r="G493" s="53">
        <v>0</v>
      </c>
      <c r="H493" s="53">
        <v>0</v>
      </c>
      <c r="I493" s="53">
        <v>0</v>
      </c>
      <c r="J493" s="50" t="s">
        <v>597</v>
      </c>
      <c r="K493" s="50" t="s">
        <v>597</v>
      </c>
    </row>
    <row r="494" spans="1:11">
      <c r="A494" s="54" t="s">
        <v>1547</v>
      </c>
      <c r="B494" s="54" t="s">
        <v>1548</v>
      </c>
      <c r="C494" s="54" t="s">
        <v>1461</v>
      </c>
      <c r="D494" s="54" t="s">
        <v>614</v>
      </c>
      <c r="E494" s="55">
        <v>0</v>
      </c>
      <c r="F494" s="56" t="s">
        <v>597</v>
      </c>
      <c r="G494" s="57">
        <v>0</v>
      </c>
      <c r="H494" s="57">
        <v>0</v>
      </c>
      <c r="I494" s="57">
        <v>0</v>
      </c>
      <c r="J494" s="54" t="s">
        <v>597</v>
      </c>
      <c r="K494" s="54" t="s">
        <v>597</v>
      </c>
    </row>
    <row r="495" spans="1:11">
      <c r="A495" s="50" t="s">
        <v>1549</v>
      </c>
      <c r="B495" s="50" t="s">
        <v>901</v>
      </c>
      <c r="C495" s="50" t="s">
        <v>1461</v>
      </c>
      <c r="D495" s="50" t="s">
        <v>614</v>
      </c>
      <c r="E495" s="51">
        <v>0</v>
      </c>
      <c r="F495" s="52" t="s">
        <v>597</v>
      </c>
      <c r="G495" s="53">
        <v>0</v>
      </c>
      <c r="H495" s="53">
        <v>0</v>
      </c>
      <c r="I495" s="53">
        <v>0</v>
      </c>
      <c r="J495" s="50" t="s">
        <v>597</v>
      </c>
      <c r="K495" s="50" t="s">
        <v>597</v>
      </c>
    </row>
    <row r="496" spans="1:11">
      <c r="A496" s="54" t="s">
        <v>1550</v>
      </c>
      <c r="B496" s="54" t="s">
        <v>1551</v>
      </c>
      <c r="C496" s="54" t="s">
        <v>1461</v>
      </c>
      <c r="D496" s="54" t="s">
        <v>614</v>
      </c>
      <c r="E496" s="55">
        <v>0</v>
      </c>
      <c r="F496" s="56" t="s">
        <v>597</v>
      </c>
      <c r="G496" s="57">
        <v>0</v>
      </c>
      <c r="H496" s="57">
        <v>0</v>
      </c>
      <c r="I496" s="57">
        <v>0</v>
      </c>
      <c r="J496" s="54" t="s">
        <v>597</v>
      </c>
      <c r="K496" s="54" t="s">
        <v>597</v>
      </c>
    </row>
    <row r="497" spans="1:11">
      <c r="A497" s="50" t="s">
        <v>1552</v>
      </c>
      <c r="B497" s="50" t="s">
        <v>1553</v>
      </c>
      <c r="C497" s="50" t="s">
        <v>1461</v>
      </c>
      <c r="D497" s="50" t="s">
        <v>614</v>
      </c>
      <c r="E497" s="51">
        <v>0</v>
      </c>
      <c r="F497" s="52" t="s">
        <v>597</v>
      </c>
      <c r="G497" s="53">
        <v>0</v>
      </c>
      <c r="H497" s="53">
        <v>0</v>
      </c>
      <c r="I497" s="53">
        <v>0</v>
      </c>
      <c r="J497" s="50" t="s">
        <v>597</v>
      </c>
      <c r="K497" s="50" t="s">
        <v>597</v>
      </c>
    </row>
    <row r="498" spans="1:11">
      <c r="A498" s="54" t="s">
        <v>1554</v>
      </c>
      <c r="B498" s="54" t="s">
        <v>1555</v>
      </c>
      <c r="C498" s="54" t="s">
        <v>1461</v>
      </c>
      <c r="D498" s="54" t="s">
        <v>614</v>
      </c>
      <c r="E498" s="55">
        <v>0</v>
      </c>
      <c r="F498" s="56" t="s">
        <v>597</v>
      </c>
      <c r="G498" s="57">
        <v>0</v>
      </c>
      <c r="H498" s="57">
        <v>0</v>
      </c>
      <c r="I498" s="57">
        <v>0</v>
      </c>
      <c r="J498" s="54" t="s">
        <v>597</v>
      </c>
      <c r="K498" s="54" t="s">
        <v>597</v>
      </c>
    </row>
    <row r="499" spans="1:11">
      <c r="A499" s="50" t="s">
        <v>1556</v>
      </c>
      <c r="B499" s="50" t="s">
        <v>1557</v>
      </c>
      <c r="C499" s="50" t="s">
        <v>1461</v>
      </c>
      <c r="D499" s="50" t="s">
        <v>614</v>
      </c>
      <c r="E499" s="51">
        <v>0</v>
      </c>
      <c r="F499" s="52" t="s">
        <v>597</v>
      </c>
      <c r="G499" s="53">
        <v>0</v>
      </c>
      <c r="H499" s="53">
        <v>0</v>
      </c>
      <c r="I499" s="53">
        <v>0</v>
      </c>
      <c r="J499" s="50" t="s">
        <v>597</v>
      </c>
      <c r="K499" s="50" t="s">
        <v>597</v>
      </c>
    </row>
    <row r="500" spans="1:11">
      <c r="A500" s="54" t="s">
        <v>1558</v>
      </c>
      <c r="B500" s="54" t="s">
        <v>1559</v>
      </c>
      <c r="C500" s="54" t="s">
        <v>1461</v>
      </c>
      <c r="D500" s="54" t="s">
        <v>614</v>
      </c>
      <c r="E500" s="55">
        <v>0</v>
      </c>
      <c r="F500" s="56" t="s">
        <v>597</v>
      </c>
      <c r="G500" s="57">
        <v>0</v>
      </c>
      <c r="H500" s="57">
        <v>0</v>
      </c>
      <c r="I500" s="57">
        <v>0</v>
      </c>
      <c r="J500" s="54" t="s">
        <v>597</v>
      </c>
      <c r="K500" s="54" t="s">
        <v>597</v>
      </c>
    </row>
    <row r="501" spans="1:11">
      <c r="A501" s="50" t="s">
        <v>1560</v>
      </c>
      <c r="B501" s="50" t="s">
        <v>913</v>
      </c>
      <c r="C501" s="50" t="s">
        <v>1461</v>
      </c>
      <c r="D501" s="50" t="s">
        <v>614</v>
      </c>
      <c r="E501" s="51">
        <v>0</v>
      </c>
      <c r="F501" s="52" t="s">
        <v>597</v>
      </c>
      <c r="G501" s="53">
        <v>0</v>
      </c>
      <c r="H501" s="53">
        <v>0</v>
      </c>
      <c r="I501" s="53">
        <v>0</v>
      </c>
      <c r="J501" s="50" t="s">
        <v>597</v>
      </c>
      <c r="K501" s="50" t="s">
        <v>597</v>
      </c>
    </row>
    <row r="502" spans="1:11">
      <c r="A502" s="54" t="s">
        <v>1561</v>
      </c>
      <c r="B502" s="54" t="s">
        <v>1562</v>
      </c>
      <c r="C502" s="54" t="s">
        <v>1461</v>
      </c>
      <c r="D502" s="54" t="s">
        <v>614</v>
      </c>
      <c r="E502" s="55">
        <v>0</v>
      </c>
      <c r="F502" s="56" t="s">
        <v>597</v>
      </c>
      <c r="G502" s="57">
        <v>0</v>
      </c>
      <c r="H502" s="57">
        <v>0</v>
      </c>
      <c r="I502" s="57">
        <v>0</v>
      </c>
      <c r="J502" s="54" t="s">
        <v>597</v>
      </c>
      <c r="K502" s="54" t="s">
        <v>597</v>
      </c>
    </row>
    <row r="503" spans="1:11">
      <c r="A503" s="50" t="s">
        <v>1563</v>
      </c>
      <c r="B503" s="50" t="s">
        <v>917</v>
      </c>
      <c r="C503" s="50" t="s">
        <v>1461</v>
      </c>
      <c r="D503" s="50" t="s">
        <v>614</v>
      </c>
      <c r="E503" s="51">
        <v>0</v>
      </c>
      <c r="F503" s="52" t="s">
        <v>597</v>
      </c>
      <c r="G503" s="53">
        <v>0</v>
      </c>
      <c r="H503" s="53">
        <v>0</v>
      </c>
      <c r="I503" s="53">
        <v>0</v>
      </c>
      <c r="J503" s="50" t="s">
        <v>597</v>
      </c>
      <c r="K503" s="50" t="s">
        <v>597</v>
      </c>
    </row>
    <row r="504" spans="1:11">
      <c r="A504" s="54" t="s">
        <v>1564</v>
      </c>
      <c r="B504" s="54" t="s">
        <v>1565</v>
      </c>
      <c r="C504" s="54" t="s">
        <v>1461</v>
      </c>
      <c r="D504" s="54" t="s">
        <v>614</v>
      </c>
      <c r="E504" s="55">
        <v>0</v>
      </c>
      <c r="F504" s="56" t="s">
        <v>597</v>
      </c>
      <c r="G504" s="57">
        <v>0</v>
      </c>
      <c r="H504" s="57">
        <v>0</v>
      </c>
      <c r="I504" s="57">
        <v>0</v>
      </c>
      <c r="J504" s="54" t="s">
        <v>597</v>
      </c>
      <c r="K504" s="54" t="s">
        <v>597</v>
      </c>
    </row>
    <row r="505" spans="1:11">
      <c r="A505" s="50" t="s">
        <v>1566</v>
      </c>
      <c r="B505" s="50" t="s">
        <v>920</v>
      </c>
      <c r="C505" s="50" t="s">
        <v>1461</v>
      </c>
      <c r="D505" s="50" t="s">
        <v>614</v>
      </c>
      <c r="E505" s="51">
        <v>0</v>
      </c>
      <c r="F505" s="52" t="s">
        <v>597</v>
      </c>
      <c r="G505" s="53">
        <v>0</v>
      </c>
      <c r="H505" s="53">
        <v>0</v>
      </c>
      <c r="I505" s="53">
        <v>0</v>
      </c>
      <c r="J505" s="50" t="s">
        <v>597</v>
      </c>
      <c r="K505" s="50" t="s">
        <v>597</v>
      </c>
    </row>
    <row r="506" spans="1:11">
      <c r="A506" s="54" t="s">
        <v>1567</v>
      </c>
      <c r="B506" s="54" t="s">
        <v>1568</v>
      </c>
      <c r="C506" s="54" t="s">
        <v>1461</v>
      </c>
      <c r="D506" s="54" t="s">
        <v>614</v>
      </c>
      <c r="E506" s="55">
        <v>0</v>
      </c>
      <c r="F506" s="56" t="s">
        <v>597</v>
      </c>
      <c r="G506" s="57">
        <v>0</v>
      </c>
      <c r="H506" s="57">
        <v>0</v>
      </c>
      <c r="I506" s="57">
        <v>0</v>
      </c>
      <c r="J506" s="54" t="s">
        <v>597</v>
      </c>
      <c r="K506" s="54" t="s">
        <v>597</v>
      </c>
    </row>
    <row r="507" spans="1:11">
      <c r="A507" s="50" t="s">
        <v>1569</v>
      </c>
      <c r="B507" s="50" t="s">
        <v>1570</v>
      </c>
      <c r="C507" s="50" t="s">
        <v>1461</v>
      </c>
      <c r="D507" s="50" t="s">
        <v>614</v>
      </c>
      <c r="E507" s="51">
        <v>0</v>
      </c>
      <c r="F507" s="52" t="s">
        <v>597</v>
      </c>
      <c r="G507" s="53">
        <v>0</v>
      </c>
      <c r="H507" s="53">
        <v>0</v>
      </c>
      <c r="I507" s="53">
        <v>0</v>
      </c>
      <c r="J507" s="50" t="s">
        <v>597</v>
      </c>
      <c r="K507" s="50" t="s">
        <v>597</v>
      </c>
    </row>
    <row r="508" spans="1:11">
      <c r="A508" s="54" t="s">
        <v>1571</v>
      </c>
      <c r="B508" s="54" t="s">
        <v>1572</v>
      </c>
      <c r="C508" s="54" t="s">
        <v>1461</v>
      </c>
      <c r="D508" s="54" t="s">
        <v>614</v>
      </c>
      <c r="E508" s="55">
        <v>0</v>
      </c>
      <c r="F508" s="56" t="s">
        <v>597</v>
      </c>
      <c r="G508" s="57">
        <v>0</v>
      </c>
      <c r="H508" s="57">
        <v>0</v>
      </c>
      <c r="I508" s="57">
        <v>0</v>
      </c>
      <c r="J508" s="54" t="s">
        <v>597</v>
      </c>
      <c r="K508" s="54" t="s">
        <v>597</v>
      </c>
    </row>
    <row r="509" spans="1:11">
      <c r="A509" s="50" t="s">
        <v>1573</v>
      </c>
      <c r="B509" s="50" t="s">
        <v>927</v>
      </c>
      <c r="C509" s="50" t="s">
        <v>1461</v>
      </c>
      <c r="D509" s="50" t="s">
        <v>614</v>
      </c>
      <c r="E509" s="51">
        <v>0</v>
      </c>
      <c r="F509" s="52" t="s">
        <v>597</v>
      </c>
      <c r="G509" s="53">
        <v>0</v>
      </c>
      <c r="H509" s="53">
        <v>0</v>
      </c>
      <c r="I509" s="53">
        <v>0</v>
      </c>
      <c r="J509" s="50" t="s">
        <v>597</v>
      </c>
      <c r="K509" s="50" t="s">
        <v>597</v>
      </c>
    </row>
    <row r="510" spans="1:11">
      <c r="A510" s="54" t="s">
        <v>1574</v>
      </c>
      <c r="B510" s="54" t="s">
        <v>929</v>
      </c>
      <c r="C510" s="54" t="s">
        <v>1461</v>
      </c>
      <c r="D510" s="54" t="s">
        <v>614</v>
      </c>
      <c r="E510" s="55">
        <v>0</v>
      </c>
      <c r="F510" s="56" t="s">
        <v>597</v>
      </c>
      <c r="G510" s="57">
        <v>0</v>
      </c>
      <c r="H510" s="57">
        <v>0</v>
      </c>
      <c r="I510" s="57">
        <v>0</v>
      </c>
      <c r="J510" s="54" t="s">
        <v>597</v>
      </c>
      <c r="K510" s="54" t="s">
        <v>597</v>
      </c>
    </row>
    <row r="511" spans="1:11">
      <c r="A511" s="50" t="s">
        <v>1575</v>
      </c>
      <c r="B511" s="50" t="s">
        <v>931</v>
      </c>
      <c r="C511" s="50" t="s">
        <v>1461</v>
      </c>
      <c r="D511" s="50" t="s">
        <v>614</v>
      </c>
      <c r="E511" s="51">
        <v>0</v>
      </c>
      <c r="F511" s="52" t="s">
        <v>597</v>
      </c>
      <c r="G511" s="53">
        <v>0</v>
      </c>
      <c r="H511" s="53">
        <v>0</v>
      </c>
      <c r="I511" s="53">
        <v>0</v>
      </c>
      <c r="J511" s="50" t="s">
        <v>597</v>
      </c>
      <c r="K511" s="50" t="s">
        <v>597</v>
      </c>
    </row>
    <row r="512" spans="1:11">
      <c r="A512" s="54" t="s">
        <v>1576</v>
      </c>
      <c r="B512" s="54" t="s">
        <v>933</v>
      </c>
      <c r="C512" s="54" t="s">
        <v>1461</v>
      </c>
      <c r="D512" s="54" t="s">
        <v>614</v>
      </c>
      <c r="E512" s="55">
        <v>0</v>
      </c>
      <c r="F512" s="56" t="s">
        <v>597</v>
      </c>
      <c r="G512" s="57">
        <v>0</v>
      </c>
      <c r="H512" s="57">
        <v>0</v>
      </c>
      <c r="I512" s="57">
        <v>0</v>
      </c>
      <c r="J512" s="54" t="s">
        <v>597</v>
      </c>
      <c r="K512" s="54" t="s">
        <v>597</v>
      </c>
    </row>
    <row r="513" spans="1:11">
      <c r="A513" s="50" t="s">
        <v>1577</v>
      </c>
      <c r="B513" s="50" t="s">
        <v>935</v>
      </c>
      <c r="C513" s="50" t="s">
        <v>1461</v>
      </c>
      <c r="D513" s="50" t="s">
        <v>614</v>
      </c>
      <c r="E513" s="51">
        <v>0</v>
      </c>
      <c r="F513" s="52" t="s">
        <v>597</v>
      </c>
      <c r="G513" s="53">
        <v>0</v>
      </c>
      <c r="H513" s="53">
        <v>0</v>
      </c>
      <c r="I513" s="53">
        <v>0</v>
      </c>
      <c r="J513" s="50" t="s">
        <v>597</v>
      </c>
      <c r="K513" s="50" t="s">
        <v>597</v>
      </c>
    </row>
    <row r="514" spans="1:11">
      <c r="A514" s="54" t="s">
        <v>1578</v>
      </c>
      <c r="B514" s="54" t="s">
        <v>937</v>
      </c>
      <c r="C514" s="54" t="s">
        <v>1461</v>
      </c>
      <c r="D514" s="54" t="s">
        <v>614</v>
      </c>
      <c r="E514" s="55">
        <v>0</v>
      </c>
      <c r="F514" s="56" t="s">
        <v>597</v>
      </c>
      <c r="G514" s="57">
        <v>0</v>
      </c>
      <c r="H514" s="57">
        <v>0</v>
      </c>
      <c r="I514" s="57">
        <v>0</v>
      </c>
      <c r="J514" s="54" t="s">
        <v>597</v>
      </c>
      <c r="K514" s="54" t="s">
        <v>597</v>
      </c>
    </row>
    <row r="515" spans="1:11">
      <c r="A515" s="50" t="s">
        <v>1579</v>
      </c>
      <c r="B515" s="50" t="s">
        <v>939</v>
      </c>
      <c r="C515" s="50" t="s">
        <v>1461</v>
      </c>
      <c r="D515" s="50" t="s">
        <v>614</v>
      </c>
      <c r="E515" s="51">
        <v>0</v>
      </c>
      <c r="F515" s="52" t="s">
        <v>597</v>
      </c>
      <c r="G515" s="53">
        <v>0</v>
      </c>
      <c r="H515" s="53">
        <v>0</v>
      </c>
      <c r="I515" s="53">
        <v>0</v>
      </c>
      <c r="J515" s="50" t="s">
        <v>597</v>
      </c>
      <c r="K515" s="50" t="s">
        <v>597</v>
      </c>
    </row>
    <row r="516" spans="1:11">
      <c r="A516" s="54" t="s">
        <v>1580</v>
      </c>
      <c r="B516" s="54" t="s">
        <v>941</v>
      </c>
      <c r="C516" s="54" t="s">
        <v>1461</v>
      </c>
      <c r="D516" s="54" t="s">
        <v>614</v>
      </c>
      <c r="E516" s="55">
        <v>0</v>
      </c>
      <c r="F516" s="56" t="s">
        <v>597</v>
      </c>
      <c r="G516" s="57">
        <v>0</v>
      </c>
      <c r="H516" s="57">
        <v>0</v>
      </c>
      <c r="I516" s="57">
        <v>0</v>
      </c>
      <c r="J516" s="54" t="s">
        <v>597</v>
      </c>
      <c r="K516" s="54" t="s">
        <v>597</v>
      </c>
    </row>
    <row r="517" spans="1:11">
      <c r="A517" s="50" t="s">
        <v>1581</v>
      </c>
      <c r="B517" s="50" t="s">
        <v>943</v>
      </c>
      <c r="C517" s="50" t="s">
        <v>1461</v>
      </c>
      <c r="D517" s="50" t="s">
        <v>614</v>
      </c>
      <c r="E517" s="51">
        <v>0</v>
      </c>
      <c r="F517" s="52" t="s">
        <v>597</v>
      </c>
      <c r="G517" s="53">
        <v>0</v>
      </c>
      <c r="H517" s="53">
        <v>0</v>
      </c>
      <c r="I517" s="53">
        <v>0</v>
      </c>
      <c r="J517" s="50" t="s">
        <v>597</v>
      </c>
      <c r="K517" s="50" t="s">
        <v>597</v>
      </c>
    </row>
    <row r="518" spans="1:11">
      <c r="A518" s="54" t="s">
        <v>1582</v>
      </c>
      <c r="B518" s="54" t="s">
        <v>1583</v>
      </c>
      <c r="C518" s="54" t="s">
        <v>1461</v>
      </c>
      <c r="D518" s="54" t="s">
        <v>614</v>
      </c>
      <c r="E518" s="55">
        <v>0</v>
      </c>
      <c r="F518" s="56" t="s">
        <v>597</v>
      </c>
      <c r="G518" s="57">
        <v>0</v>
      </c>
      <c r="H518" s="57">
        <v>0</v>
      </c>
      <c r="I518" s="57">
        <v>0</v>
      </c>
      <c r="J518" s="54" t="s">
        <v>597</v>
      </c>
      <c r="K518" s="54" t="s">
        <v>597</v>
      </c>
    </row>
    <row r="519" spans="1:11">
      <c r="A519" s="50" t="s">
        <v>1584</v>
      </c>
      <c r="B519" s="50" t="s">
        <v>947</v>
      </c>
      <c r="C519" s="50" t="s">
        <v>1461</v>
      </c>
      <c r="D519" s="50" t="s">
        <v>614</v>
      </c>
      <c r="E519" s="51">
        <v>0</v>
      </c>
      <c r="F519" s="52" t="s">
        <v>597</v>
      </c>
      <c r="G519" s="53">
        <v>0</v>
      </c>
      <c r="H519" s="53">
        <v>0</v>
      </c>
      <c r="I519" s="53">
        <v>0</v>
      </c>
      <c r="J519" s="50" t="s">
        <v>597</v>
      </c>
      <c r="K519" s="50" t="s">
        <v>597</v>
      </c>
    </row>
    <row r="520" spans="1:11">
      <c r="A520" s="54" t="s">
        <v>1585</v>
      </c>
      <c r="B520" s="54" t="s">
        <v>1586</v>
      </c>
      <c r="C520" s="54" t="s">
        <v>1461</v>
      </c>
      <c r="D520" s="54" t="s">
        <v>614</v>
      </c>
      <c r="E520" s="55">
        <v>0</v>
      </c>
      <c r="F520" s="56" t="s">
        <v>597</v>
      </c>
      <c r="G520" s="57">
        <v>0</v>
      </c>
      <c r="H520" s="57">
        <v>0</v>
      </c>
      <c r="I520" s="57">
        <v>0</v>
      </c>
      <c r="J520" s="54" t="s">
        <v>597</v>
      </c>
      <c r="K520" s="54" t="s">
        <v>597</v>
      </c>
    </row>
    <row r="521" spans="1:11">
      <c r="A521" s="50" t="s">
        <v>1587</v>
      </c>
      <c r="B521" s="50" t="s">
        <v>951</v>
      </c>
      <c r="C521" s="50" t="s">
        <v>1461</v>
      </c>
      <c r="D521" s="50" t="s">
        <v>614</v>
      </c>
      <c r="E521" s="51">
        <v>0</v>
      </c>
      <c r="F521" s="52" t="s">
        <v>597</v>
      </c>
      <c r="G521" s="53">
        <v>0</v>
      </c>
      <c r="H521" s="53">
        <v>0</v>
      </c>
      <c r="I521" s="53">
        <v>0</v>
      </c>
      <c r="J521" s="50" t="s">
        <v>597</v>
      </c>
      <c r="K521" s="50" t="s">
        <v>597</v>
      </c>
    </row>
    <row r="522" spans="1:11">
      <c r="A522" s="54" t="s">
        <v>1588</v>
      </c>
      <c r="B522" s="54" t="s">
        <v>1589</v>
      </c>
      <c r="C522" s="54" t="s">
        <v>1461</v>
      </c>
      <c r="D522" s="54" t="s">
        <v>614</v>
      </c>
      <c r="E522" s="55">
        <v>0</v>
      </c>
      <c r="F522" s="56" t="s">
        <v>597</v>
      </c>
      <c r="G522" s="57">
        <v>0</v>
      </c>
      <c r="H522" s="57">
        <v>0</v>
      </c>
      <c r="I522" s="57">
        <v>0</v>
      </c>
      <c r="J522" s="54" t="s">
        <v>597</v>
      </c>
      <c r="K522" s="54" t="s">
        <v>597</v>
      </c>
    </row>
    <row r="523" spans="1:11">
      <c r="A523" s="50" t="s">
        <v>1590</v>
      </c>
      <c r="B523" s="50" t="s">
        <v>955</v>
      </c>
      <c r="C523" s="50" t="s">
        <v>1461</v>
      </c>
      <c r="D523" s="50" t="s">
        <v>614</v>
      </c>
      <c r="E523" s="51">
        <v>0</v>
      </c>
      <c r="F523" s="52" t="s">
        <v>597</v>
      </c>
      <c r="G523" s="53">
        <v>0</v>
      </c>
      <c r="H523" s="53">
        <v>0</v>
      </c>
      <c r="I523" s="53">
        <v>0</v>
      </c>
      <c r="J523" s="50" t="s">
        <v>597</v>
      </c>
      <c r="K523" s="50" t="s">
        <v>597</v>
      </c>
    </row>
    <row r="524" spans="1:11">
      <c r="A524" s="54" t="s">
        <v>1591</v>
      </c>
      <c r="B524" s="54" t="s">
        <v>957</v>
      </c>
      <c r="C524" s="54" t="s">
        <v>1461</v>
      </c>
      <c r="D524" s="54" t="s">
        <v>614</v>
      </c>
      <c r="E524" s="55">
        <v>0</v>
      </c>
      <c r="F524" s="56" t="s">
        <v>597</v>
      </c>
      <c r="G524" s="57">
        <v>0</v>
      </c>
      <c r="H524" s="57">
        <v>0</v>
      </c>
      <c r="I524" s="57">
        <v>0</v>
      </c>
      <c r="J524" s="54" t="s">
        <v>597</v>
      </c>
      <c r="K524" s="54" t="s">
        <v>597</v>
      </c>
    </row>
    <row r="525" spans="1:11">
      <c r="A525" s="50" t="s">
        <v>1592</v>
      </c>
      <c r="B525" s="50" t="s">
        <v>959</v>
      </c>
      <c r="C525" s="50" t="s">
        <v>1461</v>
      </c>
      <c r="D525" s="50" t="s">
        <v>614</v>
      </c>
      <c r="E525" s="51">
        <v>0</v>
      </c>
      <c r="F525" s="52" t="s">
        <v>597</v>
      </c>
      <c r="G525" s="53">
        <v>0</v>
      </c>
      <c r="H525" s="53">
        <v>0</v>
      </c>
      <c r="I525" s="53">
        <v>0</v>
      </c>
      <c r="J525" s="50" t="s">
        <v>597</v>
      </c>
      <c r="K525" s="50" t="s">
        <v>597</v>
      </c>
    </row>
    <row r="526" spans="1:11">
      <c r="A526" s="54" t="s">
        <v>1593</v>
      </c>
      <c r="B526" s="54" t="s">
        <v>961</v>
      </c>
      <c r="C526" s="54" t="s">
        <v>1461</v>
      </c>
      <c r="D526" s="54" t="s">
        <v>614</v>
      </c>
      <c r="E526" s="55">
        <v>0</v>
      </c>
      <c r="F526" s="56" t="s">
        <v>597</v>
      </c>
      <c r="G526" s="57">
        <v>0</v>
      </c>
      <c r="H526" s="57">
        <v>0</v>
      </c>
      <c r="I526" s="57">
        <v>0</v>
      </c>
      <c r="J526" s="54" t="s">
        <v>597</v>
      </c>
      <c r="K526" s="54" t="s">
        <v>597</v>
      </c>
    </row>
    <row r="527" spans="1:11">
      <c r="A527" s="50" t="s">
        <v>1594</v>
      </c>
      <c r="B527" s="50" t="s">
        <v>963</v>
      </c>
      <c r="C527" s="50" t="s">
        <v>1461</v>
      </c>
      <c r="D527" s="50" t="s">
        <v>614</v>
      </c>
      <c r="E527" s="51">
        <v>0</v>
      </c>
      <c r="F527" s="52" t="s">
        <v>597</v>
      </c>
      <c r="G527" s="53">
        <v>0</v>
      </c>
      <c r="H527" s="53">
        <v>0</v>
      </c>
      <c r="I527" s="53">
        <v>0</v>
      </c>
      <c r="J527" s="50" t="s">
        <v>597</v>
      </c>
      <c r="K527" s="50" t="s">
        <v>597</v>
      </c>
    </row>
    <row r="528" spans="1:11">
      <c r="A528" s="54" t="s">
        <v>1595</v>
      </c>
      <c r="B528" s="54" t="s">
        <v>965</v>
      </c>
      <c r="C528" s="54" t="s">
        <v>1461</v>
      </c>
      <c r="D528" s="54" t="s">
        <v>614</v>
      </c>
      <c r="E528" s="55">
        <v>0</v>
      </c>
      <c r="F528" s="56" t="s">
        <v>597</v>
      </c>
      <c r="G528" s="57">
        <v>0</v>
      </c>
      <c r="H528" s="57">
        <v>0</v>
      </c>
      <c r="I528" s="57">
        <v>0</v>
      </c>
      <c r="J528" s="54" t="s">
        <v>597</v>
      </c>
      <c r="K528" s="54" t="s">
        <v>597</v>
      </c>
    </row>
    <row r="529" spans="1:11">
      <c r="A529" s="50" t="s">
        <v>1596</v>
      </c>
      <c r="B529" s="50" t="s">
        <v>967</v>
      </c>
      <c r="C529" s="50" t="s">
        <v>1461</v>
      </c>
      <c r="D529" s="50" t="s">
        <v>614</v>
      </c>
      <c r="E529" s="51">
        <v>0</v>
      </c>
      <c r="F529" s="52" t="s">
        <v>597</v>
      </c>
      <c r="G529" s="53">
        <v>0</v>
      </c>
      <c r="H529" s="53">
        <v>0</v>
      </c>
      <c r="I529" s="53">
        <v>0</v>
      </c>
      <c r="J529" s="50" t="s">
        <v>597</v>
      </c>
      <c r="K529" s="50" t="s">
        <v>597</v>
      </c>
    </row>
    <row r="530" spans="1:11">
      <c r="A530" s="54" t="s">
        <v>1597</v>
      </c>
      <c r="B530" s="54" t="s">
        <v>969</v>
      </c>
      <c r="C530" s="54" t="s">
        <v>1461</v>
      </c>
      <c r="D530" s="54" t="s">
        <v>614</v>
      </c>
      <c r="E530" s="55">
        <v>0</v>
      </c>
      <c r="F530" s="56" t="s">
        <v>597</v>
      </c>
      <c r="G530" s="57">
        <v>0</v>
      </c>
      <c r="H530" s="57">
        <v>0</v>
      </c>
      <c r="I530" s="57">
        <v>0</v>
      </c>
      <c r="J530" s="54" t="s">
        <v>597</v>
      </c>
      <c r="K530" s="54" t="s">
        <v>597</v>
      </c>
    </row>
    <row r="531" spans="1:11">
      <c r="A531" s="50" t="s">
        <v>1598</v>
      </c>
      <c r="B531" s="50" t="s">
        <v>971</v>
      </c>
      <c r="C531" s="50" t="s">
        <v>1461</v>
      </c>
      <c r="D531" s="50" t="s">
        <v>614</v>
      </c>
      <c r="E531" s="51">
        <v>0</v>
      </c>
      <c r="F531" s="52" t="s">
        <v>597</v>
      </c>
      <c r="G531" s="53">
        <v>0</v>
      </c>
      <c r="H531" s="53">
        <v>0</v>
      </c>
      <c r="I531" s="53">
        <v>0</v>
      </c>
      <c r="J531" s="50" t="s">
        <v>597</v>
      </c>
      <c r="K531" s="50" t="s">
        <v>597</v>
      </c>
    </row>
    <row r="532" spans="1:11">
      <c r="A532" s="54" t="s">
        <v>1599</v>
      </c>
      <c r="B532" s="54" t="s">
        <v>973</v>
      </c>
      <c r="C532" s="54" t="s">
        <v>1461</v>
      </c>
      <c r="D532" s="54" t="s">
        <v>614</v>
      </c>
      <c r="E532" s="55">
        <v>0</v>
      </c>
      <c r="F532" s="56" t="s">
        <v>597</v>
      </c>
      <c r="G532" s="57">
        <v>0</v>
      </c>
      <c r="H532" s="57">
        <v>0</v>
      </c>
      <c r="I532" s="57">
        <v>0</v>
      </c>
      <c r="J532" s="54" t="s">
        <v>597</v>
      </c>
      <c r="K532" s="54" t="s">
        <v>597</v>
      </c>
    </row>
    <row r="533" spans="1:11">
      <c r="A533" s="50" t="s">
        <v>1600</v>
      </c>
      <c r="B533" s="50" t="s">
        <v>975</v>
      </c>
      <c r="C533" s="50" t="s">
        <v>1461</v>
      </c>
      <c r="D533" s="50" t="s">
        <v>614</v>
      </c>
      <c r="E533" s="51">
        <v>0</v>
      </c>
      <c r="F533" s="52" t="s">
        <v>597</v>
      </c>
      <c r="G533" s="53">
        <v>0</v>
      </c>
      <c r="H533" s="53">
        <v>0</v>
      </c>
      <c r="I533" s="53">
        <v>0</v>
      </c>
      <c r="J533" s="50" t="s">
        <v>597</v>
      </c>
      <c r="K533" s="50" t="s">
        <v>597</v>
      </c>
    </row>
    <row r="534" spans="1:11">
      <c r="A534" s="54" t="s">
        <v>1601</v>
      </c>
      <c r="B534" s="54" t="s">
        <v>977</v>
      </c>
      <c r="C534" s="54" t="s">
        <v>1461</v>
      </c>
      <c r="D534" s="54" t="s">
        <v>614</v>
      </c>
      <c r="E534" s="55">
        <v>0</v>
      </c>
      <c r="F534" s="56" t="s">
        <v>597</v>
      </c>
      <c r="G534" s="57">
        <v>0</v>
      </c>
      <c r="H534" s="57">
        <v>0</v>
      </c>
      <c r="I534" s="57">
        <v>0</v>
      </c>
      <c r="J534" s="54" t="s">
        <v>597</v>
      </c>
      <c r="K534" s="54" t="s">
        <v>597</v>
      </c>
    </row>
    <row r="535" spans="1:11">
      <c r="A535" s="50" t="s">
        <v>1602</v>
      </c>
      <c r="B535" s="50" t="s">
        <v>979</v>
      </c>
      <c r="C535" s="50" t="s">
        <v>1461</v>
      </c>
      <c r="D535" s="50" t="s">
        <v>614</v>
      </c>
      <c r="E535" s="51">
        <v>0</v>
      </c>
      <c r="F535" s="52" t="s">
        <v>597</v>
      </c>
      <c r="G535" s="53">
        <v>0</v>
      </c>
      <c r="H535" s="53">
        <v>0</v>
      </c>
      <c r="I535" s="53">
        <v>0</v>
      </c>
      <c r="J535" s="50" t="s">
        <v>597</v>
      </c>
      <c r="K535" s="50" t="s">
        <v>597</v>
      </c>
    </row>
    <row r="536" spans="1:11">
      <c r="A536" s="54" t="s">
        <v>1603</v>
      </c>
      <c r="B536" s="54" t="s">
        <v>981</v>
      </c>
      <c r="C536" s="54" t="s">
        <v>1461</v>
      </c>
      <c r="D536" s="54" t="s">
        <v>614</v>
      </c>
      <c r="E536" s="55">
        <v>0</v>
      </c>
      <c r="F536" s="56" t="s">
        <v>597</v>
      </c>
      <c r="G536" s="57">
        <v>0</v>
      </c>
      <c r="H536" s="57">
        <v>0</v>
      </c>
      <c r="I536" s="57">
        <v>0</v>
      </c>
      <c r="J536" s="54" t="s">
        <v>597</v>
      </c>
      <c r="K536" s="54" t="s">
        <v>597</v>
      </c>
    </row>
    <row r="537" spans="1:11">
      <c r="A537" s="50" t="s">
        <v>1604</v>
      </c>
      <c r="B537" s="50" t="s">
        <v>1047</v>
      </c>
      <c r="C537" s="50" t="s">
        <v>1461</v>
      </c>
      <c r="D537" s="50" t="s">
        <v>614</v>
      </c>
      <c r="E537" s="51">
        <v>0</v>
      </c>
      <c r="F537" s="52" t="s">
        <v>597</v>
      </c>
      <c r="G537" s="53">
        <v>0</v>
      </c>
      <c r="H537" s="53">
        <v>0</v>
      </c>
      <c r="I537" s="53">
        <v>0</v>
      </c>
      <c r="J537" s="50" t="s">
        <v>597</v>
      </c>
      <c r="K537" s="50" t="s">
        <v>597</v>
      </c>
    </row>
    <row r="538" spans="1:11">
      <c r="A538" s="54" t="s">
        <v>1605</v>
      </c>
      <c r="B538" s="54" t="s">
        <v>1606</v>
      </c>
      <c r="C538" s="54" t="s">
        <v>1461</v>
      </c>
      <c r="D538" s="54" t="s">
        <v>614</v>
      </c>
      <c r="E538" s="55">
        <v>0</v>
      </c>
      <c r="F538" s="56" t="s">
        <v>597</v>
      </c>
      <c r="G538" s="57">
        <v>0</v>
      </c>
      <c r="H538" s="57">
        <v>0</v>
      </c>
      <c r="I538" s="57">
        <v>0</v>
      </c>
      <c r="J538" s="54" t="s">
        <v>597</v>
      </c>
      <c r="K538" s="54" t="s">
        <v>597</v>
      </c>
    </row>
    <row r="539" spans="1:11">
      <c r="A539" s="50" t="s">
        <v>1607</v>
      </c>
      <c r="B539" s="50" t="s">
        <v>1608</v>
      </c>
      <c r="C539" s="50" t="s">
        <v>1461</v>
      </c>
      <c r="D539" s="50" t="s">
        <v>614</v>
      </c>
      <c r="E539" s="51">
        <v>0</v>
      </c>
      <c r="F539" s="52" t="s">
        <v>597</v>
      </c>
      <c r="G539" s="53">
        <v>0</v>
      </c>
      <c r="H539" s="53">
        <v>0</v>
      </c>
      <c r="I539" s="53">
        <v>0</v>
      </c>
      <c r="J539" s="50" t="s">
        <v>597</v>
      </c>
      <c r="K539" s="50" t="s">
        <v>597</v>
      </c>
    </row>
    <row r="540" spans="1:11">
      <c r="A540" s="54" t="s">
        <v>1609</v>
      </c>
      <c r="B540" s="54" t="s">
        <v>1053</v>
      </c>
      <c r="C540" s="54" t="s">
        <v>1461</v>
      </c>
      <c r="D540" s="54" t="s">
        <v>614</v>
      </c>
      <c r="E540" s="55">
        <v>0</v>
      </c>
      <c r="F540" s="56" t="s">
        <v>597</v>
      </c>
      <c r="G540" s="57">
        <v>0</v>
      </c>
      <c r="H540" s="57">
        <v>0</v>
      </c>
      <c r="I540" s="57">
        <v>0</v>
      </c>
      <c r="J540" s="54" t="s">
        <v>597</v>
      </c>
      <c r="K540" s="54" t="s">
        <v>597</v>
      </c>
    </row>
    <row r="541" spans="1:11">
      <c r="A541" s="50" t="s">
        <v>1610</v>
      </c>
      <c r="B541" s="50" t="s">
        <v>1611</v>
      </c>
      <c r="C541" s="50" t="s">
        <v>1461</v>
      </c>
      <c r="D541" s="50" t="s">
        <v>614</v>
      </c>
      <c r="E541" s="51">
        <v>0</v>
      </c>
      <c r="F541" s="52" t="s">
        <v>597</v>
      </c>
      <c r="G541" s="53">
        <v>0</v>
      </c>
      <c r="H541" s="53">
        <v>0</v>
      </c>
      <c r="I541" s="53">
        <v>0</v>
      </c>
      <c r="J541" s="50" t="s">
        <v>597</v>
      </c>
      <c r="K541" s="50" t="s">
        <v>597</v>
      </c>
    </row>
    <row r="542" spans="1:11">
      <c r="A542" s="54" t="s">
        <v>1612</v>
      </c>
      <c r="B542" s="54" t="s">
        <v>1613</v>
      </c>
      <c r="C542" s="54" t="s">
        <v>1461</v>
      </c>
      <c r="D542" s="54" t="s">
        <v>614</v>
      </c>
      <c r="E542" s="55">
        <v>0</v>
      </c>
      <c r="F542" s="56" t="s">
        <v>597</v>
      </c>
      <c r="G542" s="57">
        <v>0</v>
      </c>
      <c r="H542" s="57">
        <v>0</v>
      </c>
      <c r="I542" s="57">
        <v>0</v>
      </c>
      <c r="J542" s="54" t="s">
        <v>597</v>
      </c>
      <c r="K542" s="54" t="s">
        <v>597</v>
      </c>
    </row>
    <row r="543" spans="1:11">
      <c r="A543" s="50" t="s">
        <v>1614</v>
      </c>
      <c r="B543" s="50" t="s">
        <v>1615</v>
      </c>
      <c r="C543" s="50" t="s">
        <v>1461</v>
      </c>
      <c r="D543" s="50" t="s">
        <v>614</v>
      </c>
      <c r="E543" s="51">
        <v>0</v>
      </c>
      <c r="F543" s="52" t="s">
        <v>597</v>
      </c>
      <c r="G543" s="53">
        <v>0</v>
      </c>
      <c r="H543" s="53">
        <v>0</v>
      </c>
      <c r="I543" s="53">
        <v>0</v>
      </c>
      <c r="J543" s="50" t="s">
        <v>597</v>
      </c>
      <c r="K543" s="50" t="s">
        <v>597</v>
      </c>
    </row>
    <row r="544" spans="1:11">
      <c r="A544" s="54" t="s">
        <v>1616</v>
      </c>
      <c r="B544" s="54" t="s">
        <v>1061</v>
      </c>
      <c r="C544" s="54" t="s">
        <v>1461</v>
      </c>
      <c r="D544" s="54" t="s">
        <v>614</v>
      </c>
      <c r="E544" s="55">
        <v>0</v>
      </c>
      <c r="F544" s="56" t="s">
        <v>597</v>
      </c>
      <c r="G544" s="57">
        <v>0</v>
      </c>
      <c r="H544" s="57">
        <v>0</v>
      </c>
      <c r="I544" s="57">
        <v>0</v>
      </c>
      <c r="J544" s="54" t="s">
        <v>597</v>
      </c>
      <c r="K544" s="54" t="s">
        <v>597</v>
      </c>
    </row>
    <row r="545" spans="1:11">
      <c r="A545" s="50" t="s">
        <v>1617</v>
      </c>
      <c r="B545" s="50" t="s">
        <v>1063</v>
      </c>
      <c r="C545" s="50" t="s">
        <v>1461</v>
      </c>
      <c r="D545" s="50" t="s">
        <v>614</v>
      </c>
      <c r="E545" s="51">
        <v>0</v>
      </c>
      <c r="F545" s="52" t="s">
        <v>597</v>
      </c>
      <c r="G545" s="53">
        <v>0</v>
      </c>
      <c r="H545" s="53">
        <v>0</v>
      </c>
      <c r="I545" s="53">
        <v>0</v>
      </c>
      <c r="J545" s="50" t="s">
        <v>597</v>
      </c>
      <c r="K545" s="50" t="s">
        <v>597</v>
      </c>
    </row>
    <row r="546" spans="1:11">
      <c r="A546" s="54" t="s">
        <v>1618</v>
      </c>
      <c r="B546" s="54" t="s">
        <v>1065</v>
      </c>
      <c r="C546" s="54" t="s">
        <v>1461</v>
      </c>
      <c r="D546" s="54" t="s">
        <v>614</v>
      </c>
      <c r="E546" s="55">
        <v>0</v>
      </c>
      <c r="F546" s="56" t="s">
        <v>597</v>
      </c>
      <c r="G546" s="57">
        <v>0</v>
      </c>
      <c r="H546" s="57">
        <v>0</v>
      </c>
      <c r="I546" s="57">
        <v>0</v>
      </c>
      <c r="J546" s="54" t="s">
        <v>597</v>
      </c>
      <c r="K546" s="54" t="s">
        <v>597</v>
      </c>
    </row>
    <row r="547" spans="1:11">
      <c r="A547" s="50" t="s">
        <v>1619</v>
      </c>
      <c r="B547" s="50" t="s">
        <v>1067</v>
      </c>
      <c r="C547" s="50" t="s">
        <v>1461</v>
      </c>
      <c r="D547" s="50" t="s">
        <v>614</v>
      </c>
      <c r="E547" s="51">
        <v>0</v>
      </c>
      <c r="F547" s="52" t="s">
        <v>597</v>
      </c>
      <c r="G547" s="53">
        <v>0</v>
      </c>
      <c r="H547" s="53">
        <v>0</v>
      </c>
      <c r="I547" s="53">
        <v>0</v>
      </c>
      <c r="J547" s="50" t="s">
        <v>597</v>
      </c>
      <c r="K547" s="50" t="s">
        <v>597</v>
      </c>
    </row>
    <row r="548" spans="1:11">
      <c r="A548" s="54" t="s">
        <v>1620</v>
      </c>
      <c r="B548" s="54" t="s">
        <v>1077</v>
      </c>
      <c r="C548" s="54" t="s">
        <v>1461</v>
      </c>
      <c r="D548" s="54" t="s">
        <v>614</v>
      </c>
      <c r="E548" s="55">
        <v>0</v>
      </c>
      <c r="F548" s="56" t="s">
        <v>597</v>
      </c>
      <c r="G548" s="57">
        <v>0</v>
      </c>
      <c r="H548" s="57">
        <v>0</v>
      </c>
      <c r="I548" s="57">
        <v>0</v>
      </c>
      <c r="J548" s="54" t="s">
        <v>597</v>
      </c>
      <c r="K548" s="54" t="s">
        <v>597</v>
      </c>
    </row>
    <row r="549" spans="1:11">
      <c r="A549" s="50" t="s">
        <v>1621</v>
      </c>
      <c r="B549" s="50" t="s">
        <v>1079</v>
      </c>
      <c r="C549" s="50" t="s">
        <v>1461</v>
      </c>
      <c r="D549" s="50" t="s">
        <v>614</v>
      </c>
      <c r="E549" s="51">
        <v>0</v>
      </c>
      <c r="F549" s="52" t="s">
        <v>597</v>
      </c>
      <c r="G549" s="53">
        <v>0</v>
      </c>
      <c r="H549" s="53">
        <v>0</v>
      </c>
      <c r="I549" s="53">
        <v>0</v>
      </c>
      <c r="J549" s="50" t="s">
        <v>597</v>
      </c>
      <c r="K549" s="50" t="s">
        <v>597</v>
      </c>
    </row>
    <row r="550" spans="1:11">
      <c r="A550" s="54" t="s">
        <v>1622</v>
      </c>
      <c r="B550" s="54" t="s">
        <v>1081</v>
      </c>
      <c r="C550" s="54" t="s">
        <v>1461</v>
      </c>
      <c r="D550" s="54" t="s">
        <v>614</v>
      </c>
      <c r="E550" s="55">
        <v>0</v>
      </c>
      <c r="F550" s="56" t="s">
        <v>597</v>
      </c>
      <c r="G550" s="57">
        <v>0</v>
      </c>
      <c r="H550" s="57">
        <v>0</v>
      </c>
      <c r="I550" s="57">
        <v>0</v>
      </c>
      <c r="J550" s="54" t="s">
        <v>597</v>
      </c>
      <c r="K550" s="54" t="s">
        <v>597</v>
      </c>
    </row>
    <row r="551" spans="1:11">
      <c r="A551" s="50" t="s">
        <v>1623</v>
      </c>
      <c r="B551" s="50" t="s">
        <v>1083</v>
      </c>
      <c r="C551" s="50" t="s">
        <v>1461</v>
      </c>
      <c r="D551" s="50" t="s">
        <v>614</v>
      </c>
      <c r="E551" s="51">
        <v>0</v>
      </c>
      <c r="F551" s="52" t="s">
        <v>597</v>
      </c>
      <c r="G551" s="53">
        <v>0</v>
      </c>
      <c r="H551" s="53">
        <v>0</v>
      </c>
      <c r="I551" s="53">
        <v>0</v>
      </c>
      <c r="J551" s="50" t="s">
        <v>597</v>
      </c>
      <c r="K551" s="50" t="s">
        <v>597</v>
      </c>
    </row>
    <row r="552" spans="1:11">
      <c r="A552" s="54" t="s">
        <v>1624</v>
      </c>
      <c r="B552" s="54" t="s">
        <v>1085</v>
      </c>
      <c r="C552" s="54" t="s">
        <v>1461</v>
      </c>
      <c r="D552" s="54" t="s">
        <v>614</v>
      </c>
      <c r="E552" s="55">
        <v>0</v>
      </c>
      <c r="F552" s="56" t="s">
        <v>597</v>
      </c>
      <c r="G552" s="57">
        <v>0</v>
      </c>
      <c r="H552" s="57">
        <v>0</v>
      </c>
      <c r="I552" s="57">
        <v>0</v>
      </c>
      <c r="J552" s="54" t="s">
        <v>597</v>
      </c>
      <c r="K552" s="54" t="s">
        <v>597</v>
      </c>
    </row>
    <row r="553" spans="1:11">
      <c r="A553" s="50" t="s">
        <v>1625</v>
      </c>
      <c r="B553" s="50" t="s">
        <v>1087</v>
      </c>
      <c r="C553" s="50" t="s">
        <v>1461</v>
      </c>
      <c r="D553" s="50" t="s">
        <v>614</v>
      </c>
      <c r="E553" s="51">
        <v>0</v>
      </c>
      <c r="F553" s="52" t="s">
        <v>597</v>
      </c>
      <c r="G553" s="53">
        <v>0</v>
      </c>
      <c r="H553" s="53">
        <v>0</v>
      </c>
      <c r="I553" s="53">
        <v>0</v>
      </c>
      <c r="J553" s="50" t="s">
        <v>597</v>
      </c>
      <c r="K553" s="50" t="s">
        <v>597</v>
      </c>
    </row>
    <row r="554" spans="1:11">
      <c r="A554" s="54" t="s">
        <v>1626</v>
      </c>
      <c r="B554" s="54" t="s">
        <v>1089</v>
      </c>
      <c r="C554" s="54" t="s">
        <v>1461</v>
      </c>
      <c r="D554" s="54" t="s">
        <v>614</v>
      </c>
      <c r="E554" s="55">
        <v>0</v>
      </c>
      <c r="F554" s="56" t="s">
        <v>597</v>
      </c>
      <c r="G554" s="57">
        <v>0</v>
      </c>
      <c r="H554" s="57">
        <v>0</v>
      </c>
      <c r="I554" s="57">
        <v>0</v>
      </c>
      <c r="J554" s="54" t="s">
        <v>597</v>
      </c>
      <c r="K554" s="54" t="s">
        <v>597</v>
      </c>
    </row>
    <row r="555" spans="1:11">
      <c r="A555" s="50" t="s">
        <v>1627</v>
      </c>
      <c r="B555" s="50" t="s">
        <v>1091</v>
      </c>
      <c r="C555" s="50" t="s">
        <v>1461</v>
      </c>
      <c r="D555" s="50" t="s">
        <v>614</v>
      </c>
      <c r="E555" s="51">
        <v>0</v>
      </c>
      <c r="F555" s="52" t="s">
        <v>597</v>
      </c>
      <c r="G555" s="53">
        <v>0</v>
      </c>
      <c r="H555" s="53">
        <v>0</v>
      </c>
      <c r="I555" s="53">
        <v>0</v>
      </c>
      <c r="J555" s="50" t="s">
        <v>597</v>
      </c>
      <c r="K555" s="50" t="s">
        <v>597</v>
      </c>
    </row>
    <row r="556" spans="1:11">
      <c r="A556" s="54" t="s">
        <v>1628</v>
      </c>
      <c r="B556" s="54" t="s">
        <v>1093</v>
      </c>
      <c r="C556" s="54" t="s">
        <v>1461</v>
      </c>
      <c r="D556" s="54" t="s">
        <v>614</v>
      </c>
      <c r="E556" s="55">
        <v>0</v>
      </c>
      <c r="F556" s="56" t="s">
        <v>597</v>
      </c>
      <c r="G556" s="57">
        <v>0</v>
      </c>
      <c r="H556" s="57">
        <v>0</v>
      </c>
      <c r="I556" s="57">
        <v>0</v>
      </c>
      <c r="J556" s="54" t="s">
        <v>597</v>
      </c>
      <c r="K556" s="54" t="s">
        <v>597</v>
      </c>
    </row>
    <row r="557" spans="1:11">
      <c r="A557" s="50" t="s">
        <v>1629</v>
      </c>
      <c r="B557" s="50" t="s">
        <v>1095</v>
      </c>
      <c r="C557" s="50" t="s">
        <v>1461</v>
      </c>
      <c r="D557" s="50" t="s">
        <v>614</v>
      </c>
      <c r="E557" s="51">
        <v>0</v>
      </c>
      <c r="F557" s="52" t="s">
        <v>597</v>
      </c>
      <c r="G557" s="53">
        <v>0</v>
      </c>
      <c r="H557" s="53">
        <v>0</v>
      </c>
      <c r="I557" s="53">
        <v>0</v>
      </c>
      <c r="J557" s="50" t="s">
        <v>597</v>
      </c>
      <c r="K557" s="50" t="s">
        <v>597</v>
      </c>
    </row>
    <row r="558" spans="1:11">
      <c r="A558" s="54" t="s">
        <v>1630</v>
      </c>
      <c r="B558" s="54" t="s">
        <v>1085</v>
      </c>
      <c r="C558" s="54" t="s">
        <v>1461</v>
      </c>
      <c r="D558" s="54" t="s">
        <v>614</v>
      </c>
      <c r="E558" s="55">
        <v>0</v>
      </c>
      <c r="F558" s="56" t="s">
        <v>597</v>
      </c>
      <c r="G558" s="57">
        <v>0</v>
      </c>
      <c r="H558" s="57">
        <v>0</v>
      </c>
      <c r="I558" s="57">
        <v>0</v>
      </c>
      <c r="J558" s="54" t="s">
        <v>597</v>
      </c>
      <c r="K558" s="54" t="s">
        <v>597</v>
      </c>
    </row>
    <row r="559" spans="1:11">
      <c r="A559" s="50" t="s">
        <v>1631</v>
      </c>
      <c r="B559" s="50" t="s">
        <v>1087</v>
      </c>
      <c r="C559" s="50" t="s">
        <v>1461</v>
      </c>
      <c r="D559" s="50" t="s">
        <v>614</v>
      </c>
      <c r="E559" s="51">
        <v>0</v>
      </c>
      <c r="F559" s="52" t="s">
        <v>597</v>
      </c>
      <c r="G559" s="53">
        <v>0</v>
      </c>
      <c r="H559" s="53">
        <v>0</v>
      </c>
      <c r="I559" s="53">
        <v>0</v>
      </c>
      <c r="J559" s="50" t="s">
        <v>597</v>
      </c>
      <c r="K559" s="50" t="s">
        <v>597</v>
      </c>
    </row>
    <row r="560" spans="1:11">
      <c r="A560" s="54" t="s">
        <v>1632</v>
      </c>
      <c r="B560" s="54" t="s">
        <v>1089</v>
      </c>
      <c r="C560" s="54" t="s">
        <v>1461</v>
      </c>
      <c r="D560" s="54" t="s">
        <v>614</v>
      </c>
      <c r="E560" s="55">
        <v>0</v>
      </c>
      <c r="F560" s="56" t="s">
        <v>597</v>
      </c>
      <c r="G560" s="57">
        <v>0</v>
      </c>
      <c r="H560" s="57">
        <v>0</v>
      </c>
      <c r="I560" s="57">
        <v>0</v>
      </c>
      <c r="J560" s="54" t="s">
        <v>597</v>
      </c>
      <c r="K560" s="54" t="s">
        <v>597</v>
      </c>
    </row>
    <row r="561" spans="1:11">
      <c r="A561" s="50" t="s">
        <v>1633</v>
      </c>
      <c r="B561" s="50" t="s">
        <v>1091</v>
      </c>
      <c r="C561" s="50" t="s">
        <v>1461</v>
      </c>
      <c r="D561" s="50" t="s">
        <v>614</v>
      </c>
      <c r="E561" s="51">
        <v>0</v>
      </c>
      <c r="F561" s="52" t="s">
        <v>597</v>
      </c>
      <c r="G561" s="53">
        <v>0</v>
      </c>
      <c r="H561" s="53">
        <v>0</v>
      </c>
      <c r="I561" s="53">
        <v>0</v>
      </c>
      <c r="J561" s="50" t="s">
        <v>597</v>
      </c>
      <c r="K561" s="50" t="s">
        <v>597</v>
      </c>
    </row>
    <row r="562" spans="1:11">
      <c r="A562" s="54" t="s">
        <v>1634</v>
      </c>
      <c r="B562" s="54" t="s">
        <v>1093</v>
      </c>
      <c r="C562" s="54" t="s">
        <v>1461</v>
      </c>
      <c r="D562" s="54" t="s">
        <v>614</v>
      </c>
      <c r="E562" s="55">
        <v>0</v>
      </c>
      <c r="F562" s="56" t="s">
        <v>597</v>
      </c>
      <c r="G562" s="57">
        <v>0</v>
      </c>
      <c r="H562" s="57">
        <v>0</v>
      </c>
      <c r="I562" s="57">
        <v>0</v>
      </c>
      <c r="J562" s="54" t="s">
        <v>597</v>
      </c>
      <c r="K562" s="54" t="s">
        <v>597</v>
      </c>
    </row>
    <row r="563" spans="1:11">
      <c r="A563" s="50" t="s">
        <v>1635</v>
      </c>
      <c r="B563" s="50" t="s">
        <v>1095</v>
      </c>
      <c r="C563" s="50" t="s">
        <v>1461</v>
      </c>
      <c r="D563" s="50" t="s">
        <v>614</v>
      </c>
      <c r="E563" s="51">
        <v>0</v>
      </c>
      <c r="F563" s="52" t="s">
        <v>597</v>
      </c>
      <c r="G563" s="53">
        <v>0</v>
      </c>
      <c r="H563" s="53">
        <v>0</v>
      </c>
      <c r="I563" s="53">
        <v>0</v>
      </c>
      <c r="J563" s="50" t="s">
        <v>597</v>
      </c>
      <c r="K563" s="50" t="s">
        <v>597</v>
      </c>
    </row>
    <row r="564" spans="1:11">
      <c r="A564" s="54" t="s">
        <v>1636</v>
      </c>
      <c r="B564" s="54" t="s">
        <v>1637</v>
      </c>
      <c r="C564" s="54" t="s">
        <v>1461</v>
      </c>
      <c r="D564" s="54" t="s">
        <v>144</v>
      </c>
      <c r="E564" s="55">
        <v>0</v>
      </c>
      <c r="F564" s="56" t="s">
        <v>597</v>
      </c>
      <c r="G564" s="57">
        <v>0</v>
      </c>
      <c r="H564" s="57">
        <v>0</v>
      </c>
      <c r="I564" s="57">
        <v>0</v>
      </c>
      <c r="J564" s="54" t="s">
        <v>597</v>
      </c>
      <c r="K564" s="54" t="s">
        <v>597</v>
      </c>
    </row>
    <row r="565" spans="1:11">
      <c r="A565" s="50" t="s">
        <v>1638</v>
      </c>
      <c r="B565" s="50" t="s">
        <v>1639</v>
      </c>
      <c r="C565" s="50" t="s">
        <v>1461</v>
      </c>
      <c r="D565" s="50" t="s">
        <v>144</v>
      </c>
      <c r="E565" s="51">
        <v>0</v>
      </c>
      <c r="F565" s="52" t="s">
        <v>597</v>
      </c>
      <c r="G565" s="53">
        <v>0</v>
      </c>
      <c r="H565" s="53">
        <v>0</v>
      </c>
      <c r="I565" s="53">
        <v>0</v>
      </c>
      <c r="J565" s="50" t="s">
        <v>597</v>
      </c>
      <c r="K565" s="50" t="s">
        <v>597</v>
      </c>
    </row>
    <row r="566" spans="1:11">
      <c r="A566" s="54" t="s">
        <v>1640</v>
      </c>
      <c r="B566" s="54" t="s">
        <v>1641</v>
      </c>
      <c r="C566" s="54" t="s">
        <v>1461</v>
      </c>
      <c r="D566" s="54" t="s">
        <v>144</v>
      </c>
      <c r="E566" s="55">
        <v>0</v>
      </c>
      <c r="F566" s="56" t="s">
        <v>597</v>
      </c>
      <c r="G566" s="57">
        <v>0</v>
      </c>
      <c r="H566" s="57">
        <v>0</v>
      </c>
      <c r="I566" s="57">
        <v>0</v>
      </c>
      <c r="J566" s="54" t="s">
        <v>597</v>
      </c>
      <c r="K566" s="54" t="s">
        <v>597</v>
      </c>
    </row>
    <row r="567" spans="1:11">
      <c r="A567" s="50" t="s">
        <v>1642</v>
      </c>
      <c r="B567" s="50" t="s">
        <v>1643</v>
      </c>
      <c r="C567" s="50" t="s">
        <v>1461</v>
      </c>
      <c r="D567" s="50" t="s">
        <v>144</v>
      </c>
      <c r="E567" s="51">
        <v>0</v>
      </c>
      <c r="F567" s="52" t="s">
        <v>597</v>
      </c>
      <c r="G567" s="53">
        <v>0</v>
      </c>
      <c r="H567" s="53">
        <v>0</v>
      </c>
      <c r="I567" s="53">
        <v>0</v>
      </c>
      <c r="J567" s="50" t="s">
        <v>597</v>
      </c>
      <c r="K567" s="50" t="s">
        <v>597</v>
      </c>
    </row>
    <row r="568" spans="1:11">
      <c r="A568" s="54" t="s">
        <v>1644</v>
      </c>
      <c r="B568" s="54" t="s">
        <v>1645</v>
      </c>
      <c r="C568" s="54" t="s">
        <v>1461</v>
      </c>
      <c r="D568" s="54" t="s">
        <v>144</v>
      </c>
      <c r="E568" s="55">
        <v>0</v>
      </c>
      <c r="F568" s="56" t="s">
        <v>597</v>
      </c>
      <c r="G568" s="57">
        <v>0</v>
      </c>
      <c r="H568" s="57">
        <v>0</v>
      </c>
      <c r="I568" s="57">
        <v>0</v>
      </c>
      <c r="J568" s="54" t="s">
        <v>597</v>
      </c>
      <c r="K568" s="54" t="s">
        <v>597</v>
      </c>
    </row>
    <row r="569" spans="1:11">
      <c r="A569" s="50" t="s">
        <v>1646</v>
      </c>
      <c r="B569" s="50" t="s">
        <v>1647</v>
      </c>
      <c r="C569" s="50" t="s">
        <v>1461</v>
      </c>
      <c r="D569" s="50" t="s">
        <v>144</v>
      </c>
      <c r="E569" s="51">
        <v>0</v>
      </c>
      <c r="F569" s="52" t="s">
        <v>597</v>
      </c>
      <c r="G569" s="53">
        <v>0</v>
      </c>
      <c r="H569" s="53">
        <v>0</v>
      </c>
      <c r="I569" s="53">
        <v>0</v>
      </c>
      <c r="J569" s="50" t="s">
        <v>597</v>
      </c>
      <c r="K569" s="50" t="s">
        <v>597</v>
      </c>
    </row>
    <row r="570" spans="1:11">
      <c r="A570" s="54" t="s">
        <v>1648</v>
      </c>
      <c r="B570" s="54" t="s">
        <v>1649</v>
      </c>
      <c r="C570" s="54" t="s">
        <v>1461</v>
      </c>
      <c r="D570" s="54" t="s">
        <v>144</v>
      </c>
      <c r="E570" s="55">
        <v>0</v>
      </c>
      <c r="F570" s="56" t="s">
        <v>597</v>
      </c>
      <c r="G570" s="57">
        <v>0</v>
      </c>
      <c r="H570" s="57">
        <v>0</v>
      </c>
      <c r="I570" s="57">
        <v>0</v>
      </c>
      <c r="J570" s="54" t="s">
        <v>597</v>
      </c>
      <c r="K570" s="54" t="s">
        <v>597</v>
      </c>
    </row>
    <row r="571" spans="1:11">
      <c r="A571" s="50" t="s">
        <v>1650</v>
      </c>
      <c r="B571" s="50" t="s">
        <v>1651</v>
      </c>
      <c r="C571" s="50" t="s">
        <v>1461</v>
      </c>
      <c r="D571" s="50" t="s">
        <v>144</v>
      </c>
      <c r="E571" s="51">
        <v>0</v>
      </c>
      <c r="F571" s="52" t="s">
        <v>597</v>
      </c>
      <c r="G571" s="53">
        <v>0</v>
      </c>
      <c r="H571" s="53">
        <v>0</v>
      </c>
      <c r="I571" s="53">
        <v>0</v>
      </c>
      <c r="J571" s="50" t="s">
        <v>597</v>
      </c>
      <c r="K571" s="50" t="s">
        <v>597</v>
      </c>
    </row>
    <row r="572" spans="1:11">
      <c r="A572" s="54" t="s">
        <v>1652</v>
      </c>
      <c r="B572" s="54" t="s">
        <v>1653</v>
      </c>
      <c r="C572" s="54" t="s">
        <v>1461</v>
      </c>
      <c r="D572" s="54" t="s">
        <v>144</v>
      </c>
      <c r="E572" s="55">
        <v>0</v>
      </c>
      <c r="F572" s="56" t="s">
        <v>597</v>
      </c>
      <c r="G572" s="57">
        <v>0</v>
      </c>
      <c r="H572" s="57">
        <v>0</v>
      </c>
      <c r="I572" s="57">
        <v>0</v>
      </c>
      <c r="J572" s="54" t="s">
        <v>597</v>
      </c>
      <c r="K572" s="54" t="s">
        <v>597</v>
      </c>
    </row>
    <row r="573" spans="1:11">
      <c r="A573" s="50" t="s">
        <v>1654</v>
      </c>
      <c r="B573" s="50" t="s">
        <v>1655</v>
      </c>
      <c r="C573" s="50" t="s">
        <v>1461</v>
      </c>
      <c r="D573" s="50" t="s">
        <v>144</v>
      </c>
      <c r="E573" s="51">
        <v>0</v>
      </c>
      <c r="F573" s="52" t="s">
        <v>597</v>
      </c>
      <c r="G573" s="53">
        <v>0</v>
      </c>
      <c r="H573" s="53">
        <v>0</v>
      </c>
      <c r="I573" s="53">
        <v>0</v>
      </c>
      <c r="J573" s="50" t="s">
        <v>597</v>
      </c>
      <c r="K573" s="50" t="s">
        <v>597</v>
      </c>
    </row>
    <row r="574" spans="1:11">
      <c r="A574" s="54" t="s">
        <v>1656</v>
      </c>
      <c r="B574" s="54" t="s">
        <v>1657</v>
      </c>
      <c r="C574" s="54" t="s">
        <v>1461</v>
      </c>
      <c r="D574" s="54" t="s">
        <v>144</v>
      </c>
      <c r="E574" s="55">
        <v>0</v>
      </c>
      <c r="F574" s="56" t="s">
        <v>597</v>
      </c>
      <c r="G574" s="57">
        <v>0</v>
      </c>
      <c r="H574" s="57">
        <v>0</v>
      </c>
      <c r="I574" s="57">
        <v>0</v>
      </c>
      <c r="J574" s="54" t="s">
        <v>597</v>
      </c>
      <c r="K574" s="54" t="s">
        <v>597</v>
      </c>
    </row>
    <row r="575" spans="1:11">
      <c r="A575" s="50" t="s">
        <v>1658</v>
      </c>
      <c r="B575" s="50" t="s">
        <v>1659</v>
      </c>
      <c r="C575" s="50" t="s">
        <v>1461</v>
      </c>
      <c r="D575" s="50" t="s">
        <v>144</v>
      </c>
      <c r="E575" s="51">
        <v>0</v>
      </c>
      <c r="F575" s="52" t="s">
        <v>597</v>
      </c>
      <c r="G575" s="53">
        <v>0</v>
      </c>
      <c r="H575" s="53">
        <v>0</v>
      </c>
      <c r="I575" s="53">
        <v>0</v>
      </c>
      <c r="J575" s="50" t="s">
        <v>597</v>
      </c>
      <c r="K575" s="50" t="s">
        <v>597</v>
      </c>
    </row>
    <row r="576" spans="1:11">
      <c r="A576" s="54" t="s">
        <v>1660</v>
      </c>
      <c r="B576" s="54" t="s">
        <v>1661</v>
      </c>
      <c r="C576" s="54" t="s">
        <v>1461</v>
      </c>
      <c r="D576" s="54" t="s">
        <v>144</v>
      </c>
      <c r="E576" s="55">
        <v>0</v>
      </c>
      <c r="F576" s="56" t="s">
        <v>597</v>
      </c>
      <c r="G576" s="57">
        <v>0</v>
      </c>
      <c r="H576" s="57">
        <v>0</v>
      </c>
      <c r="I576" s="57">
        <v>0</v>
      </c>
      <c r="J576" s="54" t="s">
        <v>597</v>
      </c>
      <c r="K576" s="54" t="s">
        <v>597</v>
      </c>
    </row>
    <row r="577" spans="1:11">
      <c r="A577" s="50" t="s">
        <v>1662</v>
      </c>
      <c r="B577" s="50" t="s">
        <v>1663</v>
      </c>
      <c r="C577" s="50" t="s">
        <v>1461</v>
      </c>
      <c r="D577" s="50" t="s">
        <v>144</v>
      </c>
      <c r="E577" s="51">
        <v>0</v>
      </c>
      <c r="F577" s="52" t="s">
        <v>597</v>
      </c>
      <c r="G577" s="53">
        <v>0</v>
      </c>
      <c r="H577" s="53">
        <v>0</v>
      </c>
      <c r="I577" s="53">
        <v>0</v>
      </c>
      <c r="J577" s="50" t="s">
        <v>597</v>
      </c>
      <c r="K577" s="50" t="s">
        <v>597</v>
      </c>
    </row>
    <row r="578" spans="1:11">
      <c r="A578" s="54" t="s">
        <v>1664</v>
      </c>
      <c r="B578" s="54" t="s">
        <v>1665</v>
      </c>
      <c r="C578" s="54" t="s">
        <v>1461</v>
      </c>
      <c r="D578" s="54" t="s">
        <v>144</v>
      </c>
      <c r="E578" s="55">
        <v>0</v>
      </c>
      <c r="F578" s="56" t="s">
        <v>597</v>
      </c>
      <c r="G578" s="57">
        <v>0</v>
      </c>
      <c r="H578" s="57">
        <v>0</v>
      </c>
      <c r="I578" s="57">
        <v>0</v>
      </c>
      <c r="J578" s="54" t="s">
        <v>597</v>
      </c>
      <c r="K578" s="54" t="s">
        <v>597</v>
      </c>
    </row>
    <row r="579" spans="1:11">
      <c r="A579" s="50" t="s">
        <v>1666</v>
      </c>
      <c r="B579" s="50" t="s">
        <v>1667</v>
      </c>
      <c r="C579" s="50" t="s">
        <v>1461</v>
      </c>
      <c r="D579" s="50" t="s">
        <v>144</v>
      </c>
      <c r="E579" s="51">
        <v>0</v>
      </c>
      <c r="F579" s="52" t="s">
        <v>597</v>
      </c>
      <c r="G579" s="53">
        <v>0</v>
      </c>
      <c r="H579" s="53">
        <v>0</v>
      </c>
      <c r="I579" s="53">
        <v>0</v>
      </c>
      <c r="J579" s="50" t="s">
        <v>597</v>
      </c>
      <c r="K579" s="50" t="s">
        <v>597</v>
      </c>
    </row>
    <row r="580" spans="1:11">
      <c r="A580" s="54" t="s">
        <v>1668</v>
      </c>
      <c r="B580" s="54" t="s">
        <v>1669</v>
      </c>
      <c r="C580" s="54" t="s">
        <v>1461</v>
      </c>
      <c r="D580" s="54" t="s">
        <v>144</v>
      </c>
      <c r="E580" s="55">
        <v>0</v>
      </c>
      <c r="F580" s="56" t="s">
        <v>597</v>
      </c>
      <c r="G580" s="57">
        <v>0</v>
      </c>
      <c r="H580" s="57">
        <v>0</v>
      </c>
      <c r="I580" s="57">
        <v>0</v>
      </c>
      <c r="J580" s="54" t="s">
        <v>597</v>
      </c>
      <c r="K580" s="54" t="s">
        <v>597</v>
      </c>
    </row>
    <row r="581" spans="1:11">
      <c r="A581" s="50" t="s">
        <v>1670</v>
      </c>
      <c r="B581" s="50" t="s">
        <v>1671</v>
      </c>
      <c r="C581" s="50" t="s">
        <v>1461</v>
      </c>
      <c r="D581" s="50" t="s">
        <v>144</v>
      </c>
      <c r="E581" s="51">
        <v>0</v>
      </c>
      <c r="F581" s="52" t="s">
        <v>597</v>
      </c>
      <c r="G581" s="53">
        <v>0</v>
      </c>
      <c r="H581" s="53">
        <v>0</v>
      </c>
      <c r="I581" s="53">
        <v>0</v>
      </c>
      <c r="J581" s="50" t="s">
        <v>597</v>
      </c>
      <c r="K581" s="50" t="s">
        <v>597</v>
      </c>
    </row>
    <row r="582" spans="1:11">
      <c r="A582" s="54" t="s">
        <v>1672</v>
      </c>
      <c r="B582" s="54" t="s">
        <v>1673</v>
      </c>
      <c r="C582" s="54" t="s">
        <v>1461</v>
      </c>
      <c r="D582" s="54" t="s">
        <v>144</v>
      </c>
      <c r="E582" s="55">
        <v>0</v>
      </c>
      <c r="F582" s="56" t="s">
        <v>597</v>
      </c>
      <c r="G582" s="57">
        <v>0</v>
      </c>
      <c r="H582" s="57">
        <v>0</v>
      </c>
      <c r="I582" s="57">
        <v>0</v>
      </c>
      <c r="J582" s="54" t="s">
        <v>597</v>
      </c>
      <c r="K582" s="54" t="s">
        <v>597</v>
      </c>
    </row>
    <row r="583" spans="1:11">
      <c r="A583" s="50" t="s">
        <v>1674</v>
      </c>
      <c r="B583" s="50" t="s">
        <v>1675</v>
      </c>
      <c r="C583" s="50" t="s">
        <v>1461</v>
      </c>
      <c r="D583" s="50" t="s">
        <v>144</v>
      </c>
      <c r="E583" s="51">
        <v>0</v>
      </c>
      <c r="F583" s="52" t="s">
        <v>597</v>
      </c>
      <c r="G583" s="53">
        <v>0</v>
      </c>
      <c r="H583" s="53">
        <v>0</v>
      </c>
      <c r="I583" s="53">
        <v>0</v>
      </c>
      <c r="J583" s="50" t="s">
        <v>597</v>
      </c>
      <c r="K583" s="50" t="s">
        <v>597</v>
      </c>
    </row>
    <row r="584" spans="1:11">
      <c r="A584" s="54" t="s">
        <v>1676</v>
      </c>
      <c r="B584" s="54" t="s">
        <v>1677</v>
      </c>
      <c r="C584" s="54" t="s">
        <v>1461</v>
      </c>
      <c r="D584" s="54" t="s">
        <v>144</v>
      </c>
      <c r="E584" s="55">
        <v>0</v>
      </c>
      <c r="F584" s="56" t="s">
        <v>597</v>
      </c>
      <c r="G584" s="57">
        <v>0</v>
      </c>
      <c r="H584" s="57">
        <v>0</v>
      </c>
      <c r="I584" s="57">
        <v>0</v>
      </c>
      <c r="J584" s="54" t="s">
        <v>597</v>
      </c>
      <c r="K584" s="54" t="s">
        <v>597</v>
      </c>
    </row>
    <row r="585" spans="1:11">
      <c r="A585" s="50" t="s">
        <v>1678</v>
      </c>
      <c r="B585" s="50" t="s">
        <v>1679</v>
      </c>
      <c r="C585" s="50" t="s">
        <v>1461</v>
      </c>
      <c r="D585" s="50" t="s">
        <v>144</v>
      </c>
      <c r="E585" s="51">
        <v>0</v>
      </c>
      <c r="F585" s="52" t="s">
        <v>597</v>
      </c>
      <c r="G585" s="53">
        <v>0</v>
      </c>
      <c r="H585" s="53">
        <v>0</v>
      </c>
      <c r="I585" s="53">
        <v>0</v>
      </c>
      <c r="J585" s="50" t="s">
        <v>597</v>
      </c>
      <c r="K585" s="50" t="s">
        <v>597</v>
      </c>
    </row>
    <row r="586" spans="1:11">
      <c r="A586" s="54" t="s">
        <v>1680</v>
      </c>
      <c r="B586" s="54" t="s">
        <v>1681</v>
      </c>
      <c r="C586" s="54" t="s">
        <v>1461</v>
      </c>
      <c r="D586" s="54" t="s">
        <v>144</v>
      </c>
      <c r="E586" s="55">
        <v>0</v>
      </c>
      <c r="F586" s="56" t="s">
        <v>597</v>
      </c>
      <c r="G586" s="57">
        <v>0</v>
      </c>
      <c r="H586" s="57">
        <v>0</v>
      </c>
      <c r="I586" s="57">
        <v>0</v>
      </c>
      <c r="J586" s="54" t="s">
        <v>597</v>
      </c>
      <c r="K586" s="54" t="s">
        <v>597</v>
      </c>
    </row>
    <row r="587" spans="1:11">
      <c r="A587" s="50" t="s">
        <v>1682</v>
      </c>
      <c r="B587" s="50" t="s">
        <v>1683</v>
      </c>
      <c r="C587" s="50" t="s">
        <v>1461</v>
      </c>
      <c r="D587" s="50" t="s">
        <v>144</v>
      </c>
      <c r="E587" s="51">
        <v>0</v>
      </c>
      <c r="F587" s="52" t="s">
        <v>597</v>
      </c>
      <c r="G587" s="53">
        <v>0</v>
      </c>
      <c r="H587" s="53">
        <v>0</v>
      </c>
      <c r="I587" s="53">
        <v>0</v>
      </c>
      <c r="J587" s="50" t="s">
        <v>597</v>
      </c>
      <c r="K587" s="50" t="s">
        <v>597</v>
      </c>
    </row>
    <row r="588" spans="1:11">
      <c r="A588" s="54" t="s">
        <v>1684</v>
      </c>
      <c r="B588" s="54" t="s">
        <v>1685</v>
      </c>
      <c r="C588" s="54" t="s">
        <v>1461</v>
      </c>
      <c r="D588" s="54" t="s">
        <v>144</v>
      </c>
      <c r="E588" s="55">
        <v>0</v>
      </c>
      <c r="F588" s="56" t="s">
        <v>597</v>
      </c>
      <c r="G588" s="57">
        <v>0</v>
      </c>
      <c r="H588" s="57">
        <v>0</v>
      </c>
      <c r="I588" s="57">
        <v>0</v>
      </c>
      <c r="J588" s="54" t="s">
        <v>597</v>
      </c>
      <c r="K588" s="54" t="s">
        <v>597</v>
      </c>
    </row>
    <row r="589" spans="1:11">
      <c r="A589" s="50" t="s">
        <v>1686</v>
      </c>
      <c r="B589" s="50" t="s">
        <v>1687</v>
      </c>
      <c r="C589" s="50" t="s">
        <v>1461</v>
      </c>
      <c r="D589" s="50" t="s">
        <v>144</v>
      </c>
      <c r="E589" s="51">
        <v>0</v>
      </c>
      <c r="F589" s="52" t="s">
        <v>597</v>
      </c>
      <c r="G589" s="53">
        <v>0</v>
      </c>
      <c r="H589" s="53">
        <v>0</v>
      </c>
      <c r="I589" s="53">
        <v>0</v>
      </c>
      <c r="J589" s="50" t="s">
        <v>597</v>
      </c>
      <c r="K589" s="50" t="s">
        <v>597</v>
      </c>
    </row>
    <row r="590" spans="1:11">
      <c r="A590" s="54" t="s">
        <v>1688</v>
      </c>
      <c r="B590" s="54" t="s">
        <v>1689</v>
      </c>
      <c r="C590" s="54" t="s">
        <v>1461</v>
      </c>
      <c r="D590" s="54" t="s">
        <v>144</v>
      </c>
      <c r="E590" s="55">
        <v>0</v>
      </c>
      <c r="F590" s="56" t="s">
        <v>597</v>
      </c>
      <c r="G590" s="57">
        <v>0</v>
      </c>
      <c r="H590" s="57">
        <v>0</v>
      </c>
      <c r="I590" s="57">
        <v>0</v>
      </c>
      <c r="J590" s="54" t="s">
        <v>597</v>
      </c>
      <c r="K590" s="54" t="s">
        <v>597</v>
      </c>
    </row>
    <row r="591" spans="1:11">
      <c r="A591" s="50" t="s">
        <v>1690</v>
      </c>
      <c r="B591" s="50" t="s">
        <v>1691</v>
      </c>
      <c r="C591" s="50" t="s">
        <v>1461</v>
      </c>
      <c r="D591" s="50" t="s">
        <v>144</v>
      </c>
      <c r="E591" s="51">
        <v>0</v>
      </c>
      <c r="F591" s="52" t="s">
        <v>597</v>
      </c>
      <c r="G591" s="53">
        <v>0</v>
      </c>
      <c r="H591" s="53">
        <v>0</v>
      </c>
      <c r="I591" s="53">
        <v>0</v>
      </c>
      <c r="J591" s="50" t="s">
        <v>597</v>
      </c>
      <c r="K591" s="50" t="s">
        <v>597</v>
      </c>
    </row>
    <row r="592" spans="1:11">
      <c r="A592" s="54" t="s">
        <v>1692</v>
      </c>
      <c r="B592" s="54" t="s">
        <v>1693</v>
      </c>
      <c r="C592" s="54" t="s">
        <v>1461</v>
      </c>
      <c r="D592" s="54" t="s">
        <v>144</v>
      </c>
      <c r="E592" s="55">
        <v>0</v>
      </c>
      <c r="F592" s="56" t="s">
        <v>597</v>
      </c>
      <c r="G592" s="57">
        <v>0</v>
      </c>
      <c r="H592" s="57">
        <v>0</v>
      </c>
      <c r="I592" s="57">
        <v>0</v>
      </c>
      <c r="J592" s="54" t="s">
        <v>597</v>
      </c>
      <c r="K592" s="54" t="s">
        <v>597</v>
      </c>
    </row>
    <row r="593" spans="1:11">
      <c r="A593" s="50" t="s">
        <v>1694</v>
      </c>
      <c r="B593" s="50" t="s">
        <v>1695</v>
      </c>
      <c r="C593" s="50" t="s">
        <v>1461</v>
      </c>
      <c r="D593" s="50" t="s">
        <v>144</v>
      </c>
      <c r="E593" s="51">
        <v>0</v>
      </c>
      <c r="F593" s="52" t="s">
        <v>597</v>
      </c>
      <c r="G593" s="53">
        <v>0</v>
      </c>
      <c r="H593" s="53">
        <v>0</v>
      </c>
      <c r="I593" s="53">
        <v>0</v>
      </c>
      <c r="J593" s="50" t="s">
        <v>597</v>
      </c>
      <c r="K593" s="50" t="s">
        <v>597</v>
      </c>
    </row>
    <row r="594" spans="1:11">
      <c r="A594" s="54" t="s">
        <v>1696</v>
      </c>
      <c r="B594" s="54" t="s">
        <v>1697</v>
      </c>
      <c r="C594" s="54" t="s">
        <v>1461</v>
      </c>
      <c r="D594" s="54" t="s">
        <v>144</v>
      </c>
      <c r="E594" s="55">
        <v>0</v>
      </c>
      <c r="F594" s="56" t="s">
        <v>597</v>
      </c>
      <c r="G594" s="57">
        <v>0</v>
      </c>
      <c r="H594" s="57">
        <v>0</v>
      </c>
      <c r="I594" s="57">
        <v>0</v>
      </c>
      <c r="J594" s="54" t="s">
        <v>597</v>
      </c>
      <c r="K594" s="54" t="s">
        <v>597</v>
      </c>
    </row>
    <row r="595" spans="1:11">
      <c r="A595" s="50" t="s">
        <v>1698</v>
      </c>
      <c r="B595" s="50" t="s">
        <v>1699</v>
      </c>
      <c r="C595" s="50" t="s">
        <v>1461</v>
      </c>
      <c r="D595" s="50" t="s">
        <v>144</v>
      </c>
      <c r="E595" s="51">
        <v>0</v>
      </c>
      <c r="F595" s="52" t="s">
        <v>597</v>
      </c>
      <c r="G595" s="53">
        <v>0</v>
      </c>
      <c r="H595" s="53">
        <v>0</v>
      </c>
      <c r="I595" s="53">
        <v>0</v>
      </c>
      <c r="J595" s="50" t="s">
        <v>597</v>
      </c>
      <c r="K595" s="50" t="s">
        <v>597</v>
      </c>
    </row>
    <row r="596" spans="1:11">
      <c r="A596" s="54" t="s">
        <v>1700</v>
      </c>
      <c r="B596" s="54" t="s">
        <v>1701</v>
      </c>
      <c r="C596" s="54" t="s">
        <v>1461</v>
      </c>
      <c r="D596" s="54" t="s">
        <v>144</v>
      </c>
      <c r="E596" s="55">
        <v>0</v>
      </c>
      <c r="F596" s="56" t="s">
        <v>597</v>
      </c>
      <c r="G596" s="57">
        <v>0</v>
      </c>
      <c r="H596" s="57">
        <v>0</v>
      </c>
      <c r="I596" s="57">
        <v>0</v>
      </c>
      <c r="J596" s="54" t="s">
        <v>597</v>
      </c>
      <c r="K596" s="54" t="s">
        <v>597</v>
      </c>
    </row>
    <row r="597" spans="1:11">
      <c r="A597" s="50" t="s">
        <v>1702</v>
      </c>
      <c r="B597" s="50" t="s">
        <v>1703</v>
      </c>
      <c r="C597" s="50" t="s">
        <v>1461</v>
      </c>
      <c r="D597" s="50" t="s">
        <v>144</v>
      </c>
      <c r="E597" s="51">
        <v>0</v>
      </c>
      <c r="F597" s="52" t="s">
        <v>597</v>
      </c>
      <c r="G597" s="53">
        <v>0</v>
      </c>
      <c r="H597" s="53">
        <v>0</v>
      </c>
      <c r="I597" s="53">
        <v>0</v>
      </c>
      <c r="J597" s="50" t="s">
        <v>597</v>
      </c>
      <c r="K597" s="50" t="s">
        <v>597</v>
      </c>
    </row>
    <row r="598" spans="1:11">
      <c r="A598" s="54" t="s">
        <v>1704</v>
      </c>
      <c r="B598" s="54" t="s">
        <v>1705</v>
      </c>
      <c r="C598" s="54" t="s">
        <v>1461</v>
      </c>
      <c r="D598" s="54" t="s">
        <v>144</v>
      </c>
      <c r="E598" s="55">
        <v>0</v>
      </c>
      <c r="F598" s="56" t="s">
        <v>597</v>
      </c>
      <c r="G598" s="57">
        <v>0</v>
      </c>
      <c r="H598" s="57">
        <v>0</v>
      </c>
      <c r="I598" s="57">
        <v>0</v>
      </c>
      <c r="J598" s="54" t="s">
        <v>597</v>
      </c>
      <c r="K598" s="54" t="s">
        <v>597</v>
      </c>
    </row>
    <row r="599" spans="1:11">
      <c r="A599" s="50" t="s">
        <v>1706</v>
      </c>
      <c r="B599" s="50" t="s">
        <v>1707</v>
      </c>
      <c r="C599" s="50" t="s">
        <v>1461</v>
      </c>
      <c r="D599" s="50" t="s">
        <v>144</v>
      </c>
      <c r="E599" s="51">
        <v>0</v>
      </c>
      <c r="F599" s="52" t="s">
        <v>597</v>
      </c>
      <c r="G599" s="53">
        <v>0</v>
      </c>
      <c r="H599" s="53">
        <v>0</v>
      </c>
      <c r="I599" s="53">
        <v>0</v>
      </c>
      <c r="J599" s="50" t="s">
        <v>597</v>
      </c>
      <c r="K599" s="50" t="s">
        <v>597</v>
      </c>
    </row>
    <row r="600" spans="1:11">
      <c r="A600" s="54" t="s">
        <v>1708</v>
      </c>
      <c r="B600" s="54" t="s">
        <v>1709</v>
      </c>
      <c r="C600" s="54" t="s">
        <v>1461</v>
      </c>
      <c r="D600" s="54" t="s">
        <v>144</v>
      </c>
      <c r="E600" s="55">
        <v>0</v>
      </c>
      <c r="F600" s="56" t="s">
        <v>597</v>
      </c>
      <c r="G600" s="57">
        <v>0</v>
      </c>
      <c r="H600" s="57">
        <v>0</v>
      </c>
      <c r="I600" s="57">
        <v>0</v>
      </c>
      <c r="J600" s="54" t="s">
        <v>597</v>
      </c>
      <c r="K600" s="54" t="s">
        <v>597</v>
      </c>
    </row>
    <row r="601" spans="1:11">
      <c r="A601" s="50" t="s">
        <v>1710</v>
      </c>
      <c r="B601" s="50" t="s">
        <v>1711</v>
      </c>
      <c r="C601" s="50" t="s">
        <v>1461</v>
      </c>
      <c r="D601" s="50" t="s">
        <v>144</v>
      </c>
      <c r="E601" s="51">
        <v>0</v>
      </c>
      <c r="F601" s="52" t="s">
        <v>597</v>
      </c>
      <c r="G601" s="53">
        <v>0</v>
      </c>
      <c r="H601" s="53">
        <v>0</v>
      </c>
      <c r="I601" s="53">
        <v>0</v>
      </c>
      <c r="J601" s="50" t="s">
        <v>597</v>
      </c>
      <c r="K601" s="50" t="s">
        <v>597</v>
      </c>
    </row>
    <row r="602" spans="1:11">
      <c r="A602" s="54" t="s">
        <v>1712</v>
      </c>
      <c r="B602" s="54" t="s">
        <v>1713</v>
      </c>
      <c r="C602" s="54" t="s">
        <v>1461</v>
      </c>
      <c r="D602" s="54" t="s">
        <v>144</v>
      </c>
      <c r="E602" s="55">
        <v>0</v>
      </c>
      <c r="F602" s="56" t="s">
        <v>597</v>
      </c>
      <c r="G602" s="57">
        <v>0</v>
      </c>
      <c r="H602" s="57">
        <v>0</v>
      </c>
      <c r="I602" s="57">
        <v>0</v>
      </c>
      <c r="J602" s="54" t="s">
        <v>597</v>
      </c>
      <c r="K602" s="54" t="s">
        <v>597</v>
      </c>
    </row>
    <row r="603" spans="1:11">
      <c r="A603" s="50" t="s">
        <v>1714</v>
      </c>
      <c r="B603" s="50" t="s">
        <v>1715</v>
      </c>
      <c r="C603" s="50" t="s">
        <v>1461</v>
      </c>
      <c r="D603" s="50" t="s">
        <v>144</v>
      </c>
      <c r="E603" s="51">
        <v>0</v>
      </c>
      <c r="F603" s="52" t="s">
        <v>597</v>
      </c>
      <c r="G603" s="53">
        <v>0</v>
      </c>
      <c r="H603" s="53">
        <v>0</v>
      </c>
      <c r="I603" s="53">
        <v>0</v>
      </c>
      <c r="J603" s="50" t="s">
        <v>597</v>
      </c>
      <c r="K603" s="50" t="s">
        <v>597</v>
      </c>
    </row>
    <row r="604" spans="1:11">
      <c r="A604" s="54" t="s">
        <v>1716</v>
      </c>
      <c r="B604" s="54" t="s">
        <v>1717</v>
      </c>
      <c r="C604" s="54" t="s">
        <v>1461</v>
      </c>
      <c r="D604" s="54" t="s">
        <v>144</v>
      </c>
      <c r="E604" s="55">
        <v>0</v>
      </c>
      <c r="F604" s="56" t="s">
        <v>597</v>
      </c>
      <c r="G604" s="57">
        <v>0</v>
      </c>
      <c r="H604" s="57">
        <v>0</v>
      </c>
      <c r="I604" s="57">
        <v>0</v>
      </c>
      <c r="J604" s="54" t="s">
        <v>597</v>
      </c>
      <c r="K604" s="54" t="s">
        <v>597</v>
      </c>
    </row>
    <row r="605" spans="1:11">
      <c r="A605" s="50" t="s">
        <v>1718</v>
      </c>
      <c r="B605" s="50" t="s">
        <v>1719</v>
      </c>
      <c r="C605" s="50" t="s">
        <v>1461</v>
      </c>
      <c r="D605" s="50" t="s">
        <v>144</v>
      </c>
      <c r="E605" s="51">
        <v>0</v>
      </c>
      <c r="F605" s="52" t="s">
        <v>597</v>
      </c>
      <c r="G605" s="53">
        <v>0</v>
      </c>
      <c r="H605" s="53">
        <v>0</v>
      </c>
      <c r="I605" s="53">
        <v>0</v>
      </c>
      <c r="J605" s="50" t="s">
        <v>597</v>
      </c>
      <c r="K605" s="50" t="s">
        <v>597</v>
      </c>
    </row>
    <row r="606" spans="1:11">
      <c r="A606" s="54" t="s">
        <v>1720</v>
      </c>
      <c r="B606" s="54" t="s">
        <v>1721</v>
      </c>
      <c r="C606" s="54" t="s">
        <v>1461</v>
      </c>
      <c r="D606" s="54" t="s">
        <v>144</v>
      </c>
      <c r="E606" s="55">
        <v>0</v>
      </c>
      <c r="F606" s="56" t="s">
        <v>597</v>
      </c>
      <c r="G606" s="57">
        <v>0</v>
      </c>
      <c r="H606" s="57">
        <v>0</v>
      </c>
      <c r="I606" s="57">
        <v>0</v>
      </c>
      <c r="J606" s="54" t="s">
        <v>597</v>
      </c>
      <c r="K606" s="54" t="s">
        <v>597</v>
      </c>
    </row>
    <row r="607" spans="1:11">
      <c r="A607" s="50" t="s">
        <v>1722</v>
      </c>
      <c r="B607" s="50" t="s">
        <v>1723</v>
      </c>
      <c r="C607" s="50" t="s">
        <v>1461</v>
      </c>
      <c r="D607" s="50" t="s">
        <v>144</v>
      </c>
      <c r="E607" s="51">
        <v>0</v>
      </c>
      <c r="F607" s="52" t="s">
        <v>597</v>
      </c>
      <c r="G607" s="53">
        <v>0</v>
      </c>
      <c r="H607" s="53">
        <v>0</v>
      </c>
      <c r="I607" s="53">
        <v>0</v>
      </c>
      <c r="J607" s="50" t="s">
        <v>597</v>
      </c>
      <c r="K607" s="50" t="s">
        <v>597</v>
      </c>
    </row>
    <row r="608" spans="1:11">
      <c r="A608" s="54" t="s">
        <v>1724</v>
      </c>
      <c r="B608" s="54" t="s">
        <v>1725</v>
      </c>
      <c r="C608" s="54" t="s">
        <v>1461</v>
      </c>
      <c r="D608" s="54" t="s">
        <v>144</v>
      </c>
      <c r="E608" s="55">
        <v>0</v>
      </c>
      <c r="F608" s="56" t="s">
        <v>597</v>
      </c>
      <c r="G608" s="57">
        <v>0</v>
      </c>
      <c r="H608" s="57">
        <v>0</v>
      </c>
      <c r="I608" s="57">
        <v>0</v>
      </c>
      <c r="J608" s="54" t="s">
        <v>597</v>
      </c>
      <c r="K608" s="54" t="s">
        <v>597</v>
      </c>
    </row>
    <row r="609" spans="1:11">
      <c r="A609" s="50" t="s">
        <v>1726</v>
      </c>
      <c r="B609" s="50" t="s">
        <v>1727</v>
      </c>
      <c r="C609" s="50" t="s">
        <v>1461</v>
      </c>
      <c r="D609" s="50" t="s">
        <v>144</v>
      </c>
      <c r="E609" s="51">
        <v>0</v>
      </c>
      <c r="F609" s="52" t="s">
        <v>597</v>
      </c>
      <c r="G609" s="53">
        <v>0</v>
      </c>
      <c r="H609" s="53">
        <v>0</v>
      </c>
      <c r="I609" s="53">
        <v>0</v>
      </c>
      <c r="J609" s="50" t="s">
        <v>597</v>
      </c>
      <c r="K609" s="50" t="s">
        <v>597</v>
      </c>
    </row>
    <row r="610" spans="1:11">
      <c r="A610" s="54" t="s">
        <v>1728</v>
      </c>
      <c r="B610" s="54" t="s">
        <v>1729</v>
      </c>
      <c r="C610" s="54" t="s">
        <v>1461</v>
      </c>
      <c r="D610" s="54" t="s">
        <v>144</v>
      </c>
      <c r="E610" s="55">
        <v>0</v>
      </c>
      <c r="F610" s="56" t="s">
        <v>597</v>
      </c>
      <c r="G610" s="57">
        <v>0</v>
      </c>
      <c r="H610" s="57">
        <v>0</v>
      </c>
      <c r="I610" s="57">
        <v>0</v>
      </c>
      <c r="J610" s="54" t="s">
        <v>597</v>
      </c>
      <c r="K610" s="54" t="s">
        <v>597</v>
      </c>
    </row>
    <row r="611" spans="1:11">
      <c r="A611" s="50" t="s">
        <v>1730</v>
      </c>
      <c r="B611" s="50" t="s">
        <v>1731</v>
      </c>
      <c r="C611" s="50" t="s">
        <v>1461</v>
      </c>
      <c r="D611" s="50" t="s">
        <v>144</v>
      </c>
      <c r="E611" s="51">
        <v>0</v>
      </c>
      <c r="F611" s="52" t="s">
        <v>597</v>
      </c>
      <c r="G611" s="53">
        <v>0</v>
      </c>
      <c r="H611" s="53">
        <v>0</v>
      </c>
      <c r="I611" s="53">
        <v>0</v>
      </c>
      <c r="J611" s="50" t="s">
        <v>597</v>
      </c>
      <c r="K611" s="50" t="s">
        <v>597</v>
      </c>
    </row>
    <row r="612" spans="1:11">
      <c r="A612" s="54" t="s">
        <v>1732</v>
      </c>
      <c r="B612" s="54" t="s">
        <v>1733</v>
      </c>
      <c r="C612" s="54" t="s">
        <v>1461</v>
      </c>
      <c r="D612" s="54" t="s">
        <v>144</v>
      </c>
      <c r="E612" s="55">
        <v>0</v>
      </c>
      <c r="F612" s="56" t="s">
        <v>597</v>
      </c>
      <c r="G612" s="57">
        <v>0</v>
      </c>
      <c r="H612" s="57">
        <v>0</v>
      </c>
      <c r="I612" s="57">
        <v>0</v>
      </c>
      <c r="J612" s="54" t="s">
        <v>597</v>
      </c>
      <c r="K612" s="54" t="s">
        <v>597</v>
      </c>
    </row>
    <row r="613" spans="1:11">
      <c r="A613" s="50" t="s">
        <v>1734</v>
      </c>
      <c r="B613" s="50" t="s">
        <v>1735</v>
      </c>
      <c r="C613" s="50" t="s">
        <v>1461</v>
      </c>
      <c r="D613" s="50" t="s">
        <v>144</v>
      </c>
      <c r="E613" s="51">
        <v>0</v>
      </c>
      <c r="F613" s="52" t="s">
        <v>597</v>
      </c>
      <c r="G613" s="53">
        <v>0</v>
      </c>
      <c r="H613" s="53">
        <v>0</v>
      </c>
      <c r="I613" s="53">
        <v>0</v>
      </c>
      <c r="J613" s="50" t="s">
        <v>597</v>
      </c>
      <c r="K613" s="50" t="s">
        <v>597</v>
      </c>
    </row>
    <row r="614" spans="1:11">
      <c r="A614" s="54" t="s">
        <v>1736</v>
      </c>
      <c r="B614" s="54" t="s">
        <v>1737</v>
      </c>
      <c r="C614" s="54" t="s">
        <v>1461</v>
      </c>
      <c r="D614" s="54" t="s">
        <v>144</v>
      </c>
      <c r="E614" s="55">
        <v>0</v>
      </c>
      <c r="F614" s="56" t="s">
        <v>597</v>
      </c>
      <c r="G614" s="57">
        <v>0</v>
      </c>
      <c r="H614" s="57">
        <v>0</v>
      </c>
      <c r="I614" s="57">
        <v>0</v>
      </c>
      <c r="J614" s="54" t="s">
        <v>597</v>
      </c>
      <c r="K614" s="54" t="s">
        <v>597</v>
      </c>
    </row>
    <row r="615" spans="1:11">
      <c r="A615" s="50" t="s">
        <v>1738</v>
      </c>
      <c r="B615" s="50" t="s">
        <v>1739</v>
      </c>
      <c r="C615" s="50" t="s">
        <v>1461</v>
      </c>
      <c r="D615" s="50" t="s">
        <v>144</v>
      </c>
      <c r="E615" s="51">
        <v>0</v>
      </c>
      <c r="F615" s="52" t="s">
        <v>597</v>
      </c>
      <c r="G615" s="53">
        <v>0</v>
      </c>
      <c r="H615" s="53">
        <v>0</v>
      </c>
      <c r="I615" s="53">
        <v>0</v>
      </c>
      <c r="J615" s="50" t="s">
        <v>597</v>
      </c>
      <c r="K615" s="50" t="s">
        <v>597</v>
      </c>
    </row>
    <row r="616" spans="1:11">
      <c r="A616" s="54" t="s">
        <v>1740</v>
      </c>
      <c r="B616" s="54" t="s">
        <v>1741</v>
      </c>
      <c r="C616" s="54" t="s">
        <v>1461</v>
      </c>
      <c r="D616" s="54" t="s">
        <v>144</v>
      </c>
      <c r="E616" s="55">
        <v>0</v>
      </c>
      <c r="F616" s="56" t="s">
        <v>597</v>
      </c>
      <c r="G616" s="57">
        <v>0</v>
      </c>
      <c r="H616" s="57">
        <v>0</v>
      </c>
      <c r="I616" s="57">
        <v>0</v>
      </c>
      <c r="J616" s="54" t="s">
        <v>597</v>
      </c>
      <c r="K616" s="54" t="s">
        <v>597</v>
      </c>
    </row>
    <row r="617" spans="1:11">
      <c r="A617" s="50" t="s">
        <v>1742</v>
      </c>
      <c r="B617" s="50" t="s">
        <v>1743</v>
      </c>
      <c r="C617" s="50" t="s">
        <v>1461</v>
      </c>
      <c r="D617" s="50" t="s">
        <v>144</v>
      </c>
      <c r="E617" s="51">
        <v>0</v>
      </c>
      <c r="F617" s="52" t="s">
        <v>597</v>
      </c>
      <c r="G617" s="53">
        <v>0</v>
      </c>
      <c r="H617" s="53">
        <v>0</v>
      </c>
      <c r="I617" s="53">
        <v>0</v>
      </c>
      <c r="J617" s="50" t="s">
        <v>597</v>
      </c>
      <c r="K617" s="50" t="s">
        <v>597</v>
      </c>
    </row>
    <row r="618" spans="1:11">
      <c r="A618" s="54" t="s">
        <v>1744</v>
      </c>
      <c r="B618" s="54" t="s">
        <v>1745</v>
      </c>
      <c r="C618" s="54" t="s">
        <v>1461</v>
      </c>
      <c r="D618" s="54" t="s">
        <v>144</v>
      </c>
      <c r="E618" s="55">
        <v>0</v>
      </c>
      <c r="F618" s="56" t="s">
        <v>597</v>
      </c>
      <c r="G618" s="57">
        <v>0</v>
      </c>
      <c r="H618" s="57">
        <v>0</v>
      </c>
      <c r="I618" s="57">
        <v>0</v>
      </c>
      <c r="J618" s="54" t="s">
        <v>597</v>
      </c>
      <c r="K618" s="54" t="s">
        <v>597</v>
      </c>
    </row>
    <row r="619" spans="1:11">
      <c r="A619" s="50" t="s">
        <v>1746</v>
      </c>
      <c r="B619" s="50" t="s">
        <v>1747</v>
      </c>
      <c r="C619" s="50" t="s">
        <v>1461</v>
      </c>
      <c r="D619" s="50" t="s">
        <v>144</v>
      </c>
      <c r="E619" s="51">
        <v>0</v>
      </c>
      <c r="F619" s="52" t="s">
        <v>597</v>
      </c>
      <c r="G619" s="53">
        <v>0</v>
      </c>
      <c r="H619" s="53">
        <v>0</v>
      </c>
      <c r="I619" s="53">
        <v>0</v>
      </c>
      <c r="J619" s="50" t="s">
        <v>597</v>
      </c>
      <c r="K619" s="50" t="s">
        <v>597</v>
      </c>
    </row>
    <row r="620" spans="1:11">
      <c r="A620" s="54" t="s">
        <v>1748</v>
      </c>
      <c r="B620" s="54" t="s">
        <v>1749</v>
      </c>
      <c r="C620" s="54" t="s">
        <v>1461</v>
      </c>
      <c r="D620" s="54" t="s">
        <v>144</v>
      </c>
      <c r="E620" s="55">
        <v>0</v>
      </c>
      <c r="F620" s="56" t="s">
        <v>597</v>
      </c>
      <c r="G620" s="57">
        <v>0</v>
      </c>
      <c r="H620" s="57">
        <v>0</v>
      </c>
      <c r="I620" s="57">
        <v>0</v>
      </c>
      <c r="J620" s="54" t="s">
        <v>597</v>
      </c>
      <c r="K620" s="54" t="s">
        <v>597</v>
      </c>
    </row>
    <row r="621" spans="1:11">
      <c r="A621" s="50" t="s">
        <v>1750</v>
      </c>
      <c r="B621" s="50" t="s">
        <v>1751</v>
      </c>
      <c r="C621" s="50" t="s">
        <v>1461</v>
      </c>
      <c r="D621" s="50" t="s">
        <v>144</v>
      </c>
      <c r="E621" s="51">
        <v>0</v>
      </c>
      <c r="F621" s="52" t="s">
        <v>597</v>
      </c>
      <c r="G621" s="53">
        <v>0</v>
      </c>
      <c r="H621" s="53">
        <v>0</v>
      </c>
      <c r="I621" s="53">
        <v>0</v>
      </c>
      <c r="J621" s="50" t="s">
        <v>597</v>
      </c>
      <c r="K621" s="50" t="s">
        <v>597</v>
      </c>
    </row>
    <row r="622" spans="1:11">
      <c r="A622" s="54" t="s">
        <v>1752</v>
      </c>
      <c r="B622" s="54" t="s">
        <v>1753</v>
      </c>
      <c r="C622" s="54" t="s">
        <v>1461</v>
      </c>
      <c r="D622" s="54" t="s">
        <v>144</v>
      </c>
      <c r="E622" s="55">
        <v>0</v>
      </c>
      <c r="F622" s="56" t="s">
        <v>597</v>
      </c>
      <c r="G622" s="57">
        <v>0</v>
      </c>
      <c r="H622" s="57">
        <v>0</v>
      </c>
      <c r="I622" s="57">
        <v>0</v>
      </c>
      <c r="J622" s="54" t="s">
        <v>597</v>
      </c>
      <c r="K622" s="54" t="s">
        <v>597</v>
      </c>
    </row>
    <row r="623" spans="1:11">
      <c r="A623" s="50" t="s">
        <v>1754</v>
      </c>
      <c r="B623" s="50" t="s">
        <v>1755</v>
      </c>
      <c r="C623" s="50" t="s">
        <v>1461</v>
      </c>
      <c r="D623" s="50" t="s">
        <v>144</v>
      </c>
      <c r="E623" s="51">
        <v>0</v>
      </c>
      <c r="F623" s="52" t="s">
        <v>597</v>
      </c>
      <c r="G623" s="53">
        <v>0</v>
      </c>
      <c r="H623" s="53">
        <v>0</v>
      </c>
      <c r="I623" s="53">
        <v>0</v>
      </c>
      <c r="J623" s="50" t="s">
        <v>597</v>
      </c>
      <c r="K623" s="50" t="s">
        <v>597</v>
      </c>
    </row>
    <row r="624" spans="1:11">
      <c r="A624" s="54" t="s">
        <v>1756</v>
      </c>
      <c r="B624" s="54" t="s">
        <v>1757</v>
      </c>
      <c r="C624" s="54" t="s">
        <v>1461</v>
      </c>
      <c r="D624" s="54" t="s">
        <v>144</v>
      </c>
      <c r="E624" s="55">
        <v>0</v>
      </c>
      <c r="F624" s="56" t="s">
        <v>597</v>
      </c>
      <c r="G624" s="57">
        <v>0</v>
      </c>
      <c r="H624" s="57">
        <v>0</v>
      </c>
      <c r="I624" s="57">
        <v>0</v>
      </c>
      <c r="J624" s="54" t="s">
        <v>597</v>
      </c>
      <c r="K624" s="54" t="s">
        <v>597</v>
      </c>
    </row>
    <row r="625" spans="1:11">
      <c r="A625" s="50" t="s">
        <v>1758</v>
      </c>
      <c r="B625" s="50" t="s">
        <v>1759</v>
      </c>
      <c r="C625" s="50" t="s">
        <v>1461</v>
      </c>
      <c r="D625" s="50" t="s">
        <v>144</v>
      </c>
      <c r="E625" s="51">
        <v>0</v>
      </c>
      <c r="F625" s="52" t="s">
        <v>597</v>
      </c>
      <c r="G625" s="53">
        <v>0</v>
      </c>
      <c r="H625" s="53">
        <v>0</v>
      </c>
      <c r="I625" s="53">
        <v>0</v>
      </c>
      <c r="J625" s="50" t="s">
        <v>597</v>
      </c>
      <c r="K625" s="50" t="s">
        <v>597</v>
      </c>
    </row>
    <row r="626" spans="1:11">
      <c r="A626" s="54" t="s">
        <v>1760</v>
      </c>
      <c r="B626" s="54" t="s">
        <v>1761</v>
      </c>
      <c r="C626" s="54" t="s">
        <v>1461</v>
      </c>
      <c r="D626" s="54" t="s">
        <v>144</v>
      </c>
      <c r="E626" s="55">
        <v>0</v>
      </c>
      <c r="F626" s="56" t="s">
        <v>597</v>
      </c>
      <c r="G626" s="57">
        <v>0</v>
      </c>
      <c r="H626" s="57">
        <v>0</v>
      </c>
      <c r="I626" s="57">
        <v>0</v>
      </c>
      <c r="J626" s="54" t="s">
        <v>597</v>
      </c>
      <c r="K626" s="54" t="s">
        <v>597</v>
      </c>
    </row>
    <row r="627" spans="1:11">
      <c r="A627" s="50" t="s">
        <v>1762</v>
      </c>
      <c r="B627" s="50" t="s">
        <v>1763</v>
      </c>
      <c r="C627" s="50" t="s">
        <v>1461</v>
      </c>
      <c r="D627" s="50" t="s">
        <v>144</v>
      </c>
      <c r="E627" s="51">
        <v>0</v>
      </c>
      <c r="F627" s="52" t="s">
        <v>597</v>
      </c>
      <c r="G627" s="53">
        <v>0</v>
      </c>
      <c r="H627" s="53">
        <v>0</v>
      </c>
      <c r="I627" s="53">
        <v>0</v>
      </c>
      <c r="J627" s="50" t="s">
        <v>597</v>
      </c>
      <c r="K627" s="50" t="s">
        <v>597</v>
      </c>
    </row>
    <row r="628" spans="1:11">
      <c r="A628" s="54" t="s">
        <v>1764</v>
      </c>
      <c r="B628" s="54" t="s">
        <v>1765</v>
      </c>
      <c r="C628" s="54" t="s">
        <v>1461</v>
      </c>
      <c r="D628" s="54" t="s">
        <v>144</v>
      </c>
      <c r="E628" s="55">
        <v>0</v>
      </c>
      <c r="F628" s="56" t="s">
        <v>597</v>
      </c>
      <c r="G628" s="57">
        <v>0</v>
      </c>
      <c r="H628" s="57">
        <v>0</v>
      </c>
      <c r="I628" s="57">
        <v>0</v>
      </c>
      <c r="J628" s="54" t="s">
        <v>597</v>
      </c>
      <c r="K628" s="54" t="s">
        <v>597</v>
      </c>
    </row>
    <row r="629" spans="1:11">
      <c r="A629" s="50" t="s">
        <v>1766</v>
      </c>
      <c r="B629" s="50" t="s">
        <v>1767</v>
      </c>
      <c r="C629" s="50" t="s">
        <v>1461</v>
      </c>
      <c r="D629" s="50" t="s">
        <v>144</v>
      </c>
      <c r="E629" s="51">
        <v>0</v>
      </c>
      <c r="F629" s="52" t="s">
        <v>597</v>
      </c>
      <c r="G629" s="53">
        <v>0</v>
      </c>
      <c r="H629" s="53">
        <v>0</v>
      </c>
      <c r="I629" s="53">
        <v>0</v>
      </c>
      <c r="J629" s="50" t="s">
        <v>597</v>
      </c>
      <c r="K629" s="50" t="s">
        <v>597</v>
      </c>
    </row>
    <row r="630" spans="1:11">
      <c r="A630" s="54" t="s">
        <v>1768</v>
      </c>
      <c r="B630" s="54" t="s">
        <v>1769</v>
      </c>
      <c r="C630" s="54" t="s">
        <v>1461</v>
      </c>
      <c r="D630" s="54" t="s">
        <v>144</v>
      </c>
      <c r="E630" s="55">
        <v>0</v>
      </c>
      <c r="F630" s="56" t="s">
        <v>597</v>
      </c>
      <c r="G630" s="57">
        <v>0</v>
      </c>
      <c r="H630" s="57">
        <v>0</v>
      </c>
      <c r="I630" s="57">
        <v>0</v>
      </c>
      <c r="J630" s="54" t="s">
        <v>597</v>
      </c>
      <c r="K630" s="54" t="s">
        <v>597</v>
      </c>
    </row>
    <row r="631" spans="1:11">
      <c r="A631" s="50" t="s">
        <v>1770</v>
      </c>
      <c r="B631" s="50" t="s">
        <v>1771</v>
      </c>
      <c r="C631" s="50" t="s">
        <v>1461</v>
      </c>
      <c r="D631" s="50" t="s">
        <v>144</v>
      </c>
      <c r="E631" s="51">
        <v>0</v>
      </c>
      <c r="F631" s="52" t="s">
        <v>597</v>
      </c>
      <c r="G631" s="53">
        <v>0</v>
      </c>
      <c r="H631" s="53">
        <v>0</v>
      </c>
      <c r="I631" s="53">
        <v>0</v>
      </c>
      <c r="J631" s="50" t="s">
        <v>597</v>
      </c>
      <c r="K631" s="50" t="s">
        <v>597</v>
      </c>
    </row>
    <row r="632" spans="1:11">
      <c r="A632" s="54" t="s">
        <v>1772</v>
      </c>
      <c r="B632" s="54" t="s">
        <v>1773</v>
      </c>
      <c r="C632" s="54" t="s">
        <v>1461</v>
      </c>
      <c r="D632" s="54" t="s">
        <v>144</v>
      </c>
      <c r="E632" s="55">
        <v>0</v>
      </c>
      <c r="F632" s="56" t="s">
        <v>597</v>
      </c>
      <c r="G632" s="57">
        <v>0</v>
      </c>
      <c r="H632" s="57">
        <v>0</v>
      </c>
      <c r="I632" s="57">
        <v>0</v>
      </c>
      <c r="J632" s="54" t="s">
        <v>597</v>
      </c>
      <c r="K632" s="54" t="s">
        <v>597</v>
      </c>
    </row>
    <row r="633" spans="1:11">
      <c r="A633" s="50" t="s">
        <v>1774</v>
      </c>
      <c r="B633" s="50" t="s">
        <v>1775</v>
      </c>
      <c r="C633" s="50" t="s">
        <v>1461</v>
      </c>
      <c r="D633" s="50" t="s">
        <v>144</v>
      </c>
      <c r="E633" s="51">
        <v>0</v>
      </c>
      <c r="F633" s="52" t="s">
        <v>597</v>
      </c>
      <c r="G633" s="53">
        <v>0</v>
      </c>
      <c r="H633" s="53">
        <v>0</v>
      </c>
      <c r="I633" s="53">
        <v>0</v>
      </c>
      <c r="J633" s="50" t="s">
        <v>597</v>
      </c>
      <c r="K633" s="50" t="s">
        <v>597</v>
      </c>
    </row>
    <row r="634" spans="1:11">
      <c r="A634" s="54" t="s">
        <v>1776</v>
      </c>
      <c r="B634" s="54" t="s">
        <v>1777</v>
      </c>
      <c r="C634" s="54" t="s">
        <v>1461</v>
      </c>
      <c r="D634" s="54" t="s">
        <v>144</v>
      </c>
      <c r="E634" s="55">
        <v>0</v>
      </c>
      <c r="F634" s="56" t="s">
        <v>597</v>
      </c>
      <c r="G634" s="57">
        <v>0</v>
      </c>
      <c r="H634" s="57">
        <v>0</v>
      </c>
      <c r="I634" s="57">
        <v>0</v>
      </c>
      <c r="J634" s="54" t="s">
        <v>597</v>
      </c>
      <c r="K634" s="54" t="s">
        <v>597</v>
      </c>
    </row>
    <row r="635" spans="1:11">
      <c r="A635" s="50" t="s">
        <v>1778</v>
      </c>
      <c r="B635" s="50" t="s">
        <v>1779</v>
      </c>
      <c r="C635" s="50" t="s">
        <v>1461</v>
      </c>
      <c r="D635" s="50" t="s">
        <v>144</v>
      </c>
      <c r="E635" s="51">
        <v>0</v>
      </c>
      <c r="F635" s="52" t="s">
        <v>597</v>
      </c>
      <c r="G635" s="53">
        <v>0</v>
      </c>
      <c r="H635" s="53">
        <v>0</v>
      </c>
      <c r="I635" s="53">
        <v>0</v>
      </c>
      <c r="J635" s="50" t="s">
        <v>597</v>
      </c>
      <c r="K635" s="50" t="s">
        <v>597</v>
      </c>
    </row>
    <row r="636" spans="1:11">
      <c r="A636" s="54" t="s">
        <v>1780</v>
      </c>
      <c r="B636" s="54" t="s">
        <v>1781</v>
      </c>
      <c r="C636" s="54" t="s">
        <v>1461</v>
      </c>
      <c r="D636" s="54" t="s">
        <v>144</v>
      </c>
      <c r="E636" s="55">
        <v>0</v>
      </c>
      <c r="F636" s="56" t="s">
        <v>597</v>
      </c>
      <c r="G636" s="57">
        <v>0</v>
      </c>
      <c r="H636" s="57">
        <v>0</v>
      </c>
      <c r="I636" s="57">
        <v>0</v>
      </c>
      <c r="J636" s="54" t="s">
        <v>597</v>
      </c>
      <c r="K636" s="54" t="s">
        <v>597</v>
      </c>
    </row>
    <row r="637" spans="1:11">
      <c r="A637" s="50" t="s">
        <v>1782</v>
      </c>
      <c r="B637" s="50" t="s">
        <v>1783</v>
      </c>
      <c r="C637" s="50" t="s">
        <v>1461</v>
      </c>
      <c r="D637" s="50" t="s">
        <v>144</v>
      </c>
      <c r="E637" s="51">
        <v>0</v>
      </c>
      <c r="F637" s="52" t="s">
        <v>597</v>
      </c>
      <c r="G637" s="53">
        <v>0</v>
      </c>
      <c r="H637" s="53">
        <v>0</v>
      </c>
      <c r="I637" s="53">
        <v>0</v>
      </c>
      <c r="J637" s="50" t="s">
        <v>597</v>
      </c>
      <c r="K637" s="50" t="s">
        <v>597</v>
      </c>
    </row>
    <row r="638" spans="1:11">
      <c r="A638" s="54" t="s">
        <v>1784</v>
      </c>
      <c r="B638" s="54" t="s">
        <v>1785</v>
      </c>
      <c r="C638" s="54" t="s">
        <v>1461</v>
      </c>
      <c r="D638" s="54" t="s">
        <v>144</v>
      </c>
      <c r="E638" s="55">
        <v>0</v>
      </c>
      <c r="F638" s="56" t="s">
        <v>597</v>
      </c>
      <c r="G638" s="57">
        <v>0</v>
      </c>
      <c r="H638" s="57">
        <v>0</v>
      </c>
      <c r="I638" s="57">
        <v>0</v>
      </c>
      <c r="J638" s="54" t="s">
        <v>597</v>
      </c>
      <c r="K638" s="54" t="s">
        <v>597</v>
      </c>
    </row>
    <row r="639" spans="1:11">
      <c r="A639" s="50" t="s">
        <v>1786</v>
      </c>
      <c r="B639" s="50" t="s">
        <v>1787</v>
      </c>
      <c r="C639" s="50" t="s">
        <v>1461</v>
      </c>
      <c r="D639" s="50" t="s">
        <v>144</v>
      </c>
      <c r="E639" s="51">
        <v>0</v>
      </c>
      <c r="F639" s="52" t="s">
        <v>597</v>
      </c>
      <c r="G639" s="53">
        <v>0</v>
      </c>
      <c r="H639" s="53">
        <v>0</v>
      </c>
      <c r="I639" s="53">
        <v>0</v>
      </c>
      <c r="J639" s="50" t="s">
        <v>597</v>
      </c>
      <c r="K639" s="50" t="s">
        <v>597</v>
      </c>
    </row>
    <row r="640" spans="1:11">
      <c r="A640" s="54" t="s">
        <v>1788</v>
      </c>
      <c r="B640" s="54" t="s">
        <v>1789</v>
      </c>
      <c r="C640" s="54" t="s">
        <v>1461</v>
      </c>
      <c r="D640" s="54" t="s">
        <v>144</v>
      </c>
      <c r="E640" s="55">
        <v>0</v>
      </c>
      <c r="F640" s="56" t="s">
        <v>597</v>
      </c>
      <c r="G640" s="57">
        <v>0</v>
      </c>
      <c r="H640" s="57">
        <v>0</v>
      </c>
      <c r="I640" s="57">
        <v>0</v>
      </c>
      <c r="J640" s="54" t="s">
        <v>597</v>
      </c>
      <c r="K640" s="54" t="s">
        <v>597</v>
      </c>
    </row>
    <row r="641" spans="1:11">
      <c r="A641" s="50" t="s">
        <v>1790</v>
      </c>
      <c r="B641" s="50" t="s">
        <v>1791</v>
      </c>
      <c r="C641" s="50" t="s">
        <v>1461</v>
      </c>
      <c r="D641" s="50" t="s">
        <v>144</v>
      </c>
      <c r="E641" s="51">
        <v>0</v>
      </c>
      <c r="F641" s="52" t="s">
        <v>597</v>
      </c>
      <c r="G641" s="53">
        <v>0</v>
      </c>
      <c r="H641" s="53">
        <v>0</v>
      </c>
      <c r="I641" s="53">
        <v>0</v>
      </c>
      <c r="J641" s="50" t="s">
        <v>597</v>
      </c>
      <c r="K641" s="50" t="s">
        <v>597</v>
      </c>
    </row>
    <row r="642" spans="1:11">
      <c r="A642" s="54" t="s">
        <v>1792</v>
      </c>
      <c r="B642" s="54" t="s">
        <v>1793</v>
      </c>
      <c r="C642" s="54" t="s">
        <v>1461</v>
      </c>
      <c r="D642" s="54" t="s">
        <v>144</v>
      </c>
      <c r="E642" s="55">
        <v>0</v>
      </c>
      <c r="F642" s="56" t="s">
        <v>597</v>
      </c>
      <c r="G642" s="57">
        <v>0</v>
      </c>
      <c r="H642" s="57">
        <v>0</v>
      </c>
      <c r="I642" s="57">
        <v>0</v>
      </c>
      <c r="J642" s="54" t="s">
        <v>597</v>
      </c>
      <c r="K642" s="54" t="s">
        <v>597</v>
      </c>
    </row>
    <row r="643" spans="1:11">
      <c r="A643" s="50" t="s">
        <v>1794</v>
      </c>
      <c r="B643" s="50" t="s">
        <v>1795</v>
      </c>
      <c r="C643" s="50" t="s">
        <v>1461</v>
      </c>
      <c r="D643" s="50" t="s">
        <v>144</v>
      </c>
      <c r="E643" s="51">
        <v>0</v>
      </c>
      <c r="F643" s="52" t="s">
        <v>597</v>
      </c>
      <c r="G643" s="53">
        <v>0</v>
      </c>
      <c r="H643" s="53">
        <v>0</v>
      </c>
      <c r="I643" s="53">
        <v>0</v>
      </c>
      <c r="J643" s="50" t="s">
        <v>597</v>
      </c>
      <c r="K643" s="50" t="s">
        <v>597</v>
      </c>
    </row>
    <row r="644" spans="1:11">
      <c r="A644" s="54" t="s">
        <v>1796</v>
      </c>
      <c r="B644" s="54" t="s">
        <v>1797</v>
      </c>
      <c r="C644" s="54" t="s">
        <v>1461</v>
      </c>
      <c r="D644" s="54" t="s">
        <v>144</v>
      </c>
      <c r="E644" s="55">
        <v>0</v>
      </c>
      <c r="F644" s="56" t="s">
        <v>597</v>
      </c>
      <c r="G644" s="57">
        <v>0</v>
      </c>
      <c r="H644" s="57">
        <v>0</v>
      </c>
      <c r="I644" s="57">
        <v>0</v>
      </c>
      <c r="J644" s="54" t="s">
        <v>597</v>
      </c>
      <c r="K644" s="54" t="s">
        <v>597</v>
      </c>
    </row>
    <row r="645" spans="1:11">
      <c r="A645" s="50" t="s">
        <v>1798</v>
      </c>
      <c r="B645" s="50" t="s">
        <v>1799</v>
      </c>
      <c r="C645" s="50" t="s">
        <v>1461</v>
      </c>
      <c r="D645" s="50" t="s">
        <v>144</v>
      </c>
      <c r="E645" s="51">
        <v>0</v>
      </c>
      <c r="F645" s="52" t="s">
        <v>597</v>
      </c>
      <c r="G645" s="53">
        <v>0</v>
      </c>
      <c r="H645" s="53">
        <v>0</v>
      </c>
      <c r="I645" s="53">
        <v>0</v>
      </c>
      <c r="J645" s="50" t="s">
        <v>597</v>
      </c>
      <c r="K645" s="50" t="s">
        <v>597</v>
      </c>
    </row>
    <row r="646" spans="1:11">
      <c r="A646" s="54" t="s">
        <v>1800</v>
      </c>
      <c r="B646" s="54" t="s">
        <v>1801</v>
      </c>
      <c r="C646" s="54" t="s">
        <v>1461</v>
      </c>
      <c r="D646" s="54" t="s">
        <v>144</v>
      </c>
      <c r="E646" s="55">
        <v>0</v>
      </c>
      <c r="F646" s="56" t="s">
        <v>597</v>
      </c>
      <c r="G646" s="57">
        <v>0</v>
      </c>
      <c r="H646" s="57">
        <v>0</v>
      </c>
      <c r="I646" s="57">
        <v>0</v>
      </c>
      <c r="J646" s="54" t="s">
        <v>597</v>
      </c>
      <c r="K646" s="54" t="s">
        <v>597</v>
      </c>
    </row>
    <row r="647" spans="1:11">
      <c r="A647" s="50" t="s">
        <v>1802</v>
      </c>
      <c r="B647" s="50" t="s">
        <v>1803</v>
      </c>
      <c r="C647" s="50" t="s">
        <v>1461</v>
      </c>
      <c r="D647" s="50" t="s">
        <v>144</v>
      </c>
      <c r="E647" s="51">
        <v>0</v>
      </c>
      <c r="F647" s="52" t="s">
        <v>597</v>
      </c>
      <c r="G647" s="53">
        <v>0</v>
      </c>
      <c r="H647" s="53">
        <v>0</v>
      </c>
      <c r="I647" s="53">
        <v>0</v>
      </c>
      <c r="J647" s="50" t="s">
        <v>597</v>
      </c>
      <c r="K647" s="50" t="s">
        <v>597</v>
      </c>
    </row>
    <row r="648" spans="1:11">
      <c r="A648" s="54" t="s">
        <v>1804</v>
      </c>
      <c r="B648" s="54" t="s">
        <v>1805</v>
      </c>
      <c r="C648" s="54" t="s">
        <v>1461</v>
      </c>
      <c r="D648" s="54" t="s">
        <v>144</v>
      </c>
      <c r="E648" s="55">
        <v>0</v>
      </c>
      <c r="F648" s="56" t="s">
        <v>597</v>
      </c>
      <c r="G648" s="57">
        <v>0</v>
      </c>
      <c r="H648" s="57">
        <v>0</v>
      </c>
      <c r="I648" s="57">
        <v>0</v>
      </c>
      <c r="J648" s="54" t="s">
        <v>597</v>
      </c>
      <c r="K648" s="54" t="s">
        <v>597</v>
      </c>
    </row>
    <row r="649" spans="1:11">
      <c r="A649" s="50" t="s">
        <v>1806</v>
      </c>
      <c r="B649" s="50" t="s">
        <v>1807</v>
      </c>
      <c r="C649" s="50" t="s">
        <v>1461</v>
      </c>
      <c r="D649" s="50" t="s">
        <v>144</v>
      </c>
      <c r="E649" s="51">
        <v>0</v>
      </c>
      <c r="F649" s="52" t="s">
        <v>597</v>
      </c>
      <c r="G649" s="53">
        <v>0</v>
      </c>
      <c r="H649" s="53">
        <v>0</v>
      </c>
      <c r="I649" s="53">
        <v>0</v>
      </c>
      <c r="J649" s="50" t="s">
        <v>597</v>
      </c>
      <c r="K649" s="50" t="s">
        <v>597</v>
      </c>
    </row>
    <row r="650" spans="1:11">
      <c r="A650" s="54" t="s">
        <v>1808</v>
      </c>
      <c r="B650" s="54" t="s">
        <v>1809</v>
      </c>
      <c r="C650" s="54" t="s">
        <v>1461</v>
      </c>
      <c r="D650" s="54" t="s">
        <v>144</v>
      </c>
      <c r="E650" s="55">
        <v>0</v>
      </c>
      <c r="F650" s="56" t="s">
        <v>597</v>
      </c>
      <c r="G650" s="57">
        <v>0</v>
      </c>
      <c r="H650" s="57">
        <v>0</v>
      </c>
      <c r="I650" s="57">
        <v>0</v>
      </c>
      <c r="J650" s="54" t="s">
        <v>597</v>
      </c>
      <c r="K650" s="54" t="s">
        <v>597</v>
      </c>
    </row>
    <row r="651" spans="1:11">
      <c r="A651" s="50" t="s">
        <v>1810</v>
      </c>
      <c r="B651" s="50" t="s">
        <v>1811</v>
      </c>
      <c r="C651" s="50" t="s">
        <v>1461</v>
      </c>
      <c r="D651" s="50" t="s">
        <v>144</v>
      </c>
      <c r="E651" s="51">
        <v>0</v>
      </c>
      <c r="F651" s="52" t="s">
        <v>597</v>
      </c>
      <c r="G651" s="53">
        <v>0</v>
      </c>
      <c r="H651" s="53">
        <v>0</v>
      </c>
      <c r="I651" s="53">
        <v>0</v>
      </c>
      <c r="J651" s="50" t="s">
        <v>597</v>
      </c>
      <c r="K651" s="50" t="s">
        <v>597</v>
      </c>
    </row>
    <row r="652" spans="1:11">
      <c r="A652" s="54" t="s">
        <v>1812</v>
      </c>
      <c r="B652" s="54" t="s">
        <v>1813</v>
      </c>
      <c r="C652" s="54" t="s">
        <v>1461</v>
      </c>
      <c r="D652" s="54" t="s">
        <v>144</v>
      </c>
      <c r="E652" s="55">
        <v>0</v>
      </c>
      <c r="F652" s="56" t="s">
        <v>597</v>
      </c>
      <c r="G652" s="57">
        <v>0</v>
      </c>
      <c r="H652" s="57">
        <v>0</v>
      </c>
      <c r="I652" s="57">
        <v>0</v>
      </c>
      <c r="J652" s="54" t="s">
        <v>597</v>
      </c>
      <c r="K652" s="54" t="s">
        <v>597</v>
      </c>
    </row>
    <row r="653" spans="1:11">
      <c r="A653" s="50" t="s">
        <v>1814</v>
      </c>
      <c r="B653" s="50" t="s">
        <v>1815</v>
      </c>
      <c r="C653" s="50" t="s">
        <v>1461</v>
      </c>
      <c r="D653" s="50" t="s">
        <v>144</v>
      </c>
      <c r="E653" s="51">
        <v>0</v>
      </c>
      <c r="F653" s="52" t="s">
        <v>597</v>
      </c>
      <c r="G653" s="53">
        <v>0</v>
      </c>
      <c r="H653" s="53">
        <v>0</v>
      </c>
      <c r="I653" s="53">
        <v>0</v>
      </c>
      <c r="J653" s="50" t="s">
        <v>597</v>
      </c>
      <c r="K653" s="50" t="s">
        <v>597</v>
      </c>
    </row>
    <row r="654" spans="1:11">
      <c r="A654" s="54" t="s">
        <v>1816</v>
      </c>
      <c r="B654" s="54" t="s">
        <v>1817</v>
      </c>
      <c r="C654" s="54" t="s">
        <v>1461</v>
      </c>
      <c r="D654" s="54" t="s">
        <v>144</v>
      </c>
      <c r="E654" s="55">
        <v>0</v>
      </c>
      <c r="F654" s="56" t="s">
        <v>597</v>
      </c>
      <c r="G654" s="57">
        <v>0</v>
      </c>
      <c r="H654" s="57">
        <v>0</v>
      </c>
      <c r="I654" s="57">
        <v>0</v>
      </c>
      <c r="J654" s="54" t="s">
        <v>597</v>
      </c>
      <c r="K654" s="54" t="s">
        <v>597</v>
      </c>
    </row>
    <row r="655" spans="1:11">
      <c r="A655" s="50" t="s">
        <v>1818</v>
      </c>
      <c r="B655" s="50" t="s">
        <v>1819</v>
      </c>
      <c r="C655" s="50" t="s">
        <v>1461</v>
      </c>
      <c r="D655" s="50" t="s">
        <v>144</v>
      </c>
      <c r="E655" s="51">
        <v>0</v>
      </c>
      <c r="F655" s="52" t="s">
        <v>597</v>
      </c>
      <c r="G655" s="53">
        <v>0</v>
      </c>
      <c r="H655" s="53">
        <v>0</v>
      </c>
      <c r="I655" s="53">
        <v>0</v>
      </c>
      <c r="J655" s="50" t="s">
        <v>597</v>
      </c>
      <c r="K655" s="50" t="s">
        <v>597</v>
      </c>
    </row>
    <row r="656" spans="1:11">
      <c r="A656" s="54" t="s">
        <v>1820</v>
      </c>
      <c r="B656" s="54" t="s">
        <v>1821</v>
      </c>
      <c r="C656" s="54" t="s">
        <v>1461</v>
      </c>
      <c r="D656" s="54" t="s">
        <v>144</v>
      </c>
      <c r="E656" s="55">
        <v>0</v>
      </c>
      <c r="F656" s="56" t="s">
        <v>597</v>
      </c>
      <c r="G656" s="57">
        <v>0</v>
      </c>
      <c r="H656" s="57">
        <v>0</v>
      </c>
      <c r="I656" s="57">
        <v>0</v>
      </c>
      <c r="J656" s="54" t="s">
        <v>597</v>
      </c>
      <c r="K656" s="54" t="s">
        <v>597</v>
      </c>
    </row>
    <row r="657" spans="1:11">
      <c r="A657" s="50" t="s">
        <v>1822</v>
      </c>
      <c r="B657" s="50" t="s">
        <v>1823</v>
      </c>
      <c r="C657" s="50" t="s">
        <v>1461</v>
      </c>
      <c r="D657" s="50" t="s">
        <v>144</v>
      </c>
      <c r="E657" s="51">
        <v>0</v>
      </c>
      <c r="F657" s="52" t="s">
        <v>597</v>
      </c>
      <c r="G657" s="53">
        <v>0</v>
      </c>
      <c r="H657" s="53">
        <v>0</v>
      </c>
      <c r="I657" s="53">
        <v>0</v>
      </c>
      <c r="J657" s="50" t="s">
        <v>597</v>
      </c>
      <c r="K657" s="50" t="s">
        <v>597</v>
      </c>
    </row>
    <row r="658" spans="1:11">
      <c r="A658" s="54" t="s">
        <v>1824</v>
      </c>
      <c r="B658" s="54" t="s">
        <v>1825</v>
      </c>
      <c r="C658" s="54" t="s">
        <v>1461</v>
      </c>
      <c r="D658" s="54" t="s">
        <v>144</v>
      </c>
      <c r="E658" s="55">
        <v>0</v>
      </c>
      <c r="F658" s="56" t="s">
        <v>597</v>
      </c>
      <c r="G658" s="57">
        <v>0</v>
      </c>
      <c r="H658" s="57">
        <v>0</v>
      </c>
      <c r="I658" s="57">
        <v>0</v>
      </c>
      <c r="J658" s="54" t="s">
        <v>597</v>
      </c>
      <c r="K658" s="54" t="s">
        <v>597</v>
      </c>
    </row>
    <row r="659" spans="1:11">
      <c r="A659" s="50" t="s">
        <v>1826</v>
      </c>
      <c r="B659" s="50" t="s">
        <v>1827</v>
      </c>
      <c r="C659" s="50" t="s">
        <v>1461</v>
      </c>
      <c r="D659" s="50" t="s">
        <v>144</v>
      </c>
      <c r="E659" s="51">
        <v>0</v>
      </c>
      <c r="F659" s="52" t="s">
        <v>597</v>
      </c>
      <c r="G659" s="53">
        <v>0</v>
      </c>
      <c r="H659" s="53">
        <v>0</v>
      </c>
      <c r="I659" s="53">
        <v>0</v>
      </c>
      <c r="J659" s="50" t="s">
        <v>597</v>
      </c>
      <c r="K659" s="50" t="s">
        <v>597</v>
      </c>
    </row>
    <row r="660" spans="1:11">
      <c r="A660" s="54" t="s">
        <v>1828</v>
      </c>
      <c r="B660" s="54" t="s">
        <v>1829</v>
      </c>
      <c r="C660" s="54" t="s">
        <v>1461</v>
      </c>
      <c r="D660" s="54" t="s">
        <v>144</v>
      </c>
      <c r="E660" s="55">
        <v>0</v>
      </c>
      <c r="F660" s="56" t="s">
        <v>597</v>
      </c>
      <c r="G660" s="57">
        <v>0</v>
      </c>
      <c r="H660" s="57">
        <v>0</v>
      </c>
      <c r="I660" s="57">
        <v>0</v>
      </c>
      <c r="J660" s="54" t="s">
        <v>597</v>
      </c>
      <c r="K660" s="54" t="s">
        <v>597</v>
      </c>
    </row>
    <row r="661" spans="1:11">
      <c r="A661" s="50" t="s">
        <v>1830</v>
      </c>
      <c r="B661" s="50" t="s">
        <v>1831</v>
      </c>
      <c r="C661" s="50" t="s">
        <v>1461</v>
      </c>
      <c r="D661" s="50" t="s">
        <v>144</v>
      </c>
      <c r="E661" s="51">
        <v>0</v>
      </c>
      <c r="F661" s="52" t="s">
        <v>597</v>
      </c>
      <c r="G661" s="53">
        <v>0</v>
      </c>
      <c r="H661" s="53">
        <v>0</v>
      </c>
      <c r="I661" s="53">
        <v>0</v>
      </c>
      <c r="J661" s="50" t="s">
        <v>597</v>
      </c>
      <c r="K661" s="50" t="s">
        <v>597</v>
      </c>
    </row>
    <row r="662" spans="1:11">
      <c r="A662" s="54" t="s">
        <v>1832</v>
      </c>
      <c r="B662" s="54" t="s">
        <v>1833</v>
      </c>
      <c r="C662" s="54" t="s">
        <v>1461</v>
      </c>
      <c r="D662" s="54" t="s">
        <v>144</v>
      </c>
      <c r="E662" s="55">
        <v>0</v>
      </c>
      <c r="F662" s="56" t="s">
        <v>597</v>
      </c>
      <c r="G662" s="57">
        <v>0</v>
      </c>
      <c r="H662" s="57">
        <v>0</v>
      </c>
      <c r="I662" s="57">
        <v>0</v>
      </c>
      <c r="J662" s="54" t="s">
        <v>597</v>
      </c>
      <c r="K662" s="54" t="s">
        <v>597</v>
      </c>
    </row>
    <row r="663" spans="1:11">
      <c r="A663" s="50" t="s">
        <v>1834</v>
      </c>
      <c r="B663" s="50" t="s">
        <v>1835</v>
      </c>
      <c r="C663" s="50" t="s">
        <v>1461</v>
      </c>
      <c r="D663" s="50" t="s">
        <v>144</v>
      </c>
      <c r="E663" s="51">
        <v>0</v>
      </c>
      <c r="F663" s="52" t="s">
        <v>597</v>
      </c>
      <c r="G663" s="53">
        <v>0</v>
      </c>
      <c r="H663" s="53">
        <v>0</v>
      </c>
      <c r="I663" s="53">
        <v>0</v>
      </c>
      <c r="J663" s="50" t="s">
        <v>597</v>
      </c>
      <c r="K663" s="50" t="s">
        <v>597</v>
      </c>
    </row>
    <row r="664" spans="1:11">
      <c r="A664" s="54" t="s">
        <v>1836</v>
      </c>
      <c r="B664" s="54" t="s">
        <v>1837</v>
      </c>
      <c r="C664" s="54" t="s">
        <v>1461</v>
      </c>
      <c r="D664" s="54" t="s">
        <v>144</v>
      </c>
      <c r="E664" s="55">
        <v>0</v>
      </c>
      <c r="F664" s="56" t="s">
        <v>597</v>
      </c>
      <c r="G664" s="57">
        <v>0</v>
      </c>
      <c r="H664" s="57">
        <v>0</v>
      </c>
      <c r="I664" s="57">
        <v>0</v>
      </c>
      <c r="J664" s="54" t="s">
        <v>597</v>
      </c>
      <c r="K664" s="54" t="s">
        <v>597</v>
      </c>
    </row>
    <row r="665" spans="1:11">
      <c r="A665" s="50" t="s">
        <v>1838</v>
      </c>
      <c r="B665" s="50" t="s">
        <v>1839</v>
      </c>
      <c r="C665" s="50" t="s">
        <v>1461</v>
      </c>
      <c r="D665" s="50" t="s">
        <v>144</v>
      </c>
      <c r="E665" s="51">
        <v>0</v>
      </c>
      <c r="F665" s="52" t="s">
        <v>597</v>
      </c>
      <c r="G665" s="53">
        <v>0</v>
      </c>
      <c r="H665" s="53">
        <v>0</v>
      </c>
      <c r="I665" s="53">
        <v>0</v>
      </c>
      <c r="J665" s="50" t="s">
        <v>597</v>
      </c>
      <c r="K665" s="50" t="s">
        <v>597</v>
      </c>
    </row>
    <row r="666" spans="1:11">
      <c r="A666" s="54" t="s">
        <v>1840</v>
      </c>
      <c r="B666" s="54" t="s">
        <v>1841</v>
      </c>
      <c r="C666" s="54" t="s">
        <v>1461</v>
      </c>
      <c r="D666" s="54" t="s">
        <v>144</v>
      </c>
      <c r="E666" s="55">
        <v>0</v>
      </c>
      <c r="F666" s="56" t="s">
        <v>597</v>
      </c>
      <c r="G666" s="57">
        <v>0</v>
      </c>
      <c r="H666" s="57">
        <v>0</v>
      </c>
      <c r="I666" s="57">
        <v>0</v>
      </c>
      <c r="J666" s="54" t="s">
        <v>597</v>
      </c>
      <c r="K666" s="54" t="s">
        <v>597</v>
      </c>
    </row>
    <row r="667" spans="1:11">
      <c r="A667" s="50" t="s">
        <v>1842</v>
      </c>
      <c r="B667" s="50" t="s">
        <v>1843</v>
      </c>
      <c r="C667" s="50" t="s">
        <v>1461</v>
      </c>
      <c r="D667" s="50" t="s">
        <v>144</v>
      </c>
      <c r="E667" s="51">
        <v>0</v>
      </c>
      <c r="F667" s="52" t="s">
        <v>597</v>
      </c>
      <c r="G667" s="53">
        <v>0</v>
      </c>
      <c r="H667" s="53">
        <v>0</v>
      </c>
      <c r="I667" s="53">
        <v>0</v>
      </c>
      <c r="J667" s="50" t="s">
        <v>597</v>
      </c>
      <c r="K667" s="50" t="s">
        <v>597</v>
      </c>
    </row>
    <row r="668" spans="1:11">
      <c r="A668" s="54" t="s">
        <v>1844</v>
      </c>
      <c r="B668" s="54" t="s">
        <v>1845</v>
      </c>
      <c r="C668" s="54" t="s">
        <v>1461</v>
      </c>
      <c r="D668" s="54" t="s">
        <v>144</v>
      </c>
      <c r="E668" s="55">
        <v>0</v>
      </c>
      <c r="F668" s="56" t="s">
        <v>597</v>
      </c>
      <c r="G668" s="57">
        <v>0</v>
      </c>
      <c r="H668" s="57">
        <v>0</v>
      </c>
      <c r="I668" s="57">
        <v>0</v>
      </c>
      <c r="J668" s="54" t="s">
        <v>597</v>
      </c>
      <c r="K668" s="54" t="s">
        <v>597</v>
      </c>
    </row>
    <row r="669" spans="1:11">
      <c r="A669" s="50" t="s">
        <v>1846</v>
      </c>
      <c r="B669" s="50" t="s">
        <v>1847</v>
      </c>
      <c r="C669" s="50" t="s">
        <v>1461</v>
      </c>
      <c r="D669" s="50" t="s">
        <v>144</v>
      </c>
      <c r="E669" s="51">
        <v>0</v>
      </c>
      <c r="F669" s="52" t="s">
        <v>597</v>
      </c>
      <c r="G669" s="53">
        <v>0</v>
      </c>
      <c r="H669" s="53">
        <v>0</v>
      </c>
      <c r="I669" s="53">
        <v>0</v>
      </c>
      <c r="J669" s="50" t="s">
        <v>597</v>
      </c>
      <c r="K669" s="50" t="s">
        <v>597</v>
      </c>
    </row>
    <row r="670" spans="1:11">
      <c r="A670" s="54" t="s">
        <v>1848</v>
      </c>
      <c r="B670" s="54" t="s">
        <v>1849</v>
      </c>
      <c r="C670" s="54" t="s">
        <v>1461</v>
      </c>
      <c r="D670" s="54" t="s">
        <v>144</v>
      </c>
      <c r="E670" s="55">
        <v>0</v>
      </c>
      <c r="F670" s="56" t="s">
        <v>597</v>
      </c>
      <c r="G670" s="57">
        <v>0</v>
      </c>
      <c r="H670" s="57">
        <v>0</v>
      </c>
      <c r="I670" s="57">
        <v>0</v>
      </c>
      <c r="J670" s="54" t="s">
        <v>597</v>
      </c>
      <c r="K670" s="54" t="s">
        <v>597</v>
      </c>
    </row>
    <row r="671" spans="1:11">
      <c r="A671" s="50" t="s">
        <v>1850</v>
      </c>
      <c r="B671" s="50" t="s">
        <v>1851</v>
      </c>
      <c r="C671" s="50" t="s">
        <v>1461</v>
      </c>
      <c r="D671" s="50" t="s">
        <v>144</v>
      </c>
      <c r="E671" s="51">
        <v>0</v>
      </c>
      <c r="F671" s="52" t="s">
        <v>597</v>
      </c>
      <c r="G671" s="53">
        <v>0</v>
      </c>
      <c r="H671" s="53">
        <v>0</v>
      </c>
      <c r="I671" s="53">
        <v>0</v>
      </c>
      <c r="J671" s="50" t="s">
        <v>597</v>
      </c>
      <c r="K671" s="50" t="s">
        <v>597</v>
      </c>
    </row>
    <row r="672" spans="1:11">
      <c r="A672" s="54" t="s">
        <v>1852</v>
      </c>
      <c r="B672" s="54" t="s">
        <v>1853</v>
      </c>
      <c r="C672" s="54" t="s">
        <v>1461</v>
      </c>
      <c r="D672" s="54" t="s">
        <v>144</v>
      </c>
      <c r="E672" s="55">
        <v>0</v>
      </c>
      <c r="F672" s="56" t="s">
        <v>597</v>
      </c>
      <c r="G672" s="57">
        <v>0</v>
      </c>
      <c r="H672" s="57">
        <v>0</v>
      </c>
      <c r="I672" s="57">
        <v>0</v>
      </c>
      <c r="J672" s="54" t="s">
        <v>597</v>
      </c>
      <c r="K672" s="54" t="s">
        <v>597</v>
      </c>
    </row>
    <row r="673" spans="1:11">
      <c r="A673" s="50" t="s">
        <v>1854</v>
      </c>
      <c r="B673" s="50" t="s">
        <v>1855</v>
      </c>
      <c r="C673" s="50" t="s">
        <v>1461</v>
      </c>
      <c r="D673" s="50" t="s">
        <v>144</v>
      </c>
      <c r="E673" s="51">
        <v>0</v>
      </c>
      <c r="F673" s="52" t="s">
        <v>597</v>
      </c>
      <c r="G673" s="53">
        <v>0</v>
      </c>
      <c r="H673" s="53">
        <v>0</v>
      </c>
      <c r="I673" s="53">
        <v>0</v>
      </c>
      <c r="J673" s="50" t="s">
        <v>597</v>
      </c>
      <c r="K673" s="50" t="s">
        <v>597</v>
      </c>
    </row>
    <row r="674" spans="1:11">
      <c r="A674" s="54" t="s">
        <v>1856</v>
      </c>
      <c r="B674" s="54" t="s">
        <v>1857</v>
      </c>
      <c r="C674" s="54" t="s">
        <v>1461</v>
      </c>
      <c r="D674" s="54" t="s">
        <v>144</v>
      </c>
      <c r="E674" s="55">
        <v>0</v>
      </c>
      <c r="F674" s="56" t="s">
        <v>597</v>
      </c>
      <c r="G674" s="57">
        <v>0</v>
      </c>
      <c r="H674" s="57">
        <v>0</v>
      </c>
      <c r="I674" s="57">
        <v>0</v>
      </c>
      <c r="J674" s="54" t="s">
        <v>597</v>
      </c>
      <c r="K674" s="54" t="s">
        <v>597</v>
      </c>
    </row>
    <row r="675" spans="1:11">
      <c r="A675" s="50" t="s">
        <v>1858</v>
      </c>
      <c r="B675" s="50" t="s">
        <v>1859</v>
      </c>
      <c r="C675" s="50" t="s">
        <v>1461</v>
      </c>
      <c r="D675" s="50" t="s">
        <v>144</v>
      </c>
      <c r="E675" s="51">
        <v>0</v>
      </c>
      <c r="F675" s="52" t="s">
        <v>597</v>
      </c>
      <c r="G675" s="53">
        <v>0</v>
      </c>
      <c r="H675" s="53">
        <v>0</v>
      </c>
      <c r="I675" s="53">
        <v>0</v>
      </c>
      <c r="J675" s="50" t="s">
        <v>597</v>
      </c>
      <c r="K675" s="50" t="s">
        <v>597</v>
      </c>
    </row>
    <row r="676" spans="1:11">
      <c r="A676" s="54" t="s">
        <v>1860</v>
      </c>
      <c r="B676" s="54" t="s">
        <v>1861</v>
      </c>
      <c r="C676" s="54" t="s">
        <v>1461</v>
      </c>
      <c r="D676" s="54" t="s">
        <v>144</v>
      </c>
      <c r="E676" s="55">
        <v>0</v>
      </c>
      <c r="F676" s="56" t="s">
        <v>597</v>
      </c>
      <c r="G676" s="57">
        <v>0</v>
      </c>
      <c r="H676" s="57">
        <v>0</v>
      </c>
      <c r="I676" s="57">
        <v>0</v>
      </c>
      <c r="J676" s="54" t="s">
        <v>597</v>
      </c>
      <c r="K676" s="54" t="s">
        <v>597</v>
      </c>
    </row>
    <row r="677" spans="1:11">
      <c r="A677" s="50" t="s">
        <v>1862</v>
      </c>
      <c r="B677" s="50" t="s">
        <v>1863</v>
      </c>
      <c r="C677" s="50" t="s">
        <v>1461</v>
      </c>
      <c r="D677" s="50" t="s">
        <v>144</v>
      </c>
      <c r="E677" s="51">
        <v>0</v>
      </c>
      <c r="F677" s="52" t="s">
        <v>597</v>
      </c>
      <c r="G677" s="53">
        <v>0</v>
      </c>
      <c r="H677" s="53">
        <v>0</v>
      </c>
      <c r="I677" s="53">
        <v>0</v>
      </c>
      <c r="J677" s="50" t="s">
        <v>597</v>
      </c>
      <c r="K677" s="50" t="s">
        <v>597</v>
      </c>
    </row>
    <row r="678" spans="1:11">
      <c r="A678" s="54" t="s">
        <v>1864</v>
      </c>
      <c r="B678" s="54" t="s">
        <v>1865</v>
      </c>
      <c r="C678" s="54" t="s">
        <v>1461</v>
      </c>
      <c r="D678" s="54" t="s">
        <v>144</v>
      </c>
      <c r="E678" s="55">
        <v>0</v>
      </c>
      <c r="F678" s="56" t="s">
        <v>597</v>
      </c>
      <c r="G678" s="57">
        <v>0</v>
      </c>
      <c r="H678" s="57">
        <v>0</v>
      </c>
      <c r="I678" s="57">
        <v>0</v>
      </c>
      <c r="J678" s="54" t="s">
        <v>597</v>
      </c>
      <c r="K678" s="54" t="s">
        <v>597</v>
      </c>
    </row>
    <row r="679" spans="1:11">
      <c r="A679" s="50" t="s">
        <v>1866</v>
      </c>
      <c r="B679" s="50" t="s">
        <v>1867</v>
      </c>
      <c r="C679" s="50" t="s">
        <v>1461</v>
      </c>
      <c r="D679" s="50" t="s">
        <v>144</v>
      </c>
      <c r="E679" s="51">
        <v>0</v>
      </c>
      <c r="F679" s="52" t="s">
        <v>597</v>
      </c>
      <c r="G679" s="53">
        <v>0</v>
      </c>
      <c r="H679" s="53">
        <v>0</v>
      </c>
      <c r="I679" s="53">
        <v>0</v>
      </c>
      <c r="J679" s="50" t="s">
        <v>597</v>
      </c>
      <c r="K679" s="50" t="s">
        <v>597</v>
      </c>
    </row>
    <row r="680" spans="1:11">
      <c r="A680" s="54" t="s">
        <v>1868</v>
      </c>
      <c r="B680" s="54" t="s">
        <v>1869</v>
      </c>
      <c r="C680" s="54" t="s">
        <v>1461</v>
      </c>
      <c r="D680" s="54" t="s">
        <v>144</v>
      </c>
      <c r="E680" s="55">
        <v>0</v>
      </c>
      <c r="F680" s="56" t="s">
        <v>597</v>
      </c>
      <c r="G680" s="57">
        <v>0</v>
      </c>
      <c r="H680" s="57">
        <v>0</v>
      </c>
      <c r="I680" s="57">
        <v>0</v>
      </c>
      <c r="J680" s="54" t="s">
        <v>597</v>
      </c>
      <c r="K680" s="54" t="s">
        <v>597</v>
      </c>
    </row>
    <row r="681" spans="1:11">
      <c r="A681" s="50" t="s">
        <v>1870</v>
      </c>
      <c r="B681" s="50" t="s">
        <v>1871</v>
      </c>
      <c r="C681" s="50" t="s">
        <v>1461</v>
      </c>
      <c r="D681" s="50" t="s">
        <v>144</v>
      </c>
      <c r="E681" s="51">
        <v>0</v>
      </c>
      <c r="F681" s="52" t="s">
        <v>597</v>
      </c>
      <c r="G681" s="53">
        <v>0</v>
      </c>
      <c r="H681" s="53">
        <v>0</v>
      </c>
      <c r="I681" s="53">
        <v>0</v>
      </c>
      <c r="J681" s="50" t="s">
        <v>597</v>
      </c>
      <c r="K681" s="50" t="s">
        <v>597</v>
      </c>
    </row>
    <row r="682" spans="1:11">
      <c r="A682" s="54" t="s">
        <v>1872</v>
      </c>
      <c r="B682" s="54" t="s">
        <v>1873</v>
      </c>
      <c r="C682" s="54" t="s">
        <v>1461</v>
      </c>
      <c r="D682" s="54" t="s">
        <v>144</v>
      </c>
      <c r="E682" s="55">
        <v>0</v>
      </c>
      <c r="F682" s="56" t="s">
        <v>597</v>
      </c>
      <c r="G682" s="57">
        <v>0</v>
      </c>
      <c r="H682" s="57">
        <v>0</v>
      </c>
      <c r="I682" s="57">
        <v>0</v>
      </c>
      <c r="J682" s="54" t="s">
        <v>597</v>
      </c>
      <c r="K682" s="54" t="s">
        <v>597</v>
      </c>
    </row>
    <row r="683" spans="1:11">
      <c r="A683" s="50" t="s">
        <v>1874</v>
      </c>
      <c r="B683" s="50" t="s">
        <v>1875</v>
      </c>
      <c r="C683" s="50" t="s">
        <v>1461</v>
      </c>
      <c r="D683" s="50" t="s">
        <v>144</v>
      </c>
      <c r="E683" s="51">
        <v>0</v>
      </c>
      <c r="F683" s="52" t="s">
        <v>597</v>
      </c>
      <c r="G683" s="53">
        <v>0</v>
      </c>
      <c r="H683" s="53">
        <v>0</v>
      </c>
      <c r="I683" s="53">
        <v>0</v>
      </c>
      <c r="J683" s="50" t="s">
        <v>597</v>
      </c>
      <c r="K683" s="50" t="s">
        <v>597</v>
      </c>
    </row>
    <row r="684" spans="1:11">
      <c r="A684" s="54" t="s">
        <v>1876</v>
      </c>
      <c r="B684" s="54" t="s">
        <v>1877</v>
      </c>
      <c r="C684" s="54" t="s">
        <v>1461</v>
      </c>
      <c r="D684" s="54" t="s">
        <v>144</v>
      </c>
      <c r="E684" s="55">
        <v>0</v>
      </c>
      <c r="F684" s="56" t="s">
        <v>597</v>
      </c>
      <c r="G684" s="57">
        <v>0</v>
      </c>
      <c r="H684" s="57">
        <v>0</v>
      </c>
      <c r="I684" s="57">
        <v>0</v>
      </c>
      <c r="J684" s="54" t="s">
        <v>597</v>
      </c>
      <c r="K684" s="54" t="s">
        <v>597</v>
      </c>
    </row>
    <row r="685" spans="1:11">
      <c r="A685" s="50" t="s">
        <v>1878</v>
      </c>
      <c r="B685" s="50" t="s">
        <v>1879</v>
      </c>
      <c r="C685" s="50" t="s">
        <v>1461</v>
      </c>
      <c r="D685" s="50" t="s">
        <v>144</v>
      </c>
      <c r="E685" s="51">
        <v>0</v>
      </c>
      <c r="F685" s="52" t="s">
        <v>597</v>
      </c>
      <c r="G685" s="53">
        <v>0</v>
      </c>
      <c r="H685" s="53">
        <v>0</v>
      </c>
      <c r="I685" s="53">
        <v>0</v>
      </c>
      <c r="J685" s="50" t="s">
        <v>597</v>
      </c>
      <c r="K685" s="50" t="s">
        <v>597</v>
      </c>
    </row>
    <row r="686" spans="1:11">
      <c r="A686" s="54" t="s">
        <v>1880</v>
      </c>
      <c r="B686" s="54" t="s">
        <v>1881</v>
      </c>
      <c r="C686" s="54" t="s">
        <v>1461</v>
      </c>
      <c r="D686" s="54" t="s">
        <v>144</v>
      </c>
      <c r="E686" s="55">
        <v>0</v>
      </c>
      <c r="F686" s="56" t="s">
        <v>597</v>
      </c>
      <c r="G686" s="57">
        <v>0</v>
      </c>
      <c r="H686" s="57">
        <v>0</v>
      </c>
      <c r="I686" s="57">
        <v>0</v>
      </c>
      <c r="J686" s="54" t="s">
        <v>597</v>
      </c>
      <c r="K686" s="54" t="s">
        <v>597</v>
      </c>
    </row>
    <row r="687" spans="1:11">
      <c r="A687" s="50" t="s">
        <v>1882</v>
      </c>
      <c r="B687" s="50" t="s">
        <v>1883</v>
      </c>
      <c r="C687" s="50" t="s">
        <v>1461</v>
      </c>
      <c r="D687" s="50" t="s">
        <v>144</v>
      </c>
      <c r="E687" s="51">
        <v>0</v>
      </c>
      <c r="F687" s="52" t="s">
        <v>597</v>
      </c>
      <c r="G687" s="53">
        <v>0</v>
      </c>
      <c r="H687" s="53">
        <v>0</v>
      </c>
      <c r="I687" s="53">
        <v>0</v>
      </c>
      <c r="J687" s="50" t="s">
        <v>597</v>
      </c>
      <c r="K687" s="50" t="s">
        <v>597</v>
      </c>
    </row>
    <row r="688" spans="1:11">
      <c r="A688" s="54" t="s">
        <v>1884</v>
      </c>
      <c r="B688" s="54" t="s">
        <v>1885</v>
      </c>
      <c r="C688" s="54" t="s">
        <v>1461</v>
      </c>
      <c r="D688" s="54" t="s">
        <v>144</v>
      </c>
      <c r="E688" s="55">
        <v>0</v>
      </c>
      <c r="F688" s="56" t="s">
        <v>597</v>
      </c>
      <c r="G688" s="57">
        <v>0</v>
      </c>
      <c r="H688" s="57">
        <v>0</v>
      </c>
      <c r="I688" s="57">
        <v>0</v>
      </c>
      <c r="J688" s="54" t="s">
        <v>597</v>
      </c>
      <c r="K688" s="54" t="s">
        <v>597</v>
      </c>
    </row>
    <row r="689" spans="1:11">
      <c r="A689" s="50" t="s">
        <v>1886</v>
      </c>
      <c r="B689" s="50" t="s">
        <v>1887</v>
      </c>
      <c r="C689" s="50" t="s">
        <v>1461</v>
      </c>
      <c r="D689" s="50" t="s">
        <v>144</v>
      </c>
      <c r="E689" s="51">
        <v>0</v>
      </c>
      <c r="F689" s="52" t="s">
        <v>597</v>
      </c>
      <c r="G689" s="53">
        <v>0</v>
      </c>
      <c r="H689" s="53">
        <v>0</v>
      </c>
      <c r="I689" s="53">
        <v>0</v>
      </c>
      <c r="J689" s="50" t="s">
        <v>597</v>
      </c>
      <c r="K689" s="50" t="s">
        <v>597</v>
      </c>
    </row>
    <row r="690" spans="1:11">
      <c r="A690" s="54" t="s">
        <v>1888</v>
      </c>
      <c r="B690" s="54" t="s">
        <v>1889</v>
      </c>
      <c r="C690" s="54" t="s">
        <v>1461</v>
      </c>
      <c r="D690" s="54" t="s">
        <v>144</v>
      </c>
      <c r="E690" s="55">
        <v>0</v>
      </c>
      <c r="F690" s="56" t="s">
        <v>597</v>
      </c>
      <c r="G690" s="57">
        <v>0</v>
      </c>
      <c r="H690" s="57">
        <v>0</v>
      </c>
      <c r="I690" s="57">
        <v>0</v>
      </c>
      <c r="J690" s="54" t="s">
        <v>597</v>
      </c>
      <c r="K690" s="54" t="s">
        <v>597</v>
      </c>
    </row>
    <row r="691" spans="1:11">
      <c r="A691" s="50" t="s">
        <v>1890</v>
      </c>
      <c r="B691" s="50" t="s">
        <v>1891</v>
      </c>
      <c r="C691" s="50" t="s">
        <v>1461</v>
      </c>
      <c r="D691" s="50" t="s">
        <v>144</v>
      </c>
      <c r="E691" s="51">
        <v>0</v>
      </c>
      <c r="F691" s="52" t="s">
        <v>597</v>
      </c>
      <c r="G691" s="53">
        <v>0</v>
      </c>
      <c r="H691" s="53">
        <v>0</v>
      </c>
      <c r="I691" s="53">
        <v>0</v>
      </c>
      <c r="J691" s="50" t="s">
        <v>597</v>
      </c>
      <c r="K691" s="50" t="s">
        <v>597</v>
      </c>
    </row>
    <row r="692" spans="1:11">
      <c r="A692" s="54" t="s">
        <v>1892</v>
      </c>
      <c r="B692" s="54" t="s">
        <v>1893</v>
      </c>
      <c r="C692" s="54" t="s">
        <v>1461</v>
      </c>
      <c r="D692" s="54" t="s">
        <v>144</v>
      </c>
      <c r="E692" s="55">
        <v>0</v>
      </c>
      <c r="F692" s="56" t="s">
        <v>597</v>
      </c>
      <c r="G692" s="57">
        <v>0</v>
      </c>
      <c r="H692" s="57">
        <v>0</v>
      </c>
      <c r="I692" s="57">
        <v>0</v>
      </c>
      <c r="J692" s="54" t="s">
        <v>597</v>
      </c>
      <c r="K692" s="54" t="s">
        <v>597</v>
      </c>
    </row>
    <row r="693" spans="1:11">
      <c r="A693" s="50" t="s">
        <v>1894</v>
      </c>
      <c r="B693" s="50" t="s">
        <v>1895</v>
      </c>
      <c r="C693" s="50" t="s">
        <v>1461</v>
      </c>
      <c r="D693" s="50" t="s">
        <v>144</v>
      </c>
      <c r="E693" s="51">
        <v>0</v>
      </c>
      <c r="F693" s="52" t="s">
        <v>597</v>
      </c>
      <c r="G693" s="53">
        <v>0</v>
      </c>
      <c r="H693" s="53">
        <v>0</v>
      </c>
      <c r="I693" s="53">
        <v>0</v>
      </c>
      <c r="J693" s="50" t="s">
        <v>597</v>
      </c>
      <c r="K693" s="50" t="s">
        <v>597</v>
      </c>
    </row>
    <row r="694" spans="1:11">
      <c r="A694" s="54" t="s">
        <v>1896</v>
      </c>
      <c r="B694" s="54" t="s">
        <v>1897</v>
      </c>
      <c r="C694" s="54" t="s">
        <v>1461</v>
      </c>
      <c r="D694" s="54" t="s">
        <v>144</v>
      </c>
      <c r="E694" s="55">
        <v>0</v>
      </c>
      <c r="F694" s="56" t="s">
        <v>597</v>
      </c>
      <c r="G694" s="57">
        <v>0</v>
      </c>
      <c r="H694" s="57">
        <v>0</v>
      </c>
      <c r="I694" s="57">
        <v>0</v>
      </c>
      <c r="J694" s="54" t="s">
        <v>597</v>
      </c>
      <c r="K694" s="54" t="s">
        <v>597</v>
      </c>
    </row>
    <row r="695" spans="1:11">
      <c r="A695" s="50" t="s">
        <v>1898</v>
      </c>
      <c r="B695" s="50" t="s">
        <v>1899</v>
      </c>
      <c r="C695" s="50" t="s">
        <v>1461</v>
      </c>
      <c r="D695" s="50" t="s">
        <v>144</v>
      </c>
      <c r="E695" s="51">
        <v>0</v>
      </c>
      <c r="F695" s="52" t="s">
        <v>597</v>
      </c>
      <c r="G695" s="53">
        <v>0</v>
      </c>
      <c r="H695" s="53">
        <v>0</v>
      </c>
      <c r="I695" s="53">
        <v>0</v>
      </c>
      <c r="J695" s="50" t="s">
        <v>597</v>
      </c>
      <c r="K695" s="50" t="s">
        <v>597</v>
      </c>
    </row>
    <row r="696" spans="1:11">
      <c r="A696" s="54" t="s">
        <v>1900</v>
      </c>
      <c r="B696" s="54" t="s">
        <v>1901</v>
      </c>
      <c r="C696" s="54" t="s">
        <v>1461</v>
      </c>
      <c r="D696" s="54" t="s">
        <v>144</v>
      </c>
      <c r="E696" s="55">
        <v>0</v>
      </c>
      <c r="F696" s="56" t="s">
        <v>597</v>
      </c>
      <c r="G696" s="57">
        <v>0</v>
      </c>
      <c r="H696" s="57">
        <v>0</v>
      </c>
      <c r="I696" s="57">
        <v>0</v>
      </c>
      <c r="J696" s="54" t="s">
        <v>597</v>
      </c>
      <c r="K696" s="54" t="s">
        <v>597</v>
      </c>
    </row>
    <row r="697" spans="1:11">
      <c r="A697" s="50" t="s">
        <v>1902</v>
      </c>
      <c r="B697" s="50" t="s">
        <v>1903</v>
      </c>
      <c r="C697" s="50" t="s">
        <v>1461</v>
      </c>
      <c r="D697" s="50" t="s">
        <v>144</v>
      </c>
      <c r="E697" s="51">
        <v>0</v>
      </c>
      <c r="F697" s="52" t="s">
        <v>597</v>
      </c>
      <c r="G697" s="53">
        <v>0</v>
      </c>
      <c r="H697" s="53">
        <v>0</v>
      </c>
      <c r="I697" s="53">
        <v>0</v>
      </c>
      <c r="J697" s="50" t="s">
        <v>597</v>
      </c>
      <c r="K697" s="50" t="s">
        <v>597</v>
      </c>
    </row>
    <row r="698" spans="1:11">
      <c r="A698" s="54" t="s">
        <v>1904</v>
      </c>
      <c r="B698" s="54" t="s">
        <v>1905</v>
      </c>
      <c r="C698" s="54" t="s">
        <v>1461</v>
      </c>
      <c r="D698" s="54" t="s">
        <v>144</v>
      </c>
      <c r="E698" s="55">
        <v>0</v>
      </c>
      <c r="F698" s="56" t="s">
        <v>597</v>
      </c>
      <c r="G698" s="57">
        <v>0</v>
      </c>
      <c r="H698" s="57">
        <v>0</v>
      </c>
      <c r="I698" s="57">
        <v>0</v>
      </c>
      <c r="J698" s="54" t="s">
        <v>597</v>
      </c>
      <c r="K698" s="54" t="s">
        <v>597</v>
      </c>
    </row>
    <row r="699" spans="1:11">
      <c r="A699" s="50" t="s">
        <v>1906</v>
      </c>
      <c r="B699" s="50" t="s">
        <v>1907</v>
      </c>
      <c r="C699" s="50" t="s">
        <v>1461</v>
      </c>
      <c r="D699" s="50" t="s">
        <v>144</v>
      </c>
      <c r="E699" s="51">
        <v>0</v>
      </c>
      <c r="F699" s="52" t="s">
        <v>597</v>
      </c>
      <c r="G699" s="53">
        <v>0</v>
      </c>
      <c r="H699" s="53">
        <v>0</v>
      </c>
      <c r="I699" s="53">
        <v>0</v>
      </c>
      <c r="J699" s="50" t="s">
        <v>597</v>
      </c>
      <c r="K699" s="50" t="s">
        <v>597</v>
      </c>
    </row>
    <row r="700" spans="1:11">
      <c r="A700" s="54" t="s">
        <v>1908</v>
      </c>
      <c r="B700" s="54" t="s">
        <v>1905</v>
      </c>
      <c r="C700" s="54" t="s">
        <v>1461</v>
      </c>
      <c r="D700" s="54" t="s">
        <v>144</v>
      </c>
      <c r="E700" s="55">
        <v>0</v>
      </c>
      <c r="F700" s="56" t="s">
        <v>597</v>
      </c>
      <c r="G700" s="57">
        <v>0</v>
      </c>
      <c r="H700" s="57">
        <v>0</v>
      </c>
      <c r="I700" s="57">
        <v>0</v>
      </c>
      <c r="J700" s="54" t="s">
        <v>597</v>
      </c>
      <c r="K700" s="54" t="s">
        <v>597</v>
      </c>
    </row>
    <row r="701" spans="1:11">
      <c r="A701" s="50" t="s">
        <v>1909</v>
      </c>
      <c r="B701" s="50" t="s">
        <v>1907</v>
      </c>
      <c r="C701" s="50" t="s">
        <v>1461</v>
      </c>
      <c r="D701" s="50" t="s">
        <v>144</v>
      </c>
      <c r="E701" s="51">
        <v>0</v>
      </c>
      <c r="F701" s="52" t="s">
        <v>597</v>
      </c>
      <c r="G701" s="53">
        <v>0</v>
      </c>
      <c r="H701" s="53">
        <v>0</v>
      </c>
      <c r="I701" s="53">
        <v>0</v>
      </c>
      <c r="J701" s="50" t="s">
        <v>597</v>
      </c>
      <c r="K701" s="50" t="s">
        <v>597</v>
      </c>
    </row>
    <row r="702" spans="1:11">
      <c r="A702" s="54" t="s">
        <v>1910</v>
      </c>
      <c r="B702" s="54" t="s">
        <v>1911</v>
      </c>
      <c r="C702" s="54" t="s">
        <v>1461</v>
      </c>
      <c r="D702" s="54" t="s">
        <v>144</v>
      </c>
      <c r="E702" s="55">
        <v>0</v>
      </c>
      <c r="F702" s="56" t="s">
        <v>597</v>
      </c>
      <c r="G702" s="57">
        <v>0</v>
      </c>
      <c r="H702" s="57">
        <v>0</v>
      </c>
      <c r="I702" s="57">
        <v>0</v>
      </c>
      <c r="J702" s="54" t="s">
        <v>597</v>
      </c>
      <c r="K702" s="54" t="s">
        <v>597</v>
      </c>
    </row>
    <row r="703" spans="1:11">
      <c r="A703" s="50" t="s">
        <v>1912</v>
      </c>
      <c r="B703" s="50" t="s">
        <v>1913</v>
      </c>
      <c r="C703" s="50" t="s">
        <v>1461</v>
      </c>
      <c r="D703" s="50" t="s">
        <v>144</v>
      </c>
      <c r="E703" s="51">
        <v>0</v>
      </c>
      <c r="F703" s="52" t="s">
        <v>597</v>
      </c>
      <c r="G703" s="53">
        <v>0</v>
      </c>
      <c r="H703" s="53">
        <v>0</v>
      </c>
      <c r="I703" s="53">
        <v>0</v>
      </c>
      <c r="J703" s="50" t="s">
        <v>597</v>
      </c>
      <c r="K703" s="50" t="s">
        <v>597</v>
      </c>
    </row>
    <row r="704" spans="1:11">
      <c r="A704" s="54" t="s">
        <v>1914</v>
      </c>
      <c r="B704" s="54" t="s">
        <v>1915</v>
      </c>
      <c r="C704" s="54" t="s">
        <v>1461</v>
      </c>
      <c r="D704" s="54" t="s">
        <v>144</v>
      </c>
      <c r="E704" s="55">
        <v>0</v>
      </c>
      <c r="F704" s="56" t="s">
        <v>597</v>
      </c>
      <c r="G704" s="57">
        <v>0</v>
      </c>
      <c r="H704" s="57">
        <v>0</v>
      </c>
      <c r="I704" s="57">
        <v>0</v>
      </c>
      <c r="J704" s="54" t="s">
        <v>597</v>
      </c>
      <c r="K704" s="54" t="s">
        <v>597</v>
      </c>
    </row>
    <row r="705" spans="1:11">
      <c r="A705" s="50" t="s">
        <v>1916</v>
      </c>
      <c r="B705" s="50" t="s">
        <v>1911</v>
      </c>
      <c r="C705" s="50" t="s">
        <v>1461</v>
      </c>
      <c r="D705" s="50" t="s">
        <v>144</v>
      </c>
      <c r="E705" s="51">
        <v>0</v>
      </c>
      <c r="F705" s="52" t="s">
        <v>597</v>
      </c>
      <c r="G705" s="53">
        <v>0</v>
      </c>
      <c r="H705" s="53">
        <v>0</v>
      </c>
      <c r="I705" s="53">
        <v>0</v>
      </c>
      <c r="J705" s="50" t="s">
        <v>597</v>
      </c>
      <c r="K705" s="50" t="s">
        <v>597</v>
      </c>
    </row>
    <row r="706" spans="1:11">
      <c r="A706" s="54" t="s">
        <v>1917</v>
      </c>
      <c r="B706" s="54" t="s">
        <v>1913</v>
      </c>
      <c r="C706" s="54" t="s">
        <v>1461</v>
      </c>
      <c r="D706" s="54" t="s">
        <v>144</v>
      </c>
      <c r="E706" s="55">
        <v>0</v>
      </c>
      <c r="F706" s="56" t="s">
        <v>597</v>
      </c>
      <c r="G706" s="57">
        <v>0</v>
      </c>
      <c r="H706" s="57">
        <v>0</v>
      </c>
      <c r="I706" s="57">
        <v>0</v>
      </c>
      <c r="J706" s="54" t="s">
        <v>597</v>
      </c>
      <c r="K706" s="54" t="s">
        <v>597</v>
      </c>
    </row>
    <row r="707" spans="1:11">
      <c r="A707" s="50" t="s">
        <v>1918</v>
      </c>
      <c r="B707" s="50" t="s">
        <v>1915</v>
      </c>
      <c r="C707" s="50" t="s">
        <v>1461</v>
      </c>
      <c r="D707" s="50" t="s">
        <v>144</v>
      </c>
      <c r="E707" s="51">
        <v>0</v>
      </c>
      <c r="F707" s="52" t="s">
        <v>597</v>
      </c>
      <c r="G707" s="53">
        <v>0</v>
      </c>
      <c r="H707" s="53">
        <v>0</v>
      </c>
      <c r="I707" s="53">
        <v>0</v>
      </c>
      <c r="J707" s="50" t="s">
        <v>597</v>
      </c>
      <c r="K707" s="50" t="s">
        <v>597</v>
      </c>
    </row>
    <row r="708" spans="1:11">
      <c r="A708" s="54" t="s">
        <v>1919</v>
      </c>
      <c r="B708" s="54" t="s">
        <v>1920</v>
      </c>
      <c r="C708" s="54" t="s">
        <v>1461</v>
      </c>
      <c r="D708" s="54" t="s">
        <v>144</v>
      </c>
      <c r="E708" s="55">
        <v>0</v>
      </c>
      <c r="F708" s="56" t="s">
        <v>597</v>
      </c>
      <c r="G708" s="57">
        <v>0</v>
      </c>
      <c r="H708" s="57">
        <v>0</v>
      </c>
      <c r="I708" s="57">
        <v>0</v>
      </c>
      <c r="J708" s="54" t="s">
        <v>597</v>
      </c>
      <c r="K708" s="54" t="s">
        <v>597</v>
      </c>
    </row>
    <row r="709" spans="1:11">
      <c r="A709" s="50" t="s">
        <v>1921</v>
      </c>
      <c r="B709" s="50" t="s">
        <v>1922</v>
      </c>
      <c r="C709" s="50" t="s">
        <v>1461</v>
      </c>
      <c r="D709" s="50" t="s">
        <v>144</v>
      </c>
      <c r="E709" s="51">
        <v>0</v>
      </c>
      <c r="F709" s="52" t="s">
        <v>597</v>
      </c>
      <c r="G709" s="53">
        <v>0</v>
      </c>
      <c r="H709" s="53">
        <v>0</v>
      </c>
      <c r="I709" s="53">
        <v>0</v>
      </c>
      <c r="J709" s="50" t="s">
        <v>597</v>
      </c>
      <c r="K709" s="50" t="s">
        <v>597</v>
      </c>
    </row>
    <row r="710" spans="1:11">
      <c r="A710" s="54" t="s">
        <v>1923</v>
      </c>
      <c r="B710" s="54" t="s">
        <v>1920</v>
      </c>
      <c r="C710" s="54" t="s">
        <v>1461</v>
      </c>
      <c r="D710" s="54" t="s">
        <v>144</v>
      </c>
      <c r="E710" s="55">
        <v>0</v>
      </c>
      <c r="F710" s="56" t="s">
        <v>597</v>
      </c>
      <c r="G710" s="57">
        <v>0</v>
      </c>
      <c r="H710" s="57">
        <v>0</v>
      </c>
      <c r="I710" s="57">
        <v>0</v>
      </c>
      <c r="J710" s="54" t="s">
        <v>597</v>
      </c>
      <c r="K710" s="54" t="s">
        <v>597</v>
      </c>
    </row>
    <row r="711" spans="1:11">
      <c r="A711" s="50" t="s">
        <v>1924</v>
      </c>
      <c r="B711" s="50" t="s">
        <v>1922</v>
      </c>
      <c r="C711" s="50" t="s">
        <v>1461</v>
      </c>
      <c r="D711" s="50" t="s">
        <v>144</v>
      </c>
      <c r="E711" s="51">
        <v>0</v>
      </c>
      <c r="F711" s="52" t="s">
        <v>597</v>
      </c>
      <c r="G711" s="53">
        <v>0</v>
      </c>
      <c r="H711" s="53">
        <v>0</v>
      </c>
      <c r="I711" s="53">
        <v>0</v>
      </c>
      <c r="J711" s="50" t="s">
        <v>597</v>
      </c>
      <c r="K711" s="50" t="s">
        <v>597</v>
      </c>
    </row>
    <row r="712" spans="1:11">
      <c r="A712" s="54" t="s">
        <v>1925</v>
      </c>
      <c r="B712" s="54" t="s">
        <v>1926</v>
      </c>
      <c r="C712" s="54" t="s">
        <v>1461</v>
      </c>
      <c r="D712" s="54" t="s">
        <v>144</v>
      </c>
      <c r="E712" s="55">
        <v>0</v>
      </c>
      <c r="F712" s="56" t="s">
        <v>597</v>
      </c>
      <c r="G712" s="57">
        <v>0</v>
      </c>
      <c r="H712" s="57">
        <v>0</v>
      </c>
      <c r="I712" s="57">
        <v>0</v>
      </c>
      <c r="J712" s="54" t="s">
        <v>597</v>
      </c>
      <c r="K712" s="54" t="s">
        <v>597</v>
      </c>
    </row>
    <row r="713" spans="1:11">
      <c r="A713" s="50" t="s">
        <v>1927</v>
      </c>
      <c r="B713" s="50" t="s">
        <v>1928</v>
      </c>
      <c r="C713" s="50" t="s">
        <v>1461</v>
      </c>
      <c r="D713" s="50" t="s">
        <v>144</v>
      </c>
      <c r="E713" s="51">
        <v>0</v>
      </c>
      <c r="F713" s="52" t="s">
        <v>597</v>
      </c>
      <c r="G713" s="53">
        <v>0</v>
      </c>
      <c r="H713" s="53">
        <v>0</v>
      </c>
      <c r="I713" s="53">
        <v>0</v>
      </c>
      <c r="J713" s="50" t="s">
        <v>597</v>
      </c>
      <c r="K713" s="50" t="s">
        <v>597</v>
      </c>
    </row>
    <row r="714" spans="1:11">
      <c r="A714" s="54" t="s">
        <v>1929</v>
      </c>
      <c r="B714" s="54" t="s">
        <v>1926</v>
      </c>
      <c r="C714" s="54" t="s">
        <v>1461</v>
      </c>
      <c r="D714" s="54" t="s">
        <v>144</v>
      </c>
      <c r="E714" s="55">
        <v>0</v>
      </c>
      <c r="F714" s="56" t="s">
        <v>597</v>
      </c>
      <c r="G714" s="57">
        <v>0</v>
      </c>
      <c r="H714" s="57">
        <v>0</v>
      </c>
      <c r="I714" s="57">
        <v>0</v>
      </c>
      <c r="J714" s="54" t="s">
        <v>597</v>
      </c>
      <c r="K714" s="54" t="s">
        <v>597</v>
      </c>
    </row>
    <row r="715" spans="1:11">
      <c r="A715" s="50" t="s">
        <v>1930</v>
      </c>
      <c r="B715" s="50" t="s">
        <v>1928</v>
      </c>
      <c r="C715" s="50" t="s">
        <v>1461</v>
      </c>
      <c r="D715" s="50" t="s">
        <v>144</v>
      </c>
      <c r="E715" s="51">
        <v>0</v>
      </c>
      <c r="F715" s="52" t="s">
        <v>597</v>
      </c>
      <c r="G715" s="53">
        <v>0</v>
      </c>
      <c r="H715" s="53">
        <v>0</v>
      </c>
      <c r="I715" s="53">
        <v>0</v>
      </c>
      <c r="J715" s="50" t="s">
        <v>597</v>
      </c>
      <c r="K715" s="50" t="s">
        <v>597</v>
      </c>
    </row>
    <row r="716" spans="1:11">
      <c r="A716" s="54" t="s">
        <v>1931</v>
      </c>
      <c r="B716" s="54" t="s">
        <v>1932</v>
      </c>
      <c r="C716" s="54" t="s">
        <v>1461</v>
      </c>
      <c r="D716" s="54" t="s">
        <v>144</v>
      </c>
      <c r="E716" s="55">
        <v>0</v>
      </c>
      <c r="F716" s="56" t="s">
        <v>597</v>
      </c>
      <c r="G716" s="57">
        <v>0</v>
      </c>
      <c r="H716" s="57">
        <v>0</v>
      </c>
      <c r="I716" s="57">
        <v>0</v>
      </c>
      <c r="J716" s="54" t="s">
        <v>597</v>
      </c>
      <c r="K716" s="54" t="s">
        <v>597</v>
      </c>
    </row>
    <row r="717" spans="1:11">
      <c r="A717" s="50" t="s">
        <v>1933</v>
      </c>
      <c r="B717" s="50" t="s">
        <v>1934</v>
      </c>
      <c r="C717" s="50" t="s">
        <v>1461</v>
      </c>
      <c r="D717" s="50" t="s">
        <v>144</v>
      </c>
      <c r="E717" s="51">
        <v>0</v>
      </c>
      <c r="F717" s="52" t="s">
        <v>597</v>
      </c>
      <c r="G717" s="53">
        <v>0</v>
      </c>
      <c r="H717" s="53">
        <v>0</v>
      </c>
      <c r="I717" s="53">
        <v>0</v>
      </c>
      <c r="J717" s="50" t="s">
        <v>597</v>
      </c>
      <c r="K717" s="50" t="s">
        <v>597</v>
      </c>
    </row>
    <row r="718" spans="1:11">
      <c r="A718" s="54" t="s">
        <v>1935</v>
      </c>
      <c r="B718" s="54" t="s">
        <v>1932</v>
      </c>
      <c r="C718" s="54" t="s">
        <v>1461</v>
      </c>
      <c r="D718" s="54" t="s">
        <v>144</v>
      </c>
      <c r="E718" s="55">
        <v>0</v>
      </c>
      <c r="F718" s="56" t="s">
        <v>597</v>
      </c>
      <c r="G718" s="57">
        <v>0</v>
      </c>
      <c r="H718" s="57">
        <v>0</v>
      </c>
      <c r="I718" s="57">
        <v>0</v>
      </c>
      <c r="J718" s="54" t="s">
        <v>597</v>
      </c>
      <c r="K718" s="54" t="s">
        <v>597</v>
      </c>
    </row>
    <row r="719" spans="1:11">
      <c r="A719" s="50" t="s">
        <v>1936</v>
      </c>
      <c r="B719" s="50" t="s">
        <v>1934</v>
      </c>
      <c r="C719" s="50" t="s">
        <v>1461</v>
      </c>
      <c r="D719" s="50" t="s">
        <v>144</v>
      </c>
      <c r="E719" s="51">
        <v>0</v>
      </c>
      <c r="F719" s="52" t="s">
        <v>597</v>
      </c>
      <c r="G719" s="53">
        <v>0</v>
      </c>
      <c r="H719" s="53">
        <v>0</v>
      </c>
      <c r="I719" s="53">
        <v>0</v>
      </c>
      <c r="J719" s="50" t="s">
        <v>597</v>
      </c>
      <c r="K719" s="50" t="s">
        <v>597</v>
      </c>
    </row>
    <row r="720" spans="1:11">
      <c r="A720" s="54" t="s">
        <v>1937</v>
      </c>
      <c r="B720" s="54" t="s">
        <v>1938</v>
      </c>
      <c r="C720" s="54" t="s">
        <v>1461</v>
      </c>
      <c r="D720" s="54" t="s">
        <v>144</v>
      </c>
      <c r="E720" s="55">
        <v>0</v>
      </c>
      <c r="F720" s="56" t="s">
        <v>597</v>
      </c>
      <c r="G720" s="57">
        <v>0</v>
      </c>
      <c r="H720" s="57">
        <v>0</v>
      </c>
      <c r="I720" s="57">
        <v>0</v>
      </c>
      <c r="J720" s="54" t="s">
        <v>597</v>
      </c>
      <c r="K720" s="54" t="s">
        <v>597</v>
      </c>
    </row>
    <row r="721" spans="1:11">
      <c r="A721" s="50" t="s">
        <v>1939</v>
      </c>
      <c r="B721" s="50" t="s">
        <v>1940</v>
      </c>
      <c r="C721" s="50" t="s">
        <v>1461</v>
      </c>
      <c r="D721" s="50" t="s">
        <v>144</v>
      </c>
      <c r="E721" s="51">
        <v>0</v>
      </c>
      <c r="F721" s="52" t="s">
        <v>597</v>
      </c>
      <c r="G721" s="53">
        <v>0</v>
      </c>
      <c r="H721" s="53">
        <v>0</v>
      </c>
      <c r="I721" s="53">
        <v>0</v>
      </c>
      <c r="J721" s="50" t="s">
        <v>597</v>
      </c>
      <c r="K721" s="50" t="s">
        <v>597</v>
      </c>
    </row>
    <row r="722" spans="1:11">
      <c r="A722" s="54" t="s">
        <v>1941</v>
      </c>
      <c r="B722" s="54" t="s">
        <v>1942</v>
      </c>
      <c r="C722" s="54" t="s">
        <v>1461</v>
      </c>
      <c r="D722" s="54" t="s">
        <v>144</v>
      </c>
      <c r="E722" s="55">
        <v>0</v>
      </c>
      <c r="F722" s="56" t="s">
        <v>597</v>
      </c>
      <c r="G722" s="57">
        <v>0</v>
      </c>
      <c r="H722" s="57">
        <v>0</v>
      </c>
      <c r="I722" s="57">
        <v>0</v>
      </c>
      <c r="J722" s="54" t="s">
        <v>597</v>
      </c>
      <c r="K722" s="54" t="s">
        <v>597</v>
      </c>
    </row>
    <row r="723" spans="1:11">
      <c r="A723" s="50" t="s">
        <v>1943</v>
      </c>
      <c r="B723" s="50" t="s">
        <v>1944</v>
      </c>
      <c r="C723" s="50" t="s">
        <v>1461</v>
      </c>
      <c r="D723" s="50" t="s">
        <v>144</v>
      </c>
      <c r="E723" s="51">
        <v>0</v>
      </c>
      <c r="F723" s="52" t="s">
        <v>597</v>
      </c>
      <c r="G723" s="53">
        <v>0</v>
      </c>
      <c r="H723" s="53">
        <v>0</v>
      </c>
      <c r="I723" s="53">
        <v>0</v>
      </c>
      <c r="J723" s="50" t="s">
        <v>597</v>
      </c>
      <c r="K723" s="50" t="s">
        <v>597</v>
      </c>
    </row>
    <row r="724" spans="1:11">
      <c r="A724" s="54" t="s">
        <v>1945</v>
      </c>
      <c r="B724" s="54" t="s">
        <v>1946</v>
      </c>
      <c r="C724" s="54" t="s">
        <v>1461</v>
      </c>
      <c r="D724" s="54" t="s">
        <v>144</v>
      </c>
      <c r="E724" s="55">
        <v>0</v>
      </c>
      <c r="F724" s="56" t="s">
        <v>597</v>
      </c>
      <c r="G724" s="57">
        <v>0</v>
      </c>
      <c r="H724" s="57">
        <v>0</v>
      </c>
      <c r="I724" s="57">
        <v>0</v>
      </c>
      <c r="J724" s="54" t="s">
        <v>597</v>
      </c>
      <c r="K724" s="54" t="s">
        <v>597</v>
      </c>
    </row>
    <row r="725" spans="1:11">
      <c r="A725" s="50" t="s">
        <v>1947</v>
      </c>
      <c r="B725" s="50" t="s">
        <v>1948</v>
      </c>
      <c r="C725" s="50" t="s">
        <v>1461</v>
      </c>
      <c r="D725" s="50" t="s">
        <v>144</v>
      </c>
      <c r="E725" s="51">
        <v>0</v>
      </c>
      <c r="F725" s="52" t="s">
        <v>597</v>
      </c>
      <c r="G725" s="53">
        <v>0</v>
      </c>
      <c r="H725" s="53">
        <v>0</v>
      </c>
      <c r="I725" s="53">
        <v>0</v>
      </c>
      <c r="J725" s="50" t="s">
        <v>597</v>
      </c>
      <c r="K725" s="50" t="s">
        <v>597</v>
      </c>
    </row>
    <row r="726" spans="1:11">
      <c r="A726" s="54" t="s">
        <v>1949</v>
      </c>
      <c r="B726" s="54" t="s">
        <v>1950</v>
      </c>
      <c r="C726" s="54" t="s">
        <v>1461</v>
      </c>
      <c r="D726" s="54" t="s">
        <v>144</v>
      </c>
      <c r="E726" s="55">
        <v>0</v>
      </c>
      <c r="F726" s="56" t="s">
        <v>597</v>
      </c>
      <c r="G726" s="57">
        <v>0</v>
      </c>
      <c r="H726" s="57">
        <v>0</v>
      </c>
      <c r="I726" s="57">
        <v>0</v>
      </c>
      <c r="J726" s="54" t="s">
        <v>597</v>
      </c>
      <c r="K726" s="54" t="s">
        <v>597</v>
      </c>
    </row>
    <row r="727" spans="1:11">
      <c r="A727" s="50" t="s">
        <v>1951</v>
      </c>
      <c r="B727" s="50" t="s">
        <v>1952</v>
      </c>
      <c r="C727" s="50" t="s">
        <v>1461</v>
      </c>
      <c r="D727" s="50" t="s">
        <v>144</v>
      </c>
      <c r="E727" s="51">
        <v>0</v>
      </c>
      <c r="F727" s="52" t="s">
        <v>597</v>
      </c>
      <c r="G727" s="53">
        <v>0</v>
      </c>
      <c r="H727" s="53">
        <v>0</v>
      </c>
      <c r="I727" s="53">
        <v>0</v>
      </c>
      <c r="J727" s="50" t="s">
        <v>597</v>
      </c>
      <c r="K727" s="50" t="s">
        <v>597</v>
      </c>
    </row>
    <row r="728" spans="1:11">
      <c r="A728" s="54" t="s">
        <v>1953</v>
      </c>
      <c r="B728" s="54" t="s">
        <v>1954</v>
      </c>
      <c r="C728" s="54" t="s">
        <v>1461</v>
      </c>
      <c r="D728" s="54" t="s">
        <v>144</v>
      </c>
      <c r="E728" s="55">
        <v>0</v>
      </c>
      <c r="F728" s="56" t="s">
        <v>597</v>
      </c>
      <c r="G728" s="57">
        <v>0</v>
      </c>
      <c r="H728" s="57">
        <v>0</v>
      </c>
      <c r="I728" s="57">
        <v>0</v>
      </c>
      <c r="J728" s="54" t="s">
        <v>597</v>
      </c>
      <c r="K728" s="54" t="s">
        <v>597</v>
      </c>
    </row>
    <row r="729" spans="1:11">
      <c r="A729" s="50" t="s">
        <v>1955</v>
      </c>
      <c r="B729" s="50" t="s">
        <v>1956</v>
      </c>
      <c r="C729" s="50" t="s">
        <v>1461</v>
      </c>
      <c r="D729" s="50" t="s">
        <v>144</v>
      </c>
      <c r="E729" s="51">
        <v>0</v>
      </c>
      <c r="F729" s="52" t="s">
        <v>597</v>
      </c>
      <c r="G729" s="53">
        <v>0</v>
      </c>
      <c r="H729" s="53">
        <v>0</v>
      </c>
      <c r="I729" s="53">
        <v>0</v>
      </c>
      <c r="J729" s="50" t="s">
        <v>597</v>
      </c>
      <c r="K729" s="50" t="s">
        <v>597</v>
      </c>
    </row>
    <row r="730" spans="1:11">
      <c r="A730" s="54" t="s">
        <v>1957</v>
      </c>
      <c r="B730" s="54" t="s">
        <v>1958</v>
      </c>
      <c r="C730" s="54" t="s">
        <v>1461</v>
      </c>
      <c r="D730" s="54" t="s">
        <v>144</v>
      </c>
      <c r="E730" s="55">
        <v>0</v>
      </c>
      <c r="F730" s="56" t="s">
        <v>597</v>
      </c>
      <c r="G730" s="57">
        <v>0</v>
      </c>
      <c r="H730" s="57">
        <v>0</v>
      </c>
      <c r="I730" s="57">
        <v>0</v>
      </c>
      <c r="J730" s="54" t="s">
        <v>597</v>
      </c>
      <c r="K730" s="54" t="s">
        <v>597</v>
      </c>
    </row>
    <row r="731" spans="1:11">
      <c r="A731" s="50" t="s">
        <v>1959</v>
      </c>
      <c r="B731" s="50" t="s">
        <v>1960</v>
      </c>
      <c r="C731" s="50" t="s">
        <v>1461</v>
      </c>
      <c r="D731" s="50" t="s">
        <v>144</v>
      </c>
      <c r="E731" s="51">
        <v>0</v>
      </c>
      <c r="F731" s="52" t="s">
        <v>597</v>
      </c>
      <c r="G731" s="53">
        <v>0</v>
      </c>
      <c r="H731" s="53">
        <v>0</v>
      </c>
      <c r="I731" s="53">
        <v>0</v>
      </c>
      <c r="J731" s="50" t="s">
        <v>597</v>
      </c>
      <c r="K731" s="50" t="s">
        <v>597</v>
      </c>
    </row>
    <row r="732" spans="1:11">
      <c r="A732" s="54" t="s">
        <v>1961</v>
      </c>
      <c r="B732" s="54" t="s">
        <v>1962</v>
      </c>
      <c r="C732" s="54" t="s">
        <v>1461</v>
      </c>
      <c r="D732" s="54" t="s">
        <v>144</v>
      </c>
      <c r="E732" s="55">
        <v>0</v>
      </c>
      <c r="F732" s="56" t="s">
        <v>597</v>
      </c>
      <c r="G732" s="57">
        <v>0</v>
      </c>
      <c r="H732" s="57">
        <v>0</v>
      </c>
      <c r="I732" s="57">
        <v>0</v>
      </c>
      <c r="J732" s="54" t="s">
        <v>597</v>
      </c>
      <c r="K732" s="54" t="s">
        <v>597</v>
      </c>
    </row>
    <row r="733" spans="1:11">
      <c r="A733" s="50" t="s">
        <v>1963</v>
      </c>
      <c r="B733" s="50" t="s">
        <v>1964</v>
      </c>
      <c r="C733" s="50" t="s">
        <v>1461</v>
      </c>
      <c r="D733" s="50" t="s">
        <v>144</v>
      </c>
      <c r="E733" s="51">
        <v>0</v>
      </c>
      <c r="F733" s="52" t="s">
        <v>597</v>
      </c>
      <c r="G733" s="53">
        <v>0</v>
      </c>
      <c r="H733" s="53">
        <v>0</v>
      </c>
      <c r="I733" s="53">
        <v>0</v>
      </c>
      <c r="J733" s="50" t="s">
        <v>597</v>
      </c>
      <c r="K733" s="50" t="s">
        <v>597</v>
      </c>
    </row>
    <row r="734" spans="1:11">
      <c r="A734" s="54" t="s">
        <v>1965</v>
      </c>
      <c r="B734" s="54" t="s">
        <v>1966</v>
      </c>
      <c r="C734" s="54" t="s">
        <v>1461</v>
      </c>
      <c r="D734" s="54" t="s">
        <v>144</v>
      </c>
      <c r="E734" s="55">
        <v>0</v>
      </c>
      <c r="F734" s="56" t="s">
        <v>597</v>
      </c>
      <c r="G734" s="57">
        <v>0</v>
      </c>
      <c r="H734" s="57">
        <v>0</v>
      </c>
      <c r="I734" s="57">
        <v>0</v>
      </c>
      <c r="J734" s="54" t="s">
        <v>597</v>
      </c>
      <c r="K734" s="54" t="s">
        <v>597</v>
      </c>
    </row>
    <row r="735" spans="1:11">
      <c r="A735" s="50" t="s">
        <v>1967</v>
      </c>
      <c r="B735" s="50" t="s">
        <v>1968</v>
      </c>
      <c r="C735" s="50" t="s">
        <v>1461</v>
      </c>
      <c r="D735" s="50" t="s">
        <v>144</v>
      </c>
      <c r="E735" s="51">
        <v>0</v>
      </c>
      <c r="F735" s="52" t="s">
        <v>597</v>
      </c>
      <c r="G735" s="53">
        <v>0</v>
      </c>
      <c r="H735" s="53">
        <v>0</v>
      </c>
      <c r="I735" s="53">
        <v>0</v>
      </c>
      <c r="J735" s="50" t="s">
        <v>597</v>
      </c>
      <c r="K735" s="50" t="s">
        <v>597</v>
      </c>
    </row>
    <row r="736" spans="1:11">
      <c r="A736" s="54" t="s">
        <v>1969</v>
      </c>
      <c r="B736" s="54" t="s">
        <v>1970</v>
      </c>
      <c r="C736" s="54" t="s">
        <v>1461</v>
      </c>
      <c r="D736" s="54" t="s">
        <v>144</v>
      </c>
      <c r="E736" s="55">
        <v>0</v>
      </c>
      <c r="F736" s="56" t="s">
        <v>597</v>
      </c>
      <c r="G736" s="57">
        <v>0</v>
      </c>
      <c r="H736" s="57">
        <v>0</v>
      </c>
      <c r="I736" s="57">
        <v>0</v>
      </c>
      <c r="J736" s="54" t="s">
        <v>597</v>
      </c>
      <c r="K736" s="54" t="s">
        <v>597</v>
      </c>
    </row>
    <row r="737" spans="1:11">
      <c r="A737" s="50" t="s">
        <v>1971</v>
      </c>
      <c r="B737" s="50" t="s">
        <v>1972</v>
      </c>
      <c r="C737" s="50" t="s">
        <v>1461</v>
      </c>
      <c r="D737" s="50" t="s">
        <v>144</v>
      </c>
      <c r="E737" s="51">
        <v>0</v>
      </c>
      <c r="F737" s="52" t="s">
        <v>597</v>
      </c>
      <c r="G737" s="53">
        <v>0</v>
      </c>
      <c r="H737" s="53">
        <v>0</v>
      </c>
      <c r="I737" s="53">
        <v>0</v>
      </c>
      <c r="J737" s="50" t="s">
        <v>597</v>
      </c>
      <c r="K737" s="50" t="s">
        <v>597</v>
      </c>
    </row>
    <row r="738" spans="1:11">
      <c r="A738" s="54" t="s">
        <v>1973</v>
      </c>
      <c r="B738" s="54" t="s">
        <v>1974</v>
      </c>
      <c r="C738" s="54" t="s">
        <v>1461</v>
      </c>
      <c r="D738" s="54" t="s">
        <v>144</v>
      </c>
      <c r="E738" s="55">
        <v>0</v>
      </c>
      <c r="F738" s="56" t="s">
        <v>597</v>
      </c>
      <c r="G738" s="57">
        <v>0</v>
      </c>
      <c r="H738" s="57">
        <v>0</v>
      </c>
      <c r="I738" s="57">
        <v>0</v>
      </c>
      <c r="J738" s="54" t="s">
        <v>597</v>
      </c>
      <c r="K738" s="54" t="s">
        <v>597</v>
      </c>
    </row>
    <row r="739" spans="1:11">
      <c r="A739" s="50" t="s">
        <v>1975</v>
      </c>
      <c r="B739" s="50" t="s">
        <v>1976</v>
      </c>
      <c r="C739" s="50" t="s">
        <v>1461</v>
      </c>
      <c r="D739" s="50" t="s">
        <v>144</v>
      </c>
      <c r="E739" s="51">
        <v>0</v>
      </c>
      <c r="F739" s="52" t="s">
        <v>597</v>
      </c>
      <c r="G739" s="53">
        <v>0</v>
      </c>
      <c r="H739" s="53">
        <v>0</v>
      </c>
      <c r="I739" s="53">
        <v>0</v>
      </c>
      <c r="J739" s="50" t="s">
        <v>597</v>
      </c>
      <c r="K739" s="50" t="s">
        <v>597</v>
      </c>
    </row>
    <row r="740" spans="1:11">
      <c r="A740" s="54" t="s">
        <v>1977</v>
      </c>
      <c r="B740" s="54" t="s">
        <v>1978</v>
      </c>
      <c r="C740" s="54" t="s">
        <v>1461</v>
      </c>
      <c r="D740" s="54" t="s">
        <v>144</v>
      </c>
      <c r="E740" s="55">
        <v>0</v>
      </c>
      <c r="F740" s="56" t="s">
        <v>597</v>
      </c>
      <c r="G740" s="57">
        <v>0</v>
      </c>
      <c r="H740" s="57">
        <v>0</v>
      </c>
      <c r="I740" s="57">
        <v>0</v>
      </c>
      <c r="J740" s="54" t="s">
        <v>597</v>
      </c>
      <c r="K740" s="54" t="s">
        <v>597</v>
      </c>
    </row>
    <row r="741" spans="1:11">
      <c r="A741" s="50" t="s">
        <v>1979</v>
      </c>
      <c r="B741" s="50" t="s">
        <v>1980</v>
      </c>
      <c r="C741" s="50" t="s">
        <v>1461</v>
      </c>
      <c r="D741" s="50" t="s">
        <v>144</v>
      </c>
      <c r="E741" s="51">
        <v>0</v>
      </c>
      <c r="F741" s="52" t="s">
        <v>597</v>
      </c>
      <c r="G741" s="53">
        <v>0</v>
      </c>
      <c r="H741" s="53">
        <v>0</v>
      </c>
      <c r="I741" s="53">
        <v>0</v>
      </c>
      <c r="J741" s="50" t="s">
        <v>597</v>
      </c>
      <c r="K741" s="50" t="s">
        <v>597</v>
      </c>
    </row>
    <row r="742" spans="1:11">
      <c r="A742" s="54" t="s">
        <v>1981</v>
      </c>
      <c r="B742" s="54" t="s">
        <v>1982</v>
      </c>
      <c r="C742" s="54" t="s">
        <v>1461</v>
      </c>
      <c r="D742" s="54" t="s">
        <v>144</v>
      </c>
      <c r="E742" s="55">
        <v>0</v>
      </c>
      <c r="F742" s="56" t="s">
        <v>597</v>
      </c>
      <c r="G742" s="57">
        <v>0</v>
      </c>
      <c r="H742" s="57">
        <v>0</v>
      </c>
      <c r="I742" s="57">
        <v>0</v>
      </c>
      <c r="J742" s="54" t="s">
        <v>597</v>
      </c>
      <c r="K742" s="54" t="s">
        <v>597</v>
      </c>
    </row>
    <row r="743" spans="1:11">
      <c r="A743" s="50" t="s">
        <v>1983</v>
      </c>
      <c r="B743" s="50" t="s">
        <v>1984</v>
      </c>
      <c r="C743" s="50" t="s">
        <v>1461</v>
      </c>
      <c r="D743" s="50" t="s">
        <v>144</v>
      </c>
      <c r="E743" s="51">
        <v>0</v>
      </c>
      <c r="F743" s="52" t="s">
        <v>597</v>
      </c>
      <c r="G743" s="53">
        <v>0</v>
      </c>
      <c r="H743" s="53">
        <v>0</v>
      </c>
      <c r="I743" s="53">
        <v>0</v>
      </c>
      <c r="J743" s="50" t="s">
        <v>597</v>
      </c>
      <c r="K743" s="50" t="s">
        <v>597</v>
      </c>
    </row>
    <row r="744" spans="1:11">
      <c r="A744" s="54" t="s">
        <v>1985</v>
      </c>
      <c r="B744" s="54" t="s">
        <v>1986</v>
      </c>
      <c r="C744" s="54" t="s">
        <v>1461</v>
      </c>
      <c r="D744" s="54" t="s">
        <v>144</v>
      </c>
      <c r="E744" s="55">
        <v>0</v>
      </c>
      <c r="F744" s="56" t="s">
        <v>597</v>
      </c>
      <c r="G744" s="57">
        <v>0</v>
      </c>
      <c r="H744" s="57">
        <v>0</v>
      </c>
      <c r="I744" s="57">
        <v>0</v>
      </c>
      <c r="J744" s="54" t="s">
        <v>597</v>
      </c>
      <c r="K744" s="54" t="s">
        <v>597</v>
      </c>
    </row>
    <row r="745" spans="1:11">
      <c r="A745" s="50" t="s">
        <v>1987</v>
      </c>
      <c r="B745" s="50" t="s">
        <v>1988</v>
      </c>
      <c r="C745" s="50" t="s">
        <v>1461</v>
      </c>
      <c r="D745" s="50" t="s">
        <v>144</v>
      </c>
      <c r="E745" s="51">
        <v>0</v>
      </c>
      <c r="F745" s="52" t="s">
        <v>597</v>
      </c>
      <c r="G745" s="53">
        <v>0</v>
      </c>
      <c r="H745" s="53">
        <v>0</v>
      </c>
      <c r="I745" s="53">
        <v>0</v>
      </c>
      <c r="J745" s="50" t="s">
        <v>597</v>
      </c>
      <c r="K745" s="50" t="s">
        <v>597</v>
      </c>
    </row>
    <row r="746" spans="1:11">
      <c r="A746" s="54" t="s">
        <v>1989</v>
      </c>
      <c r="B746" s="54" t="s">
        <v>1990</v>
      </c>
      <c r="C746" s="54" t="s">
        <v>1461</v>
      </c>
      <c r="D746" s="54" t="s">
        <v>144</v>
      </c>
      <c r="E746" s="55">
        <v>0</v>
      </c>
      <c r="F746" s="56" t="s">
        <v>597</v>
      </c>
      <c r="G746" s="57">
        <v>0</v>
      </c>
      <c r="H746" s="57">
        <v>0</v>
      </c>
      <c r="I746" s="57">
        <v>0</v>
      </c>
      <c r="J746" s="54" t="s">
        <v>597</v>
      </c>
      <c r="K746" s="54" t="s">
        <v>597</v>
      </c>
    </row>
    <row r="747" spans="1:11">
      <c r="A747" s="50" t="s">
        <v>1991</v>
      </c>
      <c r="B747" s="50" t="s">
        <v>1992</v>
      </c>
      <c r="C747" s="50" t="s">
        <v>1461</v>
      </c>
      <c r="D747" s="50" t="s">
        <v>144</v>
      </c>
      <c r="E747" s="51">
        <v>0</v>
      </c>
      <c r="F747" s="52" t="s">
        <v>597</v>
      </c>
      <c r="G747" s="53">
        <v>0</v>
      </c>
      <c r="H747" s="53">
        <v>0</v>
      </c>
      <c r="I747" s="53">
        <v>0</v>
      </c>
      <c r="J747" s="50" t="s">
        <v>597</v>
      </c>
      <c r="K747" s="50" t="s">
        <v>597</v>
      </c>
    </row>
    <row r="748" spans="1:11">
      <c r="A748" s="54" t="s">
        <v>1993</v>
      </c>
      <c r="B748" s="54" t="s">
        <v>1994</v>
      </c>
      <c r="C748" s="54" t="s">
        <v>1461</v>
      </c>
      <c r="D748" s="54" t="s">
        <v>144</v>
      </c>
      <c r="E748" s="55">
        <v>0</v>
      </c>
      <c r="F748" s="56" t="s">
        <v>597</v>
      </c>
      <c r="G748" s="57">
        <v>0</v>
      </c>
      <c r="H748" s="57">
        <v>0</v>
      </c>
      <c r="I748" s="57">
        <v>0</v>
      </c>
      <c r="J748" s="54" t="s">
        <v>597</v>
      </c>
      <c r="K748" s="54" t="s">
        <v>597</v>
      </c>
    </row>
    <row r="749" spans="1:11">
      <c r="A749" s="50" t="s">
        <v>1995</v>
      </c>
      <c r="B749" s="50" t="s">
        <v>1996</v>
      </c>
      <c r="C749" s="50" t="s">
        <v>1461</v>
      </c>
      <c r="D749" s="50" t="s">
        <v>144</v>
      </c>
      <c r="E749" s="51">
        <v>0</v>
      </c>
      <c r="F749" s="52" t="s">
        <v>597</v>
      </c>
      <c r="G749" s="53">
        <v>0</v>
      </c>
      <c r="H749" s="53">
        <v>0</v>
      </c>
      <c r="I749" s="53">
        <v>0</v>
      </c>
      <c r="J749" s="50" t="s">
        <v>597</v>
      </c>
      <c r="K749" s="50" t="s">
        <v>597</v>
      </c>
    </row>
    <row r="750" spans="1:11">
      <c r="A750" s="54" t="s">
        <v>1997</v>
      </c>
      <c r="B750" s="54" t="s">
        <v>1998</v>
      </c>
      <c r="C750" s="54" t="s">
        <v>1461</v>
      </c>
      <c r="D750" s="54" t="s">
        <v>144</v>
      </c>
      <c r="E750" s="55">
        <v>0</v>
      </c>
      <c r="F750" s="56" t="s">
        <v>597</v>
      </c>
      <c r="G750" s="57">
        <v>0</v>
      </c>
      <c r="H750" s="57">
        <v>0</v>
      </c>
      <c r="I750" s="57">
        <v>0</v>
      </c>
      <c r="J750" s="54" t="s">
        <v>597</v>
      </c>
      <c r="K750" s="54" t="s">
        <v>597</v>
      </c>
    </row>
    <row r="751" spans="1:11">
      <c r="A751" s="50" t="s">
        <v>1999</v>
      </c>
      <c r="B751" s="50" t="s">
        <v>2000</v>
      </c>
      <c r="C751" s="50" t="s">
        <v>1461</v>
      </c>
      <c r="D751" s="50" t="s">
        <v>144</v>
      </c>
      <c r="E751" s="51">
        <v>0</v>
      </c>
      <c r="F751" s="52" t="s">
        <v>597</v>
      </c>
      <c r="G751" s="53">
        <v>0</v>
      </c>
      <c r="H751" s="53">
        <v>0</v>
      </c>
      <c r="I751" s="53">
        <v>0</v>
      </c>
      <c r="J751" s="50" t="s">
        <v>597</v>
      </c>
      <c r="K751" s="50" t="s">
        <v>597</v>
      </c>
    </row>
    <row r="752" spans="1:11">
      <c r="A752" s="54" t="s">
        <v>2001</v>
      </c>
      <c r="B752" s="54" t="s">
        <v>2002</v>
      </c>
      <c r="C752" s="54" t="s">
        <v>1461</v>
      </c>
      <c r="D752" s="54" t="s">
        <v>144</v>
      </c>
      <c r="E752" s="55">
        <v>0</v>
      </c>
      <c r="F752" s="56" t="s">
        <v>597</v>
      </c>
      <c r="G752" s="57">
        <v>0</v>
      </c>
      <c r="H752" s="57">
        <v>0</v>
      </c>
      <c r="I752" s="57">
        <v>0</v>
      </c>
      <c r="J752" s="54" t="s">
        <v>597</v>
      </c>
      <c r="K752" s="54" t="s">
        <v>597</v>
      </c>
    </row>
    <row r="753" spans="1:11">
      <c r="A753" s="50" t="s">
        <v>2003</v>
      </c>
      <c r="B753" s="50" t="s">
        <v>2004</v>
      </c>
      <c r="C753" s="50" t="s">
        <v>1461</v>
      </c>
      <c r="D753" s="50" t="s">
        <v>144</v>
      </c>
      <c r="E753" s="51">
        <v>0</v>
      </c>
      <c r="F753" s="52" t="s">
        <v>597</v>
      </c>
      <c r="G753" s="53">
        <v>0</v>
      </c>
      <c r="H753" s="53">
        <v>0</v>
      </c>
      <c r="I753" s="53">
        <v>0</v>
      </c>
      <c r="J753" s="50" t="s">
        <v>597</v>
      </c>
      <c r="K753" s="50" t="s">
        <v>597</v>
      </c>
    </row>
    <row r="754" spans="1:11">
      <c r="A754" s="54" t="s">
        <v>2005</v>
      </c>
      <c r="B754" s="54" t="s">
        <v>2006</v>
      </c>
      <c r="C754" s="54" t="s">
        <v>1461</v>
      </c>
      <c r="D754" s="54" t="s">
        <v>144</v>
      </c>
      <c r="E754" s="55">
        <v>0</v>
      </c>
      <c r="F754" s="56" t="s">
        <v>597</v>
      </c>
      <c r="G754" s="57">
        <v>0</v>
      </c>
      <c r="H754" s="57">
        <v>0</v>
      </c>
      <c r="I754" s="57">
        <v>0</v>
      </c>
      <c r="J754" s="54" t="s">
        <v>597</v>
      </c>
      <c r="K754" s="54" t="s">
        <v>597</v>
      </c>
    </row>
    <row r="755" spans="1:11">
      <c r="A755" s="50" t="s">
        <v>2007</v>
      </c>
      <c r="B755" s="50" t="s">
        <v>2008</v>
      </c>
      <c r="C755" s="50" t="s">
        <v>1461</v>
      </c>
      <c r="D755" s="50" t="s">
        <v>144</v>
      </c>
      <c r="E755" s="51">
        <v>0</v>
      </c>
      <c r="F755" s="52" t="s">
        <v>597</v>
      </c>
      <c r="G755" s="53">
        <v>0</v>
      </c>
      <c r="H755" s="53">
        <v>0</v>
      </c>
      <c r="I755" s="53">
        <v>0</v>
      </c>
      <c r="J755" s="50" t="s">
        <v>597</v>
      </c>
      <c r="K755" s="50" t="s">
        <v>597</v>
      </c>
    </row>
    <row r="756" spans="1:11">
      <c r="A756" s="54" t="s">
        <v>2009</v>
      </c>
      <c r="B756" s="54" t="s">
        <v>2010</v>
      </c>
      <c r="C756" s="54" t="s">
        <v>1461</v>
      </c>
      <c r="D756" s="54" t="s">
        <v>144</v>
      </c>
      <c r="E756" s="55">
        <v>0</v>
      </c>
      <c r="F756" s="56" t="s">
        <v>597</v>
      </c>
      <c r="G756" s="57">
        <v>0</v>
      </c>
      <c r="H756" s="57">
        <v>0</v>
      </c>
      <c r="I756" s="57">
        <v>0</v>
      </c>
      <c r="J756" s="54" t="s">
        <v>597</v>
      </c>
      <c r="K756" s="54" t="s">
        <v>597</v>
      </c>
    </row>
    <row r="757" spans="1:11">
      <c r="A757" s="50" t="s">
        <v>2011</v>
      </c>
      <c r="B757" s="50" t="s">
        <v>2012</v>
      </c>
      <c r="C757" s="50" t="s">
        <v>1461</v>
      </c>
      <c r="D757" s="50" t="s">
        <v>144</v>
      </c>
      <c r="E757" s="51">
        <v>0</v>
      </c>
      <c r="F757" s="52" t="s">
        <v>597</v>
      </c>
      <c r="G757" s="53">
        <v>0</v>
      </c>
      <c r="H757" s="53">
        <v>0</v>
      </c>
      <c r="I757" s="53">
        <v>0</v>
      </c>
      <c r="J757" s="50" t="s">
        <v>597</v>
      </c>
      <c r="K757" s="50" t="s">
        <v>597</v>
      </c>
    </row>
    <row r="758" spans="1:11">
      <c r="A758" s="54" t="s">
        <v>2013</v>
      </c>
      <c r="B758" s="54" t="s">
        <v>2014</v>
      </c>
      <c r="C758" s="54" t="s">
        <v>1461</v>
      </c>
      <c r="D758" s="54" t="s">
        <v>144</v>
      </c>
      <c r="E758" s="55">
        <v>0</v>
      </c>
      <c r="F758" s="56" t="s">
        <v>597</v>
      </c>
      <c r="G758" s="57">
        <v>0</v>
      </c>
      <c r="H758" s="57">
        <v>0</v>
      </c>
      <c r="I758" s="57">
        <v>0</v>
      </c>
      <c r="J758" s="54" t="s">
        <v>597</v>
      </c>
      <c r="K758" s="54" t="s">
        <v>597</v>
      </c>
    </row>
    <row r="759" spans="1:11">
      <c r="A759" s="50" t="s">
        <v>2015</v>
      </c>
      <c r="B759" s="50" t="s">
        <v>2016</v>
      </c>
      <c r="C759" s="50" t="s">
        <v>1461</v>
      </c>
      <c r="D759" s="50" t="s">
        <v>144</v>
      </c>
      <c r="E759" s="51">
        <v>0</v>
      </c>
      <c r="F759" s="52" t="s">
        <v>597</v>
      </c>
      <c r="G759" s="53">
        <v>0</v>
      </c>
      <c r="H759" s="53">
        <v>0</v>
      </c>
      <c r="I759" s="53">
        <v>0</v>
      </c>
      <c r="J759" s="50" t="s">
        <v>597</v>
      </c>
      <c r="K759" s="50" t="s">
        <v>597</v>
      </c>
    </row>
    <row r="760" spans="1:11">
      <c r="A760" s="54" t="s">
        <v>2017</v>
      </c>
      <c r="B760" s="54" t="s">
        <v>2018</v>
      </c>
      <c r="C760" s="54" t="s">
        <v>1461</v>
      </c>
      <c r="D760" s="54" t="s">
        <v>144</v>
      </c>
      <c r="E760" s="55">
        <v>0</v>
      </c>
      <c r="F760" s="56" t="s">
        <v>597</v>
      </c>
      <c r="G760" s="57">
        <v>0</v>
      </c>
      <c r="H760" s="57">
        <v>0</v>
      </c>
      <c r="I760" s="57">
        <v>0</v>
      </c>
      <c r="J760" s="54" t="s">
        <v>597</v>
      </c>
      <c r="K760" s="54" t="s">
        <v>597</v>
      </c>
    </row>
    <row r="761" spans="1:11">
      <c r="A761" s="50" t="s">
        <v>2019</v>
      </c>
      <c r="B761" s="50" t="s">
        <v>2020</v>
      </c>
      <c r="C761" s="50" t="s">
        <v>1461</v>
      </c>
      <c r="D761" s="50" t="s">
        <v>144</v>
      </c>
      <c r="E761" s="51">
        <v>0</v>
      </c>
      <c r="F761" s="52" t="s">
        <v>597</v>
      </c>
      <c r="G761" s="53">
        <v>0</v>
      </c>
      <c r="H761" s="53">
        <v>0</v>
      </c>
      <c r="I761" s="53">
        <v>0</v>
      </c>
      <c r="J761" s="50" t="s">
        <v>597</v>
      </c>
      <c r="K761" s="50" t="s">
        <v>597</v>
      </c>
    </row>
    <row r="762" spans="1:11">
      <c r="A762" s="54" t="s">
        <v>2021</v>
      </c>
      <c r="B762" s="54" t="s">
        <v>2022</v>
      </c>
      <c r="C762" s="54" t="s">
        <v>1461</v>
      </c>
      <c r="D762" s="54" t="s">
        <v>144</v>
      </c>
      <c r="E762" s="55">
        <v>0</v>
      </c>
      <c r="F762" s="56" t="s">
        <v>597</v>
      </c>
      <c r="G762" s="57">
        <v>0</v>
      </c>
      <c r="H762" s="57">
        <v>0</v>
      </c>
      <c r="I762" s="57">
        <v>0</v>
      </c>
      <c r="J762" s="54" t="s">
        <v>597</v>
      </c>
      <c r="K762" s="54" t="s">
        <v>597</v>
      </c>
    </row>
    <row r="763" spans="1:11">
      <c r="A763" s="50" t="s">
        <v>2023</v>
      </c>
      <c r="B763" s="50" t="s">
        <v>2024</v>
      </c>
      <c r="C763" s="50" t="s">
        <v>1461</v>
      </c>
      <c r="D763" s="50" t="s">
        <v>144</v>
      </c>
      <c r="E763" s="51">
        <v>0</v>
      </c>
      <c r="F763" s="52" t="s">
        <v>597</v>
      </c>
      <c r="G763" s="53">
        <v>0</v>
      </c>
      <c r="H763" s="53">
        <v>0</v>
      </c>
      <c r="I763" s="53">
        <v>0</v>
      </c>
      <c r="J763" s="50" t="s">
        <v>597</v>
      </c>
      <c r="K763" s="50" t="s">
        <v>597</v>
      </c>
    </row>
    <row r="764" spans="1:11">
      <c r="A764" s="54" t="s">
        <v>2025</v>
      </c>
      <c r="B764" s="54" t="s">
        <v>2026</v>
      </c>
      <c r="C764" s="54" t="s">
        <v>1461</v>
      </c>
      <c r="D764" s="54" t="s">
        <v>144</v>
      </c>
      <c r="E764" s="55">
        <v>0</v>
      </c>
      <c r="F764" s="56" t="s">
        <v>597</v>
      </c>
      <c r="G764" s="57">
        <v>0</v>
      </c>
      <c r="H764" s="57">
        <v>0</v>
      </c>
      <c r="I764" s="57">
        <v>0</v>
      </c>
      <c r="J764" s="54" t="s">
        <v>597</v>
      </c>
      <c r="K764" s="54" t="s">
        <v>597</v>
      </c>
    </row>
    <row r="765" spans="1:11">
      <c r="A765" s="50" t="s">
        <v>2027</v>
      </c>
      <c r="B765" s="50" t="s">
        <v>2028</v>
      </c>
      <c r="C765" s="50" t="s">
        <v>1461</v>
      </c>
      <c r="D765" s="50" t="s">
        <v>144</v>
      </c>
      <c r="E765" s="51">
        <v>0</v>
      </c>
      <c r="F765" s="52" t="s">
        <v>597</v>
      </c>
      <c r="G765" s="53">
        <v>0</v>
      </c>
      <c r="H765" s="53">
        <v>0</v>
      </c>
      <c r="I765" s="53">
        <v>0</v>
      </c>
      <c r="J765" s="50" t="s">
        <v>597</v>
      </c>
      <c r="K765" s="50" t="s">
        <v>597</v>
      </c>
    </row>
    <row r="766" spans="1:11">
      <c r="A766" s="54" t="s">
        <v>2029</v>
      </c>
      <c r="B766" s="54" t="s">
        <v>2030</v>
      </c>
      <c r="C766" s="54" t="s">
        <v>1461</v>
      </c>
      <c r="D766" s="54" t="s">
        <v>144</v>
      </c>
      <c r="E766" s="55">
        <v>0</v>
      </c>
      <c r="F766" s="56" t="s">
        <v>597</v>
      </c>
      <c r="G766" s="57">
        <v>0</v>
      </c>
      <c r="H766" s="57">
        <v>0</v>
      </c>
      <c r="I766" s="57">
        <v>0</v>
      </c>
      <c r="J766" s="54" t="s">
        <v>597</v>
      </c>
      <c r="K766" s="54" t="s">
        <v>597</v>
      </c>
    </row>
    <row r="767" spans="1:11">
      <c r="A767" s="50" t="s">
        <v>2031</v>
      </c>
      <c r="B767" s="50" t="s">
        <v>2032</v>
      </c>
      <c r="C767" s="50" t="s">
        <v>1461</v>
      </c>
      <c r="D767" s="50" t="s">
        <v>144</v>
      </c>
      <c r="E767" s="51">
        <v>0</v>
      </c>
      <c r="F767" s="52" t="s">
        <v>597</v>
      </c>
      <c r="G767" s="53">
        <v>0</v>
      </c>
      <c r="H767" s="53">
        <v>0</v>
      </c>
      <c r="I767" s="53">
        <v>0</v>
      </c>
      <c r="J767" s="50" t="s">
        <v>597</v>
      </c>
      <c r="K767" s="50" t="s">
        <v>597</v>
      </c>
    </row>
    <row r="768" spans="1:11">
      <c r="A768" s="54" t="s">
        <v>2033</v>
      </c>
      <c r="B768" s="54" t="s">
        <v>2034</v>
      </c>
      <c r="C768" s="54" t="s">
        <v>1461</v>
      </c>
      <c r="D768" s="54" t="s">
        <v>144</v>
      </c>
      <c r="E768" s="55">
        <v>0</v>
      </c>
      <c r="F768" s="56" t="s">
        <v>597</v>
      </c>
      <c r="G768" s="57">
        <v>0</v>
      </c>
      <c r="H768" s="57">
        <v>0</v>
      </c>
      <c r="I768" s="57">
        <v>0</v>
      </c>
      <c r="J768" s="54" t="s">
        <v>597</v>
      </c>
      <c r="K768" s="54" t="s">
        <v>597</v>
      </c>
    </row>
    <row r="769" spans="1:11">
      <c r="A769" s="50" t="s">
        <v>2035</v>
      </c>
      <c r="B769" s="50" t="s">
        <v>2036</v>
      </c>
      <c r="C769" s="50" t="s">
        <v>1461</v>
      </c>
      <c r="D769" s="50" t="s">
        <v>144</v>
      </c>
      <c r="E769" s="51">
        <v>0</v>
      </c>
      <c r="F769" s="52" t="s">
        <v>597</v>
      </c>
      <c r="G769" s="53">
        <v>0</v>
      </c>
      <c r="H769" s="53">
        <v>0</v>
      </c>
      <c r="I769" s="53">
        <v>0</v>
      </c>
      <c r="J769" s="50" t="s">
        <v>597</v>
      </c>
      <c r="K769" s="50" t="s">
        <v>597</v>
      </c>
    </row>
    <row r="770" spans="1:11">
      <c r="A770" s="54" t="s">
        <v>2037</v>
      </c>
      <c r="B770" s="54" t="s">
        <v>2038</v>
      </c>
      <c r="C770" s="54" t="s">
        <v>1461</v>
      </c>
      <c r="D770" s="54" t="s">
        <v>144</v>
      </c>
      <c r="E770" s="55">
        <v>0</v>
      </c>
      <c r="F770" s="56" t="s">
        <v>597</v>
      </c>
      <c r="G770" s="57">
        <v>0</v>
      </c>
      <c r="H770" s="57">
        <v>0</v>
      </c>
      <c r="I770" s="57">
        <v>0</v>
      </c>
      <c r="J770" s="54" t="s">
        <v>597</v>
      </c>
      <c r="K770" s="54" t="s">
        <v>597</v>
      </c>
    </row>
    <row r="771" spans="1:11">
      <c r="A771" s="50" t="s">
        <v>2039</v>
      </c>
      <c r="B771" s="50" t="s">
        <v>2040</v>
      </c>
      <c r="C771" s="50" t="s">
        <v>1461</v>
      </c>
      <c r="D771" s="50" t="s">
        <v>144</v>
      </c>
      <c r="E771" s="51">
        <v>0</v>
      </c>
      <c r="F771" s="52" t="s">
        <v>597</v>
      </c>
      <c r="G771" s="53">
        <v>0</v>
      </c>
      <c r="H771" s="53">
        <v>0</v>
      </c>
      <c r="I771" s="53">
        <v>0</v>
      </c>
      <c r="J771" s="50" t="s">
        <v>597</v>
      </c>
      <c r="K771" s="50" t="s">
        <v>597</v>
      </c>
    </row>
    <row r="772" spans="1:11">
      <c r="A772" s="54" t="s">
        <v>2041</v>
      </c>
      <c r="B772" s="54" t="s">
        <v>2042</v>
      </c>
      <c r="C772" s="54" t="s">
        <v>1461</v>
      </c>
      <c r="D772" s="54" t="s">
        <v>144</v>
      </c>
      <c r="E772" s="55">
        <v>0</v>
      </c>
      <c r="F772" s="56" t="s">
        <v>597</v>
      </c>
      <c r="G772" s="57">
        <v>0</v>
      </c>
      <c r="H772" s="57">
        <v>0</v>
      </c>
      <c r="I772" s="57">
        <v>0</v>
      </c>
      <c r="J772" s="54" t="s">
        <v>597</v>
      </c>
      <c r="K772" s="54" t="s">
        <v>597</v>
      </c>
    </row>
    <row r="773" spans="1:11">
      <c r="A773" s="50" t="s">
        <v>2043</v>
      </c>
      <c r="B773" s="50" t="s">
        <v>2044</v>
      </c>
      <c r="C773" s="50" t="s">
        <v>1461</v>
      </c>
      <c r="D773" s="50" t="s">
        <v>144</v>
      </c>
      <c r="E773" s="51">
        <v>0</v>
      </c>
      <c r="F773" s="52" t="s">
        <v>597</v>
      </c>
      <c r="G773" s="53">
        <v>0</v>
      </c>
      <c r="H773" s="53">
        <v>0</v>
      </c>
      <c r="I773" s="53">
        <v>0</v>
      </c>
      <c r="J773" s="50" t="s">
        <v>597</v>
      </c>
      <c r="K773" s="50" t="s">
        <v>597</v>
      </c>
    </row>
    <row r="774" spans="1:11">
      <c r="A774" s="54" t="s">
        <v>2045</v>
      </c>
      <c r="B774" s="54" t="s">
        <v>2046</v>
      </c>
      <c r="C774" s="54" t="s">
        <v>1461</v>
      </c>
      <c r="D774" s="54" t="s">
        <v>144</v>
      </c>
      <c r="E774" s="55">
        <v>0</v>
      </c>
      <c r="F774" s="56" t="s">
        <v>597</v>
      </c>
      <c r="G774" s="57">
        <v>0</v>
      </c>
      <c r="H774" s="57">
        <v>0</v>
      </c>
      <c r="I774" s="57">
        <v>0</v>
      </c>
      <c r="J774" s="54" t="s">
        <v>597</v>
      </c>
      <c r="K774" s="54" t="s">
        <v>597</v>
      </c>
    </row>
    <row r="775" spans="1:11">
      <c r="A775" s="50" t="s">
        <v>2047</v>
      </c>
      <c r="B775" s="50" t="s">
        <v>2048</v>
      </c>
      <c r="C775" s="50" t="s">
        <v>1461</v>
      </c>
      <c r="D775" s="50" t="s">
        <v>144</v>
      </c>
      <c r="E775" s="51">
        <v>0</v>
      </c>
      <c r="F775" s="52" t="s">
        <v>597</v>
      </c>
      <c r="G775" s="53">
        <v>0</v>
      </c>
      <c r="H775" s="53">
        <v>0</v>
      </c>
      <c r="I775" s="53">
        <v>0</v>
      </c>
      <c r="J775" s="50" t="s">
        <v>597</v>
      </c>
      <c r="K775" s="50" t="s">
        <v>597</v>
      </c>
    </row>
    <row r="776" spans="1:11">
      <c r="A776" s="54" t="s">
        <v>2049</v>
      </c>
      <c r="B776" s="54" t="s">
        <v>2050</v>
      </c>
      <c r="C776" s="54" t="s">
        <v>1461</v>
      </c>
      <c r="D776" s="54" t="s">
        <v>144</v>
      </c>
      <c r="E776" s="55">
        <v>0</v>
      </c>
      <c r="F776" s="56" t="s">
        <v>597</v>
      </c>
      <c r="G776" s="57">
        <v>0</v>
      </c>
      <c r="H776" s="57">
        <v>0</v>
      </c>
      <c r="I776" s="57">
        <v>0</v>
      </c>
      <c r="J776" s="54" t="s">
        <v>597</v>
      </c>
      <c r="K776" s="54" t="s">
        <v>597</v>
      </c>
    </row>
    <row r="777" spans="1:11">
      <c r="A777" s="50" t="s">
        <v>2051</v>
      </c>
      <c r="B777" s="50" t="s">
        <v>2052</v>
      </c>
      <c r="C777" s="50" t="s">
        <v>1461</v>
      </c>
      <c r="D777" s="50" t="s">
        <v>144</v>
      </c>
      <c r="E777" s="51">
        <v>0</v>
      </c>
      <c r="F777" s="52" t="s">
        <v>597</v>
      </c>
      <c r="G777" s="53">
        <v>0</v>
      </c>
      <c r="H777" s="53">
        <v>0</v>
      </c>
      <c r="I777" s="53">
        <v>0</v>
      </c>
      <c r="J777" s="50" t="s">
        <v>597</v>
      </c>
      <c r="K777" s="50" t="s">
        <v>597</v>
      </c>
    </row>
    <row r="778" spans="1:11">
      <c r="A778" s="54" t="s">
        <v>2053</v>
      </c>
      <c r="B778" s="54" t="s">
        <v>2054</v>
      </c>
      <c r="C778" s="54" t="s">
        <v>1461</v>
      </c>
      <c r="D778" s="54" t="s">
        <v>144</v>
      </c>
      <c r="E778" s="55">
        <v>0</v>
      </c>
      <c r="F778" s="56" t="s">
        <v>597</v>
      </c>
      <c r="G778" s="57">
        <v>0</v>
      </c>
      <c r="H778" s="57">
        <v>0</v>
      </c>
      <c r="I778" s="57">
        <v>0</v>
      </c>
      <c r="J778" s="54" t="s">
        <v>597</v>
      </c>
      <c r="K778" s="54" t="s">
        <v>597</v>
      </c>
    </row>
    <row r="779" spans="1:11">
      <c r="A779" s="50" t="s">
        <v>2055</v>
      </c>
      <c r="B779" s="50" t="s">
        <v>2056</v>
      </c>
      <c r="C779" s="50" t="s">
        <v>1461</v>
      </c>
      <c r="D779" s="50" t="s">
        <v>144</v>
      </c>
      <c r="E779" s="51">
        <v>0</v>
      </c>
      <c r="F779" s="52" t="s">
        <v>597</v>
      </c>
      <c r="G779" s="53">
        <v>0</v>
      </c>
      <c r="H779" s="53">
        <v>0</v>
      </c>
      <c r="I779" s="53">
        <v>0</v>
      </c>
      <c r="J779" s="50" t="s">
        <v>597</v>
      </c>
      <c r="K779" s="50" t="s">
        <v>597</v>
      </c>
    </row>
    <row r="780" spans="1:11">
      <c r="A780" s="54" t="s">
        <v>2057</v>
      </c>
      <c r="B780" s="54" t="s">
        <v>2058</v>
      </c>
      <c r="C780" s="54" t="s">
        <v>1461</v>
      </c>
      <c r="D780" s="54" t="s">
        <v>144</v>
      </c>
      <c r="E780" s="55">
        <v>0</v>
      </c>
      <c r="F780" s="56" t="s">
        <v>597</v>
      </c>
      <c r="G780" s="57">
        <v>0</v>
      </c>
      <c r="H780" s="57">
        <v>0</v>
      </c>
      <c r="I780" s="57">
        <v>0</v>
      </c>
      <c r="J780" s="54" t="s">
        <v>597</v>
      </c>
      <c r="K780" s="54" t="s">
        <v>597</v>
      </c>
    </row>
    <row r="781" spans="1:11">
      <c r="A781" s="50" t="s">
        <v>2059</v>
      </c>
      <c r="B781" s="50" t="s">
        <v>2060</v>
      </c>
      <c r="C781" s="50" t="s">
        <v>1461</v>
      </c>
      <c r="D781" s="50" t="s">
        <v>144</v>
      </c>
      <c r="E781" s="51">
        <v>0</v>
      </c>
      <c r="F781" s="52" t="s">
        <v>597</v>
      </c>
      <c r="G781" s="53">
        <v>0</v>
      </c>
      <c r="H781" s="53">
        <v>0</v>
      </c>
      <c r="I781" s="53">
        <v>0</v>
      </c>
      <c r="J781" s="50" t="s">
        <v>597</v>
      </c>
      <c r="K781" s="50" t="s">
        <v>597</v>
      </c>
    </row>
    <row r="782" spans="1:11">
      <c r="A782" s="54" t="s">
        <v>2061</v>
      </c>
      <c r="B782" s="54" t="s">
        <v>2062</v>
      </c>
      <c r="C782" s="54" t="s">
        <v>1461</v>
      </c>
      <c r="D782" s="54" t="s">
        <v>144</v>
      </c>
      <c r="E782" s="55">
        <v>0</v>
      </c>
      <c r="F782" s="56" t="s">
        <v>597</v>
      </c>
      <c r="G782" s="57">
        <v>0</v>
      </c>
      <c r="H782" s="57">
        <v>0</v>
      </c>
      <c r="I782" s="57">
        <v>0</v>
      </c>
      <c r="J782" s="54" t="s">
        <v>597</v>
      </c>
      <c r="K782" s="54" t="s">
        <v>597</v>
      </c>
    </row>
    <row r="783" spans="1:11">
      <c r="A783" s="50" t="s">
        <v>2063</v>
      </c>
      <c r="B783" s="50" t="s">
        <v>2064</v>
      </c>
      <c r="C783" s="50" t="s">
        <v>1461</v>
      </c>
      <c r="D783" s="50" t="s">
        <v>144</v>
      </c>
      <c r="E783" s="51">
        <v>0</v>
      </c>
      <c r="F783" s="52" t="s">
        <v>597</v>
      </c>
      <c r="G783" s="53">
        <v>0</v>
      </c>
      <c r="H783" s="53">
        <v>0</v>
      </c>
      <c r="I783" s="53">
        <v>0</v>
      </c>
      <c r="J783" s="50" t="s">
        <v>597</v>
      </c>
      <c r="K783" s="50" t="s">
        <v>597</v>
      </c>
    </row>
    <row r="784" spans="1:11">
      <c r="A784" s="54" t="s">
        <v>2065</v>
      </c>
      <c r="B784" s="54" t="s">
        <v>2066</v>
      </c>
      <c r="C784" s="54" t="s">
        <v>1461</v>
      </c>
      <c r="D784" s="54" t="s">
        <v>144</v>
      </c>
      <c r="E784" s="55">
        <v>0</v>
      </c>
      <c r="F784" s="56" t="s">
        <v>597</v>
      </c>
      <c r="G784" s="57">
        <v>0</v>
      </c>
      <c r="H784" s="57">
        <v>0</v>
      </c>
      <c r="I784" s="57">
        <v>0</v>
      </c>
      <c r="J784" s="54" t="s">
        <v>597</v>
      </c>
      <c r="K784" s="54" t="s">
        <v>597</v>
      </c>
    </row>
    <row r="785" spans="1:11">
      <c r="A785" s="50" t="s">
        <v>2067</v>
      </c>
      <c r="B785" s="50" t="s">
        <v>2068</v>
      </c>
      <c r="C785" s="50" t="s">
        <v>1461</v>
      </c>
      <c r="D785" s="50" t="s">
        <v>144</v>
      </c>
      <c r="E785" s="51">
        <v>0</v>
      </c>
      <c r="F785" s="52" t="s">
        <v>597</v>
      </c>
      <c r="G785" s="53">
        <v>0</v>
      </c>
      <c r="H785" s="53">
        <v>0</v>
      </c>
      <c r="I785" s="53">
        <v>0</v>
      </c>
      <c r="J785" s="50" t="s">
        <v>597</v>
      </c>
      <c r="K785" s="50" t="s">
        <v>597</v>
      </c>
    </row>
    <row r="786" spans="1:11">
      <c r="A786" s="54" t="s">
        <v>2069</v>
      </c>
      <c r="B786" s="54" t="s">
        <v>2070</v>
      </c>
      <c r="C786" s="54" t="s">
        <v>1461</v>
      </c>
      <c r="D786" s="54" t="s">
        <v>144</v>
      </c>
      <c r="E786" s="55">
        <v>0</v>
      </c>
      <c r="F786" s="56" t="s">
        <v>597</v>
      </c>
      <c r="G786" s="57">
        <v>0</v>
      </c>
      <c r="H786" s="57">
        <v>0</v>
      </c>
      <c r="I786" s="57">
        <v>0</v>
      </c>
      <c r="J786" s="54" t="s">
        <v>597</v>
      </c>
      <c r="K786" s="54" t="s">
        <v>597</v>
      </c>
    </row>
    <row r="787" spans="1:11">
      <c r="A787" s="50" t="s">
        <v>2071</v>
      </c>
      <c r="B787" s="50" t="s">
        <v>2072</v>
      </c>
      <c r="C787" s="50" t="s">
        <v>1461</v>
      </c>
      <c r="D787" s="50" t="s">
        <v>144</v>
      </c>
      <c r="E787" s="51">
        <v>0</v>
      </c>
      <c r="F787" s="52" t="s">
        <v>597</v>
      </c>
      <c r="G787" s="53">
        <v>0</v>
      </c>
      <c r="H787" s="53">
        <v>0</v>
      </c>
      <c r="I787" s="53">
        <v>0</v>
      </c>
      <c r="J787" s="50" t="s">
        <v>597</v>
      </c>
      <c r="K787" s="50" t="s">
        <v>597</v>
      </c>
    </row>
    <row r="788" spans="1:11">
      <c r="A788" s="54" t="s">
        <v>2073</v>
      </c>
      <c r="B788" s="54" t="s">
        <v>2074</v>
      </c>
      <c r="C788" s="54" t="s">
        <v>1461</v>
      </c>
      <c r="D788" s="54" t="s">
        <v>144</v>
      </c>
      <c r="E788" s="55">
        <v>0</v>
      </c>
      <c r="F788" s="56" t="s">
        <v>597</v>
      </c>
      <c r="G788" s="57">
        <v>0</v>
      </c>
      <c r="H788" s="57">
        <v>0</v>
      </c>
      <c r="I788" s="57">
        <v>0</v>
      </c>
      <c r="J788" s="54" t="s">
        <v>597</v>
      </c>
      <c r="K788" s="54" t="s">
        <v>597</v>
      </c>
    </row>
    <row r="789" spans="1:11">
      <c r="A789" s="50" t="s">
        <v>2075</v>
      </c>
      <c r="B789" s="50" t="s">
        <v>2076</v>
      </c>
      <c r="C789" s="50" t="s">
        <v>1461</v>
      </c>
      <c r="D789" s="50" t="s">
        <v>144</v>
      </c>
      <c r="E789" s="51">
        <v>0</v>
      </c>
      <c r="F789" s="52" t="s">
        <v>597</v>
      </c>
      <c r="G789" s="53">
        <v>0</v>
      </c>
      <c r="H789" s="53">
        <v>0</v>
      </c>
      <c r="I789" s="53">
        <v>0</v>
      </c>
      <c r="J789" s="50" t="s">
        <v>597</v>
      </c>
      <c r="K789" s="50" t="s">
        <v>597</v>
      </c>
    </row>
    <row r="790" spans="1:11">
      <c r="A790" s="54" t="s">
        <v>2077</v>
      </c>
      <c r="B790" s="54" t="s">
        <v>2078</v>
      </c>
      <c r="C790" s="54" t="s">
        <v>1461</v>
      </c>
      <c r="D790" s="54" t="s">
        <v>144</v>
      </c>
      <c r="E790" s="55">
        <v>0</v>
      </c>
      <c r="F790" s="56" t="s">
        <v>597</v>
      </c>
      <c r="G790" s="57">
        <v>0</v>
      </c>
      <c r="H790" s="57">
        <v>0</v>
      </c>
      <c r="I790" s="57">
        <v>0</v>
      </c>
      <c r="J790" s="54" t="s">
        <v>597</v>
      </c>
      <c r="K790" s="54" t="s">
        <v>597</v>
      </c>
    </row>
    <row r="791" spans="1:11">
      <c r="A791" s="50" t="s">
        <v>2079</v>
      </c>
      <c r="B791" s="50" t="s">
        <v>2080</v>
      </c>
      <c r="C791" s="50" t="s">
        <v>1461</v>
      </c>
      <c r="D791" s="50" t="s">
        <v>144</v>
      </c>
      <c r="E791" s="51">
        <v>0</v>
      </c>
      <c r="F791" s="52" t="s">
        <v>597</v>
      </c>
      <c r="G791" s="53">
        <v>0</v>
      </c>
      <c r="H791" s="53">
        <v>0</v>
      </c>
      <c r="I791" s="53">
        <v>0</v>
      </c>
      <c r="J791" s="50" t="s">
        <v>597</v>
      </c>
      <c r="K791" s="50" t="s">
        <v>597</v>
      </c>
    </row>
    <row r="792" spans="1:11">
      <c r="A792" s="54" t="s">
        <v>2081</v>
      </c>
      <c r="B792" s="54" t="s">
        <v>2082</v>
      </c>
      <c r="C792" s="54" t="s">
        <v>1461</v>
      </c>
      <c r="D792" s="54" t="s">
        <v>144</v>
      </c>
      <c r="E792" s="55">
        <v>0</v>
      </c>
      <c r="F792" s="56" t="s">
        <v>597</v>
      </c>
      <c r="G792" s="57">
        <v>0</v>
      </c>
      <c r="H792" s="57">
        <v>0</v>
      </c>
      <c r="I792" s="57">
        <v>0</v>
      </c>
      <c r="J792" s="54" t="s">
        <v>597</v>
      </c>
      <c r="K792" s="54" t="s">
        <v>597</v>
      </c>
    </row>
    <row r="793" spans="1:11">
      <c r="A793" s="50" t="s">
        <v>2083</v>
      </c>
      <c r="B793" s="50" t="s">
        <v>2084</v>
      </c>
      <c r="C793" s="50" t="s">
        <v>1461</v>
      </c>
      <c r="D793" s="50" t="s">
        <v>144</v>
      </c>
      <c r="E793" s="51">
        <v>0</v>
      </c>
      <c r="F793" s="52" t="s">
        <v>597</v>
      </c>
      <c r="G793" s="53">
        <v>0</v>
      </c>
      <c r="H793" s="53">
        <v>0</v>
      </c>
      <c r="I793" s="53">
        <v>0</v>
      </c>
      <c r="J793" s="50" t="s">
        <v>597</v>
      </c>
      <c r="K793" s="50" t="s">
        <v>597</v>
      </c>
    </row>
    <row r="794" spans="1:11">
      <c r="A794" s="54" t="s">
        <v>2085</v>
      </c>
      <c r="B794" s="54" t="s">
        <v>2086</v>
      </c>
      <c r="C794" s="54" t="s">
        <v>1461</v>
      </c>
      <c r="D794" s="54" t="s">
        <v>144</v>
      </c>
      <c r="E794" s="55">
        <v>0</v>
      </c>
      <c r="F794" s="56" t="s">
        <v>597</v>
      </c>
      <c r="G794" s="57">
        <v>0</v>
      </c>
      <c r="H794" s="57">
        <v>0</v>
      </c>
      <c r="I794" s="57">
        <v>0</v>
      </c>
      <c r="J794" s="54" t="s">
        <v>597</v>
      </c>
      <c r="K794" s="54" t="s">
        <v>597</v>
      </c>
    </row>
    <row r="795" spans="1:11">
      <c r="A795" s="50" t="s">
        <v>2087</v>
      </c>
      <c r="B795" s="50" t="s">
        <v>2088</v>
      </c>
      <c r="C795" s="50" t="s">
        <v>1461</v>
      </c>
      <c r="D795" s="50" t="s">
        <v>144</v>
      </c>
      <c r="E795" s="51">
        <v>0</v>
      </c>
      <c r="F795" s="52" t="s">
        <v>597</v>
      </c>
      <c r="G795" s="53">
        <v>0</v>
      </c>
      <c r="H795" s="53">
        <v>0</v>
      </c>
      <c r="I795" s="53">
        <v>0</v>
      </c>
      <c r="J795" s="50" t="s">
        <v>597</v>
      </c>
      <c r="K795" s="50" t="s">
        <v>597</v>
      </c>
    </row>
    <row r="796" spans="1:11">
      <c r="A796" s="54" t="s">
        <v>2089</v>
      </c>
      <c r="B796" s="54" t="s">
        <v>2090</v>
      </c>
      <c r="C796" s="54" t="s">
        <v>1461</v>
      </c>
      <c r="D796" s="54" t="s">
        <v>144</v>
      </c>
      <c r="E796" s="55">
        <v>0</v>
      </c>
      <c r="F796" s="56" t="s">
        <v>597</v>
      </c>
      <c r="G796" s="57">
        <v>0</v>
      </c>
      <c r="H796" s="57">
        <v>0</v>
      </c>
      <c r="I796" s="57">
        <v>0</v>
      </c>
      <c r="J796" s="54" t="s">
        <v>597</v>
      </c>
      <c r="K796" s="54" t="s">
        <v>597</v>
      </c>
    </row>
    <row r="797" spans="1:11">
      <c r="A797" s="50" t="s">
        <v>2091</v>
      </c>
      <c r="B797" s="50" t="s">
        <v>2092</v>
      </c>
      <c r="C797" s="50" t="s">
        <v>1461</v>
      </c>
      <c r="D797" s="50" t="s">
        <v>144</v>
      </c>
      <c r="E797" s="51">
        <v>0</v>
      </c>
      <c r="F797" s="52" t="s">
        <v>597</v>
      </c>
      <c r="G797" s="53">
        <v>0</v>
      </c>
      <c r="H797" s="53">
        <v>0</v>
      </c>
      <c r="I797" s="53">
        <v>0</v>
      </c>
      <c r="J797" s="50" t="s">
        <v>597</v>
      </c>
      <c r="K797" s="50" t="s">
        <v>597</v>
      </c>
    </row>
    <row r="798" spans="1:11">
      <c r="A798" s="54" t="s">
        <v>2093</v>
      </c>
      <c r="B798" s="54" t="s">
        <v>2094</v>
      </c>
      <c r="C798" s="54" t="s">
        <v>1461</v>
      </c>
      <c r="D798" s="54" t="s">
        <v>144</v>
      </c>
      <c r="E798" s="55">
        <v>0</v>
      </c>
      <c r="F798" s="56" t="s">
        <v>597</v>
      </c>
      <c r="G798" s="57">
        <v>0</v>
      </c>
      <c r="H798" s="57">
        <v>0</v>
      </c>
      <c r="I798" s="57">
        <v>0</v>
      </c>
      <c r="J798" s="54" t="s">
        <v>597</v>
      </c>
      <c r="K798" s="54" t="s">
        <v>597</v>
      </c>
    </row>
    <row r="799" spans="1:11">
      <c r="A799" s="50" t="s">
        <v>2095</v>
      </c>
      <c r="B799" s="50" t="s">
        <v>2096</v>
      </c>
      <c r="C799" s="50" t="s">
        <v>1461</v>
      </c>
      <c r="D799" s="50" t="s">
        <v>144</v>
      </c>
      <c r="E799" s="51">
        <v>0</v>
      </c>
      <c r="F799" s="52" t="s">
        <v>597</v>
      </c>
      <c r="G799" s="53">
        <v>0</v>
      </c>
      <c r="H799" s="53">
        <v>0</v>
      </c>
      <c r="I799" s="53">
        <v>0</v>
      </c>
      <c r="J799" s="50" t="s">
        <v>597</v>
      </c>
      <c r="K799" s="50" t="s">
        <v>597</v>
      </c>
    </row>
    <row r="800" spans="1:11">
      <c r="A800" s="54" t="s">
        <v>2097</v>
      </c>
      <c r="B800" s="54" t="s">
        <v>2098</v>
      </c>
      <c r="C800" s="54" t="s">
        <v>1461</v>
      </c>
      <c r="D800" s="54" t="s">
        <v>144</v>
      </c>
      <c r="E800" s="55">
        <v>0</v>
      </c>
      <c r="F800" s="56" t="s">
        <v>597</v>
      </c>
      <c r="G800" s="57">
        <v>0</v>
      </c>
      <c r="H800" s="57">
        <v>0</v>
      </c>
      <c r="I800" s="57">
        <v>0</v>
      </c>
      <c r="J800" s="54" t="s">
        <v>597</v>
      </c>
      <c r="K800" s="54" t="s">
        <v>597</v>
      </c>
    </row>
    <row r="801" spans="1:11">
      <c r="A801" s="50" t="s">
        <v>2099</v>
      </c>
      <c r="B801" s="50" t="s">
        <v>2100</v>
      </c>
      <c r="C801" s="50" t="s">
        <v>1461</v>
      </c>
      <c r="D801" s="50" t="s">
        <v>144</v>
      </c>
      <c r="E801" s="51">
        <v>0</v>
      </c>
      <c r="F801" s="52" t="s">
        <v>597</v>
      </c>
      <c r="G801" s="53">
        <v>0</v>
      </c>
      <c r="H801" s="53">
        <v>0</v>
      </c>
      <c r="I801" s="53">
        <v>0</v>
      </c>
      <c r="J801" s="50" t="s">
        <v>597</v>
      </c>
      <c r="K801" s="50" t="s">
        <v>597</v>
      </c>
    </row>
    <row r="802" spans="1:11">
      <c r="A802" s="54" t="s">
        <v>2101</v>
      </c>
      <c r="B802" s="54" t="s">
        <v>2102</v>
      </c>
      <c r="C802" s="54" t="s">
        <v>1461</v>
      </c>
      <c r="D802" s="54" t="s">
        <v>144</v>
      </c>
      <c r="E802" s="55">
        <v>0</v>
      </c>
      <c r="F802" s="56" t="s">
        <v>597</v>
      </c>
      <c r="G802" s="57">
        <v>0</v>
      </c>
      <c r="H802" s="57">
        <v>0</v>
      </c>
      <c r="I802" s="57">
        <v>0</v>
      </c>
      <c r="J802" s="54" t="s">
        <v>597</v>
      </c>
      <c r="K802" s="54" t="s">
        <v>597</v>
      </c>
    </row>
    <row r="803" spans="1:11">
      <c r="A803" s="50" t="s">
        <v>2103</v>
      </c>
      <c r="B803" s="50" t="s">
        <v>2104</v>
      </c>
      <c r="C803" s="50" t="s">
        <v>1461</v>
      </c>
      <c r="D803" s="50" t="s">
        <v>144</v>
      </c>
      <c r="E803" s="51">
        <v>0</v>
      </c>
      <c r="F803" s="52" t="s">
        <v>597</v>
      </c>
      <c r="G803" s="53">
        <v>0</v>
      </c>
      <c r="H803" s="53">
        <v>0</v>
      </c>
      <c r="I803" s="53">
        <v>0</v>
      </c>
      <c r="J803" s="50" t="s">
        <v>597</v>
      </c>
      <c r="K803" s="50" t="s">
        <v>597</v>
      </c>
    </row>
    <row r="804" spans="1:11">
      <c r="A804" s="54" t="s">
        <v>2105</v>
      </c>
      <c r="B804" s="54" t="s">
        <v>2106</v>
      </c>
      <c r="C804" s="54" t="s">
        <v>1461</v>
      </c>
      <c r="D804" s="54" t="s">
        <v>144</v>
      </c>
      <c r="E804" s="55">
        <v>0</v>
      </c>
      <c r="F804" s="56" t="s">
        <v>597</v>
      </c>
      <c r="G804" s="57">
        <v>0</v>
      </c>
      <c r="H804" s="57">
        <v>0</v>
      </c>
      <c r="I804" s="57">
        <v>0</v>
      </c>
      <c r="J804" s="54" t="s">
        <v>597</v>
      </c>
      <c r="K804" s="54" t="s">
        <v>597</v>
      </c>
    </row>
    <row r="805" spans="1:11">
      <c r="A805" s="50" t="s">
        <v>2107</v>
      </c>
      <c r="B805" s="50" t="s">
        <v>2108</v>
      </c>
      <c r="C805" s="50" t="s">
        <v>1461</v>
      </c>
      <c r="D805" s="50" t="s">
        <v>144</v>
      </c>
      <c r="E805" s="51">
        <v>0</v>
      </c>
      <c r="F805" s="52" t="s">
        <v>597</v>
      </c>
      <c r="G805" s="53">
        <v>0</v>
      </c>
      <c r="H805" s="53">
        <v>0</v>
      </c>
      <c r="I805" s="53">
        <v>0</v>
      </c>
      <c r="J805" s="50" t="s">
        <v>597</v>
      </c>
      <c r="K805" s="50" t="s">
        <v>597</v>
      </c>
    </row>
    <row r="806" spans="1:11">
      <c r="A806" s="54" t="s">
        <v>2109</v>
      </c>
      <c r="B806" s="54" t="s">
        <v>2110</v>
      </c>
      <c r="C806" s="54" t="s">
        <v>1461</v>
      </c>
      <c r="D806" s="54" t="s">
        <v>144</v>
      </c>
      <c r="E806" s="55">
        <v>0</v>
      </c>
      <c r="F806" s="56" t="s">
        <v>597</v>
      </c>
      <c r="G806" s="57">
        <v>0</v>
      </c>
      <c r="H806" s="57">
        <v>0</v>
      </c>
      <c r="I806" s="57">
        <v>0</v>
      </c>
      <c r="J806" s="54" t="s">
        <v>597</v>
      </c>
      <c r="K806" s="54" t="s">
        <v>597</v>
      </c>
    </row>
    <row r="807" spans="1:11">
      <c r="A807" s="50" t="s">
        <v>2111</v>
      </c>
      <c r="B807" s="50" t="s">
        <v>2112</v>
      </c>
      <c r="C807" s="50" t="s">
        <v>1461</v>
      </c>
      <c r="D807" s="50" t="s">
        <v>144</v>
      </c>
      <c r="E807" s="51">
        <v>0</v>
      </c>
      <c r="F807" s="52" t="s">
        <v>597</v>
      </c>
      <c r="G807" s="53">
        <v>0</v>
      </c>
      <c r="H807" s="53">
        <v>0</v>
      </c>
      <c r="I807" s="53">
        <v>0</v>
      </c>
      <c r="J807" s="50" t="s">
        <v>597</v>
      </c>
      <c r="K807" s="50" t="s">
        <v>597</v>
      </c>
    </row>
    <row r="808" spans="1:11">
      <c r="A808" s="54" t="s">
        <v>2113</v>
      </c>
      <c r="B808" s="54" t="s">
        <v>2114</v>
      </c>
      <c r="C808" s="54" t="s">
        <v>1461</v>
      </c>
      <c r="D808" s="54" t="s">
        <v>144</v>
      </c>
      <c r="E808" s="55">
        <v>0</v>
      </c>
      <c r="F808" s="56" t="s">
        <v>597</v>
      </c>
      <c r="G808" s="57">
        <v>0</v>
      </c>
      <c r="H808" s="57">
        <v>0</v>
      </c>
      <c r="I808" s="57">
        <v>0</v>
      </c>
      <c r="J808" s="54" t="s">
        <v>597</v>
      </c>
      <c r="K808" s="54" t="s">
        <v>597</v>
      </c>
    </row>
    <row r="809" spans="1:11">
      <c r="A809" s="50" t="s">
        <v>2115</v>
      </c>
      <c r="B809" s="50" t="s">
        <v>2116</v>
      </c>
      <c r="C809" s="50" t="s">
        <v>1461</v>
      </c>
      <c r="D809" s="50" t="s">
        <v>144</v>
      </c>
      <c r="E809" s="51">
        <v>0</v>
      </c>
      <c r="F809" s="52" t="s">
        <v>597</v>
      </c>
      <c r="G809" s="53">
        <v>0</v>
      </c>
      <c r="H809" s="53">
        <v>0</v>
      </c>
      <c r="I809" s="53">
        <v>0</v>
      </c>
      <c r="J809" s="50" t="s">
        <v>597</v>
      </c>
      <c r="K809" s="50" t="s">
        <v>597</v>
      </c>
    </row>
    <row r="810" spans="1:11">
      <c r="A810" s="54" t="s">
        <v>2117</v>
      </c>
      <c r="B810" s="54" t="s">
        <v>2118</v>
      </c>
      <c r="C810" s="54" t="s">
        <v>1461</v>
      </c>
      <c r="D810" s="54" t="s">
        <v>144</v>
      </c>
      <c r="E810" s="55">
        <v>0</v>
      </c>
      <c r="F810" s="56" t="s">
        <v>597</v>
      </c>
      <c r="G810" s="57">
        <v>0</v>
      </c>
      <c r="H810" s="57">
        <v>0</v>
      </c>
      <c r="I810" s="57">
        <v>0</v>
      </c>
      <c r="J810" s="54" t="s">
        <v>597</v>
      </c>
      <c r="K810" s="54" t="s">
        <v>597</v>
      </c>
    </row>
    <row r="811" spans="1:11">
      <c r="A811" s="50" t="s">
        <v>2119</v>
      </c>
      <c r="B811" s="50" t="s">
        <v>2120</v>
      </c>
      <c r="C811" s="50" t="s">
        <v>1461</v>
      </c>
      <c r="D811" s="50" t="s">
        <v>144</v>
      </c>
      <c r="E811" s="51">
        <v>0</v>
      </c>
      <c r="F811" s="52" t="s">
        <v>597</v>
      </c>
      <c r="G811" s="53">
        <v>0</v>
      </c>
      <c r="H811" s="53">
        <v>0</v>
      </c>
      <c r="I811" s="53">
        <v>0</v>
      </c>
      <c r="J811" s="50" t="s">
        <v>597</v>
      </c>
      <c r="K811" s="50" t="s">
        <v>597</v>
      </c>
    </row>
    <row r="812" spans="1:11">
      <c r="A812" s="54" t="s">
        <v>2121</v>
      </c>
      <c r="B812" s="54" t="s">
        <v>2122</v>
      </c>
      <c r="C812" s="54" t="s">
        <v>1461</v>
      </c>
      <c r="D812" s="54" t="s">
        <v>144</v>
      </c>
      <c r="E812" s="55">
        <v>0</v>
      </c>
      <c r="F812" s="56" t="s">
        <v>597</v>
      </c>
      <c r="G812" s="57">
        <v>0</v>
      </c>
      <c r="H812" s="57">
        <v>0</v>
      </c>
      <c r="I812" s="57">
        <v>0</v>
      </c>
      <c r="J812" s="54" t="s">
        <v>597</v>
      </c>
      <c r="K812" s="54" t="s">
        <v>597</v>
      </c>
    </row>
    <row r="813" spans="1:11">
      <c r="A813" s="50" t="s">
        <v>2123</v>
      </c>
      <c r="B813" s="50" t="s">
        <v>2124</v>
      </c>
      <c r="C813" s="50" t="s">
        <v>1461</v>
      </c>
      <c r="D813" s="50" t="s">
        <v>144</v>
      </c>
      <c r="E813" s="51">
        <v>0</v>
      </c>
      <c r="F813" s="52" t="s">
        <v>597</v>
      </c>
      <c r="G813" s="53">
        <v>0</v>
      </c>
      <c r="H813" s="53">
        <v>0</v>
      </c>
      <c r="I813" s="53">
        <v>0</v>
      </c>
      <c r="J813" s="50" t="s">
        <v>597</v>
      </c>
      <c r="K813" s="50" t="s">
        <v>597</v>
      </c>
    </row>
    <row r="814" spans="1:11">
      <c r="A814" s="54" t="s">
        <v>2125</v>
      </c>
      <c r="B814" s="54" t="s">
        <v>2126</v>
      </c>
      <c r="C814" s="54" t="s">
        <v>1461</v>
      </c>
      <c r="D814" s="54" t="s">
        <v>144</v>
      </c>
      <c r="E814" s="55">
        <v>0</v>
      </c>
      <c r="F814" s="56" t="s">
        <v>597</v>
      </c>
      <c r="G814" s="57">
        <v>0</v>
      </c>
      <c r="H814" s="57">
        <v>0</v>
      </c>
      <c r="I814" s="57">
        <v>0</v>
      </c>
      <c r="J814" s="54" t="s">
        <v>597</v>
      </c>
      <c r="K814" s="54" t="s">
        <v>597</v>
      </c>
    </row>
    <row r="815" spans="1:11">
      <c r="A815" s="50" t="s">
        <v>2127</v>
      </c>
      <c r="B815" s="50" t="s">
        <v>2128</v>
      </c>
      <c r="C815" s="50" t="s">
        <v>1461</v>
      </c>
      <c r="D815" s="50" t="s">
        <v>144</v>
      </c>
      <c r="E815" s="51">
        <v>0</v>
      </c>
      <c r="F815" s="52" t="s">
        <v>597</v>
      </c>
      <c r="G815" s="53">
        <v>0</v>
      </c>
      <c r="H815" s="53">
        <v>0</v>
      </c>
      <c r="I815" s="53">
        <v>0</v>
      </c>
      <c r="J815" s="50" t="s">
        <v>597</v>
      </c>
      <c r="K815" s="50" t="s">
        <v>597</v>
      </c>
    </row>
    <row r="816" spans="1:11">
      <c r="A816" s="54" t="s">
        <v>2129</v>
      </c>
      <c r="B816" s="54" t="s">
        <v>2130</v>
      </c>
      <c r="C816" s="54" t="s">
        <v>1461</v>
      </c>
      <c r="D816" s="54" t="s">
        <v>144</v>
      </c>
      <c r="E816" s="55">
        <v>0</v>
      </c>
      <c r="F816" s="56" t="s">
        <v>597</v>
      </c>
      <c r="G816" s="57">
        <v>0</v>
      </c>
      <c r="H816" s="57">
        <v>0</v>
      </c>
      <c r="I816" s="57">
        <v>0</v>
      </c>
      <c r="J816" s="54" t="s">
        <v>597</v>
      </c>
      <c r="K816" s="54" t="s">
        <v>597</v>
      </c>
    </row>
    <row r="817" spans="1:11">
      <c r="A817" s="50" t="s">
        <v>2131</v>
      </c>
      <c r="B817" s="50" t="s">
        <v>2132</v>
      </c>
      <c r="C817" s="50" t="s">
        <v>1461</v>
      </c>
      <c r="D817" s="50" t="s">
        <v>144</v>
      </c>
      <c r="E817" s="51">
        <v>0</v>
      </c>
      <c r="F817" s="52" t="s">
        <v>597</v>
      </c>
      <c r="G817" s="53">
        <v>0</v>
      </c>
      <c r="H817" s="53">
        <v>0</v>
      </c>
      <c r="I817" s="53">
        <v>0</v>
      </c>
      <c r="J817" s="50" t="s">
        <v>597</v>
      </c>
      <c r="K817" s="50" t="s">
        <v>597</v>
      </c>
    </row>
    <row r="818" spans="1:11">
      <c r="A818" s="54" t="s">
        <v>2133</v>
      </c>
      <c r="B818" s="54" t="s">
        <v>2134</v>
      </c>
      <c r="C818" s="54" t="s">
        <v>1461</v>
      </c>
      <c r="D818" s="54" t="s">
        <v>144</v>
      </c>
      <c r="E818" s="55">
        <v>0</v>
      </c>
      <c r="F818" s="56" t="s">
        <v>597</v>
      </c>
      <c r="G818" s="57">
        <v>0</v>
      </c>
      <c r="H818" s="57">
        <v>0</v>
      </c>
      <c r="I818" s="57">
        <v>0</v>
      </c>
      <c r="J818" s="54" t="s">
        <v>597</v>
      </c>
      <c r="K818" s="54" t="s">
        <v>597</v>
      </c>
    </row>
    <row r="819" spans="1:11">
      <c r="A819" s="50" t="s">
        <v>2135</v>
      </c>
      <c r="B819" s="50" t="s">
        <v>2136</v>
      </c>
      <c r="C819" s="50" t="s">
        <v>1461</v>
      </c>
      <c r="D819" s="50" t="s">
        <v>144</v>
      </c>
      <c r="E819" s="51">
        <v>0</v>
      </c>
      <c r="F819" s="52" t="s">
        <v>597</v>
      </c>
      <c r="G819" s="53">
        <v>0</v>
      </c>
      <c r="H819" s="53">
        <v>0</v>
      </c>
      <c r="I819" s="53">
        <v>0</v>
      </c>
      <c r="J819" s="50" t="s">
        <v>597</v>
      </c>
      <c r="K819" s="50" t="s">
        <v>597</v>
      </c>
    </row>
    <row r="820" spans="1:11">
      <c r="A820" s="54" t="s">
        <v>2137</v>
      </c>
      <c r="B820" s="54" t="s">
        <v>2138</v>
      </c>
      <c r="C820" s="54" t="s">
        <v>1461</v>
      </c>
      <c r="D820" s="54" t="s">
        <v>144</v>
      </c>
      <c r="E820" s="55">
        <v>0</v>
      </c>
      <c r="F820" s="56" t="s">
        <v>597</v>
      </c>
      <c r="G820" s="57">
        <v>0</v>
      </c>
      <c r="H820" s="57">
        <v>0</v>
      </c>
      <c r="I820" s="57">
        <v>0</v>
      </c>
      <c r="J820" s="54" t="s">
        <v>597</v>
      </c>
      <c r="K820" s="54" t="s">
        <v>597</v>
      </c>
    </row>
    <row r="821" spans="1:11">
      <c r="A821" s="50" t="s">
        <v>2139</v>
      </c>
      <c r="B821" s="50" t="s">
        <v>2140</v>
      </c>
      <c r="C821" s="50" t="s">
        <v>1461</v>
      </c>
      <c r="D821" s="50" t="s">
        <v>144</v>
      </c>
      <c r="E821" s="51">
        <v>0</v>
      </c>
      <c r="F821" s="52" t="s">
        <v>597</v>
      </c>
      <c r="G821" s="53">
        <v>0</v>
      </c>
      <c r="H821" s="53">
        <v>0</v>
      </c>
      <c r="I821" s="53">
        <v>0</v>
      </c>
      <c r="J821" s="50" t="s">
        <v>597</v>
      </c>
      <c r="K821" s="50" t="s">
        <v>597</v>
      </c>
    </row>
    <row r="822" spans="1:11">
      <c r="A822" s="54" t="s">
        <v>2141</v>
      </c>
      <c r="B822" s="54" t="s">
        <v>2142</v>
      </c>
      <c r="C822" s="54" t="s">
        <v>1461</v>
      </c>
      <c r="D822" s="54" t="s">
        <v>144</v>
      </c>
      <c r="E822" s="55">
        <v>0</v>
      </c>
      <c r="F822" s="56" t="s">
        <v>597</v>
      </c>
      <c r="G822" s="57">
        <v>0</v>
      </c>
      <c r="H822" s="57">
        <v>0</v>
      </c>
      <c r="I822" s="57">
        <v>0</v>
      </c>
      <c r="J822" s="54" t="s">
        <v>597</v>
      </c>
      <c r="K822" s="54" t="s">
        <v>597</v>
      </c>
    </row>
    <row r="823" spans="1:11">
      <c r="A823" s="50" t="s">
        <v>2143</v>
      </c>
      <c r="B823" s="50" t="s">
        <v>2144</v>
      </c>
      <c r="C823" s="50" t="s">
        <v>1461</v>
      </c>
      <c r="D823" s="50" t="s">
        <v>144</v>
      </c>
      <c r="E823" s="51">
        <v>0</v>
      </c>
      <c r="F823" s="52" t="s">
        <v>597</v>
      </c>
      <c r="G823" s="53">
        <v>0</v>
      </c>
      <c r="H823" s="53">
        <v>0</v>
      </c>
      <c r="I823" s="53">
        <v>0</v>
      </c>
      <c r="J823" s="50" t="s">
        <v>597</v>
      </c>
      <c r="K823" s="50" t="s">
        <v>597</v>
      </c>
    </row>
    <row r="824" spans="1:11">
      <c r="A824" s="54" t="s">
        <v>2145</v>
      </c>
      <c r="B824" s="54" t="s">
        <v>2146</v>
      </c>
      <c r="C824" s="54" t="s">
        <v>1461</v>
      </c>
      <c r="D824" s="54" t="s">
        <v>144</v>
      </c>
      <c r="E824" s="55">
        <v>0</v>
      </c>
      <c r="F824" s="56" t="s">
        <v>597</v>
      </c>
      <c r="G824" s="57">
        <v>0</v>
      </c>
      <c r="H824" s="57">
        <v>0</v>
      </c>
      <c r="I824" s="57">
        <v>0</v>
      </c>
      <c r="J824" s="54" t="s">
        <v>597</v>
      </c>
      <c r="K824" s="54" t="s">
        <v>597</v>
      </c>
    </row>
    <row r="825" spans="1:11">
      <c r="A825" s="50" t="s">
        <v>2147</v>
      </c>
      <c r="B825" s="50" t="s">
        <v>2148</v>
      </c>
      <c r="C825" s="50" t="s">
        <v>1461</v>
      </c>
      <c r="D825" s="50" t="s">
        <v>144</v>
      </c>
      <c r="E825" s="51">
        <v>0</v>
      </c>
      <c r="F825" s="52" t="s">
        <v>597</v>
      </c>
      <c r="G825" s="53">
        <v>0</v>
      </c>
      <c r="H825" s="53">
        <v>0</v>
      </c>
      <c r="I825" s="53">
        <v>0</v>
      </c>
      <c r="J825" s="50" t="s">
        <v>597</v>
      </c>
      <c r="K825" s="50" t="s">
        <v>597</v>
      </c>
    </row>
    <row r="826" spans="1:11">
      <c r="A826" s="54" t="s">
        <v>2149</v>
      </c>
      <c r="B826" s="54" t="s">
        <v>2150</v>
      </c>
      <c r="C826" s="54" t="s">
        <v>1461</v>
      </c>
      <c r="D826" s="54" t="s">
        <v>144</v>
      </c>
      <c r="E826" s="55">
        <v>0</v>
      </c>
      <c r="F826" s="56" t="s">
        <v>597</v>
      </c>
      <c r="G826" s="57">
        <v>0</v>
      </c>
      <c r="H826" s="57">
        <v>0</v>
      </c>
      <c r="I826" s="57">
        <v>0</v>
      </c>
      <c r="J826" s="54" t="s">
        <v>597</v>
      </c>
      <c r="K826" s="54" t="s">
        <v>597</v>
      </c>
    </row>
    <row r="827" spans="1:11">
      <c r="A827" s="50" t="s">
        <v>2151</v>
      </c>
      <c r="B827" s="50" t="s">
        <v>2152</v>
      </c>
      <c r="C827" s="50" t="s">
        <v>1461</v>
      </c>
      <c r="D827" s="50" t="s">
        <v>144</v>
      </c>
      <c r="E827" s="51">
        <v>0</v>
      </c>
      <c r="F827" s="52" t="s">
        <v>597</v>
      </c>
      <c r="G827" s="53">
        <v>0</v>
      </c>
      <c r="H827" s="53">
        <v>0</v>
      </c>
      <c r="I827" s="53">
        <v>0</v>
      </c>
      <c r="J827" s="50" t="s">
        <v>597</v>
      </c>
      <c r="K827" s="50" t="s">
        <v>597</v>
      </c>
    </row>
    <row r="828" spans="1:11">
      <c r="A828" s="54" t="s">
        <v>2153</v>
      </c>
      <c r="B828" s="54" t="s">
        <v>2154</v>
      </c>
      <c r="C828" s="54" t="s">
        <v>1461</v>
      </c>
      <c r="D828" s="54" t="s">
        <v>144</v>
      </c>
      <c r="E828" s="55">
        <v>0</v>
      </c>
      <c r="F828" s="56" t="s">
        <v>597</v>
      </c>
      <c r="G828" s="57">
        <v>0</v>
      </c>
      <c r="H828" s="57">
        <v>0</v>
      </c>
      <c r="I828" s="57">
        <v>0</v>
      </c>
      <c r="J828" s="54" t="s">
        <v>597</v>
      </c>
      <c r="K828" s="54" t="s">
        <v>597</v>
      </c>
    </row>
    <row r="829" spans="1:11">
      <c r="A829" s="50" t="s">
        <v>2155</v>
      </c>
      <c r="B829" s="50" t="s">
        <v>2156</v>
      </c>
      <c r="C829" s="50" t="s">
        <v>1461</v>
      </c>
      <c r="D829" s="50" t="s">
        <v>144</v>
      </c>
      <c r="E829" s="51">
        <v>0</v>
      </c>
      <c r="F829" s="52" t="s">
        <v>597</v>
      </c>
      <c r="G829" s="53">
        <v>0</v>
      </c>
      <c r="H829" s="53">
        <v>0</v>
      </c>
      <c r="I829" s="53">
        <v>0</v>
      </c>
      <c r="J829" s="50" t="s">
        <v>597</v>
      </c>
      <c r="K829" s="50" t="s">
        <v>597</v>
      </c>
    </row>
    <row r="830" spans="1:11">
      <c r="A830" s="54" t="s">
        <v>2157</v>
      </c>
      <c r="B830" s="54" t="s">
        <v>2158</v>
      </c>
      <c r="C830" s="54" t="s">
        <v>1461</v>
      </c>
      <c r="D830" s="54" t="s">
        <v>144</v>
      </c>
      <c r="E830" s="55">
        <v>0</v>
      </c>
      <c r="F830" s="56" t="s">
        <v>597</v>
      </c>
      <c r="G830" s="57">
        <v>0</v>
      </c>
      <c r="H830" s="57">
        <v>0</v>
      </c>
      <c r="I830" s="57">
        <v>0</v>
      </c>
      <c r="J830" s="54" t="s">
        <v>597</v>
      </c>
      <c r="K830" s="54" t="s">
        <v>597</v>
      </c>
    </row>
    <row r="831" spans="1:11">
      <c r="A831" s="50" t="s">
        <v>2159</v>
      </c>
      <c r="B831" s="50" t="s">
        <v>2160</v>
      </c>
      <c r="C831" s="50" t="s">
        <v>1461</v>
      </c>
      <c r="D831" s="50" t="s">
        <v>144</v>
      </c>
      <c r="E831" s="51">
        <v>0</v>
      </c>
      <c r="F831" s="52" t="s">
        <v>597</v>
      </c>
      <c r="G831" s="53">
        <v>0</v>
      </c>
      <c r="H831" s="53">
        <v>0</v>
      </c>
      <c r="I831" s="53">
        <v>0</v>
      </c>
      <c r="J831" s="50" t="s">
        <v>597</v>
      </c>
      <c r="K831" s="50" t="s">
        <v>597</v>
      </c>
    </row>
    <row r="832" spans="1:11">
      <c r="A832" s="54" t="s">
        <v>2161</v>
      </c>
      <c r="B832" s="54" t="s">
        <v>2162</v>
      </c>
      <c r="C832" s="54" t="s">
        <v>1461</v>
      </c>
      <c r="D832" s="54" t="s">
        <v>144</v>
      </c>
      <c r="E832" s="55">
        <v>0</v>
      </c>
      <c r="F832" s="56" t="s">
        <v>597</v>
      </c>
      <c r="G832" s="57">
        <v>0</v>
      </c>
      <c r="H832" s="57">
        <v>0</v>
      </c>
      <c r="I832" s="57">
        <v>0</v>
      </c>
      <c r="J832" s="54" t="s">
        <v>597</v>
      </c>
      <c r="K832" s="54" t="s">
        <v>597</v>
      </c>
    </row>
    <row r="833" spans="1:11">
      <c r="A833" s="50" t="s">
        <v>2163</v>
      </c>
      <c r="B833" s="50" t="s">
        <v>2164</v>
      </c>
      <c r="C833" s="50" t="s">
        <v>1461</v>
      </c>
      <c r="D833" s="50" t="s">
        <v>144</v>
      </c>
      <c r="E833" s="51">
        <v>0</v>
      </c>
      <c r="F833" s="52" t="s">
        <v>597</v>
      </c>
      <c r="G833" s="53">
        <v>0</v>
      </c>
      <c r="H833" s="53">
        <v>0</v>
      </c>
      <c r="I833" s="53">
        <v>0</v>
      </c>
      <c r="J833" s="50" t="s">
        <v>597</v>
      </c>
      <c r="K833" s="50" t="s">
        <v>597</v>
      </c>
    </row>
    <row r="834" spans="1:11">
      <c r="A834" s="54" t="s">
        <v>2165</v>
      </c>
      <c r="B834" s="54" t="s">
        <v>2166</v>
      </c>
      <c r="C834" s="54" t="s">
        <v>1461</v>
      </c>
      <c r="D834" s="54" t="s">
        <v>144</v>
      </c>
      <c r="E834" s="55">
        <v>0</v>
      </c>
      <c r="F834" s="56" t="s">
        <v>597</v>
      </c>
      <c r="G834" s="57">
        <v>0</v>
      </c>
      <c r="H834" s="57">
        <v>0</v>
      </c>
      <c r="I834" s="57">
        <v>0</v>
      </c>
      <c r="J834" s="54" t="s">
        <v>597</v>
      </c>
      <c r="K834" s="54" t="s">
        <v>597</v>
      </c>
    </row>
    <row r="835" spans="1:11">
      <c r="A835" s="50" t="s">
        <v>2167</v>
      </c>
      <c r="B835" s="50" t="s">
        <v>2168</v>
      </c>
      <c r="C835" s="50" t="s">
        <v>1461</v>
      </c>
      <c r="D835" s="50" t="s">
        <v>144</v>
      </c>
      <c r="E835" s="51">
        <v>0</v>
      </c>
      <c r="F835" s="52" t="s">
        <v>597</v>
      </c>
      <c r="G835" s="53">
        <v>0</v>
      </c>
      <c r="H835" s="53">
        <v>0</v>
      </c>
      <c r="I835" s="53">
        <v>0</v>
      </c>
      <c r="J835" s="50" t="s">
        <v>597</v>
      </c>
      <c r="K835" s="50" t="s">
        <v>597</v>
      </c>
    </row>
    <row r="836" spans="1:11">
      <c r="A836" s="54" t="s">
        <v>2169</v>
      </c>
      <c r="B836" s="54" t="s">
        <v>2170</v>
      </c>
      <c r="C836" s="54" t="s">
        <v>1461</v>
      </c>
      <c r="D836" s="54" t="s">
        <v>144</v>
      </c>
      <c r="E836" s="55">
        <v>0</v>
      </c>
      <c r="F836" s="56" t="s">
        <v>597</v>
      </c>
      <c r="G836" s="57">
        <v>0</v>
      </c>
      <c r="H836" s="57">
        <v>0</v>
      </c>
      <c r="I836" s="57">
        <v>0</v>
      </c>
      <c r="J836" s="54" t="s">
        <v>597</v>
      </c>
      <c r="K836" s="54" t="s">
        <v>597</v>
      </c>
    </row>
    <row r="837" spans="1:11">
      <c r="A837" s="50" t="s">
        <v>2171</v>
      </c>
      <c r="B837" s="50" t="s">
        <v>2172</v>
      </c>
      <c r="C837" s="50" t="s">
        <v>1461</v>
      </c>
      <c r="D837" s="50" t="s">
        <v>144</v>
      </c>
      <c r="E837" s="51">
        <v>0</v>
      </c>
      <c r="F837" s="52" t="s">
        <v>597</v>
      </c>
      <c r="G837" s="53">
        <v>0</v>
      </c>
      <c r="H837" s="53">
        <v>0</v>
      </c>
      <c r="I837" s="53">
        <v>0</v>
      </c>
      <c r="J837" s="50" t="s">
        <v>597</v>
      </c>
      <c r="K837" s="50" t="s">
        <v>597</v>
      </c>
    </row>
    <row r="838" spans="1:11">
      <c r="A838" s="54" t="s">
        <v>2173</v>
      </c>
      <c r="B838" s="54" t="s">
        <v>2174</v>
      </c>
      <c r="C838" s="54" t="s">
        <v>1461</v>
      </c>
      <c r="D838" s="54" t="s">
        <v>144</v>
      </c>
      <c r="E838" s="55">
        <v>0</v>
      </c>
      <c r="F838" s="56" t="s">
        <v>597</v>
      </c>
      <c r="G838" s="57">
        <v>0</v>
      </c>
      <c r="H838" s="57">
        <v>0</v>
      </c>
      <c r="I838" s="57">
        <v>0</v>
      </c>
      <c r="J838" s="54" t="s">
        <v>597</v>
      </c>
      <c r="K838" s="54" t="s">
        <v>597</v>
      </c>
    </row>
    <row r="839" spans="1:11">
      <c r="A839" s="50" t="s">
        <v>2175</v>
      </c>
      <c r="B839" s="50" t="s">
        <v>2176</v>
      </c>
      <c r="C839" s="50" t="s">
        <v>1461</v>
      </c>
      <c r="D839" s="50" t="s">
        <v>144</v>
      </c>
      <c r="E839" s="51">
        <v>0</v>
      </c>
      <c r="F839" s="52" t="s">
        <v>597</v>
      </c>
      <c r="G839" s="53">
        <v>0</v>
      </c>
      <c r="H839" s="53">
        <v>0</v>
      </c>
      <c r="I839" s="53">
        <v>0</v>
      </c>
      <c r="J839" s="50" t="s">
        <v>597</v>
      </c>
      <c r="K839" s="50" t="s">
        <v>597</v>
      </c>
    </row>
    <row r="840" spans="1:11">
      <c r="A840" s="54" t="s">
        <v>2177</v>
      </c>
      <c r="B840" s="54" t="s">
        <v>2178</v>
      </c>
      <c r="C840" s="54" t="s">
        <v>1461</v>
      </c>
      <c r="D840" s="54" t="s">
        <v>144</v>
      </c>
      <c r="E840" s="55">
        <v>0</v>
      </c>
      <c r="F840" s="56" t="s">
        <v>597</v>
      </c>
      <c r="G840" s="57">
        <v>0</v>
      </c>
      <c r="H840" s="57">
        <v>0</v>
      </c>
      <c r="I840" s="57">
        <v>0</v>
      </c>
      <c r="J840" s="54" t="s">
        <v>597</v>
      </c>
      <c r="K840" s="54" t="s">
        <v>597</v>
      </c>
    </row>
    <row r="841" spans="1:11">
      <c r="A841" s="50" t="s">
        <v>2179</v>
      </c>
      <c r="B841" s="50" t="s">
        <v>2180</v>
      </c>
      <c r="C841" s="50" t="s">
        <v>1461</v>
      </c>
      <c r="D841" s="50" t="s">
        <v>144</v>
      </c>
      <c r="E841" s="51">
        <v>0</v>
      </c>
      <c r="F841" s="52" t="s">
        <v>597</v>
      </c>
      <c r="G841" s="53">
        <v>0</v>
      </c>
      <c r="H841" s="53">
        <v>0</v>
      </c>
      <c r="I841" s="53">
        <v>0</v>
      </c>
      <c r="J841" s="50" t="s">
        <v>597</v>
      </c>
      <c r="K841" s="50" t="s">
        <v>597</v>
      </c>
    </row>
    <row r="842" spans="1:11">
      <c r="A842" s="54" t="s">
        <v>2181</v>
      </c>
      <c r="B842" s="54" t="s">
        <v>2182</v>
      </c>
      <c r="C842" s="54" t="s">
        <v>1461</v>
      </c>
      <c r="D842" s="54" t="s">
        <v>144</v>
      </c>
      <c r="E842" s="55">
        <v>0</v>
      </c>
      <c r="F842" s="56" t="s">
        <v>597</v>
      </c>
      <c r="G842" s="57">
        <v>0</v>
      </c>
      <c r="H842" s="57">
        <v>0</v>
      </c>
      <c r="I842" s="57">
        <v>0</v>
      </c>
      <c r="J842" s="54" t="s">
        <v>597</v>
      </c>
      <c r="K842" s="54" t="s">
        <v>597</v>
      </c>
    </row>
    <row r="843" spans="1:11">
      <c r="A843" s="50" t="s">
        <v>2183</v>
      </c>
      <c r="B843" s="50" t="s">
        <v>2184</v>
      </c>
      <c r="C843" s="50" t="s">
        <v>1461</v>
      </c>
      <c r="D843" s="50" t="s">
        <v>144</v>
      </c>
      <c r="E843" s="51">
        <v>0</v>
      </c>
      <c r="F843" s="52" t="s">
        <v>597</v>
      </c>
      <c r="G843" s="53">
        <v>0</v>
      </c>
      <c r="H843" s="53">
        <v>0</v>
      </c>
      <c r="I843" s="53">
        <v>0</v>
      </c>
      <c r="J843" s="50" t="s">
        <v>597</v>
      </c>
      <c r="K843" s="50" t="s">
        <v>597</v>
      </c>
    </row>
    <row r="844" spans="1:11">
      <c r="A844" s="54" t="s">
        <v>2185</v>
      </c>
      <c r="B844" s="54" t="s">
        <v>2186</v>
      </c>
      <c r="C844" s="54" t="s">
        <v>1461</v>
      </c>
      <c r="D844" s="54" t="s">
        <v>144</v>
      </c>
      <c r="E844" s="55">
        <v>0</v>
      </c>
      <c r="F844" s="56" t="s">
        <v>597</v>
      </c>
      <c r="G844" s="57">
        <v>0</v>
      </c>
      <c r="H844" s="57">
        <v>0</v>
      </c>
      <c r="I844" s="57">
        <v>0</v>
      </c>
      <c r="J844" s="54" t="s">
        <v>597</v>
      </c>
      <c r="K844" s="54" t="s">
        <v>597</v>
      </c>
    </row>
    <row r="845" spans="1:11">
      <c r="A845" s="50" t="s">
        <v>2187</v>
      </c>
      <c r="B845" s="50" t="s">
        <v>2188</v>
      </c>
      <c r="C845" s="50" t="s">
        <v>1461</v>
      </c>
      <c r="D845" s="50" t="s">
        <v>144</v>
      </c>
      <c r="E845" s="51">
        <v>0</v>
      </c>
      <c r="F845" s="52" t="s">
        <v>597</v>
      </c>
      <c r="G845" s="53">
        <v>0</v>
      </c>
      <c r="H845" s="53">
        <v>0</v>
      </c>
      <c r="I845" s="53">
        <v>0</v>
      </c>
      <c r="J845" s="50" t="s">
        <v>597</v>
      </c>
      <c r="K845" s="50" t="s">
        <v>597</v>
      </c>
    </row>
  </sheetData>
  <conditionalFormatting sqref="B1:C1 B3:C5 C2">
    <cfRule type="expression" dxfId="6" priority="2" stopIfTrue="1">
      <formula>AND(COUNTIF($B$1:$C$1,B1)&gt;1,NOT(ISBLANK(B1)))</formula>
    </cfRule>
  </conditionalFormatting>
  <conditionalFormatting sqref="A1:A3">
    <cfRule type="expression" dxfId="5" priority="1" stopIfTrue="1">
      <formula>AND(COUNTIF($A$1,A1)&gt;1,NOT(ISBLANK(A1)))</formula>
    </cfRule>
  </conditionalFormatting>
  <dataValidations count="1">
    <dataValidation type="list" allowBlank="1" sqref="F3:F10003" xr:uid="{00000000-0002-0000-0100-000000000000}">
      <formula1>"CARREGADO,PENDENTE,CANCELADO"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1" topLeftCell="A2" activePane="bottomLeft" state="frozen"/>
      <selection pane="bottomLeft" activeCell="B38" sqref="B38"/>
    </sheetView>
  </sheetViews>
  <sheetFormatPr defaultRowHeight="15"/>
  <cols>
    <col min="1" max="1" width="20" customWidth="1"/>
    <col min="2" max="2" width="40" customWidth="1"/>
    <col min="3" max="3" width="15" customWidth="1"/>
    <col min="4" max="5" width="20" customWidth="1"/>
  </cols>
  <sheetData>
    <row r="1" spans="1:5">
      <c r="A1" s="7" t="s">
        <v>26</v>
      </c>
      <c r="B1" s="7" t="s">
        <v>27</v>
      </c>
      <c r="C1" s="7" t="s">
        <v>32</v>
      </c>
      <c r="D1" s="7" t="s">
        <v>33</v>
      </c>
      <c r="E1" s="7" t="s">
        <v>30</v>
      </c>
    </row>
    <row r="2" spans="1:5">
      <c r="A2">
        <v>7896886499716</v>
      </c>
      <c r="B2" t="e">
        <f>IF(A2="", "", VLOOKUP(A2, BASE!$A$4:$B$10003, 2, FALSE))</f>
        <v>#N/A</v>
      </c>
      <c r="C2">
        <f>IF(A2="", "", SUMIF(BASE!$A$4:$A$10003, A2, BASE!$C$4:$C$10003))</f>
        <v>0</v>
      </c>
      <c r="D2" t="e">
        <f>IF(A2="", "", INDEX(BASE!$D$4:$D$10003, MATCH(A2, BASE!$A$4:$A$10003, 0)))</f>
        <v>#N/A</v>
      </c>
      <c r="E2" t="e">
        <f>IF(A2="", "", INDEX(BASE!$E$4:$E$10003, MATCH(A2, BASE!$A$4:$A$10003, 0)))</f>
        <v>#N/A</v>
      </c>
    </row>
    <row r="3" spans="1:5">
      <c r="A3">
        <v>7896886499716</v>
      </c>
      <c r="B3" t="e">
        <f>IF(A3="", "", VLOOKUP(A3, BASE!$A$4:$B$10003, 2, FALSE))</f>
        <v>#N/A</v>
      </c>
      <c r="C3">
        <f>IF(A3="", "", SUMIF(BASE!$A$4:$A$10003, A3, BASE!$C$4:$C$10003))</f>
        <v>0</v>
      </c>
      <c r="D3" t="e">
        <f>IF(A3="", "", INDEX(BASE!$D$4:$D$10003, MATCH(A3, BASE!$A$4:$A$10003, 0)))</f>
        <v>#N/A</v>
      </c>
      <c r="E3" t="e">
        <f>IF(A3="", "", INDEX(BASE!$E$4:$E$10003, MATCH(A3, BASE!$A$4:$A$10003, 0)))</f>
        <v>#N/A</v>
      </c>
    </row>
    <row r="4" spans="1:5">
      <c r="A4" t="str">
        <f>IFERROR(INDEX(BASE!$A$4:$A$10003, MATCH(0, COUNTIF($A$1:A3, BASE!$A$4:$A$10003&amp;""), 0)), "")</f>
        <v/>
      </c>
      <c r="B4" t="str">
        <f>IF(A4="", "", VLOOKUP(A4, BASE!$A$4:$B$10003, 2, FALSE))</f>
        <v/>
      </c>
      <c r="C4" t="str">
        <f>IF(A4="", "", SUMIF(BASE!$A$4:$A$10003, A4, BASE!$C$4:$C$10003))</f>
        <v/>
      </c>
      <c r="D4" t="str">
        <f>IF(A4="", "", INDEX(BASE!$D$4:$D$10003, MATCH(A4, BASE!$A$4:$A$10003, 0)))</f>
        <v/>
      </c>
      <c r="E4" t="str">
        <f>IF(A4="", "", INDEX(BASE!$E$4:$E$10003, MATCH(A4, BASE!$A$4:$A$10003, 0)))</f>
        <v/>
      </c>
    </row>
    <row r="5" spans="1:5">
      <c r="A5" t="str">
        <f>IFERROR(INDEX(BASE!$A$4:$A$10003, MATCH(0, COUNTIF($A$1:A4, BASE!$A$4:$A$10003&amp;""), 0)), "")</f>
        <v/>
      </c>
      <c r="B5" t="str">
        <f>IF(A5="", "", VLOOKUP(A5, BASE!$A$4:$B$10003, 2, FALSE))</f>
        <v/>
      </c>
      <c r="C5" t="str">
        <f>IF(A5="", "", SUMIF(BASE!$A$4:$A$10003, A5, BASE!$C$4:$C$10003))</f>
        <v/>
      </c>
      <c r="D5" t="str">
        <f>IF(A5="", "", INDEX(BASE!$D$4:$D$10003, MATCH(A5, BASE!$A$4:$A$10003, 0)))</f>
        <v/>
      </c>
      <c r="E5" t="str">
        <f>IF(A5="", "", INDEX(BASE!$E$4:$E$10003, MATCH(A5, BASE!$A$4:$A$10003, 0)))</f>
        <v/>
      </c>
    </row>
    <row r="6" spans="1:5">
      <c r="A6" t="str">
        <f>IFERROR(INDEX(BASE!$A$4:$A$10003, MATCH(0, COUNTIF($A$1:A5, BASE!$A$4:$A$10003&amp;""), 0)), "")</f>
        <v/>
      </c>
      <c r="B6" t="str">
        <f>IF(A6="", "", VLOOKUP(A6, BASE!$A$4:$B$10003, 2, FALSE))</f>
        <v/>
      </c>
      <c r="C6" t="str">
        <f>IF(A6="", "", SUMIF(BASE!$A$4:$A$10003, A6, BASE!$C$4:$C$10003))</f>
        <v/>
      </c>
      <c r="D6" t="str">
        <f>IF(A6="", "", INDEX(BASE!$D$4:$D$10003, MATCH(A6, BASE!$A$4:$A$10003, 0)))</f>
        <v/>
      </c>
      <c r="E6" t="str">
        <f>IF(A6="", "", INDEX(BASE!$E$4:$E$10003, MATCH(A6, BASE!$A$4:$A$10003, 0)))</f>
        <v/>
      </c>
    </row>
    <row r="7" spans="1:5">
      <c r="A7" t="str">
        <f>IFERROR(INDEX(BASE!$A$4:$A$10003, MATCH(0, COUNTIF($A$1:A6, BASE!$A$4:$A$10003&amp;""), 0)), "")</f>
        <v/>
      </c>
      <c r="B7" t="str">
        <f>IF(A7="", "", VLOOKUP(A7, BASE!$A$4:$B$10003, 2, FALSE))</f>
        <v/>
      </c>
      <c r="C7" t="str">
        <f>IF(A7="", "", SUMIF(BASE!$A$4:$A$10003, A7, BASE!$C$4:$C$10003))</f>
        <v/>
      </c>
      <c r="D7" t="str">
        <f>IF(A7="", "", INDEX(BASE!$D$4:$D$10003, MATCH(A7, BASE!$A$4:$A$10003, 0)))</f>
        <v/>
      </c>
      <c r="E7" t="str">
        <f>IF(A7="", "", INDEX(BASE!$E$4:$E$10003, MATCH(A7, BASE!$A$4:$A$10003, 0)))</f>
        <v/>
      </c>
    </row>
    <row r="8" spans="1:5">
      <c r="A8" t="str">
        <f>IFERROR(INDEX(BASE!$A$4:$A$10003, MATCH(0, COUNTIF($A$1:A7, BASE!$A$4:$A$10003&amp;""), 0)), "")</f>
        <v/>
      </c>
      <c r="B8" t="str">
        <f>IF(A8="", "", VLOOKUP(A8, BASE!$A$4:$B$10003, 2, FALSE))</f>
        <v/>
      </c>
      <c r="C8" t="str">
        <f>IF(A8="", "", SUMIF(BASE!$A$4:$A$10003, A8, BASE!$C$4:$C$10003))</f>
        <v/>
      </c>
      <c r="D8" t="str">
        <f>IF(A8="", "", INDEX(BASE!$D$4:$D$10003, MATCH(A8, BASE!$A$4:$A$10003, 0)))</f>
        <v/>
      </c>
      <c r="E8" t="str">
        <f>IF(A8="", "", INDEX(BASE!$E$4:$E$10003, MATCH(A8, BASE!$A$4:$A$10003, 0)))</f>
        <v/>
      </c>
    </row>
    <row r="9" spans="1:5">
      <c r="A9" t="str">
        <f>IFERROR(INDEX(BASE!$A$4:$A$10003, MATCH(0, COUNTIF($A$1:A8, BASE!$A$4:$A$10003&amp;""), 0)), "")</f>
        <v/>
      </c>
      <c r="B9" t="str">
        <f>IF(A9="", "", VLOOKUP(A9, BASE!$A$4:$B$10003, 2, FALSE))</f>
        <v/>
      </c>
      <c r="C9" t="str">
        <f>IF(A9="", "", SUMIF(BASE!$A$4:$A$10003, A9, BASE!$C$4:$C$10003))</f>
        <v/>
      </c>
      <c r="D9" t="str">
        <f>IF(A9="", "", INDEX(BASE!$D$4:$D$10003, MATCH(A9, BASE!$A$4:$A$10003, 0)))</f>
        <v/>
      </c>
      <c r="E9" t="str">
        <f>IF(A9="", "", INDEX(BASE!$E$4:$E$10003, MATCH(A9, BASE!$A$4:$A$10003, 0)))</f>
        <v/>
      </c>
    </row>
    <row r="10" spans="1:5">
      <c r="A10" t="str">
        <f>IFERROR(INDEX(BASE!$A$4:$A$10003, MATCH(0, COUNTIF($A$1:A9, BASE!$A$4:$A$10003&amp;""), 0)), "")</f>
        <v/>
      </c>
      <c r="B10" t="str">
        <f>IF(A10="", "", VLOOKUP(A10, BASE!$A$4:$B$10003, 2, FALSE))</f>
        <v/>
      </c>
      <c r="C10" t="str">
        <f>IF(A10="", "", SUMIF(BASE!$A$4:$A$10003, A10, BASE!$C$4:$C$10003))</f>
        <v/>
      </c>
      <c r="D10" t="str">
        <f>IF(A10="", "", INDEX(BASE!$D$4:$D$10003, MATCH(A10, BASE!$A$4:$A$10003, 0)))</f>
        <v/>
      </c>
      <c r="E10" t="str">
        <f>IF(A10="", "", INDEX(BASE!$E$4:$E$10003, MATCH(A10, BASE!$A$4:$A$10003, 0)))</f>
        <v/>
      </c>
    </row>
    <row r="11" spans="1:5">
      <c r="A11" t="str">
        <f>IFERROR(INDEX(BASE!$A$4:$A$10003, MATCH(0, COUNTIF($A$1:A10, BASE!$A$4:$A$10003&amp;""), 0)), "")</f>
        <v/>
      </c>
      <c r="B11" t="str">
        <f>IF(A11="", "", VLOOKUP(A11, BASE!$A$4:$B$10003, 2, FALSE))</f>
        <v/>
      </c>
      <c r="C11" t="str">
        <f>IF(A11="", "", SUMIF(BASE!$A$4:$A$10003, A11, BASE!$C$4:$C$10003))</f>
        <v/>
      </c>
      <c r="D11" t="str">
        <f>IF(A11="", "", INDEX(BASE!$D$4:$D$10003, MATCH(A11, BASE!$A$4:$A$10003, 0)))</f>
        <v/>
      </c>
      <c r="E11" t="str">
        <f>IF(A11="", "", INDEX(BASE!$E$4:$E$10003, MATCH(A11, BASE!$A$4:$A$10003, 0)))</f>
        <v/>
      </c>
    </row>
    <row r="12" spans="1:5">
      <c r="A12" t="str">
        <f>IFERROR(INDEX(BASE!$A$4:$A$10003, MATCH(0, COUNTIF($A$1:A11, BASE!$A$4:$A$10003&amp;""), 0)), "")</f>
        <v/>
      </c>
      <c r="B12" t="str">
        <f>IF(A12="", "", VLOOKUP(A12, BASE!$A$4:$B$10003, 2, FALSE))</f>
        <v/>
      </c>
      <c r="C12" t="str">
        <f>IF(A12="", "", SUMIF(BASE!$A$4:$A$10003, A12, BASE!$C$4:$C$10003))</f>
        <v/>
      </c>
      <c r="D12" t="str">
        <f>IF(A12="", "", INDEX(BASE!$D$4:$D$10003, MATCH(A12, BASE!$A$4:$A$10003, 0)))</f>
        <v/>
      </c>
      <c r="E12" t="str">
        <f>IF(A12="", "", INDEX(BASE!$E$4:$E$10003, MATCH(A12, BASE!$A$4:$A$10003, 0)))</f>
        <v/>
      </c>
    </row>
    <row r="13" spans="1:5">
      <c r="A13" t="str">
        <f>IFERROR(INDEX(BASE!$A$4:$A$10003, MATCH(0, COUNTIF($A$1:A12, BASE!$A$4:$A$10003&amp;""), 0)), "")</f>
        <v/>
      </c>
      <c r="B13" t="str">
        <f>IF(A13="", "", VLOOKUP(A13, BASE!$A$4:$B$10003, 2, FALSE))</f>
        <v/>
      </c>
      <c r="C13" t="str">
        <f>IF(A13="", "", SUMIF(BASE!$A$4:$A$10003, A13, BASE!$C$4:$C$10003))</f>
        <v/>
      </c>
      <c r="D13" t="str">
        <f>IF(A13="", "", INDEX(BASE!$D$4:$D$10003, MATCH(A13, BASE!$A$4:$A$10003, 0)))</f>
        <v/>
      </c>
      <c r="E13" t="str">
        <f>IF(A13="", "", INDEX(BASE!$E$4:$E$10003, MATCH(A13, BASE!$A$4:$A$10003, 0)))</f>
        <v/>
      </c>
    </row>
    <row r="14" spans="1:5">
      <c r="A14" t="str">
        <f>IFERROR(INDEX(BASE!$A$4:$A$10003, MATCH(0, COUNTIF($A$1:A13, BASE!$A$4:$A$10003&amp;""), 0)), "")</f>
        <v/>
      </c>
      <c r="B14" t="str">
        <f>IF(A14="", "", VLOOKUP(A14, BASE!$A$4:$B$10003, 2, FALSE))</f>
        <v/>
      </c>
      <c r="C14" t="str">
        <f>IF(A14="", "", SUMIF(BASE!$A$4:$A$10003, A14, BASE!$C$4:$C$10003))</f>
        <v/>
      </c>
      <c r="D14" t="str">
        <f>IF(A14="", "", INDEX(BASE!$D$4:$D$10003, MATCH(A14, BASE!$A$4:$A$10003, 0)))</f>
        <v/>
      </c>
      <c r="E14" t="str">
        <f>IF(A14="", "", INDEX(BASE!$E$4:$E$10003, MATCH(A14, BASE!$A$4:$A$10003, 0)))</f>
        <v/>
      </c>
    </row>
    <row r="15" spans="1:5">
      <c r="A15" t="str">
        <f>IFERROR(INDEX(BASE!$A$4:$A$10003, MATCH(0, COUNTIF($A$1:A14, BASE!$A$4:$A$10003&amp;""), 0)), "")</f>
        <v/>
      </c>
      <c r="B15" t="str">
        <f>IF(A15="", "", VLOOKUP(A15, BASE!$A$4:$B$10003, 2, FALSE))</f>
        <v/>
      </c>
      <c r="C15" t="str">
        <f>IF(A15="", "", SUMIF(BASE!$A$4:$A$10003, A15, BASE!$C$4:$C$10003))</f>
        <v/>
      </c>
      <c r="D15" t="str">
        <f>IF(A15="", "", INDEX(BASE!$D$4:$D$10003, MATCH(A15, BASE!$A$4:$A$10003, 0)))</f>
        <v/>
      </c>
      <c r="E15" t="str">
        <f>IF(A15="", "", INDEX(BASE!$E$4:$E$10003, MATCH(A15, BASE!$A$4:$A$10003, 0)))</f>
        <v/>
      </c>
    </row>
    <row r="16" spans="1:5">
      <c r="A16" t="str">
        <f>IFERROR(INDEX(BASE!$A$4:$A$10003, MATCH(0, COUNTIF($A$1:A15, BASE!$A$4:$A$10003&amp;""), 0)), "")</f>
        <v/>
      </c>
      <c r="B16" t="str">
        <f>IF(A16="", "", VLOOKUP(A16, BASE!$A$4:$B$10003, 2, FALSE))</f>
        <v/>
      </c>
      <c r="C16" t="str">
        <f>IF(A16="", "", SUMIF(BASE!$A$4:$A$10003, A16, BASE!$C$4:$C$10003))</f>
        <v/>
      </c>
      <c r="D16" t="str">
        <f>IF(A16="", "", INDEX(BASE!$D$4:$D$10003, MATCH(A16, BASE!$A$4:$A$10003, 0)))</f>
        <v/>
      </c>
      <c r="E16" t="str">
        <f>IF(A16="", "", INDEX(BASE!$E$4:$E$10003, MATCH(A16, BASE!$A$4:$A$10003, 0)))</f>
        <v/>
      </c>
    </row>
    <row r="17" spans="1:5">
      <c r="A17" t="str">
        <f>IFERROR(INDEX(BASE!$A$4:$A$10003, MATCH(0, COUNTIF($A$1:A16, BASE!$A$4:$A$10003&amp;""), 0)), "")</f>
        <v/>
      </c>
      <c r="B17" t="str">
        <f>IF(A17="", "", VLOOKUP(A17, BASE!$A$4:$B$10003, 2, FALSE))</f>
        <v/>
      </c>
      <c r="C17" t="str">
        <f>IF(A17="", "", SUMIF(BASE!$A$4:$A$10003, A17, BASE!$C$4:$C$10003))</f>
        <v/>
      </c>
      <c r="D17" t="str">
        <f>IF(A17="", "", INDEX(BASE!$D$4:$D$10003, MATCH(A17, BASE!$A$4:$A$10003, 0)))</f>
        <v/>
      </c>
      <c r="E17" t="str">
        <f>IF(A17="", "", INDEX(BASE!$E$4:$E$10003, MATCH(A17, BASE!$A$4:$A$10003, 0)))</f>
        <v/>
      </c>
    </row>
    <row r="18" spans="1:5">
      <c r="A18" t="str">
        <f>IFERROR(INDEX(BASE!$A$4:$A$10003, MATCH(0, COUNTIF($A$1:A17, BASE!$A$4:$A$10003&amp;""), 0)), "")</f>
        <v/>
      </c>
      <c r="B18" t="str">
        <f>IF(A18="", "", VLOOKUP(A18, BASE!$A$4:$B$10003, 2, FALSE))</f>
        <v/>
      </c>
      <c r="C18" t="str">
        <f>IF(A18="", "", SUMIF(BASE!$A$4:$A$10003, A18, BASE!$C$4:$C$10003))</f>
        <v/>
      </c>
      <c r="D18" t="str">
        <f>IF(A18="", "", INDEX(BASE!$D$4:$D$10003, MATCH(A18, BASE!$A$4:$A$10003, 0)))</f>
        <v/>
      </c>
      <c r="E18" t="str">
        <f>IF(A18="", "", INDEX(BASE!$E$4:$E$10003, MATCH(A18, BASE!$A$4:$A$10003, 0)))</f>
        <v/>
      </c>
    </row>
    <row r="19" spans="1:5">
      <c r="A19" t="str">
        <f>IFERROR(INDEX(BASE!$A$4:$A$10003, MATCH(0, COUNTIF($A$1:A18, BASE!$A$4:$A$10003&amp;""), 0)), "")</f>
        <v/>
      </c>
      <c r="B19" t="str">
        <f>IF(A19="", "", VLOOKUP(A19, BASE!$A$4:$B$10003, 2, FALSE))</f>
        <v/>
      </c>
      <c r="C19" t="str">
        <f>IF(A19="", "", SUMIF(BASE!$A$4:$A$10003, A19, BASE!$C$4:$C$10003))</f>
        <v/>
      </c>
      <c r="D19" t="str">
        <f>IF(A19="", "", INDEX(BASE!$D$4:$D$10003, MATCH(A19, BASE!$A$4:$A$10003, 0)))</f>
        <v/>
      </c>
      <c r="E19" t="str">
        <f>IF(A19="", "", INDEX(BASE!$E$4:$E$10003, MATCH(A19, BASE!$A$4:$A$10003, 0)))</f>
        <v/>
      </c>
    </row>
    <row r="20" spans="1:5">
      <c r="A20" t="str">
        <f>IFERROR(INDEX(BASE!$A$4:$A$10003, MATCH(0, COUNTIF($A$1:A19, BASE!$A$4:$A$10003&amp;""), 0)), "")</f>
        <v/>
      </c>
      <c r="B20" t="str">
        <f>IF(A20="", "", VLOOKUP(A20, BASE!$A$4:$B$10003, 2, FALSE))</f>
        <v/>
      </c>
      <c r="C20" t="str">
        <f>IF(A20="", "", SUMIF(BASE!$A$4:$A$10003, A20, BASE!$C$4:$C$10003))</f>
        <v/>
      </c>
      <c r="D20" t="str">
        <f>IF(A20="", "", INDEX(BASE!$D$4:$D$10003, MATCH(A20, BASE!$A$4:$A$10003, 0)))</f>
        <v/>
      </c>
      <c r="E20" t="str">
        <f>IF(A20="", "", INDEX(BASE!$E$4:$E$10003, MATCH(A20, BASE!$A$4:$A$10003, 0)))</f>
        <v/>
      </c>
    </row>
    <row r="21" spans="1:5">
      <c r="A21" t="str">
        <f>IFERROR(INDEX(BASE!$A$4:$A$10003, MATCH(0, COUNTIF($A$1:A20, BASE!$A$4:$A$10003&amp;""), 0)), "")</f>
        <v/>
      </c>
      <c r="B21" t="str">
        <f>IF(A21="", "", VLOOKUP(A21, BASE!$A$4:$B$10003, 2, FALSE))</f>
        <v/>
      </c>
      <c r="C21" t="str">
        <f>IF(A21="", "", SUMIF(BASE!$A$4:$A$10003, A21, BASE!$C$4:$C$10003))</f>
        <v/>
      </c>
      <c r="D21" t="str">
        <f>IF(A21="", "", INDEX(BASE!$D$4:$D$10003, MATCH(A21, BASE!$A$4:$A$10003, 0)))</f>
        <v/>
      </c>
      <c r="E21" t="str">
        <f>IF(A21="", "", INDEX(BASE!$E$4:$E$10003, MATCH(A21, BASE!$A$4:$A$10003, 0)))</f>
        <v/>
      </c>
    </row>
    <row r="22" spans="1:5">
      <c r="A22" t="str">
        <f>IFERROR(INDEX(BASE!$A$4:$A$10003, MATCH(0, COUNTIF($A$1:A21, BASE!$A$4:$A$10003&amp;""), 0)), "")</f>
        <v/>
      </c>
      <c r="B22" t="str">
        <f>IF(A22="", "", VLOOKUP(A22, BASE!$A$4:$B$10003, 2, FALSE))</f>
        <v/>
      </c>
      <c r="C22" t="str">
        <f>IF(A22="", "", SUMIF(BASE!$A$4:$A$10003, A22, BASE!$C$4:$C$10003))</f>
        <v/>
      </c>
      <c r="D22" t="str">
        <f>IF(A22="", "", INDEX(BASE!$D$4:$D$10003, MATCH(A22, BASE!$A$4:$A$10003, 0)))</f>
        <v/>
      </c>
      <c r="E22" t="str">
        <f>IF(A22="", "", INDEX(BASE!$E$4:$E$10003, MATCH(A22, BASE!$A$4:$A$10003, 0)))</f>
        <v/>
      </c>
    </row>
    <row r="23" spans="1:5">
      <c r="A23" t="str">
        <f>IFERROR(INDEX(BASE!$A$4:$A$10003, MATCH(0, COUNTIF($A$1:A22, BASE!$A$4:$A$10003&amp;""), 0)), "")</f>
        <v/>
      </c>
      <c r="B23" t="str">
        <f>IF(A23="", "", VLOOKUP(A23, BASE!$A$4:$B$10003, 2, FALSE))</f>
        <v/>
      </c>
      <c r="C23" t="str">
        <f>IF(A23="", "", SUMIF(BASE!$A$4:$A$10003, A23, BASE!$C$4:$C$10003))</f>
        <v/>
      </c>
      <c r="D23" t="str">
        <f>IF(A23="", "", INDEX(BASE!$D$4:$D$10003, MATCH(A23, BASE!$A$4:$A$10003, 0)))</f>
        <v/>
      </c>
      <c r="E23" t="str">
        <f>IF(A23="", "", INDEX(BASE!$E$4:$E$10003, MATCH(A23, BASE!$A$4:$A$10003, 0)))</f>
        <v/>
      </c>
    </row>
    <row r="24" spans="1:5">
      <c r="A24" t="str">
        <f>IFERROR(INDEX(BASE!$A$4:$A$10003, MATCH(0, COUNTIF($A$1:A23, BASE!$A$4:$A$10003&amp;""), 0)), "")</f>
        <v/>
      </c>
      <c r="B24" t="str">
        <f>IF(A24="", "", VLOOKUP(A24, BASE!$A$4:$B$10003, 2, FALSE))</f>
        <v/>
      </c>
      <c r="C24" t="str">
        <f>IF(A24="", "", SUMIF(BASE!$A$4:$A$10003, A24, BASE!$C$4:$C$10003))</f>
        <v/>
      </c>
      <c r="D24" t="str">
        <f>IF(A24="", "", INDEX(BASE!$D$4:$D$10003, MATCH(A24, BASE!$A$4:$A$10003, 0)))</f>
        <v/>
      </c>
      <c r="E24" t="str">
        <f>IF(A24="", "", INDEX(BASE!$E$4:$E$10003, MATCH(A24, BASE!$A$4:$A$10003, 0)))</f>
        <v/>
      </c>
    </row>
    <row r="25" spans="1:5">
      <c r="A25" t="str">
        <f>IFERROR(INDEX(BASE!$A$4:$A$10003, MATCH(0, COUNTIF($A$1:A24, BASE!$A$4:$A$10003&amp;""), 0)), "")</f>
        <v/>
      </c>
      <c r="B25" t="str">
        <f>IF(A25="", "", VLOOKUP(A25, BASE!$A$4:$B$10003, 2, FALSE))</f>
        <v/>
      </c>
      <c r="C25" t="str">
        <f>IF(A25="", "", SUMIF(BASE!$A$4:$A$10003, A25, BASE!$C$4:$C$10003))</f>
        <v/>
      </c>
      <c r="D25" t="str">
        <f>IF(A25="", "", INDEX(BASE!$D$4:$D$10003, MATCH(A25, BASE!$A$4:$A$10003, 0)))</f>
        <v/>
      </c>
      <c r="E25" t="str">
        <f>IF(A25="", "", INDEX(BASE!$E$4:$E$10003, MATCH(A25, BASE!$A$4:$A$10003, 0)))</f>
        <v/>
      </c>
    </row>
    <row r="26" spans="1:5">
      <c r="A26" t="str">
        <f>IFERROR(INDEX(BASE!$A$4:$A$10003, MATCH(0, COUNTIF($A$1:A25, BASE!$A$4:$A$10003&amp;""), 0)), "")</f>
        <v/>
      </c>
      <c r="B26" t="str">
        <f>IF(A26="", "", VLOOKUP(A26, BASE!$A$4:$B$10003, 2, FALSE))</f>
        <v/>
      </c>
      <c r="C26" t="str">
        <f>IF(A26="", "", SUMIF(BASE!$A$4:$A$10003, A26, BASE!$C$4:$C$10003))</f>
        <v/>
      </c>
      <c r="D26" t="str">
        <f>IF(A26="", "", INDEX(BASE!$D$4:$D$10003, MATCH(A26, BASE!$A$4:$A$10003, 0)))</f>
        <v/>
      </c>
      <c r="E26" t="str">
        <f>IF(A26="", "", INDEX(BASE!$E$4:$E$10003, MATCH(A26, BASE!$A$4:$A$10003, 0)))</f>
        <v/>
      </c>
    </row>
    <row r="27" spans="1:5">
      <c r="A27" t="str">
        <f>IFERROR(INDEX(BASE!$A$4:$A$10003, MATCH(0, COUNTIF($A$1:A26, BASE!$A$4:$A$10003&amp;""), 0)), "")</f>
        <v/>
      </c>
      <c r="B27" t="str">
        <f>IF(A27="", "", VLOOKUP(A27, BASE!$A$4:$B$10003, 2, FALSE))</f>
        <v/>
      </c>
      <c r="C27" t="str">
        <f>IF(A27="", "", SUMIF(BASE!$A$4:$A$10003, A27, BASE!$C$4:$C$10003))</f>
        <v/>
      </c>
      <c r="D27" t="str">
        <f>IF(A27="", "", INDEX(BASE!$D$4:$D$10003, MATCH(A27, BASE!$A$4:$A$10003, 0)))</f>
        <v/>
      </c>
      <c r="E27" t="str">
        <f>IF(A27="", "", INDEX(BASE!$E$4:$E$10003, MATCH(A27, BASE!$A$4:$A$10003, 0)))</f>
        <v/>
      </c>
    </row>
    <row r="28" spans="1:5">
      <c r="A28" t="str">
        <f>IFERROR(INDEX(BASE!$A$4:$A$10003, MATCH(0, COUNTIF($A$1:A27, BASE!$A$4:$A$10003&amp;""), 0)), "")</f>
        <v/>
      </c>
      <c r="B28" t="str">
        <f>IF(A28="", "", VLOOKUP(A28, BASE!$A$4:$B$10003, 2, FALSE))</f>
        <v/>
      </c>
      <c r="C28" t="str">
        <f>IF(A28="", "", SUMIF(BASE!$A$4:$A$10003, A28, BASE!$C$4:$C$10003))</f>
        <v/>
      </c>
      <c r="D28" t="str">
        <f>IF(A28="", "", INDEX(BASE!$D$4:$D$10003, MATCH(A28, BASE!$A$4:$A$10003, 0)))</f>
        <v/>
      </c>
      <c r="E28" t="str">
        <f>IF(A28="", "", INDEX(BASE!$E$4:$E$10003, MATCH(A28, BASE!$A$4:$A$10003, 0)))</f>
        <v/>
      </c>
    </row>
    <row r="29" spans="1:5">
      <c r="A29" t="str">
        <f>IFERROR(INDEX(BASE!$A$4:$A$10003, MATCH(0, COUNTIF($A$1:A28, BASE!$A$4:$A$10003&amp;""), 0)), "")</f>
        <v/>
      </c>
      <c r="B29" t="str">
        <f>IF(A29="", "", VLOOKUP(A29, BASE!$A$4:$B$10003, 2, FALSE))</f>
        <v/>
      </c>
      <c r="C29" t="str">
        <f>IF(A29="", "", SUMIF(BASE!$A$4:$A$10003, A29, BASE!$C$4:$C$10003))</f>
        <v/>
      </c>
      <c r="D29" t="str">
        <f>IF(A29="", "", INDEX(BASE!$D$4:$D$10003, MATCH(A29, BASE!$A$4:$A$10003, 0)))</f>
        <v/>
      </c>
      <c r="E29" t="str">
        <f>IF(A29="", "", INDEX(BASE!$E$4:$E$10003, MATCH(A29, BASE!$A$4:$A$10003, 0)))</f>
        <v/>
      </c>
    </row>
    <row r="30" spans="1:5">
      <c r="A30" t="str">
        <f>IFERROR(INDEX(BASE!$A$4:$A$10003, MATCH(0, COUNTIF($A$1:A29, BASE!$A$4:$A$10003&amp;""), 0)), "")</f>
        <v/>
      </c>
      <c r="B30" t="str">
        <f>IF(A30="", "", VLOOKUP(A30, BASE!$A$4:$B$10003, 2, FALSE))</f>
        <v/>
      </c>
      <c r="C30" t="str">
        <f>IF(A30="", "", SUMIF(BASE!$A$4:$A$10003, A30, BASE!$C$4:$C$10003))</f>
        <v/>
      </c>
      <c r="D30" t="str">
        <f>IF(A30="", "", INDEX(BASE!$D$4:$D$10003, MATCH(A30, BASE!$A$4:$A$10003, 0)))</f>
        <v/>
      </c>
      <c r="E30" t="str">
        <f>IF(A30="", "", INDEX(BASE!$E$4:$E$10003, MATCH(A30, BASE!$A$4:$A$10003, 0)))</f>
        <v/>
      </c>
    </row>
    <row r="31" spans="1:5">
      <c r="A31" t="str">
        <f>IFERROR(INDEX(BASE!$A$4:$A$10003, MATCH(0, COUNTIF($A$1:A30, BASE!$A$4:$A$10003&amp;""), 0)), "")</f>
        <v/>
      </c>
      <c r="B31" t="str">
        <f>IF(A31="", "", VLOOKUP(A31, BASE!$A$4:$B$10003, 2, FALSE))</f>
        <v/>
      </c>
      <c r="C31" t="str">
        <f>IF(A31="", "", SUMIF(BASE!$A$4:$A$10003, A31, BASE!$C$4:$C$10003))</f>
        <v/>
      </c>
      <c r="D31" t="str">
        <f>IF(A31="", "", INDEX(BASE!$D$4:$D$10003, MATCH(A31, BASE!$A$4:$A$10003, 0)))</f>
        <v/>
      </c>
      <c r="E31" t="str">
        <f>IF(A31="", "", INDEX(BASE!$E$4:$E$10003, MATCH(A31, BASE!$A$4:$A$10003, 0)))</f>
        <v/>
      </c>
    </row>
    <row r="32" spans="1:5">
      <c r="A32" t="str">
        <f>IFERROR(INDEX(BASE!$A$4:$A$10003, MATCH(0, COUNTIF($A$1:A31, BASE!$A$4:$A$10003&amp;""), 0)), "")</f>
        <v/>
      </c>
      <c r="B32" t="str">
        <f>IF(A32="", "", VLOOKUP(A32, BASE!$A$4:$B$10003, 2, FALSE))</f>
        <v/>
      </c>
      <c r="C32" t="str">
        <f>IF(A32="", "", SUMIF(BASE!$A$4:$A$10003, A32, BASE!$C$4:$C$10003))</f>
        <v/>
      </c>
      <c r="D32" t="str">
        <f>IF(A32="", "", INDEX(BASE!$D$4:$D$10003, MATCH(A32, BASE!$A$4:$A$10003, 0)))</f>
        <v/>
      </c>
      <c r="E32" t="str">
        <f>IF(A32="", "", INDEX(BASE!$E$4:$E$10003, MATCH(A32, BASE!$A$4:$A$10003, 0)))</f>
        <v/>
      </c>
    </row>
    <row r="33" spans="1:5">
      <c r="A33" t="str">
        <f>IFERROR(INDEX(BASE!$A$4:$A$10003, MATCH(0, COUNTIF($A$1:A32, BASE!$A$4:$A$10003&amp;""), 0)), "")</f>
        <v/>
      </c>
      <c r="B33" t="str">
        <f>IF(A33="", "", VLOOKUP(A33, BASE!$A$4:$B$10003, 2, FALSE))</f>
        <v/>
      </c>
      <c r="C33" t="str">
        <f>IF(A33="", "", SUMIF(BASE!$A$4:$A$10003, A33, BASE!$C$4:$C$10003))</f>
        <v/>
      </c>
      <c r="D33" t="str">
        <f>IF(A33="", "", INDEX(BASE!$D$4:$D$10003, MATCH(A33, BASE!$A$4:$A$10003, 0)))</f>
        <v/>
      </c>
      <c r="E33" t="str">
        <f>IF(A33="", "", INDEX(BASE!$E$4:$E$10003, MATCH(A33, BASE!$A$4:$A$10003, 0)))</f>
        <v/>
      </c>
    </row>
    <row r="34" spans="1:5">
      <c r="A34" t="str">
        <f>IFERROR(INDEX(BASE!$A$4:$A$10003, MATCH(0, COUNTIF($A$1:A33, BASE!$A$4:$A$10003&amp;""), 0)), "")</f>
        <v/>
      </c>
      <c r="B34" t="str">
        <f>IF(A34="", "", VLOOKUP(A34, BASE!$A$4:$B$10003, 2, FALSE))</f>
        <v/>
      </c>
      <c r="C34" t="str">
        <f>IF(A34="", "", SUMIF(BASE!$A$4:$A$10003, A34, BASE!$C$4:$C$10003))</f>
        <v/>
      </c>
      <c r="D34" t="str">
        <f>IF(A34="", "", INDEX(BASE!$D$4:$D$10003, MATCH(A34, BASE!$A$4:$A$10003, 0)))</f>
        <v/>
      </c>
      <c r="E34" t="str">
        <f>IF(A34="", "", INDEX(BASE!$E$4:$E$10003, MATCH(A34, BASE!$A$4:$A$10003, 0)))</f>
        <v/>
      </c>
    </row>
    <row r="35" spans="1:5">
      <c r="A35" t="str">
        <f>IFERROR(INDEX(BASE!$A$4:$A$10003, MATCH(0, COUNTIF($A$1:A34, BASE!$A$4:$A$10003&amp;""), 0)), "")</f>
        <v/>
      </c>
      <c r="B35" t="str">
        <f>IF(A35="", "", VLOOKUP(A35, BASE!$A$4:$B$10003, 2, FALSE))</f>
        <v/>
      </c>
      <c r="C35" t="str">
        <f>IF(A35="", "", SUMIF(BASE!$A$4:$A$10003, A35, BASE!$C$4:$C$10003))</f>
        <v/>
      </c>
      <c r="D35" t="str">
        <f>IF(A35="", "", INDEX(BASE!$D$4:$D$10003, MATCH(A35, BASE!$A$4:$A$10003, 0)))</f>
        <v/>
      </c>
      <c r="E35" t="str">
        <f>IF(A35="", "", INDEX(BASE!$E$4:$E$10003, MATCH(A35, BASE!$A$4:$A$10003, 0)))</f>
        <v/>
      </c>
    </row>
    <row r="36" spans="1:5">
      <c r="A36" t="str">
        <f>IFERROR(INDEX(BASE!$A$4:$A$10003, MATCH(0, COUNTIF($A$1:A35, BASE!$A$4:$A$10003&amp;""), 0)), "")</f>
        <v/>
      </c>
      <c r="B36" t="str">
        <f>IF(A36="", "", VLOOKUP(A36, BASE!$A$4:$B$10003, 2, FALSE))</f>
        <v/>
      </c>
      <c r="C36" t="str">
        <f>IF(A36="", "", SUMIF(BASE!$A$4:$A$10003, A36, BASE!$C$4:$C$10003))</f>
        <v/>
      </c>
      <c r="D36" t="str">
        <f>IF(A36="", "", INDEX(BASE!$D$4:$D$10003, MATCH(A36, BASE!$A$4:$A$10003, 0)))</f>
        <v/>
      </c>
      <c r="E36" t="str">
        <f>IF(A36="", "", INDEX(BASE!$E$4:$E$10003, MATCH(A36, BASE!$A$4:$A$10003, 0)))</f>
        <v/>
      </c>
    </row>
    <row r="37" spans="1:5">
      <c r="A37" t="str">
        <f>IFERROR(INDEX(BASE!$A$4:$A$10003, MATCH(0, COUNTIF($A$1:A36, BASE!$A$4:$A$10003&amp;""), 0)), "")</f>
        <v/>
      </c>
      <c r="B37" t="str">
        <f>IF(A37="", "", VLOOKUP(A37, BASE!$A$4:$B$10003, 2, FALSE))</f>
        <v/>
      </c>
      <c r="C37" t="str">
        <f>IF(A37="", "", SUMIF(BASE!$A$4:$A$10003, A37, BASE!$C$4:$C$10003))</f>
        <v/>
      </c>
      <c r="D37" t="str">
        <f>IF(A37="", "", INDEX(BASE!$D$4:$D$10003, MATCH(A37, BASE!$A$4:$A$10003, 0)))</f>
        <v/>
      </c>
      <c r="E37" t="str">
        <f>IF(A37="", "", INDEX(BASE!$E$4:$E$10003, MATCH(A37, BASE!$A$4:$A$10003, 0)))</f>
        <v/>
      </c>
    </row>
    <row r="38" spans="1:5">
      <c r="A38" t="str">
        <f>IFERROR(INDEX(BASE!$A$4:$A$10003, MATCH(0, COUNTIF($A$1:A37, BASE!$A$4:$A$10003&amp;""), 0)), "")</f>
        <v/>
      </c>
      <c r="B38" t="str">
        <f>IF(A38="", "", VLOOKUP(A38, BASE!$A$4:$B$10003, 2, FALSE))</f>
        <v/>
      </c>
      <c r="C38" t="str">
        <f>IF(A38="", "", SUMIF(BASE!$A$4:$A$10003, A38, BASE!$C$4:$C$10003))</f>
        <v/>
      </c>
      <c r="D38" t="str">
        <f>IF(A38="", "", INDEX(BASE!$D$4:$D$10003, MATCH(A38, BASE!$A$4:$A$10003, 0)))</f>
        <v/>
      </c>
      <c r="E38" t="str">
        <f>IF(A38="", "", INDEX(BASE!$E$4:$E$10003, MATCH(A38, BASE!$A$4:$A$10003, 0)))</f>
        <v/>
      </c>
    </row>
    <row r="39" spans="1:5">
      <c r="A39" t="str">
        <f>IFERROR(INDEX(BASE!$A$4:$A$10003, MATCH(0, COUNTIF($A$1:A38, BASE!$A$4:$A$10003&amp;""), 0)), "")</f>
        <v/>
      </c>
      <c r="B39" t="str">
        <f>IF(A39="", "", VLOOKUP(A39, BASE!$A$4:$B$10003, 2, FALSE))</f>
        <v/>
      </c>
      <c r="C39" t="str">
        <f>IF(A39="", "", SUMIF(BASE!$A$4:$A$10003, A39, BASE!$C$4:$C$10003))</f>
        <v/>
      </c>
      <c r="D39" t="str">
        <f>IF(A39="", "", INDEX(BASE!$D$4:$D$10003, MATCH(A39, BASE!$A$4:$A$10003, 0)))</f>
        <v/>
      </c>
      <c r="E39" t="str">
        <f>IF(A39="", "", INDEX(BASE!$E$4:$E$10003, MATCH(A39, BASE!$A$4:$A$10003, 0)))</f>
        <v/>
      </c>
    </row>
    <row r="40" spans="1:5">
      <c r="A40" t="str">
        <f>IFERROR(INDEX(BASE!$A$4:$A$10003, MATCH(0, COUNTIF($A$1:A39, BASE!$A$4:$A$10003&amp;""), 0)), "")</f>
        <v/>
      </c>
      <c r="B40" t="str">
        <f>IF(A40="", "", VLOOKUP(A40, BASE!$A$4:$B$10003, 2, FALSE))</f>
        <v/>
      </c>
      <c r="C40" t="str">
        <f>IF(A40="", "", SUMIF(BASE!$A$4:$A$10003, A40, BASE!$C$4:$C$10003))</f>
        <v/>
      </c>
      <c r="D40" t="str">
        <f>IF(A40="", "", INDEX(BASE!$D$4:$D$10003, MATCH(A40, BASE!$A$4:$A$10003, 0)))</f>
        <v/>
      </c>
      <c r="E40" t="str">
        <f>IF(A40="", "", INDEX(BASE!$E$4:$E$10003, MATCH(A40, BASE!$A$4:$A$10003, 0)))</f>
        <v/>
      </c>
    </row>
    <row r="41" spans="1:5">
      <c r="A41" t="str">
        <f>IFERROR(INDEX(BASE!$A$4:$A$10003, MATCH(0, COUNTIF($A$1:A40, BASE!$A$4:$A$10003&amp;""), 0)), "")</f>
        <v/>
      </c>
      <c r="B41" t="str">
        <f>IF(A41="", "", VLOOKUP(A41, BASE!$A$4:$B$10003, 2, FALSE))</f>
        <v/>
      </c>
      <c r="C41" t="str">
        <f>IF(A41="", "", SUMIF(BASE!$A$4:$A$10003, A41, BASE!$C$4:$C$10003))</f>
        <v/>
      </c>
      <c r="D41" t="str">
        <f>IF(A41="", "", INDEX(BASE!$D$4:$D$10003, MATCH(A41, BASE!$A$4:$A$10003, 0)))</f>
        <v/>
      </c>
      <c r="E41" t="str">
        <f>IF(A41="", "", INDEX(BASE!$E$4:$E$10003, MATCH(A41, BASE!$A$4:$A$10003, 0)))</f>
        <v/>
      </c>
    </row>
    <row r="42" spans="1:5">
      <c r="A42" t="str">
        <f>IFERROR(INDEX(BASE!$A$4:$A$10003, MATCH(0, COUNTIF($A$1:A41, BASE!$A$4:$A$10003&amp;""), 0)), "")</f>
        <v/>
      </c>
      <c r="B42" t="str">
        <f>IF(A42="", "", VLOOKUP(A42, BASE!$A$4:$B$10003, 2, FALSE))</f>
        <v/>
      </c>
      <c r="C42" t="str">
        <f>IF(A42="", "", SUMIF(BASE!$A$4:$A$10003, A42, BASE!$C$4:$C$10003))</f>
        <v/>
      </c>
      <c r="D42" t="str">
        <f>IF(A42="", "", INDEX(BASE!$D$4:$D$10003, MATCH(A42, BASE!$A$4:$A$10003, 0)))</f>
        <v/>
      </c>
      <c r="E42" t="str">
        <f>IF(A42="", "", INDEX(BASE!$E$4:$E$10003, MATCH(A42, BASE!$A$4:$A$10003, 0)))</f>
        <v/>
      </c>
    </row>
    <row r="43" spans="1:5">
      <c r="A43" t="str">
        <f>IFERROR(INDEX(BASE!$A$4:$A$10003, MATCH(0, COUNTIF($A$1:A42, BASE!$A$4:$A$10003&amp;""), 0)), "")</f>
        <v/>
      </c>
      <c r="B43" t="str">
        <f>IF(A43="", "", VLOOKUP(A43, BASE!$A$4:$B$10003, 2, FALSE))</f>
        <v/>
      </c>
      <c r="C43" t="str">
        <f>IF(A43="", "", SUMIF(BASE!$A$4:$A$10003, A43, BASE!$C$4:$C$10003))</f>
        <v/>
      </c>
      <c r="D43" t="str">
        <f>IF(A43="", "", INDEX(BASE!$D$4:$D$10003, MATCH(A43, BASE!$A$4:$A$10003, 0)))</f>
        <v/>
      </c>
      <c r="E43" t="str">
        <f>IF(A43="", "", INDEX(BASE!$E$4:$E$10003, MATCH(A43, BASE!$A$4:$A$10003, 0)))</f>
        <v/>
      </c>
    </row>
    <row r="44" spans="1:5">
      <c r="A44" t="str">
        <f>IFERROR(INDEX(BASE!$A$4:$A$10003, MATCH(0, COUNTIF($A$1:A43, BASE!$A$4:$A$10003&amp;""), 0)), "")</f>
        <v/>
      </c>
      <c r="B44" t="str">
        <f>IF(A44="", "", VLOOKUP(A44, BASE!$A$4:$B$10003, 2, FALSE))</f>
        <v/>
      </c>
      <c r="C44" t="str">
        <f>IF(A44="", "", SUMIF(BASE!$A$4:$A$10003, A44, BASE!$C$4:$C$10003))</f>
        <v/>
      </c>
      <c r="D44" t="str">
        <f>IF(A44="", "", INDEX(BASE!$D$4:$D$10003, MATCH(A44, BASE!$A$4:$A$10003, 0)))</f>
        <v/>
      </c>
      <c r="E44" t="str">
        <f>IF(A44="", "", INDEX(BASE!$E$4:$E$10003, MATCH(A44, BASE!$A$4:$A$10003, 0)))</f>
        <v/>
      </c>
    </row>
    <row r="45" spans="1:5">
      <c r="A45" t="str">
        <f>IFERROR(INDEX(BASE!$A$4:$A$10003, MATCH(0, COUNTIF($A$1:A44, BASE!$A$4:$A$10003&amp;""), 0)), "")</f>
        <v/>
      </c>
      <c r="B45" t="str">
        <f>IF(A45="", "", VLOOKUP(A45, BASE!$A$4:$B$10003, 2, FALSE))</f>
        <v/>
      </c>
      <c r="C45" t="str">
        <f>IF(A45="", "", SUMIF(BASE!$A$4:$A$10003, A45, BASE!$C$4:$C$10003))</f>
        <v/>
      </c>
      <c r="D45" t="str">
        <f>IF(A45="", "", INDEX(BASE!$D$4:$D$10003, MATCH(A45, BASE!$A$4:$A$10003, 0)))</f>
        <v/>
      </c>
      <c r="E45" t="str">
        <f>IF(A45="", "", INDEX(BASE!$E$4:$E$10003, MATCH(A45, BASE!$A$4:$A$10003, 0)))</f>
        <v/>
      </c>
    </row>
    <row r="46" spans="1:5">
      <c r="A46" t="str">
        <f>IFERROR(INDEX(BASE!$A$4:$A$10003, MATCH(0, COUNTIF($A$1:A45, BASE!$A$4:$A$10003&amp;""), 0)), "")</f>
        <v/>
      </c>
      <c r="B46" t="str">
        <f>IF(A46="", "", VLOOKUP(A46, BASE!$A$4:$B$10003, 2, FALSE))</f>
        <v/>
      </c>
      <c r="C46" t="str">
        <f>IF(A46="", "", SUMIF(BASE!$A$4:$A$10003, A46, BASE!$C$4:$C$10003))</f>
        <v/>
      </c>
      <c r="D46" t="str">
        <f>IF(A46="", "", INDEX(BASE!$D$4:$D$10003, MATCH(A46, BASE!$A$4:$A$10003, 0)))</f>
        <v/>
      </c>
      <c r="E46" t="str">
        <f>IF(A46="", "", INDEX(BASE!$E$4:$E$10003, MATCH(A46, BASE!$A$4:$A$10003, 0)))</f>
        <v/>
      </c>
    </row>
    <row r="47" spans="1:5">
      <c r="A47" t="str">
        <f>IFERROR(INDEX(BASE!$A$4:$A$10003, MATCH(0, COUNTIF($A$1:A46, BASE!$A$4:$A$10003&amp;""), 0)), "")</f>
        <v/>
      </c>
      <c r="B47" t="str">
        <f>IF(A47="", "", VLOOKUP(A47, BASE!$A$4:$B$10003, 2, FALSE))</f>
        <v/>
      </c>
      <c r="C47" t="str">
        <f>IF(A47="", "", SUMIF(BASE!$A$4:$A$10003, A47, BASE!$C$4:$C$10003))</f>
        <v/>
      </c>
      <c r="D47" t="str">
        <f>IF(A47="", "", INDEX(BASE!$D$4:$D$10003, MATCH(A47, BASE!$A$4:$A$10003, 0)))</f>
        <v/>
      </c>
      <c r="E47" t="str">
        <f>IF(A47="", "", INDEX(BASE!$E$4:$E$10003, MATCH(A47, BASE!$A$4:$A$10003, 0)))</f>
        <v/>
      </c>
    </row>
    <row r="48" spans="1:5">
      <c r="A48" t="str">
        <f>IFERROR(INDEX(BASE!$A$4:$A$10003, MATCH(0, COUNTIF($A$1:A47, BASE!$A$4:$A$10003&amp;""), 0)), "")</f>
        <v/>
      </c>
      <c r="B48" t="str">
        <f>IF(A48="", "", VLOOKUP(A48, BASE!$A$4:$B$10003, 2, FALSE))</f>
        <v/>
      </c>
      <c r="C48" t="str">
        <f>IF(A48="", "", SUMIF(BASE!$A$4:$A$10003, A48, BASE!$C$4:$C$10003))</f>
        <v/>
      </c>
      <c r="D48" t="str">
        <f>IF(A48="", "", INDEX(BASE!$D$4:$D$10003, MATCH(A48, BASE!$A$4:$A$10003, 0)))</f>
        <v/>
      </c>
      <c r="E48" t="str">
        <f>IF(A48="", "", INDEX(BASE!$E$4:$E$10003, MATCH(A48, BASE!$A$4:$A$10003, 0)))</f>
        <v/>
      </c>
    </row>
    <row r="49" spans="1:5">
      <c r="A49" t="str">
        <f>IFERROR(INDEX(BASE!$A$4:$A$10003, MATCH(0, COUNTIF($A$1:A48, BASE!$A$4:$A$10003&amp;""), 0)), "")</f>
        <v/>
      </c>
      <c r="B49" t="str">
        <f>IF(A49="", "", VLOOKUP(A49, BASE!$A$4:$B$10003, 2, FALSE))</f>
        <v/>
      </c>
      <c r="C49" t="str">
        <f>IF(A49="", "", SUMIF(BASE!$A$4:$A$10003, A49, BASE!$C$4:$C$10003))</f>
        <v/>
      </c>
      <c r="D49" t="str">
        <f>IF(A49="", "", INDEX(BASE!$D$4:$D$10003, MATCH(A49, BASE!$A$4:$A$10003, 0)))</f>
        <v/>
      </c>
      <c r="E49" t="str">
        <f>IF(A49="", "", INDEX(BASE!$E$4:$E$10003, MATCH(A49, BASE!$A$4:$A$10003, 0)))</f>
        <v/>
      </c>
    </row>
    <row r="50" spans="1:5">
      <c r="A50" t="str">
        <f>IFERROR(INDEX(BASE!$A$4:$A$10003, MATCH(0, COUNTIF($A$1:A49, BASE!$A$4:$A$10003&amp;""), 0)), "")</f>
        <v/>
      </c>
      <c r="B50" t="str">
        <f>IF(A50="", "", VLOOKUP(A50, BASE!$A$4:$B$10003, 2, FALSE))</f>
        <v/>
      </c>
      <c r="C50" t="str">
        <f>IF(A50="", "", SUMIF(BASE!$A$4:$A$10003, A50, BASE!$C$4:$C$10003))</f>
        <v/>
      </c>
      <c r="D50" t="str">
        <f>IF(A50="", "", INDEX(BASE!$D$4:$D$10003, MATCH(A50, BASE!$A$4:$A$10003, 0)))</f>
        <v/>
      </c>
      <c r="E50" t="str">
        <f>IF(A50="", "", INDEX(BASE!$E$4:$E$10003, MATCH(A50, BASE!$A$4:$A$10003, 0)))</f>
        <v/>
      </c>
    </row>
    <row r="51" spans="1:5">
      <c r="A51" t="str">
        <f>IFERROR(INDEX(BASE!$A$4:$A$10003, MATCH(0, COUNTIF($A$1:A50, BASE!$A$4:$A$10003&amp;""), 0)), "")</f>
        <v/>
      </c>
      <c r="B51" t="str">
        <f>IF(A51="", "", VLOOKUP(A51, BASE!$A$4:$B$10003, 2, FALSE))</f>
        <v/>
      </c>
      <c r="C51" t="str">
        <f>IF(A51="", "", SUMIF(BASE!$A$4:$A$10003, A51, BASE!$C$4:$C$10003))</f>
        <v/>
      </c>
      <c r="D51" t="str">
        <f>IF(A51="", "", INDEX(BASE!$D$4:$D$10003, MATCH(A51, BASE!$A$4:$A$10003, 0)))</f>
        <v/>
      </c>
      <c r="E51" t="str">
        <f>IF(A51="", "", INDEX(BASE!$E$4:$E$10003, MATCH(A51, BASE!$A$4:$A$10003, 0)))</f>
        <v/>
      </c>
    </row>
    <row r="52" spans="1:5">
      <c r="A52" t="str">
        <f>IFERROR(INDEX(BASE!$A$4:$A$10003, MATCH(0, COUNTIF($A$1:A51, BASE!$A$4:$A$10003&amp;""), 0)), "")</f>
        <v/>
      </c>
      <c r="B52" t="str">
        <f>IF(A52="", "", VLOOKUP(A52, BASE!$A$4:$B$10003, 2, FALSE))</f>
        <v/>
      </c>
      <c r="C52" t="str">
        <f>IF(A52="", "", SUMIF(BASE!$A$4:$A$10003, A52, BASE!$C$4:$C$10003))</f>
        <v/>
      </c>
      <c r="D52" t="str">
        <f>IF(A52="", "", INDEX(BASE!$D$4:$D$10003, MATCH(A52, BASE!$A$4:$A$10003, 0)))</f>
        <v/>
      </c>
      <c r="E52" t="str">
        <f>IF(A52="", "", INDEX(BASE!$E$4:$E$10003, MATCH(A52, BASE!$A$4:$A$10003, 0)))</f>
        <v/>
      </c>
    </row>
    <row r="53" spans="1:5">
      <c r="A53" t="str">
        <f>IFERROR(INDEX(BASE!$A$4:$A$10003, MATCH(0, COUNTIF($A$1:A52, BASE!$A$4:$A$10003&amp;""), 0)), "")</f>
        <v/>
      </c>
      <c r="B53" t="str">
        <f>IF(A53="", "", VLOOKUP(A53, BASE!$A$4:$B$10003, 2, FALSE))</f>
        <v/>
      </c>
      <c r="C53" t="str">
        <f>IF(A53="", "", SUMIF(BASE!$A$4:$A$10003, A53, BASE!$C$4:$C$10003))</f>
        <v/>
      </c>
      <c r="D53" t="str">
        <f>IF(A53="", "", INDEX(BASE!$D$4:$D$10003, MATCH(A53, BASE!$A$4:$A$10003, 0)))</f>
        <v/>
      </c>
      <c r="E53" t="str">
        <f>IF(A53="", "", INDEX(BASE!$E$4:$E$10003, MATCH(A53, BASE!$A$4:$A$10003, 0)))</f>
        <v/>
      </c>
    </row>
    <row r="54" spans="1:5">
      <c r="A54" t="str">
        <f>IFERROR(INDEX(BASE!$A$4:$A$10003, MATCH(0, COUNTIF($A$1:A53, BASE!$A$4:$A$10003&amp;""), 0)), "")</f>
        <v/>
      </c>
      <c r="B54" t="str">
        <f>IF(A54="", "", VLOOKUP(A54, BASE!$A$4:$B$10003, 2, FALSE))</f>
        <v/>
      </c>
      <c r="C54" t="str">
        <f>IF(A54="", "", SUMIF(BASE!$A$4:$A$10003, A54, BASE!$C$4:$C$10003))</f>
        <v/>
      </c>
      <c r="D54" t="str">
        <f>IF(A54="", "", INDEX(BASE!$D$4:$D$10003, MATCH(A54, BASE!$A$4:$A$10003, 0)))</f>
        <v/>
      </c>
      <c r="E54" t="str">
        <f>IF(A54="", "", INDEX(BASE!$E$4:$E$10003, MATCH(A54, BASE!$A$4:$A$10003, 0)))</f>
        <v/>
      </c>
    </row>
    <row r="55" spans="1:5">
      <c r="A55" t="str">
        <f>IFERROR(INDEX(BASE!$A$4:$A$10003, MATCH(0, COUNTIF($A$1:A54, BASE!$A$4:$A$10003&amp;""), 0)), "")</f>
        <v/>
      </c>
      <c r="B55" t="str">
        <f>IF(A55="", "", VLOOKUP(A55, BASE!$A$4:$B$10003, 2, FALSE))</f>
        <v/>
      </c>
      <c r="C55" t="str">
        <f>IF(A55="", "", SUMIF(BASE!$A$4:$A$10003, A55, BASE!$C$4:$C$10003))</f>
        <v/>
      </c>
      <c r="D55" t="str">
        <f>IF(A55="", "", INDEX(BASE!$D$4:$D$10003, MATCH(A55, BASE!$A$4:$A$10003, 0)))</f>
        <v/>
      </c>
      <c r="E55" t="str">
        <f>IF(A55="", "", INDEX(BASE!$E$4:$E$10003, MATCH(A55, BASE!$A$4:$A$10003, 0)))</f>
        <v/>
      </c>
    </row>
    <row r="56" spans="1:5">
      <c r="A56" t="str">
        <f>IFERROR(INDEX(BASE!$A$4:$A$10003, MATCH(0, COUNTIF($A$1:A55, BASE!$A$4:$A$10003&amp;""), 0)), "")</f>
        <v/>
      </c>
      <c r="B56" t="str">
        <f>IF(A56="", "", VLOOKUP(A56, BASE!$A$4:$B$10003, 2, FALSE))</f>
        <v/>
      </c>
      <c r="C56" t="str">
        <f>IF(A56="", "", SUMIF(BASE!$A$4:$A$10003, A56, BASE!$C$4:$C$10003))</f>
        <v/>
      </c>
      <c r="D56" t="str">
        <f>IF(A56="", "", INDEX(BASE!$D$4:$D$10003, MATCH(A56, BASE!$A$4:$A$10003, 0)))</f>
        <v/>
      </c>
      <c r="E56" t="str">
        <f>IF(A56="", "", INDEX(BASE!$E$4:$E$10003, MATCH(A56, BASE!$A$4:$A$10003, 0)))</f>
        <v/>
      </c>
    </row>
    <row r="57" spans="1:5">
      <c r="A57" t="str">
        <f>IFERROR(INDEX(BASE!$A$4:$A$10003, MATCH(0, COUNTIF($A$1:A56, BASE!$A$4:$A$10003&amp;""), 0)), "")</f>
        <v/>
      </c>
      <c r="B57" t="str">
        <f>IF(A57="", "", VLOOKUP(A57, BASE!$A$4:$B$10003, 2, FALSE))</f>
        <v/>
      </c>
      <c r="C57" t="str">
        <f>IF(A57="", "", SUMIF(BASE!$A$4:$A$10003, A57, BASE!$C$4:$C$10003))</f>
        <v/>
      </c>
      <c r="D57" t="str">
        <f>IF(A57="", "", INDEX(BASE!$D$4:$D$10003, MATCH(A57, BASE!$A$4:$A$10003, 0)))</f>
        <v/>
      </c>
      <c r="E57" t="str">
        <f>IF(A57="", "", INDEX(BASE!$E$4:$E$10003, MATCH(A57, BASE!$A$4:$A$10003, 0)))</f>
        <v/>
      </c>
    </row>
    <row r="58" spans="1:5">
      <c r="A58" t="str">
        <f>IFERROR(INDEX(BASE!$A$4:$A$10003, MATCH(0, COUNTIF($A$1:A57, BASE!$A$4:$A$10003&amp;""), 0)), "")</f>
        <v/>
      </c>
      <c r="B58" t="str">
        <f>IF(A58="", "", VLOOKUP(A58, BASE!$A$4:$B$10003, 2, FALSE))</f>
        <v/>
      </c>
      <c r="C58" t="str">
        <f>IF(A58="", "", SUMIF(BASE!$A$4:$A$10003, A58, BASE!$C$4:$C$10003))</f>
        <v/>
      </c>
      <c r="D58" t="str">
        <f>IF(A58="", "", INDEX(BASE!$D$4:$D$10003, MATCH(A58, BASE!$A$4:$A$10003, 0)))</f>
        <v/>
      </c>
      <c r="E58" t="str">
        <f>IF(A58="", "", INDEX(BASE!$E$4:$E$10003, MATCH(A58, BASE!$A$4:$A$10003, 0)))</f>
        <v/>
      </c>
    </row>
    <row r="59" spans="1:5">
      <c r="A59" t="str">
        <f>IFERROR(INDEX(BASE!$A$4:$A$10003, MATCH(0, COUNTIF($A$1:A58, BASE!$A$4:$A$10003&amp;""), 0)), "")</f>
        <v/>
      </c>
      <c r="B59" t="str">
        <f>IF(A59="", "", VLOOKUP(A59, BASE!$A$4:$B$10003, 2, FALSE))</f>
        <v/>
      </c>
      <c r="C59" t="str">
        <f>IF(A59="", "", SUMIF(BASE!$A$4:$A$10003, A59, BASE!$C$4:$C$10003))</f>
        <v/>
      </c>
      <c r="D59" t="str">
        <f>IF(A59="", "", INDEX(BASE!$D$4:$D$10003, MATCH(A59, BASE!$A$4:$A$10003, 0)))</f>
        <v/>
      </c>
      <c r="E59" t="str">
        <f>IF(A59="", "", INDEX(BASE!$E$4:$E$10003, MATCH(A59, BASE!$A$4:$A$10003, 0)))</f>
        <v/>
      </c>
    </row>
    <row r="60" spans="1:5">
      <c r="A60" t="str">
        <f>IFERROR(INDEX(BASE!$A$4:$A$10003, MATCH(0, COUNTIF($A$1:A59, BASE!$A$4:$A$10003&amp;""), 0)), "")</f>
        <v/>
      </c>
      <c r="B60" t="str">
        <f>IF(A60="", "", VLOOKUP(A60, BASE!$A$4:$B$10003, 2, FALSE))</f>
        <v/>
      </c>
      <c r="C60" t="str">
        <f>IF(A60="", "", SUMIF(BASE!$A$4:$A$10003, A60, BASE!$C$4:$C$10003))</f>
        <v/>
      </c>
      <c r="D60" t="str">
        <f>IF(A60="", "", INDEX(BASE!$D$4:$D$10003, MATCH(A60, BASE!$A$4:$A$10003, 0)))</f>
        <v/>
      </c>
      <c r="E60" t="str">
        <f>IF(A60="", "", INDEX(BASE!$E$4:$E$10003, MATCH(A60, BASE!$A$4:$A$10003, 0)))</f>
        <v/>
      </c>
    </row>
    <row r="61" spans="1:5">
      <c r="A61" t="str">
        <f>IFERROR(INDEX(BASE!$A$4:$A$10003, MATCH(0, COUNTIF($A$1:A60, BASE!$A$4:$A$10003&amp;""), 0)), "")</f>
        <v/>
      </c>
      <c r="B61" t="str">
        <f>IF(A61="", "", VLOOKUP(A61, BASE!$A$4:$B$10003, 2, FALSE))</f>
        <v/>
      </c>
      <c r="C61" t="str">
        <f>IF(A61="", "", SUMIF(BASE!$A$4:$A$10003, A61, BASE!$C$4:$C$10003))</f>
        <v/>
      </c>
      <c r="D61" t="str">
        <f>IF(A61="", "", INDEX(BASE!$D$4:$D$10003, MATCH(A61, BASE!$A$4:$A$10003, 0)))</f>
        <v/>
      </c>
      <c r="E61" t="str">
        <f>IF(A61="", "", INDEX(BASE!$E$4:$E$10003, MATCH(A61, BASE!$A$4:$A$10003, 0)))</f>
        <v/>
      </c>
    </row>
    <row r="62" spans="1:5">
      <c r="A62" t="str">
        <f>IFERROR(INDEX(BASE!$A$4:$A$10003, MATCH(0, COUNTIF($A$1:A61, BASE!$A$4:$A$10003&amp;""), 0)), "")</f>
        <v/>
      </c>
      <c r="B62" t="str">
        <f>IF(A62="", "", VLOOKUP(A62, BASE!$A$4:$B$10003, 2, FALSE))</f>
        <v/>
      </c>
      <c r="C62" t="str">
        <f>IF(A62="", "", SUMIF(BASE!$A$4:$A$10003, A62, BASE!$C$4:$C$10003))</f>
        <v/>
      </c>
      <c r="D62" t="str">
        <f>IF(A62="", "", INDEX(BASE!$D$4:$D$10003, MATCH(A62, BASE!$A$4:$A$10003, 0)))</f>
        <v/>
      </c>
      <c r="E62" t="str">
        <f>IF(A62="", "", INDEX(BASE!$E$4:$E$10003, MATCH(A62, BASE!$A$4:$A$10003, 0)))</f>
        <v/>
      </c>
    </row>
    <row r="63" spans="1:5">
      <c r="A63" t="str">
        <f>IFERROR(INDEX(BASE!$A$4:$A$10003, MATCH(0, COUNTIF($A$1:A62, BASE!$A$4:$A$10003&amp;""), 0)), "")</f>
        <v/>
      </c>
      <c r="B63" t="str">
        <f>IF(A63="", "", VLOOKUP(A63, BASE!$A$4:$B$10003, 2, FALSE))</f>
        <v/>
      </c>
      <c r="C63" t="str">
        <f>IF(A63="", "", SUMIF(BASE!$A$4:$A$10003, A63, BASE!$C$4:$C$10003))</f>
        <v/>
      </c>
      <c r="D63" t="str">
        <f>IF(A63="", "", INDEX(BASE!$D$4:$D$10003, MATCH(A63, BASE!$A$4:$A$10003, 0)))</f>
        <v/>
      </c>
      <c r="E63" t="str">
        <f>IF(A63="", "", INDEX(BASE!$E$4:$E$10003, MATCH(A63, BASE!$A$4:$A$10003, 0)))</f>
        <v/>
      </c>
    </row>
    <row r="64" spans="1:5">
      <c r="A64" t="str">
        <f>IFERROR(INDEX(BASE!$A$4:$A$10003, MATCH(0, COUNTIF($A$1:A63, BASE!$A$4:$A$10003&amp;""), 0)), "")</f>
        <v/>
      </c>
      <c r="B64" t="str">
        <f>IF(A64="", "", VLOOKUP(A64, BASE!$A$4:$B$10003, 2, FALSE))</f>
        <v/>
      </c>
      <c r="C64" t="str">
        <f>IF(A64="", "", SUMIF(BASE!$A$4:$A$10003, A64, BASE!$C$4:$C$10003))</f>
        <v/>
      </c>
      <c r="D64" t="str">
        <f>IF(A64="", "", INDEX(BASE!$D$4:$D$10003, MATCH(A64, BASE!$A$4:$A$10003, 0)))</f>
        <v/>
      </c>
      <c r="E64" t="str">
        <f>IF(A64="", "", INDEX(BASE!$E$4:$E$10003, MATCH(A64, BASE!$A$4:$A$10003, 0)))</f>
        <v/>
      </c>
    </row>
    <row r="65" spans="1:5">
      <c r="A65" t="str">
        <f>IFERROR(INDEX(BASE!$A$4:$A$10003, MATCH(0, COUNTIF($A$1:A64, BASE!$A$4:$A$10003&amp;""), 0)), "")</f>
        <v/>
      </c>
      <c r="B65" t="str">
        <f>IF(A65="", "", VLOOKUP(A65, BASE!$A$4:$B$10003, 2, FALSE))</f>
        <v/>
      </c>
      <c r="C65" t="str">
        <f>IF(A65="", "", SUMIF(BASE!$A$4:$A$10003, A65, BASE!$C$4:$C$10003))</f>
        <v/>
      </c>
      <c r="D65" t="str">
        <f>IF(A65="", "", INDEX(BASE!$D$4:$D$10003, MATCH(A65, BASE!$A$4:$A$10003, 0)))</f>
        <v/>
      </c>
      <c r="E65" t="str">
        <f>IF(A65="", "", INDEX(BASE!$E$4:$E$10003, MATCH(A65, BASE!$A$4:$A$10003, 0)))</f>
        <v/>
      </c>
    </row>
    <row r="66" spans="1:5">
      <c r="A66" t="str">
        <f>IFERROR(INDEX(BASE!$A$4:$A$10003, MATCH(0, COUNTIF($A$1:A65, BASE!$A$4:$A$10003&amp;""), 0)), "")</f>
        <v/>
      </c>
      <c r="B66" t="str">
        <f>IF(A66="", "", VLOOKUP(A66, BASE!$A$4:$B$10003, 2, FALSE))</f>
        <v/>
      </c>
      <c r="C66" t="str">
        <f>IF(A66="", "", SUMIF(BASE!$A$4:$A$10003, A66, BASE!$C$4:$C$10003))</f>
        <v/>
      </c>
      <c r="D66" t="str">
        <f>IF(A66="", "", INDEX(BASE!$D$4:$D$10003, MATCH(A66, BASE!$A$4:$A$10003, 0)))</f>
        <v/>
      </c>
      <c r="E66" t="str">
        <f>IF(A66="", "", INDEX(BASE!$E$4:$E$10003, MATCH(A66, BASE!$A$4:$A$10003, 0)))</f>
        <v/>
      </c>
    </row>
    <row r="67" spans="1:5">
      <c r="A67" t="str">
        <f>IFERROR(INDEX(BASE!$A$4:$A$10003, MATCH(0, COUNTIF($A$1:A66, BASE!$A$4:$A$10003&amp;""), 0)), "")</f>
        <v/>
      </c>
      <c r="B67" t="str">
        <f>IF(A67="", "", VLOOKUP(A67, BASE!$A$4:$B$10003, 2, FALSE))</f>
        <v/>
      </c>
      <c r="C67" t="str">
        <f>IF(A67="", "", SUMIF(BASE!$A$4:$A$10003, A67, BASE!$C$4:$C$10003))</f>
        <v/>
      </c>
      <c r="D67" t="str">
        <f>IF(A67="", "", INDEX(BASE!$D$4:$D$10003, MATCH(A67, BASE!$A$4:$A$10003, 0)))</f>
        <v/>
      </c>
      <c r="E67" t="str">
        <f>IF(A67="", "", INDEX(BASE!$E$4:$E$10003, MATCH(A67, BASE!$A$4:$A$10003, 0)))</f>
        <v/>
      </c>
    </row>
    <row r="68" spans="1:5">
      <c r="A68" t="str">
        <f>IFERROR(INDEX(BASE!$A$4:$A$10003, MATCH(0, COUNTIF($A$1:A67, BASE!$A$4:$A$10003&amp;""), 0)), "")</f>
        <v/>
      </c>
      <c r="B68" t="str">
        <f>IF(A68="", "", VLOOKUP(A68, BASE!$A$4:$B$10003, 2, FALSE))</f>
        <v/>
      </c>
      <c r="C68" t="str">
        <f>IF(A68="", "", SUMIF(BASE!$A$4:$A$10003, A68, BASE!$C$4:$C$10003))</f>
        <v/>
      </c>
      <c r="D68" t="str">
        <f>IF(A68="", "", INDEX(BASE!$D$4:$D$10003, MATCH(A68, BASE!$A$4:$A$10003, 0)))</f>
        <v/>
      </c>
      <c r="E68" t="str">
        <f>IF(A68="", "", INDEX(BASE!$E$4:$E$10003, MATCH(A68, BASE!$A$4:$A$10003, 0)))</f>
        <v/>
      </c>
    </row>
    <row r="69" spans="1:5">
      <c r="A69" t="str">
        <f>IFERROR(INDEX(BASE!$A$4:$A$10003, MATCH(0, COUNTIF($A$1:A68, BASE!$A$4:$A$10003&amp;""), 0)), "")</f>
        <v/>
      </c>
      <c r="B69" t="str">
        <f>IF(A69="", "", VLOOKUP(A69, BASE!$A$4:$B$10003, 2, FALSE))</f>
        <v/>
      </c>
      <c r="C69" t="str">
        <f>IF(A69="", "", SUMIF(BASE!$A$4:$A$10003, A69, BASE!$C$4:$C$10003))</f>
        <v/>
      </c>
      <c r="D69" t="str">
        <f>IF(A69="", "", INDEX(BASE!$D$4:$D$10003, MATCH(A69, BASE!$A$4:$A$10003, 0)))</f>
        <v/>
      </c>
      <c r="E69" t="str">
        <f>IF(A69="", "", INDEX(BASE!$E$4:$E$10003, MATCH(A69, BASE!$A$4:$A$10003, 0)))</f>
        <v/>
      </c>
    </row>
    <row r="70" spans="1:5">
      <c r="A70" t="str">
        <f>IFERROR(INDEX(BASE!$A$4:$A$10003, MATCH(0, COUNTIF($A$1:A69, BASE!$A$4:$A$10003&amp;""), 0)), "")</f>
        <v/>
      </c>
      <c r="B70" t="str">
        <f>IF(A70="", "", VLOOKUP(A70, BASE!$A$4:$B$10003, 2, FALSE))</f>
        <v/>
      </c>
      <c r="C70" t="str">
        <f>IF(A70="", "", SUMIF(BASE!$A$4:$A$10003, A70, BASE!$C$4:$C$10003))</f>
        <v/>
      </c>
      <c r="D70" t="str">
        <f>IF(A70="", "", INDEX(BASE!$D$4:$D$10003, MATCH(A70, BASE!$A$4:$A$10003, 0)))</f>
        <v/>
      </c>
      <c r="E70" t="str">
        <f>IF(A70="", "", INDEX(BASE!$E$4:$E$10003, MATCH(A70, BASE!$A$4:$A$10003, 0)))</f>
        <v/>
      </c>
    </row>
    <row r="71" spans="1:5">
      <c r="A71" t="str">
        <f>IFERROR(INDEX(BASE!$A$4:$A$10003, MATCH(0, COUNTIF($A$1:A70, BASE!$A$4:$A$10003&amp;""), 0)), "")</f>
        <v/>
      </c>
      <c r="B71" t="str">
        <f>IF(A71="", "", VLOOKUP(A71, BASE!$A$4:$B$10003, 2, FALSE))</f>
        <v/>
      </c>
      <c r="C71" t="str">
        <f>IF(A71="", "", SUMIF(BASE!$A$4:$A$10003, A71, BASE!$C$4:$C$10003))</f>
        <v/>
      </c>
      <c r="D71" t="str">
        <f>IF(A71="", "", INDEX(BASE!$D$4:$D$10003, MATCH(A71, BASE!$A$4:$A$10003, 0)))</f>
        <v/>
      </c>
      <c r="E71" t="str">
        <f>IF(A71="", "", INDEX(BASE!$E$4:$E$10003, MATCH(A71, BASE!$A$4:$A$10003, 0)))</f>
        <v/>
      </c>
    </row>
    <row r="72" spans="1:5">
      <c r="A72" t="str">
        <f>IFERROR(INDEX(BASE!$A$4:$A$10003, MATCH(0, COUNTIF($A$1:A71, BASE!$A$4:$A$10003&amp;""), 0)), "")</f>
        <v/>
      </c>
      <c r="B72" t="str">
        <f>IF(A72="", "", VLOOKUP(A72, BASE!$A$4:$B$10003, 2, FALSE))</f>
        <v/>
      </c>
      <c r="C72" t="str">
        <f>IF(A72="", "", SUMIF(BASE!$A$4:$A$10003, A72, BASE!$C$4:$C$10003))</f>
        <v/>
      </c>
      <c r="D72" t="str">
        <f>IF(A72="", "", INDEX(BASE!$D$4:$D$10003, MATCH(A72, BASE!$A$4:$A$10003, 0)))</f>
        <v/>
      </c>
      <c r="E72" t="str">
        <f>IF(A72="", "", INDEX(BASE!$E$4:$E$10003, MATCH(A72, BASE!$A$4:$A$10003, 0)))</f>
        <v/>
      </c>
    </row>
    <row r="73" spans="1:5">
      <c r="A73" t="str">
        <f>IFERROR(INDEX(BASE!$A$4:$A$10003, MATCH(0, COUNTIF($A$1:A72, BASE!$A$4:$A$10003&amp;""), 0)), "")</f>
        <v/>
      </c>
      <c r="B73" t="str">
        <f>IF(A73="", "", VLOOKUP(A73, BASE!$A$4:$B$10003, 2, FALSE))</f>
        <v/>
      </c>
      <c r="C73" t="str">
        <f>IF(A73="", "", SUMIF(BASE!$A$4:$A$10003, A73, BASE!$C$4:$C$10003))</f>
        <v/>
      </c>
      <c r="D73" t="str">
        <f>IF(A73="", "", INDEX(BASE!$D$4:$D$10003, MATCH(A73, BASE!$A$4:$A$10003, 0)))</f>
        <v/>
      </c>
      <c r="E73" t="str">
        <f>IF(A73="", "", INDEX(BASE!$E$4:$E$10003, MATCH(A73, BASE!$A$4:$A$10003, 0)))</f>
        <v/>
      </c>
    </row>
    <row r="74" spans="1:5">
      <c r="A74" t="str">
        <f>IFERROR(INDEX(BASE!$A$4:$A$10003, MATCH(0, COUNTIF($A$1:A73, BASE!$A$4:$A$10003&amp;""), 0)), "")</f>
        <v/>
      </c>
      <c r="B74" t="str">
        <f>IF(A74="", "", VLOOKUP(A74, BASE!$A$4:$B$10003, 2, FALSE))</f>
        <v/>
      </c>
      <c r="C74" t="str">
        <f>IF(A74="", "", SUMIF(BASE!$A$4:$A$10003, A74, BASE!$C$4:$C$10003))</f>
        <v/>
      </c>
      <c r="D74" t="str">
        <f>IF(A74="", "", INDEX(BASE!$D$4:$D$10003, MATCH(A74, BASE!$A$4:$A$10003, 0)))</f>
        <v/>
      </c>
      <c r="E74" t="str">
        <f>IF(A74="", "", INDEX(BASE!$E$4:$E$10003, MATCH(A74, BASE!$A$4:$A$10003, 0)))</f>
        <v/>
      </c>
    </row>
    <row r="75" spans="1:5">
      <c r="A75" t="str">
        <f>IFERROR(INDEX(BASE!$A$4:$A$10003, MATCH(0, COUNTIF($A$1:A74, BASE!$A$4:$A$10003&amp;""), 0)), "")</f>
        <v/>
      </c>
      <c r="B75" t="str">
        <f>IF(A75="", "", VLOOKUP(A75, BASE!$A$4:$B$10003, 2, FALSE))</f>
        <v/>
      </c>
      <c r="C75" t="str">
        <f>IF(A75="", "", SUMIF(BASE!$A$4:$A$10003, A75, BASE!$C$4:$C$10003))</f>
        <v/>
      </c>
      <c r="D75" t="str">
        <f>IF(A75="", "", INDEX(BASE!$D$4:$D$10003, MATCH(A75, BASE!$A$4:$A$10003, 0)))</f>
        <v/>
      </c>
      <c r="E75" t="str">
        <f>IF(A75="", "", INDEX(BASE!$E$4:$E$10003, MATCH(A75, BASE!$A$4:$A$10003, 0)))</f>
        <v/>
      </c>
    </row>
    <row r="76" spans="1:5">
      <c r="A76" t="str">
        <f>IFERROR(INDEX(BASE!$A$4:$A$10003, MATCH(0, COUNTIF($A$1:A75, BASE!$A$4:$A$10003&amp;""), 0)), "")</f>
        <v/>
      </c>
      <c r="B76" t="str">
        <f>IF(A76="", "", VLOOKUP(A76, BASE!$A$4:$B$10003, 2, FALSE))</f>
        <v/>
      </c>
      <c r="C76" t="str">
        <f>IF(A76="", "", SUMIF(BASE!$A$4:$A$10003, A76, BASE!$C$4:$C$10003))</f>
        <v/>
      </c>
      <c r="D76" t="str">
        <f>IF(A76="", "", INDEX(BASE!$D$4:$D$10003, MATCH(A76, BASE!$A$4:$A$10003, 0)))</f>
        <v/>
      </c>
      <c r="E76" t="str">
        <f>IF(A76="", "", INDEX(BASE!$E$4:$E$10003, MATCH(A76, BASE!$A$4:$A$10003, 0)))</f>
        <v/>
      </c>
    </row>
    <row r="77" spans="1:5">
      <c r="A77" t="str">
        <f>IFERROR(INDEX(BASE!$A$4:$A$10003, MATCH(0, COUNTIF($A$1:A76, BASE!$A$4:$A$10003&amp;""), 0)), "")</f>
        <v/>
      </c>
      <c r="B77" t="str">
        <f>IF(A77="", "", VLOOKUP(A77, BASE!$A$4:$B$10003, 2, FALSE))</f>
        <v/>
      </c>
      <c r="C77" t="str">
        <f>IF(A77="", "", SUMIF(BASE!$A$4:$A$10003, A77, BASE!$C$4:$C$10003))</f>
        <v/>
      </c>
      <c r="D77" t="str">
        <f>IF(A77="", "", INDEX(BASE!$D$4:$D$10003, MATCH(A77, BASE!$A$4:$A$10003, 0)))</f>
        <v/>
      </c>
      <c r="E77" t="str">
        <f>IF(A77="", "", INDEX(BASE!$E$4:$E$10003, MATCH(A77, BASE!$A$4:$A$10003, 0)))</f>
        <v/>
      </c>
    </row>
    <row r="78" spans="1:5">
      <c r="A78" t="str">
        <f>IFERROR(INDEX(BASE!$A$4:$A$10003, MATCH(0, COUNTIF($A$1:A77, BASE!$A$4:$A$10003&amp;""), 0)), "")</f>
        <v/>
      </c>
      <c r="B78" t="str">
        <f>IF(A78="", "", VLOOKUP(A78, BASE!$A$4:$B$10003, 2, FALSE))</f>
        <v/>
      </c>
      <c r="C78" t="str">
        <f>IF(A78="", "", SUMIF(BASE!$A$4:$A$10003, A78, BASE!$C$4:$C$10003))</f>
        <v/>
      </c>
      <c r="D78" t="str">
        <f>IF(A78="", "", INDEX(BASE!$D$4:$D$10003, MATCH(A78, BASE!$A$4:$A$10003, 0)))</f>
        <v/>
      </c>
      <c r="E78" t="str">
        <f>IF(A78="", "", INDEX(BASE!$E$4:$E$10003, MATCH(A78, BASE!$A$4:$A$10003, 0)))</f>
        <v/>
      </c>
    </row>
    <row r="79" spans="1:5">
      <c r="A79" t="str">
        <f>IFERROR(INDEX(BASE!$A$4:$A$10003, MATCH(0, COUNTIF($A$1:A78, BASE!$A$4:$A$10003&amp;""), 0)), "")</f>
        <v/>
      </c>
      <c r="B79" t="str">
        <f>IF(A79="", "", VLOOKUP(A79, BASE!$A$4:$B$10003, 2, FALSE))</f>
        <v/>
      </c>
      <c r="C79" t="str">
        <f>IF(A79="", "", SUMIF(BASE!$A$4:$A$10003, A79, BASE!$C$4:$C$10003))</f>
        <v/>
      </c>
      <c r="D79" t="str">
        <f>IF(A79="", "", INDEX(BASE!$D$4:$D$10003, MATCH(A79, BASE!$A$4:$A$10003, 0)))</f>
        <v/>
      </c>
      <c r="E79" t="str">
        <f>IF(A79="", "", INDEX(BASE!$E$4:$E$10003, MATCH(A79, BASE!$A$4:$A$10003, 0)))</f>
        <v/>
      </c>
    </row>
    <row r="80" spans="1:5">
      <c r="A80" t="str">
        <f>IFERROR(INDEX(BASE!$A$4:$A$10003, MATCH(0, COUNTIF($A$1:A79, BASE!$A$4:$A$10003&amp;""), 0)), "")</f>
        <v/>
      </c>
      <c r="B80" t="str">
        <f>IF(A80="", "", VLOOKUP(A80, BASE!$A$4:$B$10003, 2, FALSE))</f>
        <v/>
      </c>
      <c r="C80" t="str">
        <f>IF(A80="", "", SUMIF(BASE!$A$4:$A$10003, A80, BASE!$C$4:$C$10003))</f>
        <v/>
      </c>
      <c r="D80" t="str">
        <f>IF(A80="", "", INDEX(BASE!$D$4:$D$10003, MATCH(A80, BASE!$A$4:$A$10003, 0)))</f>
        <v/>
      </c>
      <c r="E80" t="str">
        <f>IF(A80="", "", INDEX(BASE!$E$4:$E$10003, MATCH(A80, BASE!$A$4:$A$10003, 0)))</f>
        <v/>
      </c>
    </row>
    <row r="81" spans="1:5">
      <c r="A81" t="str">
        <f>IFERROR(INDEX(BASE!$A$4:$A$10003, MATCH(0, COUNTIF($A$1:A80, BASE!$A$4:$A$10003&amp;""), 0)), "")</f>
        <v/>
      </c>
      <c r="B81" t="str">
        <f>IF(A81="", "", VLOOKUP(A81, BASE!$A$4:$B$10003, 2, FALSE))</f>
        <v/>
      </c>
      <c r="C81" t="str">
        <f>IF(A81="", "", SUMIF(BASE!$A$4:$A$10003, A81, BASE!$C$4:$C$10003))</f>
        <v/>
      </c>
      <c r="D81" t="str">
        <f>IF(A81="", "", INDEX(BASE!$D$4:$D$10003, MATCH(A81, BASE!$A$4:$A$10003, 0)))</f>
        <v/>
      </c>
      <c r="E81" t="str">
        <f>IF(A81="", "", INDEX(BASE!$E$4:$E$10003, MATCH(A81, BASE!$A$4:$A$10003, 0)))</f>
        <v/>
      </c>
    </row>
    <row r="82" spans="1:5">
      <c r="A82" t="str">
        <f>IFERROR(INDEX(BASE!$A$4:$A$10003, MATCH(0, COUNTIF($A$1:A81, BASE!$A$4:$A$10003&amp;""), 0)), "")</f>
        <v/>
      </c>
      <c r="B82" t="str">
        <f>IF(A82="", "", VLOOKUP(A82, BASE!$A$4:$B$10003, 2, FALSE))</f>
        <v/>
      </c>
      <c r="C82" t="str">
        <f>IF(A82="", "", SUMIF(BASE!$A$4:$A$10003, A82, BASE!$C$4:$C$10003))</f>
        <v/>
      </c>
      <c r="D82" t="str">
        <f>IF(A82="", "", INDEX(BASE!$D$4:$D$10003, MATCH(A82, BASE!$A$4:$A$10003, 0)))</f>
        <v/>
      </c>
      <c r="E82" t="str">
        <f>IF(A82="", "", INDEX(BASE!$E$4:$E$10003, MATCH(A82, BASE!$A$4:$A$10003, 0)))</f>
        <v/>
      </c>
    </row>
    <row r="83" spans="1:5">
      <c r="A83" t="str">
        <f>IFERROR(INDEX(BASE!$A$4:$A$10003, MATCH(0, COUNTIF($A$1:A82, BASE!$A$4:$A$10003&amp;""), 0)), "")</f>
        <v/>
      </c>
      <c r="B83" t="str">
        <f>IF(A83="", "", VLOOKUP(A83, BASE!$A$4:$B$10003, 2, FALSE))</f>
        <v/>
      </c>
      <c r="C83" t="str">
        <f>IF(A83="", "", SUMIF(BASE!$A$4:$A$10003, A83, BASE!$C$4:$C$10003))</f>
        <v/>
      </c>
      <c r="D83" t="str">
        <f>IF(A83="", "", INDEX(BASE!$D$4:$D$10003, MATCH(A83, BASE!$A$4:$A$10003, 0)))</f>
        <v/>
      </c>
      <c r="E83" t="str">
        <f>IF(A83="", "", INDEX(BASE!$E$4:$E$10003, MATCH(A83, BASE!$A$4:$A$10003, 0)))</f>
        <v/>
      </c>
    </row>
    <row r="84" spans="1:5">
      <c r="A84" t="str">
        <f>IFERROR(INDEX(BASE!$A$4:$A$10003, MATCH(0, COUNTIF($A$1:A83, BASE!$A$4:$A$10003&amp;""), 0)), "")</f>
        <v/>
      </c>
      <c r="B84" t="str">
        <f>IF(A84="", "", VLOOKUP(A84, BASE!$A$4:$B$10003, 2, FALSE))</f>
        <v/>
      </c>
      <c r="C84" t="str">
        <f>IF(A84="", "", SUMIF(BASE!$A$4:$A$10003, A84, BASE!$C$4:$C$10003))</f>
        <v/>
      </c>
      <c r="D84" t="str">
        <f>IF(A84="", "", INDEX(BASE!$D$4:$D$10003, MATCH(A84, BASE!$A$4:$A$10003, 0)))</f>
        <v/>
      </c>
      <c r="E84" t="str">
        <f>IF(A84="", "", INDEX(BASE!$E$4:$E$10003, MATCH(A84, BASE!$A$4:$A$10003, 0)))</f>
        <v/>
      </c>
    </row>
    <row r="85" spans="1:5">
      <c r="A85" t="str">
        <f>IFERROR(INDEX(BASE!$A$4:$A$10003, MATCH(0, COUNTIF($A$1:A84, BASE!$A$4:$A$10003&amp;""), 0)), "")</f>
        <v/>
      </c>
      <c r="B85" t="str">
        <f>IF(A85="", "", VLOOKUP(A85, BASE!$A$4:$B$10003, 2, FALSE))</f>
        <v/>
      </c>
      <c r="C85" t="str">
        <f>IF(A85="", "", SUMIF(BASE!$A$4:$A$10003, A85, BASE!$C$4:$C$10003))</f>
        <v/>
      </c>
      <c r="D85" t="str">
        <f>IF(A85="", "", INDEX(BASE!$D$4:$D$10003, MATCH(A85, BASE!$A$4:$A$10003, 0)))</f>
        <v/>
      </c>
      <c r="E85" t="str">
        <f>IF(A85="", "", INDEX(BASE!$E$4:$E$10003, MATCH(A85, BASE!$A$4:$A$10003, 0)))</f>
        <v/>
      </c>
    </row>
    <row r="86" spans="1:5">
      <c r="A86" t="str">
        <f>IFERROR(INDEX(BASE!$A$4:$A$10003, MATCH(0, COUNTIF($A$1:A85, BASE!$A$4:$A$10003&amp;""), 0)), "")</f>
        <v/>
      </c>
      <c r="B86" t="str">
        <f>IF(A86="", "", VLOOKUP(A86, BASE!$A$4:$B$10003, 2, FALSE))</f>
        <v/>
      </c>
      <c r="C86" t="str">
        <f>IF(A86="", "", SUMIF(BASE!$A$4:$A$10003, A86, BASE!$C$4:$C$10003))</f>
        <v/>
      </c>
      <c r="D86" t="str">
        <f>IF(A86="", "", INDEX(BASE!$D$4:$D$10003, MATCH(A86, BASE!$A$4:$A$10003, 0)))</f>
        <v/>
      </c>
      <c r="E86" t="str">
        <f>IF(A86="", "", INDEX(BASE!$E$4:$E$10003, MATCH(A86, BASE!$A$4:$A$10003, 0)))</f>
        <v/>
      </c>
    </row>
    <row r="87" spans="1:5">
      <c r="A87" t="str">
        <f>IFERROR(INDEX(BASE!$A$4:$A$10003, MATCH(0, COUNTIF($A$1:A86, BASE!$A$4:$A$10003&amp;""), 0)), "")</f>
        <v/>
      </c>
      <c r="B87" t="str">
        <f>IF(A87="", "", VLOOKUP(A87, BASE!$A$4:$B$10003, 2, FALSE))</f>
        <v/>
      </c>
      <c r="C87" t="str">
        <f>IF(A87="", "", SUMIF(BASE!$A$4:$A$10003, A87, BASE!$C$4:$C$10003))</f>
        <v/>
      </c>
      <c r="D87" t="str">
        <f>IF(A87="", "", INDEX(BASE!$D$4:$D$10003, MATCH(A87, BASE!$A$4:$A$10003, 0)))</f>
        <v/>
      </c>
      <c r="E87" t="str">
        <f>IF(A87="", "", INDEX(BASE!$E$4:$E$10003, MATCH(A87, BASE!$A$4:$A$10003, 0)))</f>
        <v/>
      </c>
    </row>
    <row r="88" spans="1:5">
      <c r="A88" t="str">
        <f>IFERROR(INDEX(BASE!$A$4:$A$10003, MATCH(0, COUNTIF($A$1:A87, BASE!$A$4:$A$10003&amp;""), 0)), "")</f>
        <v/>
      </c>
      <c r="B88" t="str">
        <f>IF(A88="", "", VLOOKUP(A88, BASE!$A$4:$B$10003, 2, FALSE))</f>
        <v/>
      </c>
      <c r="C88" t="str">
        <f>IF(A88="", "", SUMIF(BASE!$A$4:$A$10003, A88, BASE!$C$4:$C$10003))</f>
        <v/>
      </c>
      <c r="D88" t="str">
        <f>IF(A88="", "", INDEX(BASE!$D$4:$D$10003, MATCH(A88, BASE!$A$4:$A$10003, 0)))</f>
        <v/>
      </c>
      <c r="E88" t="str">
        <f>IF(A88="", "", INDEX(BASE!$E$4:$E$10003, MATCH(A88, BASE!$A$4:$A$10003, 0)))</f>
        <v/>
      </c>
    </row>
    <row r="89" spans="1:5">
      <c r="A89" t="str">
        <f>IFERROR(INDEX(BASE!$A$4:$A$10003, MATCH(0, COUNTIF($A$1:A88, BASE!$A$4:$A$10003&amp;""), 0)), "")</f>
        <v/>
      </c>
      <c r="B89" t="str">
        <f>IF(A89="", "", VLOOKUP(A89, BASE!$A$4:$B$10003, 2, FALSE))</f>
        <v/>
      </c>
      <c r="C89" t="str">
        <f>IF(A89="", "", SUMIF(BASE!$A$4:$A$10003, A89, BASE!$C$4:$C$10003))</f>
        <v/>
      </c>
      <c r="D89" t="str">
        <f>IF(A89="", "", INDEX(BASE!$D$4:$D$10003, MATCH(A89, BASE!$A$4:$A$10003, 0)))</f>
        <v/>
      </c>
      <c r="E89" t="str">
        <f>IF(A89="", "", INDEX(BASE!$E$4:$E$10003, MATCH(A89, BASE!$A$4:$A$10003, 0)))</f>
        <v/>
      </c>
    </row>
    <row r="90" spans="1:5">
      <c r="A90" t="str">
        <f>IFERROR(INDEX(BASE!$A$4:$A$10003, MATCH(0, COUNTIF($A$1:A89, BASE!$A$4:$A$10003&amp;""), 0)), "")</f>
        <v/>
      </c>
      <c r="B90" t="str">
        <f>IF(A90="", "", VLOOKUP(A90, BASE!$A$4:$B$10003, 2, FALSE))</f>
        <v/>
      </c>
      <c r="C90" t="str">
        <f>IF(A90="", "", SUMIF(BASE!$A$4:$A$10003, A90, BASE!$C$4:$C$10003))</f>
        <v/>
      </c>
      <c r="D90" t="str">
        <f>IF(A90="", "", INDEX(BASE!$D$4:$D$10003, MATCH(A90, BASE!$A$4:$A$10003, 0)))</f>
        <v/>
      </c>
      <c r="E90" t="str">
        <f>IF(A90="", "", INDEX(BASE!$E$4:$E$10003, MATCH(A90, BASE!$A$4:$A$10003, 0)))</f>
        <v/>
      </c>
    </row>
    <row r="91" spans="1:5">
      <c r="A91" t="str">
        <f>IFERROR(INDEX(BASE!$A$4:$A$10003, MATCH(0, COUNTIF($A$1:A90, BASE!$A$4:$A$10003&amp;""), 0)), "")</f>
        <v/>
      </c>
      <c r="B91" t="str">
        <f>IF(A91="", "", VLOOKUP(A91, BASE!$A$4:$B$10003, 2, FALSE))</f>
        <v/>
      </c>
      <c r="C91" t="str">
        <f>IF(A91="", "", SUMIF(BASE!$A$4:$A$10003, A91, BASE!$C$4:$C$10003))</f>
        <v/>
      </c>
      <c r="D91" t="str">
        <f>IF(A91="", "", INDEX(BASE!$D$4:$D$10003, MATCH(A91, BASE!$A$4:$A$10003, 0)))</f>
        <v/>
      </c>
      <c r="E91" t="str">
        <f>IF(A91="", "", INDEX(BASE!$E$4:$E$10003, MATCH(A91, BASE!$A$4:$A$10003, 0)))</f>
        <v/>
      </c>
    </row>
    <row r="92" spans="1:5">
      <c r="A92" t="str">
        <f>IFERROR(INDEX(BASE!$A$4:$A$10003, MATCH(0, COUNTIF($A$1:A91, BASE!$A$4:$A$10003&amp;""), 0)), "")</f>
        <v/>
      </c>
      <c r="B92" t="str">
        <f>IF(A92="", "", VLOOKUP(A92, BASE!$A$4:$B$10003, 2, FALSE))</f>
        <v/>
      </c>
      <c r="C92" t="str">
        <f>IF(A92="", "", SUMIF(BASE!$A$4:$A$10003, A92, BASE!$C$4:$C$10003))</f>
        <v/>
      </c>
      <c r="D92" t="str">
        <f>IF(A92="", "", INDEX(BASE!$D$4:$D$10003, MATCH(A92, BASE!$A$4:$A$10003, 0)))</f>
        <v/>
      </c>
      <c r="E92" t="str">
        <f>IF(A92="", "", INDEX(BASE!$E$4:$E$10003, MATCH(A92, BASE!$A$4:$A$10003, 0)))</f>
        <v/>
      </c>
    </row>
    <row r="93" spans="1:5">
      <c r="A93" t="str">
        <f>IFERROR(INDEX(BASE!$A$4:$A$10003, MATCH(0, COUNTIF($A$1:A92, BASE!$A$4:$A$10003&amp;""), 0)), "")</f>
        <v/>
      </c>
      <c r="B93" t="str">
        <f>IF(A93="", "", VLOOKUP(A93, BASE!$A$4:$B$10003, 2, FALSE))</f>
        <v/>
      </c>
      <c r="C93" t="str">
        <f>IF(A93="", "", SUMIF(BASE!$A$4:$A$10003, A93, BASE!$C$4:$C$10003))</f>
        <v/>
      </c>
      <c r="D93" t="str">
        <f>IF(A93="", "", INDEX(BASE!$D$4:$D$10003, MATCH(A93, BASE!$A$4:$A$10003, 0)))</f>
        <v/>
      </c>
      <c r="E93" t="str">
        <f>IF(A93="", "", INDEX(BASE!$E$4:$E$10003, MATCH(A93, BASE!$A$4:$A$10003, 0)))</f>
        <v/>
      </c>
    </row>
    <row r="94" spans="1:5">
      <c r="A94" t="str">
        <f>IFERROR(INDEX(BASE!$A$4:$A$10003, MATCH(0, COUNTIF($A$1:A93, BASE!$A$4:$A$10003&amp;""), 0)), "")</f>
        <v/>
      </c>
      <c r="B94" t="str">
        <f>IF(A94="", "", VLOOKUP(A94, BASE!$A$4:$B$10003, 2, FALSE))</f>
        <v/>
      </c>
      <c r="C94" t="str">
        <f>IF(A94="", "", SUMIF(BASE!$A$4:$A$10003, A94, BASE!$C$4:$C$10003))</f>
        <v/>
      </c>
      <c r="D94" t="str">
        <f>IF(A94="", "", INDEX(BASE!$D$4:$D$10003, MATCH(A94, BASE!$A$4:$A$10003, 0)))</f>
        <v/>
      </c>
      <c r="E94" t="str">
        <f>IF(A94="", "", INDEX(BASE!$E$4:$E$10003, MATCH(A94, BASE!$A$4:$A$10003, 0)))</f>
        <v/>
      </c>
    </row>
    <row r="95" spans="1:5">
      <c r="A95" t="str">
        <f>IFERROR(INDEX(BASE!$A$4:$A$10003, MATCH(0, COUNTIF($A$1:A94, BASE!$A$4:$A$10003&amp;""), 0)), "")</f>
        <v/>
      </c>
      <c r="B95" t="str">
        <f>IF(A95="", "", VLOOKUP(A95, BASE!$A$4:$B$10003, 2, FALSE))</f>
        <v/>
      </c>
      <c r="C95" t="str">
        <f>IF(A95="", "", SUMIF(BASE!$A$4:$A$10003, A95, BASE!$C$4:$C$10003))</f>
        <v/>
      </c>
      <c r="D95" t="str">
        <f>IF(A95="", "", INDEX(BASE!$D$4:$D$10003, MATCH(A95, BASE!$A$4:$A$10003, 0)))</f>
        <v/>
      </c>
      <c r="E95" t="str">
        <f>IF(A95="", "", INDEX(BASE!$E$4:$E$10003, MATCH(A95, BASE!$A$4:$A$10003, 0)))</f>
        <v/>
      </c>
    </row>
    <row r="96" spans="1:5">
      <c r="A96" t="str">
        <f>IFERROR(INDEX(BASE!$A$4:$A$10003, MATCH(0, COUNTIF($A$1:A95, BASE!$A$4:$A$10003&amp;""), 0)), "")</f>
        <v/>
      </c>
      <c r="B96" t="str">
        <f>IF(A96="", "", VLOOKUP(A96, BASE!$A$4:$B$10003, 2, FALSE))</f>
        <v/>
      </c>
      <c r="C96" t="str">
        <f>IF(A96="", "", SUMIF(BASE!$A$4:$A$10003, A96, BASE!$C$4:$C$10003))</f>
        <v/>
      </c>
      <c r="D96" t="str">
        <f>IF(A96="", "", INDEX(BASE!$D$4:$D$10003, MATCH(A96, BASE!$A$4:$A$10003, 0)))</f>
        <v/>
      </c>
      <c r="E96" t="str">
        <f>IF(A96="", "", INDEX(BASE!$E$4:$E$10003, MATCH(A96, BASE!$A$4:$A$10003, 0)))</f>
        <v/>
      </c>
    </row>
    <row r="97" spans="1:5">
      <c r="A97" t="str">
        <f>IFERROR(INDEX(BASE!$A$4:$A$10003, MATCH(0, COUNTIF($A$1:A96, BASE!$A$4:$A$10003&amp;""), 0)), "")</f>
        <v/>
      </c>
      <c r="B97" t="str">
        <f>IF(A97="", "", VLOOKUP(A97, BASE!$A$4:$B$10003, 2, FALSE))</f>
        <v/>
      </c>
      <c r="C97" t="str">
        <f>IF(A97="", "", SUMIF(BASE!$A$4:$A$10003, A97, BASE!$C$4:$C$10003))</f>
        <v/>
      </c>
      <c r="D97" t="str">
        <f>IF(A97="", "", INDEX(BASE!$D$4:$D$10003, MATCH(A97, BASE!$A$4:$A$10003, 0)))</f>
        <v/>
      </c>
      <c r="E97" t="str">
        <f>IF(A97="", "", INDEX(BASE!$E$4:$E$10003, MATCH(A97, BASE!$A$4:$A$10003, 0)))</f>
        <v/>
      </c>
    </row>
    <row r="98" spans="1:5">
      <c r="A98" t="str">
        <f>IFERROR(INDEX(BASE!$A$4:$A$10003, MATCH(0, COUNTIF($A$1:A97, BASE!$A$4:$A$10003&amp;""), 0)), "")</f>
        <v/>
      </c>
      <c r="B98" t="str">
        <f>IF(A98="", "", VLOOKUP(A98, BASE!$A$4:$B$10003, 2, FALSE))</f>
        <v/>
      </c>
      <c r="C98" t="str">
        <f>IF(A98="", "", SUMIF(BASE!$A$4:$A$10003, A98, BASE!$C$4:$C$10003))</f>
        <v/>
      </c>
      <c r="D98" t="str">
        <f>IF(A98="", "", INDEX(BASE!$D$4:$D$10003, MATCH(A98, BASE!$A$4:$A$10003, 0)))</f>
        <v/>
      </c>
      <c r="E98" t="str">
        <f>IF(A98="", "", INDEX(BASE!$E$4:$E$10003, MATCH(A98, BASE!$A$4:$A$10003, 0)))</f>
        <v/>
      </c>
    </row>
    <row r="99" spans="1:5">
      <c r="A99" t="str">
        <f>IFERROR(INDEX(BASE!$A$4:$A$10003, MATCH(0, COUNTIF($A$1:A98, BASE!$A$4:$A$10003&amp;""), 0)), "")</f>
        <v/>
      </c>
      <c r="B99" t="str">
        <f>IF(A99="", "", VLOOKUP(A99, BASE!$A$4:$B$10003, 2, FALSE))</f>
        <v/>
      </c>
      <c r="C99" t="str">
        <f>IF(A99="", "", SUMIF(BASE!$A$4:$A$10003, A99, BASE!$C$4:$C$10003))</f>
        <v/>
      </c>
      <c r="D99" t="str">
        <f>IF(A99="", "", INDEX(BASE!$D$4:$D$10003, MATCH(A99, BASE!$A$4:$A$10003, 0)))</f>
        <v/>
      </c>
      <c r="E99" t="str">
        <f>IF(A99="", "", INDEX(BASE!$E$4:$E$10003, MATCH(A99, BASE!$A$4:$A$10003, 0)))</f>
        <v/>
      </c>
    </row>
    <row r="100" spans="1:5">
      <c r="A100" t="str">
        <f>IFERROR(INDEX(BASE!$A$4:$A$10003, MATCH(0, COUNTIF($A$1:A99, BASE!$A$4:$A$10003&amp;""), 0)), "")</f>
        <v/>
      </c>
      <c r="B100" t="str">
        <f>IF(A100="", "", VLOOKUP(A100, BASE!$A$4:$B$10003, 2, FALSE))</f>
        <v/>
      </c>
      <c r="C100" t="str">
        <f>IF(A100="", "", SUMIF(BASE!$A$4:$A$10003, A100, BASE!$C$4:$C$10003))</f>
        <v/>
      </c>
      <c r="D100" t="str">
        <f>IF(A100="", "", INDEX(BASE!$D$4:$D$10003, MATCH(A100, BASE!$A$4:$A$10003, 0)))</f>
        <v/>
      </c>
      <c r="E100" t="str">
        <f>IF(A100="", "", INDEX(BASE!$E$4:$E$10003, MATCH(A100, BASE!$A$4:$A$10003, 0)))</f>
        <v/>
      </c>
    </row>
    <row r="101" spans="1:5">
      <c r="A101" t="str">
        <f>IFERROR(INDEX(BASE!$A$4:$A$10003, MATCH(0, COUNTIF($A$1:A100, BASE!$A$4:$A$10003&amp;""), 0)), "")</f>
        <v/>
      </c>
      <c r="B101" t="str">
        <f>IF(A101="", "", VLOOKUP(A101, BASE!$A$4:$B$10003, 2, FALSE))</f>
        <v/>
      </c>
      <c r="C101" t="str">
        <f>IF(A101="", "", SUMIF(BASE!$A$4:$A$10003, A101, BASE!$C$4:$C$10003))</f>
        <v/>
      </c>
      <c r="D101" t="str">
        <f>IF(A101="", "", INDEX(BASE!$D$4:$D$10003, MATCH(A101, BASE!$A$4:$A$10003, 0)))</f>
        <v/>
      </c>
      <c r="E101" t="str">
        <f>IF(A101="", "", INDEX(BASE!$E$4:$E$10003, MATCH(A101, BASE!$A$4:$A$10003, 0)))</f>
        <v/>
      </c>
    </row>
    <row r="102" spans="1:5">
      <c r="A102" t="str">
        <f>IFERROR(INDEX(BASE!$A$4:$A$10003, MATCH(0, COUNTIF($A$1:A101, BASE!$A$4:$A$10003&amp;""), 0)), "")</f>
        <v/>
      </c>
      <c r="B102" t="str">
        <f>IF(A102="", "", VLOOKUP(A102, BASE!$A$4:$B$10003, 2, FALSE))</f>
        <v/>
      </c>
      <c r="C102" t="str">
        <f>IF(A102="", "", SUMIF(BASE!$A$4:$A$10003, A102, BASE!$C$4:$C$10003))</f>
        <v/>
      </c>
      <c r="D102" t="str">
        <f>IF(A102="", "", INDEX(BASE!$D$4:$D$10003, MATCH(A102, BASE!$A$4:$A$10003, 0)))</f>
        <v/>
      </c>
      <c r="E102" t="str">
        <f>IF(A102="", "", INDEX(BASE!$E$4:$E$10003, MATCH(A102, BASE!$A$4:$A$10003, 0)))</f>
        <v/>
      </c>
    </row>
    <row r="103" spans="1:5">
      <c r="A103" t="str">
        <f>IFERROR(INDEX(BASE!$A$4:$A$10003, MATCH(0, COUNTIF($A$1:A102, BASE!$A$4:$A$10003&amp;""), 0)), "")</f>
        <v/>
      </c>
      <c r="B103" t="str">
        <f>IF(A103="", "", VLOOKUP(A103, BASE!$A$4:$B$10003, 2, FALSE))</f>
        <v/>
      </c>
      <c r="C103" t="str">
        <f>IF(A103="", "", SUMIF(BASE!$A$4:$A$10003, A103, BASE!$C$4:$C$10003))</f>
        <v/>
      </c>
      <c r="D103" t="str">
        <f>IF(A103="", "", INDEX(BASE!$D$4:$D$10003, MATCH(A103, BASE!$A$4:$A$10003, 0)))</f>
        <v/>
      </c>
      <c r="E103" t="str">
        <f>IF(A103="", "", INDEX(BASE!$E$4:$E$10003, MATCH(A103, BASE!$A$4:$A$10003, 0)))</f>
        <v/>
      </c>
    </row>
    <row r="104" spans="1:5">
      <c r="A104" t="str">
        <f>IFERROR(INDEX(BASE!$A$4:$A$10003, MATCH(0, COUNTIF($A$1:A103, BASE!$A$4:$A$10003&amp;""), 0)), "")</f>
        <v/>
      </c>
      <c r="B104" t="str">
        <f>IF(A104="", "", VLOOKUP(A104, BASE!$A$4:$B$10003, 2, FALSE))</f>
        <v/>
      </c>
      <c r="C104" t="str">
        <f>IF(A104="", "", SUMIF(BASE!$A$4:$A$10003, A104, BASE!$C$4:$C$10003))</f>
        <v/>
      </c>
      <c r="D104" t="str">
        <f>IF(A104="", "", INDEX(BASE!$D$4:$D$10003, MATCH(A104, BASE!$A$4:$A$10003, 0)))</f>
        <v/>
      </c>
      <c r="E104" t="str">
        <f>IF(A104="", "", INDEX(BASE!$E$4:$E$10003, MATCH(A104, BASE!$A$4:$A$10003, 0)))</f>
        <v/>
      </c>
    </row>
    <row r="105" spans="1:5">
      <c r="A105" t="str">
        <f>IFERROR(INDEX(BASE!$A$4:$A$10003, MATCH(0, COUNTIF($A$1:A104, BASE!$A$4:$A$10003&amp;""), 0)), "")</f>
        <v/>
      </c>
      <c r="B105" t="str">
        <f>IF(A105="", "", VLOOKUP(A105, BASE!$A$4:$B$10003, 2, FALSE))</f>
        <v/>
      </c>
      <c r="C105" t="str">
        <f>IF(A105="", "", SUMIF(BASE!$A$4:$A$10003, A105, BASE!$C$4:$C$10003))</f>
        <v/>
      </c>
      <c r="D105" t="str">
        <f>IF(A105="", "", INDEX(BASE!$D$4:$D$10003, MATCH(A105, BASE!$A$4:$A$10003, 0)))</f>
        <v/>
      </c>
      <c r="E105" t="str">
        <f>IF(A105="", "", INDEX(BASE!$E$4:$E$10003, MATCH(A105, BASE!$A$4:$A$10003, 0)))</f>
        <v/>
      </c>
    </row>
    <row r="106" spans="1:5">
      <c r="A106" t="str">
        <f>IFERROR(INDEX(BASE!$A$4:$A$10003, MATCH(0, COUNTIF($A$1:A105, BASE!$A$4:$A$10003&amp;""), 0)), "")</f>
        <v/>
      </c>
      <c r="B106" t="str">
        <f>IF(A106="", "", VLOOKUP(A106, BASE!$A$4:$B$10003, 2, FALSE))</f>
        <v/>
      </c>
      <c r="C106" t="str">
        <f>IF(A106="", "", SUMIF(BASE!$A$4:$A$10003, A106, BASE!$C$4:$C$10003))</f>
        <v/>
      </c>
      <c r="D106" t="str">
        <f>IF(A106="", "", INDEX(BASE!$D$4:$D$10003, MATCH(A106, BASE!$A$4:$A$10003, 0)))</f>
        <v/>
      </c>
      <c r="E106" t="str">
        <f>IF(A106="", "", INDEX(BASE!$E$4:$E$10003, MATCH(A106, BASE!$A$4:$A$10003, 0)))</f>
        <v/>
      </c>
    </row>
    <row r="107" spans="1:5">
      <c r="A107" t="str">
        <f>IFERROR(INDEX(BASE!$A$4:$A$10003, MATCH(0, COUNTIF($A$1:A106, BASE!$A$4:$A$10003&amp;""), 0)), "")</f>
        <v/>
      </c>
      <c r="B107" t="str">
        <f>IF(A107="", "", VLOOKUP(A107, BASE!$A$4:$B$10003, 2, FALSE))</f>
        <v/>
      </c>
      <c r="C107" t="str">
        <f>IF(A107="", "", SUMIF(BASE!$A$4:$A$10003, A107, BASE!$C$4:$C$10003))</f>
        <v/>
      </c>
      <c r="D107" t="str">
        <f>IF(A107="", "", INDEX(BASE!$D$4:$D$10003, MATCH(A107, BASE!$A$4:$A$10003, 0)))</f>
        <v/>
      </c>
      <c r="E107" t="str">
        <f>IF(A107="", "", INDEX(BASE!$E$4:$E$10003, MATCH(A107, BASE!$A$4:$A$10003, 0)))</f>
        <v/>
      </c>
    </row>
    <row r="108" spans="1:5">
      <c r="A108" t="str">
        <f>IFERROR(INDEX(BASE!$A$4:$A$10003, MATCH(0, COUNTIF($A$1:A107, BASE!$A$4:$A$10003&amp;""), 0)), "")</f>
        <v/>
      </c>
      <c r="B108" t="str">
        <f>IF(A108="", "", VLOOKUP(A108, BASE!$A$4:$B$10003, 2, FALSE))</f>
        <v/>
      </c>
      <c r="C108" t="str">
        <f>IF(A108="", "", SUMIF(BASE!$A$4:$A$10003, A108, BASE!$C$4:$C$10003))</f>
        <v/>
      </c>
      <c r="D108" t="str">
        <f>IF(A108="", "", INDEX(BASE!$D$4:$D$10003, MATCH(A108, BASE!$A$4:$A$10003, 0)))</f>
        <v/>
      </c>
      <c r="E108" t="str">
        <f>IF(A108="", "", INDEX(BASE!$E$4:$E$10003, MATCH(A108, BASE!$A$4:$A$10003, 0)))</f>
        <v/>
      </c>
    </row>
    <row r="109" spans="1:5">
      <c r="A109" t="str">
        <f>IFERROR(INDEX(BASE!$A$4:$A$10003, MATCH(0, COUNTIF($A$1:A108, BASE!$A$4:$A$10003&amp;""), 0)), "")</f>
        <v/>
      </c>
      <c r="B109" t="str">
        <f>IF(A109="", "", VLOOKUP(A109, BASE!$A$4:$B$10003, 2, FALSE))</f>
        <v/>
      </c>
      <c r="C109" t="str">
        <f>IF(A109="", "", SUMIF(BASE!$A$4:$A$10003, A109, BASE!$C$4:$C$10003))</f>
        <v/>
      </c>
      <c r="D109" t="str">
        <f>IF(A109="", "", INDEX(BASE!$D$4:$D$10003, MATCH(A109, BASE!$A$4:$A$10003, 0)))</f>
        <v/>
      </c>
      <c r="E109" t="str">
        <f>IF(A109="", "", INDEX(BASE!$E$4:$E$10003, MATCH(A109, BASE!$A$4:$A$10003, 0)))</f>
        <v/>
      </c>
    </row>
    <row r="110" spans="1:5">
      <c r="A110" t="str">
        <f>IFERROR(INDEX(BASE!$A$4:$A$10003, MATCH(0, COUNTIF($A$1:A109, BASE!$A$4:$A$10003&amp;""), 0)), "")</f>
        <v/>
      </c>
      <c r="B110" t="str">
        <f>IF(A110="", "", VLOOKUP(A110, BASE!$A$4:$B$10003, 2, FALSE))</f>
        <v/>
      </c>
      <c r="C110" t="str">
        <f>IF(A110="", "", SUMIF(BASE!$A$4:$A$10003, A110, BASE!$C$4:$C$10003))</f>
        <v/>
      </c>
      <c r="D110" t="str">
        <f>IF(A110="", "", INDEX(BASE!$D$4:$D$10003, MATCH(A110, BASE!$A$4:$A$10003, 0)))</f>
        <v/>
      </c>
      <c r="E110" t="str">
        <f>IF(A110="", "", INDEX(BASE!$E$4:$E$10003, MATCH(A110, BASE!$A$4:$A$10003, 0)))</f>
        <v/>
      </c>
    </row>
    <row r="111" spans="1:5">
      <c r="A111" t="str">
        <f>IFERROR(INDEX(BASE!$A$4:$A$10003, MATCH(0, COUNTIF($A$1:A110, BASE!$A$4:$A$10003&amp;""), 0)), "")</f>
        <v/>
      </c>
      <c r="B111" t="str">
        <f>IF(A111="", "", VLOOKUP(A111, BASE!$A$4:$B$10003, 2, FALSE))</f>
        <v/>
      </c>
      <c r="C111" t="str">
        <f>IF(A111="", "", SUMIF(BASE!$A$4:$A$10003, A111, BASE!$C$4:$C$10003))</f>
        <v/>
      </c>
      <c r="D111" t="str">
        <f>IF(A111="", "", INDEX(BASE!$D$4:$D$10003, MATCH(A111, BASE!$A$4:$A$10003, 0)))</f>
        <v/>
      </c>
      <c r="E111" t="str">
        <f>IF(A111="", "", INDEX(BASE!$E$4:$E$10003, MATCH(A111, BASE!$A$4:$A$10003, 0)))</f>
        <v/>
      </c>
    </row>
    <row r="112" spans="1:5">
      <c r="A112" t="str">
        <f>IFERROR(INDEX(BASE!$A$4:$A$10003, MATCH(0, COUNTIF($A$1:A111, BASE!$A$4:$A$10003&amp;""), 0)), "")</f>
        <v/>
      </c>
      <c r="B112" t="str">
        <f>IF(A112="", "", VLOOKUP(A112, BASE!$A$4:$B$10003, 2, FALSE))</f>
        <v/>
      </c>
      <c r="C112" t="str">
        <f>IF(A112="", "", SUMIF(BASE!$A$4:$A$10003, A112, BASE!$C$4:$C$10003))</f>
        <v/>
      </c>
      <c r="D112" t="str">
        <f>IF(A112="", "", INDEX(BASE!$D$4:$D$10003, MATCH(A112, BASE!$A$4:$A$10003, 0)))</f>
        <v/>
      </c>
      <c r="E112" t="str">
        <f>IF(A112="", "", INDEX(BASE!$E$4:$E$10003, MATCH(A112, BASE!$A$4:$A$10003, 0)))</f>
        <v/>
      </c>
    </row>
    <row r="113" spans="1:5">
      <c r="A113" t="str">
        <f>IFERROR(INDEX(BASE!$A$4:$A$10003, MATCH(0, COUNTIF($A$1:A112, BASE!$A$4:$A$10003&amp;""), 0)), "")</f>
        <v/>
      </c>
      <c r="B113" t="str">
        <f>IF(A113="", "", VLOOKUP(A113, BASE!$A$4:$B$10003, 2, FALSE))</f>
        <v/>
      </c>
      <c r="C113" t="str">
        <f>IF(A113="", "", SUMIF(BASE!$A$4:$A$10003, A113, BASE!$C$4:$C$10003))</f>
        <v/>
      </c>
      <c r="D113" t="str">
        <f>IF(A113="", "", INDEX(BASE!$D$4:$D$10003, MATCH(A113, BASE!$A$4:$A$10003, 0)))</f>
        <v/>
      </c>
      <c r="E113" t="str">
        <f>IF(A113="", "", INDEX(BASE!$E$4:$E$10003, MATCH(A113, BASE!$A$4:$A$10003, 0)))</f>
        <v/>
      </c>
    </row>
    <row r="114" spans="1:5">
      <c r="A114" t="str">
        <f>IFERROR(INDEX(BASE!$A$4:$A$10003, MATCH(0, COUNTIF($A$1:A113, BASE!$A$4:$A$10003&amp;""), 0)), "")</f>
        <v/>
      </c>
      <c r="B114" t="str">
        <f>IF(A114="", "", VLOOKUP(A114, BASE!$A$4:$B$10003, 2, FALSE))</f>
        <v/>
      </c>
      <c r="C114" t="str">
        <f>IF(A114="", "", SUMIF(BASE!$A$4:$A$10003, A114, BASE!$C$4:$C$10003))</f>
        <v/>
      </c>
      <c r="D114" t="str">
        <f>IF(A114="", "", INDEX(BASE!$D$4:$D$10003, MATCH(A114, BASE!$A$4:$A$10003, 0)))</f>
        <v/>
      </c>
      <c r="E114" t="str">
        <f>IF(A114="", "", INDEX(BASE!$E$4:$E$10003, MATCH(A114, BASE!$A$4:$A$10003, 0)))</f>
        <v/>
      </c>
    </row>
    <row r="115" spans="1:5">
      <c r="A115" t="str">
        <f>IFERROR(INDEX(BASE!$A$4:$A$10003, MATCH(0, COUNTIF($A$1:A114, BASE!$A$4:$A$10003&amp;""), 0)), "")</f>
        <v/>
      </c>
      <c r="B115" t="str">
        <f>IF(A115="", "", VLOOKUP(A115, BASE!$A$4:$B$10003, 2, FALSE))</f>
        <v/>
      </c>
      <c r="C115" t="str">
        <f>IF(A115="", "", SUMIF(BASE!$A$4:$A$10003, A115, BASE!$C$4:$C$10003))</f>
        <v/>
      </c>
      <c r="D115" t="str">
        <f>IF(A115="", "", INDEX(BASE!$D$4:$D$10003, MATCH(A115, BASE!$A$4:$A$10003, 0)))</f>
        <v/>
      </c>
      <c r="E115" t="str">
        <f>IF(A115="", "", INDEX(BASE!$E$4:$E$10003, MATCH(A115, BASE!$A$4:$A$10003, 0)))</f>
        <v/>
      </c>
    </row>
    <row r="116" spans="1:5">
      <c r="A116" t="str">
        <f>IFERROR(INDEX(BASE!$A$4:$A$10003, MATCH(0, COUNTIF($A$1:A115, BASE!$A$4:$A$10003&amp;""), 0)), "")</f>
        <v/>
      </c>
      <c r="B116" t="str">
        <f>IF(A116="", "", VLOOKUP(A116, BASE!$A$4:$B$10003, 2, FALSE))</f>
        <v/>
      </c>
      <c r="C116" t="str">
        <f>IF(A116="", "", SUMIF(BASE!$A$4:$A$10003, A116, BASE!$C$4:$C$10003))</f>
        <v/>
      </c>
      <c r="D116" t="str">
        <f>IF(A116="", "", INDEX(BASE!$D$4:$D$10003, MATCH(A116, BASE!$A$4:$A$10003, 0)))</f>
        <v/>
      </c>
      <c r="E116" t="str">
        <f>IF(A116="", "", INDEX(BASE!$E$4:$E$10003, MATCH(A116, BASE!$A$4:$A$10003, 0)))</f>
        <v/>
      </c>
    </row>
    <row r="117" spans="1:5">
      <c r="A117" t="str">
        <f>IFERROR(INDEX(BASE!$A$4:$A$10003, MATCH(0, COUNTIF($A$1:A116, BASE!$A$4:$A$10003&amp;""), 0)), "")</f>
        <v/>
      </c>
      <c r="B117" t="str">
        <f>IF(A117="", "", VLOOKUP(A117, BASE!$A$4:$B$10003, 2, FALSE))</f>
        <v/>
      </c>
      <c r="C117" t="str">
        <f>IF(A117="", "", SUMIF(BASE!$A$4:$A$10003, A117, BASE!$C$4:$C$10003))</f>
        <v/>
      </c>
      <c r="D117" t="str">
        <f>IF(A117="", "", INDEX(BASE!$D$4:$D$10003, MATCH(A117, BASE!$A$4:$A$10003, 0)))</f>
        <v/>
      </c>
      <c r="E117" t="str">
        <f>IF(A117="", "", INDEX(BASE!$E$4:$E$10003, MATCH(A117, BASE!$A$4:$A$10003, 0)))</f>
        <v/>
      </c>
    </row>
    <row r="118" spans="1:5">
      <c r="A118" t="str">
        <f>IFERROR(INDEX(BASE!$A$4:$A$10003, MATCH(0, COUNTIF($A$1:A117, BASE!$A$4:$A$10003&amp;""), 0)), "")</f>
        <v/>
      </c>
      <c r="B118" t="str">
        <f>IF(A118="", "", VLOOKUP(A118, BASE!$A$4:$B$10003, 2, FALSE))</f>
        <v/>
      </c>
      <c r="C118" t="str">
        <f>IF(A118="", "", SUMIF(BASE!$A$4:$A$10003, A118, BASE!$C$4:$C$10003))</f>
        <v/>
      </c>
      <c r="D118" t="str">
        <f>IF(A118="", "", INDEX(BASE!$D$4:$D$10003, MATCH(A118, BASE!$A$4:$A$10003, 0)))</f>
        <v/>
      </c>
      <c r="E118" t="str">
        <f>IF(A118="", "", INDEX(BASE!$E$4:$E$10003, MATCH(A118, BASE!$A$4:$A$10003, 0)))</f>
        <v/>
      </c>
    </row>
    <row r="119" spans="1:5">
      <c r="A119" t="str">
        <f>IFERROR(INDEX(BASE!$A$4:$A$10003, MATCH(0, COUNTIF($A$1:A118, BASE!$A$4:$A$10003&amp;""), 0)), "")</f>
        <v/>
      </c>
      <c r="B119" t="str">
        <f>IF(A119="", "", VLOOKUP(A119, BASE!$A$4:$B$10003, 2, FALSE))</f>
        <v/>
      </c>
      <c r="C119" t="str">
        <f>IF(A119="", "", SUMIF(BASE!$A$4:$A$10003, A119, BASE!$C$4:$C$10003))</f>
        <v/>
      </c>
      <c r="D119" t="str">
        <f>IF(A119="", "", INDEX(BASE!$D$4:$D$10003, MATCH(A119, BASE!$A$4:$A$10003, 0)))</f>
        <v/>
      </c>
      <c r="E119" t="str">
        <f>IF(A119="", "", INDEX(BASE!$E$4:$E$10003, MATCH(A119, BASE!$A$4:$A$10003, 0)))</f>
        <v/>
      </c>
    </row>
    <row r="120" spans="1:5">
      <c r="A120" t="str">
        <f>IFERROR(INDEX(BASE!$A$4:$A$10003, MATCH(0, COUNTIF($A$1:A119, BASE!$A$4:$A$10003&amp;""), 0)), "")</f>
        <v/>
      </c>
      <c r="B120" t="str">
        <f>IF(A120="", "", VLOOKUP(A120, BASE!$A$4:$B$10003, 2, FALSE))</f>
        <v/>
      </c>
      <c r="C120" t="str">
        <f>IF(A120="", "", SUMIF(BASE!$A$4:$A$10003, A120, BASE!$C$4:$C$10003))</f>
        <v/>
      </c>
      <c r="D120" t="str">
        <f>IF(A120="", "", INDEX(BASE!$D$4:$D$10003, MATCH(A120, BASE!$A$4:$A$10003, 0)))</f>
        <v/>
      </c>
      <c r="E120" t="str">
        <f>IF(A120="", "", INDEX(BASE!$E$4:$E$10003, MATCH(A120, BASE!$A$4:$A$10003, 0)))</f>
        <v/>
      </c>
    </row>
    <row r="121" spans="1:5">
      <c r="A121" t="str">
        <f>IFERROR(INDEX(BASE!$A$4:$A$10003, MATCH(0, COUNTIF($A$1:A120, BASE!$A$4:$A$10003&amp;""), 0)), "")</f>
        <v/>
      </c>
      <c r="B121" t="str">
        <f>IF(A121="", "", VLOOKUP(A121, BASE!$A$4:$B$10003, 2, FALSE))</f>
        <v/>
      </c>
      <c r="C121" t="str">
        <f>IF(A121="", "", SUMIF(BASE!$A$4:$A$10003, A121, BASE!$C$4:$C$10003))</f>
        <v/>
      </c>
      <c r="D121" t="str">
        <f>IF(A121="", "", INDEX(BASE!$D$4:$D$10003, MATCH(A121, BASE!$A$4:$A$10003, 0)))</f>
        <v/>
      </c>
      <c r="E121" t="str">
        <f>IF(A121="", "", INDEX(BASE!$E$4:$E$10003, MATCH(A121, BASE!$A$4:$A$10003, 0)))</f>
        <v/>
      </c>
    </row>
    <row r="122" spans="1:5">
      <c r="A122" t="str">
        <f>IFERROR(INDEX(BASE!$A$4:$A$10003, MATCH(0, COUNTIF($A$1:A121, BASE!$A$4:$A$10003&amp;""), 0)), "")</f>
        <v/>
      </c>
      <c r="B122" t="str">
        <f>IF(A122="", "", VLOOKUP(A122, BASE!$A$4:$B$10003, 2, FALSE))</f>
        <v/>
      </c>
      <c r="C122" t="str">
        <f>IF(A122="", "", SUMIF(BASE!$A$4:$A$10003, A122, BASE!$C$4:$C$10003))</f>
        <v/>
      </c>
      <c r="D122" t="str">
        <f>IF(A122="", "", INDEX(BASE!$D$4:$D$10003, MATCH(A122, BASE!$A$4:$A$10003, 0)))</f>
        <v/>
      </c>
      <c r="E122" t="str">
        <f>IF(A122="", "", INDEX(BASE!$E$4:$E$10003, MATCH(A122, BASE!$A$4:$A$10003, 0)))</f>
        <v/>
      </c>
    </row>
    <row r="123" spans="1:5">
      <c r="A123" t="str">
        <f>IFERROR(INDEX(BASE!$A$4:$A$10003, MATCH(0, COUNTIF($A$1:A122, BASE!$A$4:$A$10003&amp;""), 0)), "")</f>
        <v/>
      </c>
      <c r="B123" t="str">
        <f>IF(A123="", "", VLOOKUP(A123, BASE!$A$4:$B$10003, 2, FALSE))</f>
        <v/>
      </c>
      <c r="C123" t="str">
        <f>IF(A123="", "", SUMIF(BASE!$A$4:$A$10003, A123, BASE!$C$4:$C$10003))</f>
        <v/>
      </c>
      <c r="D123" t="str">
        <f>IF(A123="", "", INDEX(BASE!$D$4:$D$10003, MATCH(A123, BASE!$A$4:$A$10003, 0)))</f>
        <v/>
      </c>
      <c r="E123" t="str">
        <f>IF(A123="", "", INDEX(BASE!$E$4:$E$10003, MATCH(A123, BASE!$A$4:$A$10003, 0)))</f>
        <v/>
      </c>
    </row>
    <row r="124" spans="1:5">
      <c r="A124" t="str">
        <f>IFERROR(INDEX(BASE!$A$4:$A$10003, MATCH(0, COUNTIF($A$1:A123, BASE!$A$4:$A$10003&amp;""), 0)), "")</f>
        <v/>
      </c>
      <c r="B124" t="str">
        <f>IF(A124="", "", VLOOKUP(A124, BASE!$A$4:$B$10003, 2, FALSE))</f>
        <v/>
      </c>
      <c r="C124" t="str">
        <f>IF(A124="", "", SUMIF(BASE!$A$4:$A$10003, A124, BASE!$C$4:$C$10003))</f>
        <v/>
      </c>
      <c r="D124" t="str">
        <f>IF(A124="", "", INDEX(BASE!$D$4:$D$10003, MATCH(A124, BASE!$A$4:$A$10003, 0)))</f>
        <v/>
      </c>
      <c r="E124" t="str">
        <f>IF(A124="", "", INDEX(BASE!$E$4:$E$10003, MATCH(A124, BASE!$A$4:$A$10003, 0)))</f>
        <v/>
      </c>
    </row>
    <row r="125" spans="1:5">
      <c r="A125" t="str">
        <f>IFERROR(INDEX(BASE!$A$4:$A$10003, MATCH(0, COUNTIF($A$1:A124, BASE!$A$4:$A$10003&amp;""), 0)), "")</f>
        <v/>
      </c>
      <c r="B125" t="str">
        <f>IF(A125="", "", VLOOKUP(A125, BASE!$A$4:$B$10003, 2, FALSE))</f>
        <v/>
      </c>
      <c r="C125" t="str">
        <f>IF(A125="", "", SUMIF(BASE!$A$4:$A$10003, A125, BASE!$C$4:$C$10003))</f>
        <v/>
      </c>
      <c r="D125" t="str">
        <f>IF(A125="", "", INDEX(BASE!$D$4:$D$10003, MATCH(A125, BASE!$A$4:$A$10003, 0)))</f>
        <v/>
      </c>
      <c r="E125" t="str">
        <f>IF(A125="", "", INDEX(BASE!$E$4:$E$10003, MATCH(A125, BASE!$A$4:$A$10003, 0)))</f>
        <v/>
      </c>
    </row>
    <row r="126" spans="1:5">
      <c r="A126" t="str">
        <f>IFERROR(INDEX(BASE!$A$4:$A$10003, MATCH(0, COUNTIF($A$1:A125, BASE!$A$4:$A$10003&amp;""), 0)), "")</f>
        <v/>
      </c>
      <c r="B126" t="str">
        <f>IF(A126="", "", VLOOKUP(A126, BASE!$A$4:$B$10003, 2, FALSE))</f>
        <v/>
      </c>
      <c r="C126" t="str">
        <f>IF(A126="", "", SUMIF(BASE!$A$4:$A$10003, A126, BASE!$C$4:$C$10003))</f>
        <v/>
      </c>
      <c r="D126" t="str">
        <f>IF(A126="", "", INDEX(BASE!$D$4:$D$10003, MATCH(A126, BASE!$A$4:$A$10003, 0)))</f>
        <v/>
      </c>
      <c r="E126" t="str">
        <f>IF(A126="", "", INDEX(BASE!$E$4:$E$10003, MATCH(A126, BASE!$A$4:$A$10003, 0)))</f>
        <v/>
      </c>
    </row>
    <row r="127" spans="1:5">
      <c r="A127" t="str">
        <f>IFERROR(INDEX(BASE!$A$4:$A$10003, MATCH(0, COUNTIF($A$1:A126, BASE!$A$4:$A$10003&amp;""), 0)), "")</f>
        <v/>
      </c>
      <c r="B127" t="str">
        <f>IF(A127="", "", VLOOKUP(A127, BASE!$A$4:$B$10003, 2, FALSE))</f>
        <v/>
      </c>
      <c r="C127" t="str">
        <f>IF(A127="", "", SUMIF(BASE!$A$4:$A$10003, A127, BASE!$C$4:$C$10003))</f>
        <v/>
      </c>
      <c r="D127" t="str">
        <f>IF(A127="", "", INDEX(BASE!$D$4:$D$10003, MATCH(A127, BASE!$A$4:$A$10003, 0)))</f>
        <v/>
      </c>
      <c r="E127" t="str">
        <f>IF(A127="", "", INDEX(BASE!$E$4:$E$10003, MATCH(A127, BASE!$A$4:$A$10003, 0)))</f>
        <v/>
      </c>
    </row>
    <row r="128" spans="1:5">
      <c r="A128" t="str">
        <f>IFERROR(INDEX(BASE!$A$4:$A$10003, MATCH(0, COUNTIF($A$1:A127, BASE!$A$4:$A$10003&amp;""), 0)), "")</f>
        <v/>
      </c>
      <c r="B128" t="str">
        <f>IF(A128="", "", VLOOKUP(A128, BASE!$A$4:$B$10003, 2, FALSE))</f>
        <v/>
      </c>
      <c r="C128" t="str">
        <f>IF(A128="", "", SUMIF(BASE!$A$4:$A$10003, A128, BASE!$C$4:$C$10003))</f>
        <v/>
      </c>
      <c r="D128" t="str">
        <f>IF(A128="", "", INDEX(BASE!$D$4:$D$10003, MATCH(A128, BASE!$A$4:$A$10003, 0)))</f>
        <v/>
      </c>
      <c r="E128" t="str">
        <f>IF(A128="", "", INDEX(BASE!$E$4:$E$10003, MATCH(A128, BASE!$A$4:$A$10003, 0)))</f>
        <v/>
      </c>
    </row>
    <row r="129" spans="1:5">
      <c r="A129" t="str">
        <f>IFERROR(INDEX(BASE!$A$4:$A$10003, MATCH(0, COUNTIF($A$1:A128, BASE!$A$4:$A$10003&amp;""), 0)), "")</f>
        <v/>
      </c>
      <c r="B129" t="str">
        <f>IF(A129="", "", VLOOKUP(A129, BASE!$A$4:$B$10003, 2, FALSE))</f>
        <v/>
      </c>
      <c r="C129" t="str">
        <f>IF(A129="", "", SUMIF(BASE!$A$4:$A$10003, A129, BASE!$C$4:$C$10003))</f>
        <v/>
      </c>
      <c r="D129" t="str">
        <f>IF(A129="", "", INDEX(BASE!$D$4:$D$10003, MATCH(A129, BASE!$A$4:$A$10003, 0)))</f>
        <v/>
      </c>
      <c r="E129" t="str">
        <f>IF(A129="", "", INDEX(BASE!$E$4:$E$10003, MATCH(A129, BASE!$A$4:$A$10003, 0)))</f>
        <v/>
      </c>
    </row>
    <row r="130" spans="1:5">
      <c r="A130" t="str">
        <f>IFERROR(INDEX(BASE!$A$4:$A$10003, MATCH(0, COUNTIF($A$1:A129, BASE!$A$4:$A$10003&amp;""), 0)), "")</f>
        <v/>
      </c>
      <c r="B130" t="str">
        <f>IF(A130="", "", VLOOKUP(A130, BASE!$A$4:$B$10003, 2, FALSE))</f>
        <v/>
      </c>
      <c r="C130" t="str">
        <f>IF(A130="", "", SUMIF(BASE!$A$4:$A$10003, A130, BASE!$C$4:$C$10003))</f>
        <v/>
      </c>
      <c r="D130" t="str">
        <f>IF(A130="", "", INDEX(BASE!$D$4:$D$10003, MATCH(A130, BASE!$A$4:$A$10003, 0)))</f>
        <v/>
      </c>
      <c r="E130" t="str">
        <f>IF(A130="", "", INDEX(BASE!$E$4:$E$10003, MATCH(A130, BASE!$A$4:$A$10003, 0)))</f>
        <v/>
      </c>
    </row>
    <row r="131" spans="1:5">
      <c r="A131" t="str">
        <f>IFERROR(INDEX(BASE!$A$4:$A$10003, MATCH(0, COUNTIF($A$1:A130, BASE!$A$4:$A$10003&amp;""), 0)), "")</f>
        <v/>
      </c>
      <c r="B131" t="str">
        <f>IF(A131="", "", VLOOKUP(A131, BASE!$A$4:$B$10003, 2, FALSE))</f>
        <v/>
      </c>
      <c r="C131" t="str">
        <f>IF(A131="", "", SUMIF(BASE!$A$4:$A$10003, A131, BASE!$C$4:$C$10003))</f>
        <v/>
      </c>
      <c r="D131" t="str">
        <f>IF(A131="", "", INDEX(BASE!$D$4:$D$10003, MATCH(A131, BASE!$A$4:$A$10003, 0)))</f>
        <v/>
      </c>
      <c r="E131" t="str">
        <f>IF(A131="", "", INDEX(BASE!$E$4:$E$10003, MATCH(A131, BASE!$A$4:$A$10003, 0)))</f>
        <v/>
      </c>
    </row>
    <row r="132" spans="1:5">
      <c r="A132" t="str">
        <f>IFERROR(INDEX(BASE!$A$4:$A$10003, MATCH(0, COUNTIF($A$1:A131, BASE!$A$4:$A$10003&amp;""), 0)), "")</f>
        <v/>
      </c>
      <c r="B132" t="str">
        <f>IF(A132="", "", VLOOKUP(A132, BASE!$A$4:$B$10003, 2, FALSE))</f>
        <v/>
      </c>
      <c r="C132" t="str">
        <f>IF(A132="", "", SUMIF(BASE!$A$4:$A$10003, A132, BASE!$C$4:$C$10003))</f>
        <v/>
      </c>
      <c r="D132" t="str">
        <f>IF(A132="", "", INDEX(BASE!$D$4:$D$10003, MATCH(A132, BASE!$A$4:$A$10003, 0)))</f>
        <v/>
      </c>
      <c r="E132" t="str">
        <f>IF(A132="", "", INDEX(BASE!$E$4:$E$10003, MATCH(A132, BASE!$A$4:$A$10003, 0)))</f>
        <v/>
      </c>
    </row>
    <row r="133" spans="1:5">
      <c r="A133" t="str">
        <f>IFERROR(INDEX(BASE!$A$4:$A$10003, MATCH(0, COUNTIF($A$1:A132, BASE!$A$4:$A$10003&amp;""), 0)), "")</f>
        <v/>
      </c>
      <c r="B133" t="str">
        <f>IF(A133="", "", VLOOKUP(A133, BASE!$A$4:$B$10003, 2, FALSE))</f>
        <v/>
      </c>
      <c r="C133" t="str">
        <f>IF(A133="", "", SUMIF(BASE!$A$4:$A$10003, A133, BASE!$C$4:$C$10003))</f>
        <v/>
      </c>
      <c r="D133" t="str">
        <f>IF(A133="", "", INDEX(BASE!$D$4:$D$10003, MATCH(A133, BASE!$A$4:$A$10003, 0)))</f>
        <v/>
      </c>
      <c r="E133" t="str">
        <f>IF(A133="", "", INDEX(BASE!$E$4:$E$10003, MATCH(A133, BASE!$A$4:$A$10003, 0)))</f>
        <v/>
      </c>
    </row>
    <row r="134" spans="1:5">
      <c r="A134" t="str">
        <f>IFERROR(INDEX(BASE!$A$4:$A$10003, MATCH(0, COUNTIF($A$1:A133, BASE!$A$4:$A$10003&amp;""), 0)), "")</f>
        <v/>
      </c>
      <c r="B134" t="str">
        <f>IF(A134="", "", VLOOKUP(A134, BASE!$A$4:$B$10003, 2, FALSE))</f>
        <v/>
      </c>
      <c r="C134" t="str">
        <f>IF(A134="", "", SUMIF(BASE!$A$4:$A$10003, A134, BASE!$C$4:$C$10003))</f>
        <v/>
      </c>
      <c r="D134" t="str">
        <f>IF(A134="", "", INDEX(BASE!$D$4:$D$10003, MATCH(A134, BASE!$A$4:$A$10003, 0)))</f>
        <v/>
      </c>
      <c r="E134" t="str">
        <f>IF(A134="", "", INDEX(BASE!$E$4:$E$10003, MATCH(A134, BASE!$A$4:$A$10003, 0)))</f>
        <v/>
      </c>
    </row>
    <row r="135" spans="1:5">
      <c r="A135" t="str">
        <f>IFERROR(INDEX(BASE!$A$4:$A$10003, MATCH(0, COUNTIF($A$1:A134, BASE!$A$4:$A$10003&amp;""), 0)), "")</f>
        <v/>
      </c>
      <c r="B135" t="str">
        <f>IF(A135="", "", VLOOKUP(A135, BASE!$A$4:$B$10003, 2, FALSE))</f>
        <v/>
      </c>
      <c r="C135" t="str">
        <f>IF(A135="", "", SUMIF(BASE!$A$4:$A$10003, A135, BASE!$C$4:$C$10003))</f>
        <v/>
      </c>
      <c r="D135" t="str">
        <f>IF(A135="", "", INDEX(BASE!$D$4:$D$10003, MATCH(A135, BASE!$A$4:$A$10003, 0)))</f>
        <v/>
      </c>
      <c r="E135" t="str">
        <f>IF(A135="", "", INDEX(BASE!$E$4:$E$10003, MATCH(A135, BASE!$A$4:$A$10003, 0)))</f>
        <v/>
      </c>
    </row>
    <row r="136" spans="1:5">
      <c r="A136" t="str">
        <f>IFERROR(INDEX(BASE!$A$4:$A$10003, MATCH(0, COUNTIF($A$1:A135, BASE!$A$4:$A$10003&amp;""), 0)), "")</f>
        <v/>
      </c>
      <c r="B136" t="str">
        <f>IF(A136="", "", VLOOKUP(A136, BASE!$A$4:$B$10003, 2, FALSE))</f>
        <v/>
      </c>
      <c r="C136" t="str">
        <f>IF(A136="", "", SUMIF(BASE!$A$4:$A$10003, A136, BASE!$C$4:$C$10003))</f>
        <v/>
      </c>
      <c r="D136" t="str">
        <f>IF(A136="", "", INDEX(BASE!$D$4:$D$10003, MATCH(A136, BASE!$A$4:$A$10003, 0)))</f>
        <v/>
      </c>
      <c r="E136" t="str">
        <f>IF(A136="", "", INDEX(BASE!$E$4:$E$10003, MATCH(A136, BASE!$A$4:$A$10003, 0)))</f>
        <v/>
      </c>
    </row>
    <row r="137" spans="1:5">
      <c r="A137" t="str">
        <f>IFERROR(INDEX(BASE!$A$4:$A$10003, MATCH(0, COUNTIF($A$1:A136, BASE!$A$4:$A$10003&amp;""), 0)), "")</f>
        <v/>
      </c>
      <c r="B137" t="str">
        <f>IF(A137="", "", VLOOKUP(A137, BASE!$A$4:$B$10003, 2, FALSE))</f>
        <v/>
      </c>
      <c r="C137" t="str">
        <f>IF(A137="", "", SUMIF(BASE!$A$4:$A$10003, A137, BASE!$C$4:$C$10003))</f>
        <v/>
      </c>
      <c r="D137" t="str">
        <f>IF(A137="", "", INDEX(BASE!$D$4:$D$10003, MATCH(A137, BASE!$A$4:$A$10003, 0)))</f>
        <v/>
      </c>
      <c r="E137" t="str">
        <f>IF(A137="", "", INDEX(BASE!$E$4:$E$10003, MATCH(A137, BASE!$A$4:$A$10003, 0)))</f>
        <v/>
      </c>
    </row>
    <row r="138" spans="1:5">
      <c r="A138" t="str">
        <f>IFERROR(INDEX(BASE!$A$4:$A$10003, MATCH(0, COUNTIF($A$1:A137, BASE!$A$4:$A$10003&amp;""), 0)), "")</f>
        <v/>
      </c>
      <c r="B138" t="str">
        <f>IF(A138="", "", VLOOKUP(A138, BASE!$A$4:$B$10003, 2, FALSE))</f>
        <v/>
      </c>
      <c r="C138" t="str">
        <f>IF(A138="", "", SUMIF(BASE!$A$4:$A$10003, A138, BASE!$C$4:$C$10003))</f>
        <v/>
      </c>
      <c r="D138" t="str">
        <f>IF(A138="", "", INDEX(BASE!$D$4:$D$10003, MATCH(A138, BASE!$A$4:$A$10003, 0)))</f>
        <v/>
      </c>
      <c r="E138" t="str">
        <f>IF(A138="", "", INDEX(BASE!$E$4:$E$10003, MATCH(A138, BASE!$A$4:$A$10003, 0)))</f>
        <v/>
      </c>
    </row>
    <row r="139" spans="1:5">
      <c r="A139" t="str">
        <f>IFERROR(INDEX(BASE!$A$4:$A$10003, MATCH(0, COUNTIF($A$1:A138, BASE!$A$4:$A$10003&amp;""), 0)), "")</f>
        <v/>
      </c>
      <c r="B139" t="str">
        <f>IF(A139="", "", VLOOKUP(A139, BASE!$A$4:$B$10003, 2, FALSE))</f>
        <v/>
      </c>
      <c r="C139" t="str">
        <f>IF(A139="", "", SUMIF(BASE!$A$4:$A$10003, A139, BASE!$C$4:$C$10003))</f>
        <v/>
      </c>
      <c r="D139" t="str">
        <f>IF(A139="", "", INDEX(BASE!$D$4:$D$10003, MATCH(A139, BASE!$A$4:$A$10003, 0)))</f>
        <v/>
      </c>
      <c r="E139" t="str">
        <f>IF(A139="", "", INDEX(BASE!$E$4:$E$10003, MATCH(A139, BASE!$A$4:$A$10003, 0)))</f>
        <v/>
      </c>
    </row>
    <row r="140" spans="1:5">
      <c r="A140" t="str">
        <f>IFERROR(INDEX(BASE!$A$4:$A$10003, MATCH(0, COUNTIF($A$1:A139, BASE!$A$4:$A$10003&amp;""), 0)), "")</f>
        <v/>
      </c>
      <c r="B140" t="str">
        <f>IF(A140="", "", VLOOKUP(A140, BASE!$A$4:$B$10003, 2, FALSE))</f>
        <v/>
      </c>
      <c r="C140" t="str">
        <f>IF(A140="", "", SUMIF(BASE!$A$4:$A$10003, A140, BASE!$C$4:$C$10003))</f>
        <v/>
      </c>
      <c r="D140" t="str">
        <f>IF(A140="", "", INDEX(BASE!$D$4:$D$10003, MATCH(A140, BASE!$A$4:$A$10003, 0)))</f>
        <v/>
      </c>
      <c r="E140" t="str">
        <f>IF(A140="", "", INDEX(BASE!$E$4:$E$10003, MATCH(A140, BASE!$A$4:$A$10003, 0)))</f>
        <v/>
      </c>
    </row>
    <row r="141" spans="1:5">
      <c r="A141" t="str">
        <f>IFERROR(INDEX(BASE!$A$4:$A$10003, MATCH(0, COUNTIF($A$1:A140, BASE!$A$4:$A$10003&amp;""), 0)), "")</f>
        <v/>
      </c>
      <c r="B141" t="str">
        <f>IF(A141="", "", VLOOKUP(A141, BASE!$A$4:$B$10003, 2, FALSE))</f>
        <v/>
      </c>
      <c r="C141" t="str">
        <f>IF(A141="", "", SUMIF(BASE!$A$4:$A$10003, A141, BASE!$C$4:$C$10003))</f>
        <v/>
      </c>
      <c r="D141" t="str">
        <f>IF(A141="", "", INDEX(BASE!$D$4:$D$10003, MATCH(A141, BASE!$A$4:$A$10003, 0)))</f>
        <v/>
      </c>
      <c r="E141" t="str">
        <f>IF(A141="", "", INDEX(BASE!$E$4:$E$10003, MATCH(A141, BASE!$A$4:$A$10003, 0)))</f>
        <v/>
      </c>
    </row>
    <row r="142" spans="1:5">
      <c r="A142" t="str">
        <f>IFERROR(INDEX(BASE!$A$4:$A$10003, MATCH(0, COUNTIF($A$1:A141, BASE!$A$4:$A$10003&amp;""), 0)), "")</f>
        <v/>
      </c>
      <c r="B142" t="str">
        <f>IF(A142="", "", VLOOKUP(A142, BASE!$A$4:$B$10003, 2, FALSE))</f>
        <v/>
      </c>
      <c r="C142" t="str">
        <f>IF(A142="", "", SUMIF(BASE!$A$4:$A$10003, A142, BASE!$C$4:$C$10003))</f>
        <v/>
      </c>
      <c r="D142" t="str">
        <f>IF(A142="", "", INDEX(BASE!$D$4:$D$10003, MATCH(A142, BASE!$A$4:$A$10003, 0)))</f>
        <v/>
      </c>
      <c r="E142" t="str">
        <f>IF(A142="", "", INDEX(BASE!$E$4:$E$10003, MATCH(A142, BASE!$A$4:$A$10003, 0)))</f>
        <v/>
      </c>
    </row>
    <row r="143" spans="1:5">
      <c r="A143" t="str">
        <f>IFERROR(INDEX(BASE!$A$4:$A$10003, MATCH(0, COUNTIF($A$1:A142, BASE!$A$4:$A$10003&amp;""), 0)), "")</f>
        <v/>
      </c>
      <c r="B143" t="str">
        <f>IF(A143="", "", VLOOKUP(A143, BASE!$A$4:$B$10003, 2, FALSE))</f>
        <v/>
      </c>
      <c r="C143" t="str">
        <f>IF(A143="", "", SUMIF(BASE!$A$4:$A$10003, A143, BASE!$C$4:$C$10003))</f>
        <v/>
      </c>
      <c r="D143" t="str">
        <f>IF(A143="", "", INDEX(BASE!$D$4:$D$10003, MATCH(A143, BASE!$A$4:$A$10003, 0)))</f>
        <v/>
      </c>
      <c r="E143" t="str">
        <f>IF(A143="", "", INDEX(BASE!$E$4:$E$10003, MATCH(A143, BASE!$A$4:$A$10003, 0)))</f>
        <v/>
      </c>
    </row>
    <row r="144" spans="1:5">
      <c r="A144" t="str">
        <f>IFERROR(INDEX(BASE!$A$4:$A$10003, MATCH(0, COUNTIF($A$1:A143, BASE!$A$4:$A$10003&amp;""), 0)), "")</f>
        <v/>
      </c>
      <c r="B144" t="str">
        <f>IF(A144="", "", VLOOKUP(A144, BASE!$A$4:$B$10003, 2, FALSE))</f>
        <v/>
      </c>
      <c r="C144" t="str">
        <f>IF(A144="", "", SUMIF(BASE!$A$4:$A$10003, A144, BASE!$C$4:$C$10003))</f>
        <v/>
      </c>
      <c r="D144" t="str">
        <f>IF(A144="", "", INDEX(BASE!$D$4:$D$10003, MATCH(A144, BASE!$A$4:$A$10003, 0)))</f>
        <v/>
      </c>
      <c r="E144" t="str">
        <f>IF(A144="", "", INDEX(BASE!$E$4:$E$10003, MATCH(A144, BASE!$A$4:$A$10003, 0)))</f>
        <v/>
      </c>
    </row>
    <row r="145" spans="1:5">
      <c r="A145" t="str">
        <f>IFERROR(INDEX(BASE!$A$4:$A$10003, MATCH(0, COUNTIF($A$1:A144, BASE!$A$4:$A$10003&amp;""), 0)), "")</f>
        <v/>
      </c>
      <c r="B145" t="str">
        <f>IF(A145="", "", VLOOKUP(A145, BASE!$A$4:$B$10003, 2, FALSE))</f>
        <v/>
      </c>
      <c r="C145" t="str">
        <f>IF(A145="", "", SUMIF(BASE!$A$4:$A$10003, A145, BASE!$C$4:$C$10003))</f>
        <v/>
      </c>
      <c r="D145" t="str">
        <f>IF(A145="", "", INDEX(BASE!$D$4:$D$10003, MATCH(A145, BASE!$A$4:$A$10003, 0)))</f>
        <v/>
      </c>
      <c r="E145" t="str">
        <f>IF(A145="", "", INDEX(BASE!$E$4:$E$10003, MATCH(A145, BASE!$A$4:$A$10003, 0)))</f>
        <v/>
      </c>
    </row>
    <row r="146" spans="1:5">
      <c r="A146" t="str">
        <f>IFERROR(INDEX(BASE!$A$4:$A$10003, MATCH(0, COUNTIF($A$1:A145, BASE!$A$4:$A$10003&amp;""), 0)), "")</f>
        <v/>
      </c>
      <c r="B146" t="str">
        <f>IF(A146="", "", VLOOKUP(A146, BASE!$A$4:$B$10003, 2, FALSE))</f>
        <v/>
      </c>
      <c r="C146" t="str">
        <f>IF(A146="", "", SUMIF(BASE!$A$4:$A$10003, A146, BASE!$C$4:$C$10003))</f>
        <v/>
      </c>
      <c r="D146" t="str">
        <f>IF(A146="", "", INDEX(BASE!$D$4:$D$10003, MATCH(A146, BASE!$A$4:$A$10003, 0)))</f>
        <v/>
      </c>
      <c r="E146" t="str">
        <f>IF(A146="", "", INDEX(BASE!$E$4:$E$10003, MATCH(A146, BASE!$A$4:$A$10003, 0)))</f>
        <v/>
      </c>
    </row>
    <row r="147" spans="1:5">
      <c r="A147" t="str">
        <f>IFERROR(INDEX(BASE!$A$4:$A$10003, MATCH(0, COUNTIF($A$1:A146, BASE!$A$4:$A$10003&amp;""), 0)), "")</f>
        <v/>
      </c>
      <c r="B147" t="str">
        <f>IF(A147="", "", VLOOKUP(A147, BASE!$A$4:$B$10003, 2, FALSE))</f>
        <v/>
      </c>
      <c r="C147" t="str">
        <f>IF(A147="", "", SUMIF(BASE!$A$4:$A$10003, A147, BASE!$C$4:$C$10003))</f>
        <v/>
      </c>
      <c r="D147" t="str">
        <f>IF(A147="", "", INDEX(BASE!$D$4:$D$10003, MATCH(A147, BASE!$A$4:$A$10003, 0)))</f>
        <v/>
      </c>
      <c r="E147" t="str">
        <f>IF(A147="", "", INDEX(BASE!$E$4:$E$10003, MATCH(A147, BASE!$A$4:$A$10003, 0)))</f>
        <v/>
      </c>
    </row>
    <row r="148" spans="1:5">
      <c r="A148" t="str">
        <f>IFERROR(INDEX(BASE!$A$4:$A$10003, MATCH(0, COUNTIF($A$1:A147, BASE!$A$4:$A$10003&amp;""), 0)), "")</f>
        <v/>
      </c>
      <c r="B148" t="str">
        <f>IF(A148="", "", VLOOKUP(A148, BASE!$A$4:$B$10003, 2, FALSE))</f>
        <v/>
      </c>
      <c r="C148" t="str">
        <f>IF(A148="", "", SUMIF(BASE!$A$4:$A$10003, A148, BASE!$C$4:$C$10003))</f>
        <v/>
      </c>
      <c r="D148" t="str">
        <f>IF(A148="", "", INDEX(BASE!$D$4:$D$10003, MATCH(A148, BASE!$A$4:$A$10003, 0)))</f>
        <v/>
      </c>
      <c r="E148" t="str">
        <f>IF(A148="", "", INDEX(BASE!$E$4:$E$10003, MATCH(A148, BASE!$A$4:$A$10003, 0)))</f>
        <v/>
      </c>
    </row>
    <row r="149" spans="1:5">
      <c r="A149" t="str">
        <f>IFERROR(INDEX(BASE!$A$4:$A$10003, MATCH(0, COUNTIF($A$1:A148, BASE!$A$4:$A$10003&amp;""), 0)), "")</f>
        <v/>
      </c>
      <c r="B149" t="str">
        <f>IF(A149="", "", VLOOKUP(A149, BASE!$A$4:$B$10003, 2, FALSE))</f>
        <v/>
      </c>
      <c r="C149" t="str">
        <f>IF(A149="", "", SUMIF(BASE!$A$4:$A$10003, A149, BASE!$C$4:$C$10003))</f>
        <v/>
      </c>
      <c r="D149" t="str">
        <f>IF(A149="", "", INDEX(BASE!$D$4:$D$10003, MATCH(A149, BASE!$A$4:$A$10003, 0)))</f>
        <v/>
      </c>
      <c r="E149" t="str">
        <f>IF(A149="", "", INDEX(BASE!$E$4:$E$10003, MATCH(A149, BASE!$A$4:$A$10003, 0)))</f>
        <v/>
      </c>
    </row>
    <row r="150" spans="1:5">
      <c r="A150" t="str">
        <f>IFERROR(INDEX(BASE!$A$4:$A$10003, MATCH(0, COUNTIF($A$1:A149, BASE!$A$4:$A$10003&amp;""), 0)), "")</f>
        <v/>
      </c>
      <c r="B150" t="str">
        <f>IF(A150="", "", VLOOKUP(A150, BASE!$A$4:$B$10003, 2, FALSE))</f>
        <v/>
      </c>
      <c r="C150" t="str">
        <f>IF(A150="", "", SUMIF(BASE!$A$4:$A$10003, A150, BASE!$C$4:$C$10003))</f>
        <v/>
      </c>
      <c r="D150" t="str">
        <f>IF(A150="", "", INDEX(BASE!$D$4:$D$10003, MATCH(A150, BASE!$A$4:$A$10003, 0)))</f>
        <v/>
      </c>
      <c r="E150" t="str">
        <f>IF(A150="", "", INDEX(BASE!$E$4:$E$10003, MATCH(A150, BASE!$A$4:$A$10003, 0)))</f>
        <v/>
      </c>
    </row>
    <row r="151" spans="1:5">
      <c r="A151" t="str">
        <f>IFERROR(INDEX(BASE!$A$4:$A$10003, MATCH(0, COUNTIF($A$1:A150, BASE!$A$4:$A$10003&amp;""), 0)), "")</f>
        <v/>
      </c>
      <c r="B151" t="str">
        <f>IF(A151="", "", VLOOKUP(A151, BASE!$A$4:$B$10003, 2, FALSE))</f>
        <v/>
      </c>
      <c r="C151" t="str">
        <f>IF(A151="", "", SUMIF(BASE!$A$4:$A$10003, A151, BASE!$C$4:$C$10003))</f>
        <v/>
      </c>
      <c r="D151" t="str">
        <f>IF(A151="", "", INDEX(BASE!$D$4:$D$10003, MATCH(A151, BASE!$A$4:$A$10003, 0)))</f>
        <v/>
      </c>
      <c r="E151" t="str">
        <f>IF(A151="", "", INDEX(BASE!$E$4:$E$10003, MATCH(A151, BASE!$A$4:$A$10003, 0)))</f>
        <v/>
      </c>
    </row>
    <row r="152" spans="1:5">
      <c r="A152" t="str">
        <f>IFERROR(INDEX(BASE!$A$4:$A$10003, MATCH(0, COUNTIF($A$1:A151, BASE!$A$4:$A$10003&amp;""), 0)), "")</f>
        <v/>
      </c>
      <c r="B152" t="str">
        <f>IF(A152="", "", VLOOKUP(A152, BASE!$A$4:$B$10003, 2, FALSE))</f>
        <v/>
      </c>
      <c r="C152" t="str">
        <f>IF(A152="", "", SUMIF(BASE!$A$4:$A$10003, A152, BASE!$C$4:$C$10003))</f>
        <v/>
      </c>
      <c r="D152" t="str">
        <f>IF(A152="", "", INDEX(BASE!$D$4:$D$10003, MATCH(A152, BASE!$A$4:$A$10003, 0)))</f>
        <v/>
      </c>
      <c r="E152" t="str">
        <f>IF(A152="", "", INDEX(BASE!$E$4:$E$10003, MATCH(A152, BASE!$A$4:$A$10003, 0)))</f>
        <v/>
      </c>
    </row>
    <row r="153" spans="1:5">
      <c r="A153" t="str">
        <f>IFERROR(INDEX(BASE!$A$4:$A$10003, MATCH(0, COUNTIF($A$1:A152, BASE!$A$4:$A$10003&amp;""), 0)), "")</f>
        <v/>
      </c>
      <c r="B153" t="str">
        <f>IF(A153="", "", VLOOKUP(A153, BASE!$A$4:$B$10003, 2, FALSE))</f>
        <v/>
      </c>
      <c r="C153" t="str">
        <f>IF(A153="", "", SUMIF(BASE!$A$4:$A$10003, A153, BASE!$C$4:$C$10003))</f>
        <v/>
      </c>
      <c r="D153" t="str">
        <f>IF(A153="", "", INDEX(BASE!$D$4:$D$10003, MATCH(A153, BASE!$A$4:$A$10003, 0)))</f>
        <v/>
      </c>
      <c r="E153" t="str">
        <f>IF(A153="", "", INDEX(BASE!$E$4:$E$10003, MATCH(A153, BASE!$A$4:$A$10003, 0)))</f>
        <v/>
      </c>
    </row>
    <row r="154" spans="1:5">
      <c r="A154" t="str">
        <f>IFERROR(INDEX(BASE!$A$4:$A$10003, MATCH(0, COUNTIF($A$1:A153, BASE!$A$4:$A$10003&amp;""), 0)), "")</f>
        <v/>
      </c>
      <c r="B154" t="str">
        <f>IF(A154="", "", VLOOKUP(A154, BASE!$A$4:$B$10003, 2, FALSE))</f>
        <v/>
      </c>
      <c r="C154" t="str">
        <f>IF(A154="", "", SUMIF(BASE!$A$4:$A$10003, A154, BASE!$C$4:$C$10003))</f>
        <v/>
      </c>
      <c r="D154" t="str">
        <f>IF(A154="", "", INDEX(BASE!$D$4:$D$10003, MATCH(A154, BASE!$A$4:$A$10003, 0)))</f>
        <v/>
      </c>
      <c r="E154" t="str">
        <f>IF(A154="", "", INDEX(BASE!$E$4:$E$10003, MATCH(A154, BASE!$A$4:$A$10003, 0)))</f>
        <v/>
      </c>
    </row>
    <row r="155" spans="1:5">
      <c r="A155" t="str">
        <f>IFERROR(INDEX(BASE!$A$4:$A$10003, MATCH(0, COUNTIF($A$1:A154, BASE!$A$4:$A$10003&amp;""), 0)), "")</f>
        <v/>
      </c>
      <c r="B155" t="str">
        <f>IF(A155="", "", VLOOKUP(A155, BASE!$A$4:$B$10003, 2, FALSE))</f>
        <v/>
      </c>
      <c r="C155" t="str">
        <f>IF(A155="", "", SUMIF(BASE!$A$4:$A$10003, A155, BASE!$C$4:$C$10003))</f>
        <v/>
      </c>
      <c r="D155" t="str">
        <f>IF(A155="", "", INDEX(BASE!$D$4:$D$10003, MATCH(A155, BASE!$A$4:$A$10003, 0)))</f>
        <v/>
      </c>
      <c r="E155" t="str">
        <f>IF(A155="", "", INDEX(BASE!$E$4:$E$10003, MATCH(A155, BASE!$A$4:$A$10003, 0)))</f>
        <v/>
      </c>
    </row>
    <row r="156" spans="1:5">
      <c r="A156" t="str">
        <f>IFERROR(INDEX(BASE!$A$4:$A$10003, MATCH(0, COUNTIF($A$1:A155, BASE!$A$4:$A$10003&amp;""), 0)), "")</f>
        <v/>
      </c>
      <c r="B156" t="str">
        <f>IF(A156="", "", VLOOKUP(A156, BASE!$A$4:$B$10003, 2, FALSE))</f>
        <v/>
      </c>
      <c r="C156" t="str">
        <f>IF(A156="", "", SUMIF(BASE!$A$4:$A$10003, A156, BASE!$C$4:$C$10003))</f>
        <v/>
      </c>
      <c r="D156" t="str">
        <f>IF(A156="", "", INDEX(BASE!$D$4:$D$10003, MATCH(A156, BASE!$A$4:$A$10003, 0)))</f>
        <v/>
      </c>
      <c r="E156" t="str">
        <f>IF(A156="", "", INDEX(BASE!$E$4:$E$10003, MATCH(A156, BASE!$A$4:$A$10003, 0)))</f>
        <v/>
      </c>
    </row>
    <row r="157" spans="1:5">
      <c r="A157" t="str">
        <f>IFERROR(INDEX(BASE!$A$4:$A$10003, MATCH(0, COUNTIF($A$1:A156, BASE!$A$4:$A$10003&amp;""), 0)), "")</f>
        <v/>
      </c>
      <c r="B157" t="str">
        <f>IF(A157="", "", VLOOKUP(A157, BASE!$A$4:$B$10003, 2, FALSE))</f>
        <v/>
      </c>
      <c r="C157" t="str">
        <f>IF(A157="", "", SUMIF(BASE!$A$4:$A$10003, A157, BASE!$C$4:$C$10003))</f>
        <v/>
      </c>
      <c r="D157" t="str">
        <f>IF(A157="", "", INDEX(BASE!$D$4:$D$10003, MATCH(A157, BASE!$A$4:$A$10003, 0)))</f>
        <v/>
      </c>
      <c r="E157" t="str">
        <f>IF(A157="", "", INDEX(BASE!$E$4:$E$10003, MATCH(A157, BASE!$A$4:$A$10003, 0)))</f>
        <v/>
      </c>
    </row>
    <row r="158" spans="1:5">
      <c r="A158" t="str">
        <f>IFERROR(INDEX(BASE!$A$4:$A$10003, MATCH(0, COUNTIF($A$1:A157, BASE!$A$4:$A$10003&amp;""), 0)), "")</f>
        <v/>
      </c>
      <c r="B158" t="str">
        <f>IF(A158="", "", VLOOKUP(A158, BASE!$A$4:$B$10003, 2, FALSE))</f>
        <v/>
      </c>
      <c r="C158" t="str">
        <f>IF(A158="", "", SUMIF(BASE!$A$4:$A$10003, A158, BASE!$C$4:$C$10003))</f>
        <v/>
      </c>
      <c r="D158" t="str">
        <f>IF(A158="", "", INDEX(BASE!$D$4:$D$10003, MATCH(A158, BASE!$A$4:$A$10003, 0)))</f>
        <v/>
      </c>
      <c r="E158" t="str">
        <f>IF(A158="", "", INDEX(BASE!$E$4:$E$10003, MATCH(A158, BASE!$A$4:$A$10003, 0)))</f>
        <v/>
      </c>
    </row>
    <row r="159" spans="1:5">
      <c r="A159" t="str">
        <f>IFERROR(INDEX(BASE!$A$4:$A$10003, MATCH(0, COUNTIF($A$1:A158, BASE!$A$4:$A$10003&amp;""), 0)), "")</f>
        <v/>
      </c>
      <c r="B159" t="str">
        <f>IF(A159="", "", VLOOKUP(A159, BASE!$A$4:$B$10003, 2, FALSE))</f>
        <v/>
      </c>
      <c r="C159" t="str">
        <f>IF(A159="", "", SUMIF(BASE!$A$4:$A$10003, A159, BASE!$C$4:$C$10003))</f>
        <v/>
      </c>
      <c r="D159" t="str">
        <f>IF(A159="", "", INDEX(BASE!$D$4:$D$10003, MATCH(A159, BASE!$A$4:$A$10003, 0)))</f>
        <v/>
      </c>
      <c r="E159" t="str">
        <f>IF(A159="", "", INDEX(BASE!$E$4:$E$10003, MATCH(A159, BASE!$A$4:$A$10003, 0)))</f>
        <v/>
      </c>
    </row>
    <row r="160" spans="1:5">
      <c r="A160" t="str">
        <f>IFERROR(INDEX(BASE!$A$4:$A$10003, MATCH(0, COUNTIF($A$1:A159, BASE!$A$4:$A$10003&amp;""), 0)), "")</f>
        <v/>
      </c>
      <c r="B160" t="str">
        <f>IF(A160="", "", VLOOKUP(A160, BASE!$A$4:$B$10003, 2, FALSE))</f>
        <v/>
      </c>
      <c r="C160" t="str">
        <f>IF(A160="", "", SUMIF(BASE!$A$4:$A$10003, A160, BASE!$C$4:$C$10003))</f>
        <v/>
      </c>
      <c r="D160" t="str">
        <f>IF(A160="", "", INDEX(BASE!$D$4:$D$10003, MATCH(A160, BASE!$A$4:$A$10003, 0)))</f>
        <v/>
      </c>
      <c r="E160" t="str">
        <f>IF(A160="", "", INDEX(BASE!$E$4:$E$10003, MATCH(A160, BASE!$A$4:$A$10003, 0)))</f>
        <v/>
      </c>
    </row>
    <row r="161" spans="1:5">
      <c r="A161" t="str">
        <f>IFERROR(INDEX(BASE!$A$4:$A$10003, MATCH(0, COUNTIF($A$1:A160, BASE!$A$4:$A$10003&amp;""), 0)), "")</f>
        <v/>
      </c>
      <c r="B161" t="str">
        <f>IF(A161="", "", VLOOKUP(A161, BASE!$A$4:$B$10003, 2, FALSE))</f>
        <v/>
      </c>
      <c r="C161" t="str">
        <f>IF(A161="", "", SUMIF(BASE!$A$4:$A$10003, A161, BASE!$C$4:$C$10003))</f>
        <v/>
      </c>
      <c r="D161" t="str">
        <f>IF(A161="", "", INDEX(BASE!$D$4:$D$10003, MATCH(A161, BASE!$A$4:$A$10003, 0)))</f>
        <v/>
      </c>
      <c r="E161" t="str">
        <f>IF(A161="", "", INDEX(BASE!$E$4:$E$10003, MATCH(A161, BASE!$A$4:$A$10003, 0)))</f>
        <v/>
      </c>
    </row>
    <row r="162" spans="1:5">
      <c r="A162" t="str">
        <f>IFERROR(INDEX(BASE!$A$4:$A$10003, MATCH(0, COUNTIF($A$1:A161, BASE!$A$4:$A$10003&amp;""), 0)), "")</f>
        <v/>
      </c>
      <c r="B162" t="str">
        <f>IF(A162="", "", VLOOKUP(A162, BASE!$A$4:$B$10003, 2, FALSE))</f>
        <v/>
      </c>
      <c r="C162" t="str">
        <f>IF(A162="", "", SUMIF(BASE!$A$4:$A$10003, A162, BASE!$C$4:$C$10003))</f>
        <v/>
      </c>
      <c r="D162" t="str">
        <f>IF(A162="", "", INDEX(BASE!$D$4:$D$10003, MATCH(A162, BASE!$A$4:$A$10003, 0)))</f>
        <v/>
      </c>
      <c r="E162" t="str">
        <f>IF(A162="", "", INDEX(BASE!$E$4:$E$10003, MATCH(A162, BASE!$A$4:$A$10003, 0)))</f>
        <v/>
      </c>
    </row>
    <row r="163" spans="1:5">
      <c r="A163" t="str">
        <f>IFERROR(INDEX(BASE!$A$4:$A$10003, MATCH(0, COUNTIF($A$1:A162, BASE!$A$4:$A$10003&amp;""), 0)), "")</f>
        <v/>
      </c>
      <c r="B163" t="str">
        <f>IF(A163="", "", VLOOKUP(A163, BASE!$A$4:$B$10003, 2, FALSE))</f>
        <v/>
      </c>
      <c r="C163" t="str">
        <f>IF(A163="", "", SUMIF(BASE!$A$4:$A$10003, A163, BASE!$C$4:$C$10003))</f>
        <v/>
      </c>
      <c r="D163" t="str">
        <f>IF(A163="", "", INDEX(BASE!$D$4:$D$10003, MATCH(A163, BASE!$A$4:$A$10003, 0)))</f>
        <v/>
      </c>
      <c r="E163" t="str">
        <f>IF(A163="", "", INDEX(BASE!$E$4:$E$10003, MATCH(A163, BASE!$A$4:$A$10003, 0)))</f>
        <v/>
      </c>
    </row>
    <row r="164" spans="1:5">
      <c r="A164" t="str">
        <f>IFERROR(INDEX(BASE!$A$4:$A$10003, MATCH(0, COUNTIF($A$1:A163, BASE!$A$4:$A$10003&amp;""), 0)), "")</f>
        <v/>
      </c>
      <c r="B164" t="str">
        <f>IF(A164="", "", VLOOKUP(A164, BASE!$A$4:$B$10003, 2, FALSE))</f>
        <v/>
      </c>
      <c r="C164" t="str">
        <f>IF(A164="", "", SUMIF(BASE!$A$4:$A$10003, A164, BASE!$C$4:$C$10003))</f>
        <v/>
      </c>
      <c r="D164" t="str">
        <f>IF(A164="", "", INDEX(BASE!$D$4:$D$10003, MATCH(A164, BASE!$A$4:$A$10003, 0)))</f>
        <v/>
      </c>
      <c r="E164" t="str">
        <f>IF(A164="", "", INDEX(BASE!$E$4:$E$10003, MATCH(A164, BASE!$A$4:$A$10003, 0)))</f>
        <v/>
      </c>
    </row>
    <row r="165" spans="1:5">
      <c r="A165" t="str">
        <f>IFERROR(INDEX(BASE!$A$4:$A$10003, MATCH(0, COUNTIF($A$1:A164, BASE!$A$4:$A$10003&amp;""), 0)), "")</f>
        <v/>
      </c>
      <c r="B165" t="str">
        <f>IF(A165="", "", VLOOKUP(A165, BASE!$A$4:$B$10003, 2, FALSE))</f>
        <v/>
      </c>
      <c r="C165" t="str">
        <f>IF(A165="", "", SUMIF(BASE!$A$4:$A$10003, A165, BASE!$C$4:$C$10003))</f>
        <v/>
      </c>
      <c r="D165" t="str">
        <f>IF(A165="", "", INDEX(BASE!$D$4:$D$10003, MATCH(A165, BASE!$A$4:$A$10003, 0)))</f>
        <v/>
      </c>
      <c r="E165" t="str">
        <f>IF(A165="", "", INDEX(BASE!$E$4:$E$10003, MATCH(A165, BASE!$A$4:$A$10003, 0)))</f>
        <v/>
      </c>
    </row>
    <row r="166" spans="1:5">
      <c r="A166" t="str">
        <f>IFERROR(INDEX(BASE!$A$4:$A$10003, MATCH(0, COUNTIF($A$1:A165, BASE!$A$4:$A$10003&amp;""), 0)), "")</f>
        <v/>
      </c>
      <c r="B166" t="str">
        <f>IF(A166="", "", VLOOKUP(A166, BASE!$A$4:$B$10003, 2, FALSE))</f>
        <v/>
      </c>
      <c r="C166" t="str">
        <f>IF(A166="", "", SUMIF(BASE!$A$4:$A$10003, A166, BASE!$C$4:$C$10003))</f>
        <v/>
      </c>
      <c r="D166" t="str">
        <f>IF(A166="", "", INDEX(BASE!$D$4:$D$10003, MATCH(A166, BASE!$A$4:$A$10003, 0)))</f>
        <v/>
      </c>
      <c r="E166" t="str">
        <f>IF(A166="", "", INDEX(BASE!$E$4:$E$10003, MATCH(A166, BASE!$A$4:$A$10003, 0)))</f>
        <v/>
      </c>
    </row>
    <row r="167" spans="1:5">
      <c r="A167" t="str">
        <f>IFERROR(INDEX(BASE!$A$4:$A$10003, MATCH(0, COUNTIF($A$1:A166, BASE!$A$4:$A$10003&amp;""), 0)), "")</f>
        <v/>
      </c>
      <c r="B167" t="str">
        <f>IF(A167="", "", VLOOKUP(A167, BASE!$A$4:$B$10003, 2, FALSE))</f>
        <v/>
      </c>
      <c r="C167" t="str">
        <f>IF(A167="", "", SUMIF(BASE!$A$4:$A$10003, A167, BASE!$C$4:$C$10003))</f>
        <v/>
      </c>
      <c r="D167" t="str">
        <f>IF(A167="", "", INDEX(BASE!$D$4:$D$10003, MATCH(A167, BASE!$A$4:$A$10003, 0)))</f>
        <v/>
      </c>
      <c r="E167" t="str">
        <f>IF(A167="", "", INDEX(BASE!$E$4:$E$10003, MATCH(A167, BASE!$A$4:$A$10003, 0)))</f>
        <v/>
      </c>
    </row>
    <row r="168" spans="1:5">
      <c r="A168" t="str">
        <f>IFERROR(INDEX(BASE!$A$4:$A$10003, MATCH(0, COUNTIF($A$1:A167, BASE!$A$4:$A$10003&amp;""), 0)), "")</f>
        <v/>
      </c>
      <c r="B168" t="str">
        <f>IF(A168="", "", VLOOKUP(A168, BASE!$A$4:$B$10003, 2, FALSE))</f>
        <v/>
      </c>
      <c r="C168" t="str">
        <f>IF(A168="", "", SUMIF(BASE!$A$4:$A$10003, A168, BASE!$C$4:$C$10003))</f>
        <v/>
      </c>
      <c r="D168" t="str">
        <f>IF(A168="", "", INDEX(BASE!$D$4:$D$10003, MATCH(A168, BASE!$A$4:$A$10003, 0)))</f>
        <v/>
      </c>
      <c r="E168" t="str">
        <f>IF(A168="", "", INDEX(BASE!$E$4:$E$10003, MATCH(A168, BASE!$A$4:$A$10003, 0)))</f>
        <v/>
      </c>
    </row>
    <row r="169" spans="1:5">
      <c r="A169" t="str">
        <f>IFERROR(INDEX(BASE!$A$4:$A$10003, MATCH(0, COUNTIF($A$1:A168, BASE!$A$4:$A$10003&amp;""), 0)), "")</f>
        <v/>
      </c>
      <c r="B169" t="str">
        <f>IF(A169="", "", VLOOKUP(A169, BASE!$A$4:$B$10003, 2, FALSE))</f>
        <v/>
      </c>
      <c r="C169" t="str">
        <f>IF(A169="", "", SUMIF(BASE!$A$4:$A$10003, A169, BASE!$C$4:$C$10003))</f>
        <v/>
      </c>
      <c r="D169" t="str">
        <f>IF(A169="", "", INDEX(BASE!$D$4:$D$10003, MATCH(A169, BASE!$A$4:$A$10003, 0)))</f>
        <v/>
      </c>
      <c r="E169" t="str">
        <f>IF(A169="", "", INDEX(BASE!$E$4:$E$10003, MATCH(A169, BASE!$A$4:$A$10003, 0)))</f>
        <v/>
      </c>
    </row>
    <row r="170" spans="1:5">
      <c r="A170" t="str">
        <f>IFERROR(INDEX(BASE!$A$4:$A$10003, MATCH(0, COUNTIF($A$1:A169, BASE!$A$4:$A$10003&amp;""), 0)), "")</f>
        <v/>
      </c>
      <c r="B170" t="str">
        <f>IF(A170="", "", VLOOKUP(A170, BASE!$A$4:$B$10003, 2, FALSE))</f>
        <v/>
      </c>
      <c r="C170" t="str">
        <f>IF(A170="", "", SUMIF(BASE!$A$4:$A$10003, A170, BASE!$C$4:$C$10003))</f>
        <v/>
      </c>
      <c r="D170" t="str">
        <f>IF(A170="", "", INDEX(BASE!$D$4:$D$10003, MATCH(A170, BASE!$A$4:$A$10003, 0)))</f>
        <v/>
      </c>
      <c r="E170" t="str">
        <f>IF(A170="", "", INDEX(BASE!$E$4:$E$10003, MATCH(A170, BASE!$A$4:$A$10003, 0)))</f>
        <v/>
      </c>
    </row>
    <row r="171" spans="1:5">
      <c r="A171" t="str">
        <f>IFERROR(INDEX(BASE!$A$4:$A$10003, MATCH(0, COUNTIF($A$1:A170, BASE!$A$4:$A$10003&amp;""), 0)), "")</f>
        <v/>
      </c>
      <c r="B171" t="str">
        <f>IF(A171="", "", VLOOKUP(A171, BASE!$A$4:$B$10003, 2, FALSE))</f>
        <v/>
      </c>
      <c r="C171" t="str">
        <f>IF(A171="", "", SUMIF(BASE!$A$4:$A$10003, A171, BASE!$C$4:$C$10003))</f>
        <v/>
      </c>
      <c r="D171" t="str">
        <f>IF(A171="", "", INDEX(BASE!$D$4:$D$10003, MATCH(A171, BASE!$A$4:$A$10003, 0)))</f>
        <v/>
      </c>
      <c r="E171" t="str">
        <f>IF(A171="", "", INDEX(BASE!$E$4:$E$10003, MATCH(A171, BASE!$A$4:$A$10003, 0)))</f>
        <v/>
      </c>
    </row>
    <row r="172" spans="1:5">
      <c r="A172" t="str">
        <f>IFERROR(INDEX(BASE!$A$4:$A$10003, MATCH(0, COUNTIF($A$1:A171, BASE!$A$4:$A$10003&amp;""), 0)), "")</f>
        <v/>
      </c>
      <c r="B172" t="str">
        <f>IF(A172="", "", VLOOKUP(A172, BASE!$A$4:$B$10003, 2, FALSE))</f>
        <v/>
      </c>
      <c r="C172" t="str">
        <f>IF(A172="", "", SUMIF(BASE!$A$4:$A$10003, A172, BASE!$C$4:$C$10003))</f>
        <v/>
      </c>
      <c r="D172" t="str">
        <f>IF(A172="", "", INDEX(BASE!$D$4:$D$10003, MATCH(A172, BASE!$A$4:$A$10003, 0)))</f>
        <v/>
      </c>
      <c r="E172" t="str">
        <f>IF(A172="", "", INDEX(BASE!$E$4:$E$10003, MATCH(A172, BASE!$A$4:$A$10003, 0)))</f>
        <v/>
      </c>
    </row>
    <row r="173" spans="1:5">
      <c r="A173" t="str">
        <f>IFERROR(INDEX(BASE!$A$4:$A$10003, MATCH(0, COUNTIF($A$1:A172, BASE!$A$4:$A$10003&amp;""), 0)), "")</f>
        <v/>
      </c>
      <c r="B173" t="str">
        <f>IF(A173="", "", VLOOKUP(A173, BASE!$A$4:$B$10003, 2, FALSE))</f>
        <v/>
      </c>
      <c r="C173" t="str">
        <f>IF(A173="", "", SUMIF(BASE!$A$4:$A$10003, A173, BASE!$C$4:$C$10003))</f>
        <v/>
      </c>
      <c r="D173" t="str">
        <f>IF(A173="", "", INDEX(BASE!$D$4:$D$10003, MATCH(A173, BASE!$A$4:$A$10003, 0)))</f>
        <v/>
      </c>
      <c r="E173" t="str">
        <f>IF(A173="", "", INDEX(BASE!$E$4:$E$10003, MATCH(A173, BASE!$A$4:$A$10003, 0)))</f>
        <v/>
      </c>
    </row>
    <row r="174" spans="1:5">
      <c r="A174" t="str">
        <f>IFERROR(INDEX(BASE!$A$4:$A$10003, MATCH(0, COUNTIF($A$1:A173, BASE!$A$4:$A$10003&amp;""), 0)), "")</f>
        <v/>
      </c>
      <c r="B174" t="str">
        <f>IF(A174="", "", VLOOKUP(A174, BASE!$A$4:$B$10003, 2, FALSE))</f>
        <v/>
      </c>
      <c r="C174" t="str">
        <f>IF(A174="", "", SUMIF(BASE!$A$4:$A$10003, A174, BASE!$C$4:$C$10003))</f>
        <v/>
      </c>
      <c r="D174" t="str">
        <f>IF(A174="", "", INDEX(BASE!$D$4:$D$10003, MATCH(A174, BASE!$A$4:$A$10003, 0)))</f>
        <v/>
      </c>
      <c r="E174" t="str">
        <f>IF(A174="", "", INDEX(BASE!$E$4:$E$10003, MATCH(A174, BASE!$A$4:$A$10003, 0)))</f>
        <v/>
      </c>
    </row>
    <row r="175" spans="1:5">
      <c r="A175" t="str">
        <f>IFERROR(INDEX(BASE!$A$4:$A$10003, MATCH(0, COUNTIF($A$1:A174, BASE!$A$4:$A$10003&amp;""), 0)), "")</f>
        <v/>
      </c>
      <c r="B175" t="str">
        <f>IF(A175="", "", VLOOKUP(A175, BASE!$A$4:$B$10003, 2, FALSE))</f>
        <v/>
      </c>
      <c r="C175" t="str">
        <f>IF(A175="", "", SUMIF(BASE!$A$4:$A$10003, A175, BASE!$C$4:$C$10003))</f>
        <v/>
      </c>
      <c r="D175" t="str">
        <f>IF(A175="", "", INDEX(BASE!$D$4:$D$10003, MATCH(A175, BASE!$A$4:$A$10003, 0)))</f>
        <v/>
      </c>
      <c r="E175" t="str">
        <f>IF(A175="", "", INDEX(BASE!$E$4:$E$10003, MATCH(A175, BASE!$A$4:$A$10003, 0)))</f>
        <v/>
      </c>
    </row>
    <row r="176" spans="1:5">
      <c r="A176" t="str">
        <f>IFERROR(INDEX(BASE!$A$4:$A$10003, MATCH(0, COUNTIF($A$1:A175, BASE!$A$4:$A$10003&amp;""), 0)), "")</f>
        <v/>
      </c>
      <c r="B176" t="str">
        <f>IF(A176="", "", VLOOKUP(A176, BASE!$A$4:$B$10003, 2, FALSE))</f>
        <v/>
      </c>
      <c r="C176" t="str">
        <f>IF(A176="", "", SUMIF(BASE!$A$4:$A$10003, A176, BASE!$C$4:$C$10003))</f>
        <v/>
      </c>
      <c r="D176" t="str">
        <f>IF(A176="", "", INDEX(BASE!$D$4:$D$10003, MATCH(A176, BASE!$A$4:$A$10003, 0)))</f>
        <v/>
      </c>
      <c r="E176" t="str">
        <f>IF(A176="", "", INDEX(BASE!$E$4:$E$10003, MATCH(A176, BASE!$A$4:$A$10003, 0)))</f>
        <v/>
      </c>
    </row>
    <row r="177" spans="1:5">
      <c r="A177" t="str">
        <f>IFERROR(INDEX(BASE!$A$4:$A$10003, MATCH(0, COUNTIF($A$1:A176, BASE!$A$4:$A$10003&amp;""), 0)), "")</f>
        <v/>
      </c>
      <c r="B177" t="str">
        <f>IF(A177="", "", VLOOKUP(A177, BASE!$A$4:$B$10003, 2, FALSE))</f>
        <v/>
      </c>
      <c r="C177" t="str">
        <f>IF(A177="", "", SUMIF(BASE!$A$4:$A$10003, A177, BASE!$C$4:$C$10003))</f>
        <v/>
      </c>
      <c r="D177" t="str">
        <f>IF(A177="", "", INDEX(BASE!$D$4:$D$10003, MATCH(A177, BASE!$A$4:$A$10003, 0)))</f>
        <v/>
      </c>
      <c r="E177" t="str">
        <f>IF(A177="", "", INDEX(BASE!$E$4:$E$10003, MATCH(A177, BASE!$A$4:$A$10003, 0)))</f>
        <v/>
      </c>
    </row>
    <row r="178" spans="1:5">
      <c r="A178" t="str">
        <f>IFERROR(INDEX(BASE!$A$4:$A$10003, MATCH(0, COUNTIF($A$1:A177, BASE!$A$4:$A$10003&amp;""), 0)), "")</f>
        <v/>
      </c>
      <c r="B178" t="str">
        <f>IF(A178="", "", VLOOKUP(A178, BASE!$A$4:$B$10003, 2, FALSE))</f>
        <v/>
      </c>
      <c r="C178" t="str">
        <f>IF(A178="", "", SUMIF(BASE!$A$4:$A$10003, A178, BASE!$C$4:$C$10003))</f>
        <v/>
      </c>
      <c r="D178" t="str">
        <f>IF(A178="", "", INDEX(BASE!$D$4:$D$10003, MATCH(A178, BASE!$A$4:$A$10003, 0)))</f>
        <v/>
      </c>
      <c r="E178" t="str">
        <f>IF(A178="", "", INDEX(BASE!$E$4:$E$10003, MATCH(A178, BASE!$A$4:$A$10003, 0)))</f>
        <v/>
      </c>
    </row>
    <row r="179" spans="1:5">
      <c r="A179" t="str">
        <f>IFERROR(INDEX(BASE!$A$4:$A$10003, MATCH(0, COUNTIF($A$1:A178, BASE!$A$4:$A$10003&amp;""), 0)), "")</f>
        <v/>
      </c>
      <c r="B179" t="str">
        <f>IF(A179="", "", VLOOKUP(A179, BASE!$A$4:$B$10003, 2, FALSE))</f>
        <v/>
      </c>
      <c r="C179" t="str">
        <f>IF(A179="", "", SUMIF(BASE!$A$4:$A$10003, A179, BASE!$C$4:$C$10003))</f>
        <v/>
      </c>
      <c r="D179" t="str">
        <f>IF(A179="", "", INDEX(BASE!$D$4:$D$10003, MATCH(A179, BASE!$A$4:$A$10003, 0)))</f>
        <v/>
      </c>
      <c r="E179" t="str">
        <f>IF(A179="", "", INDEX(BASE!$E$4:$E$10003, MATCH(A179, BASE!$A$4:$A$10003, 0)))</f>
        <v/>
      </c>
    </row>
    <row r="180" spans="1:5">
      <c r="A180" t="str">
        <f>IFERROR(INDEX(BASE!$A$4:$A$10003, MATCH(0, COUNTIF($A$1:A179, BASE!$A$4:$A$10003&amp;""), 0)), "")</f>
        <v/>
      </c>
      <c r="B180" t="str">
        <f>IF(A180="", "", VLOOKUP(A180, BASE!$A$4:$B$10003, 2, FALSE))</f>
        <v/>
      </c>
      <c r="C180" t="str">
        <f>IF(A180="", "", SUMIF(BASE!$A$4:$A$10003, A180, BASE!$C$4:$C$10003))</f>
        <v/>
      </c>
      <c r="D180" t="str">
        <f>IF(A180="", "", INDEX(BASE!$D$4:$D$10003, MATCH(A180, BASE!$A$4:$A$10003, 0)))</f>
        <v/>
      </c>
      <c r="E180" t="str">
        <f>IF(A180="", "", INDEX(BASE!$E$4:$E$10003, MATCH(A180, BASE!$A$4:$A$10003, 0)))</f>
        <v/>
      </c>
    </row>
    <row r="181" spans="1:5">
      <c r="A181" t="str">
        <f>IFERROR(INDEX(BASE!$A$4:$A$10003, MATCH(0, COUNTIF($A$1:A180, BASE!$A$4:$A$10003&amp;""), 0)), "")</f>
        <v/>
      </c>
      <c r="B181" t="str">
        <f>IF(A181="", "", VLOOKUP(A181, BASE!$A$4:$B$10003, 2, FALSE))</f>
        <v/>
      </c>
      <c r="C181" t="str">
        <f>IF(A181="", "", SUMIF(BASE!$A$4:$A$10003, A181, BASE!$C$4:$C$10003))</f>
        <v/>
      </c>
      <c r="D181" t="str">
        <f>IF(A181="", "", INDEX(BASE!$D$4:$D$10003, MATCH(A181, BASE!$A$4:$A$10003, 0)))</f>
        <v/>
      </c>
      <c r="E181" t="str">
        <f>IF(A181="", "", INDEX(BASE!$E$4:$E$10003, MATCH(A181, BASE!$A$4:$A$10003, 0)))</f>
        <v/>
      </c>
    </row>
    <row r="182" spans="1:5">
      <c r="A182" t="str">
        <f>IFERROR(INDEX(BASE!$A$4:$A$10003, MATCH(0, COUNTIF($A$1:A181, BASE!$A$4:$A$10003&amp;""), 0)), "")</f>
        <v/>
      </c>
      <c r="B182" t="str">
        <f>IF(A182="", "", VLOOKUP(A182, BASE!$A$4:$B$10003, 2, FALSE))</f>
        <v/>
      </c>
      <c r="C182" t="str">
        <f>IF(A182="", "", SUMIF(BASE!$A$4:$A$10003, A182, BASE!$C$4:$C$10003))</f>
        <v/>
      </c>
      <c r="D182" t="str">
        <f>IF(A182="", "", INDEX(BASE!$D$4:$D$10003, MATCH(A182, BASE!$A$4:$A$10003, 0)))</f>
        <v/>
      </c>
      <c r="E182" t="str">
        <f>IF(A182="", "", INDEX(BASE!$E$4:$E$10003, MATCH(A182, BASE!$A$4:$A$10003, 0)))</f>
        <v/>
      </c>
    </row>
    <row r="183" spans="1:5">
      <c r="A183" t="str">
        <f>IFERROR(INDEX(BASE!$A$4:$A$10003, MATCH(0, COUNTIF($A$1:A182, BASE!$A$4:$A$10003&amp;""), 0)), "")</f>
        <v/>
      </c>
      <c r="B183" t="str">
        <f>IF(A183="", "", VLOOKUP(A183, BASE!$A$4:$B$10003, 2, FALSE))</f>
        <v/>
      </c>
      <c r="C183" t="str">
        <f>IF(A183="", "", SUMIF(BASE!$A$4:$A$10003, A183, BASE!$C$4:$C$10003))</f>
        <v/>
      </c>
      <c r="D183" t="str">
        <f>IF(A183="", "", INDEX(BASE!$D$4:$D$10003, MATCH(A183, BASE!$A$4:$A$10003, 0)))</f>
        <v/>
      </c>
      <c r="E183" t="str">
        <f>IF(A183="", "", INDEX(BASE!$E$4:$E$10003, MATCH(A183, BASE!$A$4:$A$10003, 0)))</f>
        <v/>
      </c>
    </row>
    <row r="184" spans="1:5">
      <c r="A184" t="str">
        <f>IFERROR(INDEX(BASE!$A$4:$A$10003, MATCH(0, COUNTIF($A$1:A183, BASE!$A$4:$A$10003&amp;""), 0)), "")</f>
        <v/>
      </c>
      <c r="B184" t="str">
        <f>IF(A184="", "", VLOOKUP(A184, BASE!$A$4:$B$10003, 2, FALSE))</f>
        <v/>
      </c>
      <c r="C184" t="str">
        <f>IF(A184="", "", SUMIF(BASE!$A$4:$A$10003, A184, BASE!$C$4:$C$10003))</f>
        <v/>
      </c>
      <c r="D184" t="str">
        <f>IF(A184="", "", INDEX(BASE!$D$4:$D$10003, MATCH(A184, BASE!$A$4:$A$10003, 0)))</f>
        <v/>
      </c>
      <c r="E184" t="str">
        <f>IF(A184="", "", INDEX(BASE!$E$4:$E$10003, MATCH(A184, BASE!$A$4:$A$10003, 0)))</f>
        <v/>
      </c>
    </row>
    <row r="185" spans="1:5">
      <c r="A185" t="str">
        <f>IFERROR(INDEX(BASE!$A$4:$A$10003, MATCH(0, COUNTIF($A$1:A184, BASE!$A$4:$A$10003&amp;""), 0)), "")</f>
        <v/>
      </c>
      <c r="B185" t="str">
        <f>IF(A185="", "", VLOOKUP(A185, BASE!$A$4:$B$10003, 2, FALSE))</f>
        <v/>
      </c>
      <c r="C185" t="str">
        <f>IF(A185="", "", SUMIF(BASE!$A$4:$A$10003, A185, BASE!$C$4:$C$10003))</f>
        <v/>
      </c>
      <c r="D185" t="str">
        <f>IF(A185="", "", INDEX(BASE!$D$4:$D$10003, MATCH(A185, BASE!$A$4:$A$10003, 0)))</f>
        <v/>
      </c>
      <c r="E185" t="str">
        <f>IF(A185="", "", INDEX(BASE!$E$4:$E$10003, MATCH(A185, BASE!$A$4:$A$10003, 0)))</f>
        <v/>
      </c>
    </row>
    <row r="186" spans="1:5">
      <c r="A186" t="str">
        <f>IFERROR(INDEX(BASE!$A$4:$A$10003, MATCH(0, COUNTIF($A$1:A185, BASE!$A$4:$A$10003&amp;""), 0)), "")</f>
        <v/>
      </c>
      <c r="B186" t="str">
        <f>IF(A186="", "", VLOOKUP(A186, BASE!$A$4:$B$10003, 2, FALSE))</f>
        <v/>
      </c>
      <c r="C186" t="str">
        <f>IF(A186="", "", SUMIF(BASE!$A$4:$A$10003, A186, BASE!$C$4:$C$10003))</f>
        <v/>
      </c>
      <c r="D186" t="str">
        <f>IF(A186="", "", INDEX(BASE!$D$4:$D$10003, MATCH(A186, BASE!$A$4:$A$10003, 0)))</f>
        <v/>
      </c>
      <c r="E186" t="str">
        <f>IF(A186="", "", INDEX(BASE!$E$4:$E$10003, MATCH(A186, BASE!$A$4:$A$10003, 0)))</f>
        <v/>
      </c>
    </row>
    <row r="187" spans="1:5">
      <c r="A187" t="str">
        <f>IFERROR(INDEX(BASE!$A$4:$A$10003, MATCH(0, COUNTIF($A$1:A186, BASE!$A$4:$A$10003&amp;""), 0)), "")</f>
        <v/>
      </c>
      <c r="B187" t="str">
        <f>IF(A187="", "", VLOOKUP(A187, BASE!$A$4:$B$10003, 2, FALSE))</f>
        <v/>
      </c>
      <c r="C187" t="str">
        <f>IF(A187="", "", SUMIF(BASE!$A$4:$A$10003, A187, BASE!$C$4:$C$10003))</f>
        <v/>
      </c>
      <c r="D187" t="str">
        <f>IF(A187="", "", INDEX(BASE!$D$4:$D$10003, MATCH(A187, BASE!$A$4:$A$10003, 0)))</f>
        <v/>
      </c>
      <c r="E187" t="str">
        <f>IF(A187="", "", INDEX(BASE!$E$4:$E$10003, MATCH(A187, BASE!$A$4:$A$10003, 0)))</f>
        <v/>
      </c>
    </row>
    <row r="188" spans="1:5">
      <c r="A188" t="str">
        <f>IFERROR(INDEX(BASE!$A$4:$A$10003, MATCH(0, COUNTIF($A$1:A187, BASE!$A$4:$A$10003&amp;""), 0)), "")</f>
        <v/>
      </c>
      <c r="B188" t="str">
        <f>IF(A188="", "", VLOOKUP(A188, BASE!$A$4:$B$10003, 2, FALSE))</f>
        <v/>
      </c>
      <c r="C188" t="str">
        <f>IF(A188="", "", SUMIF(BASE!$A$4:$A$10003, A188, BASE!$C$4:$C$10003))</f>
        <v/>
      </c>
      <c r="D188" t="str">
        <f>IF(A188="", "", INDEX(BASE!$D$4:$D$10003, MATCH(A188, BASE!$A$4:$A$10003, 0)))</f>
        <v/>
      </c>
      <c r="E188" t="str">
        <f>IF(A188="", "", INDEX(BASE!$E$4:$E$10003, MATCH(A188, BASE!$A$4:$A$10003, 0)))</f>
        <v/>
      </c>
    </row>
    <row r="189" spans="1:5">
      <c r="A189" t="str">
        <f>IFERROR(INDEX(BASE!$A$4:$A$10003, MATCH(0, COUNTIF($A$1:A188, BASE!$A$4:$A$10003&amp;""), 0)), "")</f>
        <v/>
      </c>
      <c r="B189" t="str">
        <f>IF(A189="", "", VLOOKUP(A189, BASE!$A$4:$B$10003, 2, FALSE))</f>
        <v/>
      </c>
      <c r="C189" t="str">
        <f>IF(A189="", "", SUMIF(BASE!$A$4:$A$10003, A189, BASE!$C$4:$C$10003))</f>
        <v/>
      </c>
      <c r="D189" t="str">
        <f>IF(A189="", "", INDEX(BASE!$D$4:$D$10003, MATCH(A189, BASE!$A$4:$A$10003, 0)))</f>
        <v/>
      </c>
      <c r="E189" t="str">
        <f>IF(A189="", "", INDEX(BASE!$E$4:$E$10003, MATCH(A189, BASE!$A$4:$A$10003, 0)))</f>
        <v/>
      </c>
    </row>
    <row r="190" spans="1:5">
      <c r="A190" t="str">
        <f>IFERROR(INDEX(BASE!$A$4:$A$10003, MATCH(0, COUNTIF($A$1:A189, BASE!$A$4:$A$10003&amp;""), 0)), "")</f>
        <v/>
      </c>
      <c r="B190" t="str">
        <f>IF(A190="", "", VLOOKUP(A190, BASE!$A$4:$B$10003, 2, FALSE))</f>
        <v/>
      </c>
      <c r="C190" t="str">
        <f>IF(A190="", "", SUMIF(BASE!$A$4:$A$10003, A190, BASE!$C$4:$C$10003))</f>
        <v/>
      </c>
      <c r="D190" t="str">
        <f>IF(A190="", "", INDEX(BASE!$D$4:$D$10003, MATCH(A190, BASE!$A$4:$A$10003, 0)))</f>
        <v/>
      </c>
      <c r="E190" t="str">
        <f>IF(A190="", "", INDEX(BASE!$E$4:$E$10003, MATCH(A190, BASE!$A$4:$A$10003, 0)))</f>
        <v/>
      </c>
    </row>
    <row r="191" spans="1:5">
      <c r="A191" t="str">
        <f>IFERROR(INDEX(BASE!$A$4:$A$10003, MATCH(0, COUNTIF($A$1:A190, BASE!$A$4:$A$10003&amp;""), 0)), "")</f>
        <v/>
      </c>
      <c r="B191" t="str">
        <f>IF(A191="", "", VLOOKUP(A191, BASE!$A$4:$B$10003, 2, FALSE))</f>
        <v/>
      </c>
      <c r="C191" t="str">
        <f>IF(A191="", "", SUMIF(BASE!$A$4:$A$10003, A191, BASE!$C$4:$C$10003))</f>
        <v/>
      </c>
      <c r="D191" t="str">
        <f>IF(A191="", "", INDEX(BASE!$D$4:$D$10003, MATCH(A191, BASE!$A$4:$A$10003, 0)))</f>
        <v/>
      </c>
      <c r="E191" t="str">
        <f>IF(A191="", "", INDEX(BASE!$E$4:$E$10003, MATCH(A191, BASE!$A$4:$A$10003, 0)))</f>
        <v/>
      </c>
    </row>
    <row r="192" spans="1:5">
      <c r="A192" t="str">
        <f>IFERROR(INDEX(BASE!$A$4:$A$10003, MATCH(0, COUNTIF($A$1:A191, BASE!$A$4:$A$10003&amp;""), 0)), "")</f>
        <v/>
      </c>
      <c r="B192" t="str">
        <f>IF(A192="", "", VLOOKUP(A192, BASE!$A$4:$B$10003, 2, FALSE))</f>
        <v/>
      </c>
      <c r="C192" t="str">
        <f>IF(A192="", "", SUMIF(BASE!$A$4:$A$10003, A192, BASE!$C$4:$C$10003))</f>
        <v/>
      </c>
      <c r="D192" t="str">
        <f>IF(A192="", "", INDEX(BASE!$D$4:$D$10003, MATCH(A192, BASE!$A$4:$A$10003, 0)))</f>
        <v/>
      </c>
      <c r="E192" t="str">
        <f>IF(A192="", "", INDEX(BASE!$E$4:$E$10003, MATCH(A192, BASE!$A$4:$A$10003, 0)))</f>
        <v/>
      </c>
    </row>
    <row r="193" spans="1:5">
      <c r="A193" t="str">
        <f>IFERROR(INDEX(BASE!$A$4:$A$10003, MATCH(0, COUNTIF($A$1:A192, BASE!$A$4:$A$10003&amp;""), 0)), "")</f>
        <v/>
      </c>
      <c r="B193" t="str">
        <f>IF(A193="", "", VLOOKUP(A193, BASE!$A$4:$B$10003, 2, FALSE))</f>
        <v/>
      </c>
      <c r="C193" t="str">
        <f>IF(A193="", "", SUMIF(BASE!$A$4:$A$10003, A193, BASE!$C$4:$C$10003))</f>
        <v/>
      </c>
      <c r="D193" t="str">
        <f>IF(A193="", "", INDEX(BASE!$D$4:$D$10003, MATCH(A193, BASE!$A$4:$A$10003, 0)))</f>
        <v/>
      </c>
      <c r="E193" t="str">
        <f>IF(A193="", "", INDEX(BASE!$E$4:$E$10003, MATCH(A193, BASE!$A$4:$A$10003, 0)))</f>
        <v/>
      </c>
    </row>
    <row r="194" spans="1:5">
      <c r="A194" t="str">
        <f>IFERROR(INDEX(BASE!$A$4:$A$10003, MATCH(0, COUNTIF($A$1:A193, BASE!$A$4:$A$10003&amp;""), 0)), "")</f>
        <v/>
      </c>
      <c r="B194" t="str">
        <f>IF(A194="", "", VLOOKUP(A194, BASE!$A$4:$B$10003, 2, FALSE))</f>
        <v/>
      </c>
      <c r="C194" t="str">
        <f>IF(A194="", "", SUMIF(BASE!$A$4:$A$10003, A194, BASE!$C$4:$C$10003))</f>
        <v/>
      </c>
      <c r="D194" t="str">
        <f>IF(A194="", "", INDEX(BASE!$D$4:$D$10003, MATCH(A194, BASE!$A$4:$A$10003, 0)))</f>
        <v/>
      </c>
      <c r="E194" t="str">
        <f>IF(A194="", "", INDEX(BASE!$E$4:$E$10003, MATCH(A194, BASE!$A$4:$A$10003, 0)))</f>
        <v/>
      </c>
    </row>
    <row r="195" spans="1:5">
      <c r="A195" t="str">
        <f>IFERROR(INDEX(BASE!$A$4:$A$10003, MATCH(0, COUNTIF($A$1:A194, BASE!$A$4:$A$10003&amp;""), 0)), "")</f>
        <v/>
      </c>
      <c r="B195" t="str">
        <f>IF(A195="", "", VLOOKUP(A195, BASE!$A$4:$B$10003, 2, FALSE))</f>
        <v/>
      </c>
      <c r="C195" t="str">
        <f>IF(A195="", "", SUMIF(BASE!$A$4:$A$10003, A195, BASE!$C$4:$C$10003))</f>
        <v/>
      </c>
      <c r="D195" t="str">
        <f>IF(A195="", "", INDEX(BASE!$D$4:$D$10003, MATCH(A195, BASE!$A$4:$A$10003, 0)))</f>
        <v/>
      </c>
      <c r="E195" t="str">
        <f>IF(A195="", "", INDEX(BASE!$E$4:$E$10003, MATCH(A195, BASE!$A$4:$A$10003, 0)))</f>
        <v/>
      </c>
    </row>
    <row r="196" spans="1:5">
      <c r="A196" t="str">
        <f>IFERROR(INDEX(BASE!$A$4:$A$10003, MATCH(0, COUNTIF($A$1:A195, BASE!$A$4:$A$10003&amp;""), 0)), "")</f>
        <v/>
      </c>
      <c r="B196" t="str">
        <f>IF(A196="", "", VLOOKUP(A196, BASE!$A$4:$B$10003, 2, FALSE))</f>
        <v/>
      </c>
      <c r="C196" t="str">
        <f>IF(A196="", "", SUMIF(BASE!$A$4:$A$10003, A196, BASE!$C$4:$C$10003))</f>
        <v/>
      </c>
      <c r="D196" t="str">
        <f>IF(A196="", "", INDEX(BASE!$D$4:$D$10003, MATCH(A196, BASE!$A$4:$A$10003, 0)))</f>
        <v/>
      </c>
      <c r="E196" t="str">
        <f>IF(A196="", "", INDEX(BASE!$E$4:$E$10003, MATCH(A196, BASE!$A$4:$A$10003, 0)))</f>
        <v/>
      </c>
    </row>
    <row r="197" spans="1:5">
      <c r="A197" t="str">
        <f>IFERROR(INDEX(BASE!$A$4:$A$10003, MATCH(0, COUNTIF($A$1:A196, BASE!$A$4:$A$10003&amp;""), 0)), "")</f>
        <v/>
      </c>
      <c r="B197" t="str">
        <f>IF(A197="", "", VLOOKUP(A197, BASE!$A$4:$B$10003, 2, FALSE))</f>
        <v/>
      </c>
      <c r="C197" t="str">
        <f>IF(A197="", "", SUMIF(BASE!$A$4:$A$10003, A197, BASE!$C$4:$C$10003))</f>
        <v/>
      </c>
      <c r="D197" t="str">
        <f>IF(A197="", "", INDEX(BASE!$D$4:$D$10003, MATCH(A197, BASE!$A$4:$A$10003, 0)))</f>
        <v/>
      </c>
      <c r="E197" t="str">
        <f>IF(A197="", "", INDEX(BASE!$E$4:$E$10003, MATCH(A197, BASE!$A$4:$A$10003, 0)))</f>
        <v/>
      </c>
    </row>
    <row r="198" spans="1:5">
      <c r="A198" t="str">
        <f>IFERROR(INDEX(BASE!$A$4:$A$10003, MATCH(0, COUNTIF($A$1:A197, BASE!$A$4:$A$10003&amp;""), 0)), "")</f>
        <v/>
      </c>
      <c r="B198" t="str">
        <f>IF(A198="", "", VLOOKUP(A198, BASE!$A$4:$B$10003, 2, FALSE))</f>
        <v/>
      </c>
      <c r="C198" t="str">
        <f>IF(A198="", "", SUMIF(BASE!$A$4:$A$10003, A198, BASE!$C$4:$C$10003))</f>
        <v/>
      </c>
      <c r="D198" t="str">
        <f>IF(A198="", "", INDEX(BASE!$D$4:$D$10003, MATCH(A198, BASE!$A$4:$A$10003, 0)))</f>
        <v/>
      </c>
      <c r="E198" t="str">
        <f>IF(A198="", "", INDEX(BASE!$E$4:$E$10003, MATCH(A198, BASE!$A$4:$A$10003, 0)))</f>
        <v/>
      </c>
    </row>
    <row r="199" spans="1:5">
      <c r="A199" t="str">
        <f>IFERROR(INDEX(BASE!$A$4:$A$10003, MATCH(0, COUNTIF($A$1:A198, BASE!$A$4:$A$10003&amp;""), 0)), "")</f>
        <v/>
      </c>
      <c r="B199" t="str">
        <f>IF(A199="", "", VLOOKUP(A199, BASE!$A$4:$B$10003, 2, FALSE))</f>
        <v/>
      </c>
      <c r="C199" t="str">
        <f>IF(A199="", "", SUMIF(BASE!$A$4:$A$10003, A199, BASE!$C$4:$C$10003))</f>
        <v/>
      </c>
      <c r="D199" t="str">
        <f>IF(A199="", "", INDEX(BASE!$D$4:$D$10003, MATCH(A199, BASE!$A$4:$A$10003, 0)))</f>
        <v/>
      </c>
      <c r="E199" t="str">
        <f>IF(A199="", "", INDEX(BASE!$E$4:$E$10003, MATCH(A199, BASE!$A$4:$A$10003, 0)))</f>
        <v/>
      </c>
    </row>
    <row r="200" spans="1:5">
      <c r="A200" t="str">
        <f>IFERROR(INDEX(BASE!$A$4:$A$10003, MATCH(0, COUNTIF($A$1:A199, BASE!$A$4:$A$10003&amp;""), 0)), "")</f>
        <v/>
      </c>
      <c r="B200" t="str">
        <f>IF(A200="", "", VLOOKUP(A200, BASE!$A$4:$B$10003, 2, FALSE))</f>
        <v/>
      </c>
      <c r="C200" t="str">
        <f>IF(A200="", "", SUMIF(BASE!$A$4:$A$10003, A200, BASE!$C$4:$C$10003))</f>
        <v/>
      </c>
      <c r="D200" t="str">
        <f>IF(A200="", "", INDEX(BASE!$D$4:$D$10003, MATCH(A200, BASE!$A$4:$A$10003, 0)))</f>
        <v/>
      </c>
      <c r="E200" t="str">
        <f>IF(A200="", "", INDEX(BASE!$E$4:$E$10003, MATCH(A200, BASE!$A$4:$A$10003, 0)))</f>
        <v/>
      </c>
    </row>
    <row r="201" spans="1:5">
      <c r="A201" t="str">
        <f>IFERROR(INDEX(BASE!$A$4:$A$10003, MATCH(0, COUNTIF($A$1:A200, BASE!$A$4:$A$10003&amp;""), 0)), "")</f>
        <v/>
      </c>
      <c r="B201" t="str">
        <f>IF(A201="", "", VLOOKUP(A201, BASE!$A$4:$B$10003, 2, FALSE))</f>
        <v/>
      </c>
      <c r="C201" t="str">
        <f>IF(A201="", "", SUMIF(BASE!$A$4:$A$10003, A201, BASE!$C$4:$C$10003))</f>
        <v/>
      </c>
      <c r="D201" t="str">
        <f>IF(A201="", "", INDEX(BASE!$D$4:$D$10003, MATCH(A201, BASE!$A$4:$A$10003, 0)))</f>
        <v/>
      </c>
      <c r="E201" t="str">
        <f>IF(A201="", "", INDEX(BASE!$E$4:$E$10003, MATCH(A201, BASE!$A$4:$A$10003, 0)))</f>
        <v/>
      </c>
    </row>
    <row r="202" spans="1:5">
      <c r="A202" t="str">
        <f>IFERROR(INDEX(BASE!$A$4:$A$10003, MATCH(0, COUNTIF($A$1:A201, BASE!$A$4:$A$10003&amp;""), 0)), "")</f>
        <v/>
      </c>
      <c r="B202" t="str">
        <f>IF(A202="", "", VLOOKUP(A202, BASE!$A$4:$B$10003, 2, FALSE))</f>
        <v/>
      </c>
      <c r="C202" t="str">
        <f>IF(A202="", "", SUMIF(BASE!$A$4:$A$10003, A202, BASE!$C$4:$C$10003))</f>
        <v/>
      </c>
      <c r="D202" t="str">
        <f>IF(A202="", "", INDEX(BASE!$D$4:$D$10003, MATCH(A202, BASE!$A$4:$A$10003, 0)))</f>
        <v/>
      </c>
      <c r="E202" t="str">
        <f>IF(A202="", "", INDEX(BASE!$E$4:$E$10003, MATCH(A202, BASE!$A$4:$A$10003, 0)))</f>
        <v/>
      </c>
    </row>
    <row r="203" spans="1:5">
      <c r="A203" t="str">
        <f>IFERROR(INDEX(BASE!$A$4:$A$10003, MATCH(0, COUNTIF($A$1:A202, BASE!$A$4:$A$10003&amp;""), 0)), "")</f>
        <v/>
      </c>
      <c r="B203" t="str">
        <f>IF(A203="", "", VLOOKUP(A203, BASE!$A$4:$B$10003, 2, FALSE))</f>
        <v/>
      </c>
      <c r="C203" t="str">
        <f>IF(A203="", "", SUMIF(BASE!$A$4:$A$10003, A203, BASE!$C$4:$C$10003))</f>
        <v/>
      </c>
      <c r="D203" t="str">
        <f>IF(A203="", "", INDEX(BASE!$D$4:$D$10003, MATCH(A203, BASE!$A$4:$A$10003, 0)))</f>
        <v/>
      </c>
      <c r="E203" t="str">
        <f>IF(A203="", "", INDEX(BASE!$E$4:$E$10003, MATCH(A203, BASE!$A$4:$A$10003, 0)))</f>
        <v/>
      </c>
    </row>
    <row r="204" spans="1:5">
      <c r="A204" t="str">
        <f>IFERROR(INDEX(BASE!$A$4:$A$10003, MATCH(0, COUNTIF($A$1:A203, BASE!$A$4:$A$10003&amp;""), 0)), "")</f>
        <v/>
      </c>
      <c r="B204" t="str">
        <f>IF(A204="", "", VLOOKUP(A204, BASE!$A$4:$B$10003, 2, FALSE))</f>
        <v/>
      </c>
      <c r="C204" t="str">
        <f>IF(A204="", "", SUMIF(BASE!$A$4:$A$10003, A204, BASE!$C$4:$C$10003))</f>
        <v/>
      </c>
      <c r="D204" t="str">
        <f>IF(A204="", "", INDEX(BASE!$D$4:$D$10003, MATCH(A204, BASE!$A$4:$A$10003, 0)))</f>
        <v/>
      </c>
      <c r="E204" t="str">
        <f>IF(A204="", "", INDEX(BASE!$E$4:$E$10003, MATCH(A204, BASE!$A$4:$A$10003, 0)))</f>
        <v/>
      </c>
    </row>
    <row r="205" spans="1:5">
      <c r="A205" t="str">
        <f>IFERROR(INDEX(BASE!$A$4:$A$10003, MATCH(0, COUNTIF($A$1:A204, BASE!$A$4:$A$10003&amp;""), 0)), "")</f>
        <v/>
      </c>
      <c r="B205" t="str">
        <f>IF(A205="", "", VLOOKUP(A205, BASE!$A$4:$B$10003, 2, FALSE))</f>
        <v/>
      </c>
      <c r="C205" t="str">
        <f>IF(A205="", "", SUMIF(BASE!$A$4:$A$10003, A205, BASE!$C$4:$C$10003))</f>
        <v/>
      </c>
      <c r="D205" t="str">
        <f>IF(A205="", "", INDEX(BASE!$D$4:$D$10003, MATCH(A205, BASE!$A$4:$A$10003, 0)))</f>
        <v/>
      </c>
      <c r="E205" t="str">
        <f>IF(A205="", "", INDEX(BASE!$E$4:$E$10003, MATCH(A205, BASE!$A$4:$A$10003, 0)))</f>
        <v/>
      </c>
    </row>
    <row r="206" spans="1:5">
      <c r="A206" t="str">
        <f>IFERROR(INDEX(BASE!$A$4:$A$10003, MATCH(0, COUNTIF($A$1:A205, BASE!$A$4:$A$10003&amp;""), 0)), "")</f>
        <v/>
      </c>
      <c r="B206" t="str">
        <f>IF(A206="", "", VLOOKUP(A206, BASE!$A$4:$B$10003, 2, FALSE))</f>
        <v/>
      </c>
      <c r="C206" t="str">
        <f>IF(A206="", "", SUMIF(BASE!$A$4:$A$10003, A206, BASE!$C$4:$C$10003))</f>
        <v/>
      </c>
      <c r="D206" t="str">
        <f>IF(A206="", "", INDEX(BASE!$D$4:$D$10003, MATCH(A206, BASE!$A$4:$A$10003, 0)))</f>
        <v/>
      </c>
      <c r="E206" t="str">
        <f>IF(A206="", "", INDEX(BASE!$E$4:$E$10003, MATCH(A206, BASE!$A$4:$A$10003, 0)))</f>
        <v/>
      </c>
    </row>
    <row r="207" spans="1:5">
      <c r="A207" t="str">
        <f>IFERROR(INDEX(BASE!$A$4:$A$10003, MATCH(0, COUNTIF($A$1:A206, BASE!$A$4:$A$10003&amp;""), 0)), "")</f>
        <v/>
      </c>
      <c r="B207" t="str">
        <f>IF(A207="", "", VLOOKUP(A207, BASE!$A$4:$B$10003, 2, FALSE))</f>
        <v/>
      </c>
      <c r="C207" t="str">
        <f>IF(A207="", "", SUMIF(BASE!$A$4:$A$10003, A207, BASE!$C$4:$C$10003))</f>
        <v/>
      </c>
      <c r="D207" t="str">
        <f>IF(A207="", "", INDEX(BASE!$D$4:$D$10003, MATCH(A207, BASE!$A$4:$A$10003, 0)))</f>
        <v/>
      </c>
      <c r="E207" t="str">
        <f>IF(A207="", "", INDEX(BASE!$E$4:$E$10003, MATCH(A207, BASE!$A$4:$A$10003, 0)))</f>
        <v/>
      </c>
    </row>
    <row r="208" spans="1:5">
      <c r="A208" t="str">
        <f>IFERROR(INDEX(BASE!$A$4:$A$10003, MATCH(0, COUNTIF($A$1:A207, BASE!$A$4:$A$10003&amp;""), 0)), "")</f>
        <v/>
      </c>
      <c r="B208" t="str">
        <f>IF(A208="", "", VLOOKUP(A208, BASE!$A$4:$B$10003, 2, FALSE))</f>
        <v/>
      </c>
      <c r="C208" t="str">
        <f>IF(A208="", "", SUMIF(BASE!$A$4:$A$10003, A208, BASE!$C$4:$C$10003))</f>
        <v/>
      </c>
      <c r="D208" t="str">
        <f>IF(A208="", "", INDEX(BASE!$D$4:$D$10003, MATCH(A208, BASE!$A$4:$A$10003, 0)))</f>
        <v/>
      </c>
      <c r="E208" t="str">
        <f>IF(A208="", "", INDEX(BASE!$E$4:$E$10003, MATCH(A208, BASE!$A$4:$A$10003, 0)))</f>
        <v/>
      </c>
    </row>
    <row r="209" spans="1:5">
      <c r="A209" t="str">
        <f>IFERROR(INDEX(BASE!$A$4:$A$10003, MATCH(0, COUNTIF($A$1:A208, BASE!$A$4:$A$10003&amp;""), 0)), "")</f>
        <v/>
      </c>
      <c r="B209" t="str">
        <f>IF(A209="", "", VLOOKUP(A209, BASE!$A$4:$B$10003, 2, FALSE))</f>
        <v/>
      </c>
      <c r="C209" t="str">
        <f>IF(A209="", "", SUMIF(BASE!$A$4:$A$10003, A209, BASE!$C$4:$C$10003))</f>
        <v/>
      </c>
      <c r="D209" t="str">
        <f>IF(A209="", "", INDEX(BASE!$D$4:$D$10003, MATCH(A209, BASE!$A$4:$A$10003, 0)))</f>
        <v/>
      </c>
      <c r="E209" t="str">
        <f>IF(A209="", "", INDEX(BASE!$E$4:$E$10003, MATCH(A209, BASE!$A$4:$A$10003, 0)))</f>
        <v/>
      </c>
    </row>
    <row r="210" spans="1:5">
      <c r="A210" t="str">
        <f>IFERROR(INDEX(BASE!$A$4:$A$10003, MATCH(0, COUNTIF($A$1:A209, BASE!$A$4:$A$10003&amp;""), 0)), "")</f>
        <v/>
      </c>
      <c r="B210" t="str">
        <f>IF(A210="", "", VLOOKUP(A210, BASE!$A$4:$B$10003, 2, FALSE))</f>
        <v/>
      </c>
      <c r="C210" t="str">
        <f>IF(A210="", "", SUMIF(BASE!$A$4:$A$10003, A210, BASE!$C$4:$C$10003))</f>
        <v/>
      </c>
      <c r="D210" t="str">
        <f>IF(A210="", "", INDEX(BASE!$D$4:$D$10003, MATCH(A210, BASE!$A$4:$A$10003, 0)))</f>
        <v/>
      </c>
      <c r="E210" t="str">
        <f>IF(A210="", "", INDEX(BASE!$E$4:$E$10003, MATCH(A210, BASE!$A$4:$A$10003, 0)))</f>
        <v/>
      </c>
    </row>
    <row r="211" spans="1:5">
      <c r="A211" t="str">
        <f>IFERROR(INDEX(BASE!$A$4:$A$10003, MATCH(0, COUNTIF($A$1:A210, BASE!$A$4:$A$10003&amp;""), 0)), "")</f>
        <v/>
      </c>
      <c r="B211" t="str">
        <f>IF(A211="", "", VLOOKUP(A211, BASE!$A$4:$B$10003, 2, FALSE))</f>
        <v/>
      </c>
      <c r="C211" t="str">
        <f>IF(A211="", "", SUMIF(BASE!$A$4:$A$10003, A211, BASE!$C$4:$C$10003))</f>
        <v/>
      </c>
      <c r="D211" t="str">
        <f>IF(A211="", "", INDEX(BASE!$D$4:$D$10003, MATCH(A211, BASE!$A$4:$A$10003, 0)))</f>
        <v/>
      </c>
      <c r="E211" t="str">
        <f>IF(A211="", "", INDEX(BASE!$E$4:$E$10003, MATCH(A211, BASE!$A$4:$A$10003, 0)))</f>
        <v/>
      </c>
    </row>
    <row r="212" spans="1:5">
      <c r="A212" t="str">
        <f>IFERROR(INDEX(BASE!$A$4:$A$10003, MATCH(0, COUNTIF($A$1:A211, BASE!$A$4:$A$10003&amp;""), 0)), "")</f>
        <v/>
      </c>
      <c r="B212" t="str">
        <f>IF(A212="", "", VLOOKUP(A212, BASE!$A$4:$B$10003, 2, FALSE))</f>
        <v/>
      </c>
      <c r="C212" t="str">
        <f>IF(A212="", "", SUMIF(BASE!$A$4:$A$10003, A212, BASE!$C$4:$C$10003))</f>
        <v/>
      </c>
      <c r="D212" t="str">
        <f>IF(A212="", "", INDEX(BASE!$D$4:$D$10003, MATCH(A212, BASE!$A$4:$A$10003, 0)))</f>
        <v/>
      </c>
      <c r="E212" t="str">
        <f>IF(A212="", "", INDEX(BASE!$E$4:$E$10003, MATCH(A212, BASE!$A$4:$A$10003, 0)))</f>
        <v/>
      </c>
    </row>
    <row r="213" spans="1:5">
      <c r="A213" t="str">
        <f>IFERROR(INDEX(BASE!$A$4:$A$10003, MATCH(0, COUNTIF($A$1:A212, BASE!$A$4:$A$10003&amp;""), 0)), "")</f>
        <v/>
      </c>
      <c r="B213" t="str">
        <f>IF(A213="", "", VLOOKUP(A213, BASE!$A$4:$B$10003, 2, FALSE))</f>
        <v/>
      </c>
      <c r="C213" t="str">
        <f>IF(A213="", "", SUMIF(BASE!$A$4:$A$10003, A213, BASE!$C$4:$C$10003))</f>
        <v/>
      </c>
      <c r="D213" t="str">
        <f>IF(A213="", "", INDEX(BASE!$D$4:$D$10003, MATCH(A213, BASE!$A$4:$A$10003, 0)))</f>
        <v/>
      </c>
      <c r="E213" t="str">
        <f>IF(A213="", "", INDEX(BASE!$E$4:$E$10003, MATCH(A213, BASE!$A$4:$A$10003, 0)))</f>
        <v/>
      </c>
    </row>
    <row r="214" spans="1:5">
      <c r="A214" t="str">
        <f>IFERROR(INDEX(BASE!$A$4:$A$10003, MATCH(0, COUNTIF($A$1:A213, BASE!$A$4:$A$10003&amp;""), 0)), "")</f>
        <v/>
      </c>
      <c r="B214" t="str">
        <f>IF(A214="", "", VLOOKUP(A214, BASE!$A$4:$B$10003, 2, FALSE))</f>
        <v/>
      </c>
      <c r="C214" t="str">
        <f>IF(A214="", "", SUMIF(BASE!$A$4:$A$10003, A214, BASE!$C$4:$C$10003))</f>
        <v/>
      </c>
      <c r="D214" t="str">
        <f>IF(A214="", "", INDEX(BASE!$D$4:$D$10003, MATCH(A214, BASE!$A$4:$A$10003, 0)))</f>
        <v/>
      </c>
      <c r="E214" t="str">
        <f>IF(A214="", "", INDEX(BASE!$E$4:$E$10003, MATCH(A214, BASE!$A$4:$A$10003, 0)))</f>
        <v/>
      </c>
    </row>
    <row r="215" spans="1:5">
      <c r="A215" t="str">
        <f>IFERROR(INDEX(BASE!$A$4:$A$10003, MATCH(0, COUNTIF($A$1:A214, BASE!$A$4:$A$10003&amp;""), 0)), "")</f>
        <v/>
      </c>
      <c r="B215" t="str">
        <f>IF(A215="", "", VLOOKUP(A215, BASE!$A$4:$B$10003, 2, FALSE))</f>
        <v/>
      </c>
      <c r="C215" t="str">
        <f>IF(A215="", "", SUMIF(BASE!$A$4:$A$10003, A215, BASE!$C$4:$C$10003))</f>
        <v/>
      </c>
      <c r="D215" t="str">
        <f>IF(A215="", "", INDEX(BASE!$D$4:$D$10003, MATCH(A215, BASE!$A$4:$A$10003, 0)))</f>
        <v/>
      </c>
      <c r="E215" t="str">
        <f>IF(A215="", "", INDEX(BASE!$E$4:$E$10003, MATCH(A215, BASE!$A$4:$A$10003, 0)))</f>
        <v/>
      </c>
    </row>
    <row r="216" spans="1:5">
      <c r="A216" t="str">
        <f>IFERROR(INDEX(BASE!$A$4:$A$10003, MATCH(0, COUNTIF($A$1:A215, BASE!$A$4:$A$10003&amp;""), 0)), "")</f>
        <v/>
      </c>
      <c r="B216" t="str">
        <f>IF(A216="", "", VLOOKUP(A216, BASE!$A$4:$B$10003, 2, FALSE))</f>
        <v/>
      </c>
      <c r="C216" t="str">
        <f>IF(A216="", "", SUMIF(BASE!$A$4:$A$10003, A216, BASE!$C$4:$C$10003))</f>
        <v/>
      </c>
      <c r="D216" t="str">
        <f>IF(A216="", "", INDEX(BASE!$D$4:$D$10003, MATCH(A216, BASE!$A$4:$A$10003, 0)))</f>
        <v/>
      </c>
      <c r="E216" t="str">
        <f>IF(A216="", "", INDEX(BASE!$E$4:$E$10003, MATCH(A216, BASE!$A$4:$A$10003, 0)))</f>
        <v/>
      </c>
    </row>
    <row r="217" spans="1:5">
      <c r="A217" t="str">
        <f>IFERROR(INDEX(BASE!$A$4:$A$10003, MATCH(0, COUNTIF($A$1:A216, BASE!$A$4:$A$10003&amp;""), 0)), "")</f>
        <v/>
      </c>
      <c r="B217" t="str">
        <f>IF(A217="", "", VLOOKUP(A217, BASE!$A$4:$B$10003, 2, FALSE))</f>
        <v/>
      </c>
      <c r="C217" t="str">
        <f>IF(A217="", "", SUMIF(BASE!$A$4:$A$10003, A217, BASE!$C$4:$C$10003))</f>
        <v/>
      </c>
      <c r="D217" t="str">
        <f>IF(A217="", "", INDEX(BASE!$D$4:$D$10003, MATCH(A217, BASE!$A$4:$A$10003, 0)))</f>
        <v/>
      </c>
      <c r="E217" t="str">
        <f>IF(A217="", "", INDEX(BASE!$E$4:$E$10003, MATCH(A217, BASE!$A$4:$A$10003, 0)))</f>
        <v/>
      </c>
    </row>
    <row r="218" spans="1:5">
      <c r="A218" t="str">
        <f>IFERROR(INDEX(BASE!$A$4:$A$10003, MATCH(0, COUNTIF($A$1:A217, BASE!$A$4:$A$10003&amp;""), 0)), "")</f>
        <v/>
      </c>
      <c r="B218" t="str">
        <f>IF(A218="", "", VLOOKUP(A218, BASE!$A$4:$B$10003, 2, FALSE))</f>
        <v/>
      </c>
      <c r="C218" t="str">
        <f>IF(A218="", "", SUMIF(BASE!$A$4:$A$10003, A218, BASE!$C$4:$C$10003))</f>
        <v/>
      </c>
      <c r="D218" t="str">
        <f>IF(A218="", "", INDEX(BASE!$D$4:$D$10003, MATCH(A218, BASE!$A$4:$A$10003, 0)))</f>
        <v/>
      </c>
      <c r="E218" t="str">
        <f>IF(A218="", "", INDEX(BASE!$E$4:$E$10003, MATCH(A218, BASE!$A$4:$A$10003, 0)))</f>
        <v/>
      </c>
    </row>
    <row r="219" spans="1:5">
      <c r="A219" t="str">
        <f>IFERROR(INDEX(BASE!$A$4:$A$10003, MATCH(0, COUNTIF($A$1:A218, BASE!$A$4:$A$10003&amp;""), 0)), "")</f>
        <v/>
      </c>
      <c r="B219" t="str">
        <f>IF(A219="", "", VLOOKUP(A219, BASE!$A$4:$B$10003, 2, FALSE))</f>
        <v/>
      </c>
      <c r="C219" t="str">
        <f>IF(A219="", "", SUMIF(BASE!$A$4:$A$10003, A219, BASE!$C$4:$C$10003))</f>
        <v/>
      </c>
      <c r="D219" t="str">
        <f>IF(A219="", "", INDEX(BASE!$D$4:$D$10003, MATCH(A219, BASE!$A$4:$A$10003, 0)))</f>
        <v/>
      </c>
      <c r="E219" t="str">
        <f>IF(A219="", "", INDEX(BASE!$E$4:$E$10003, MATCH(A219, BASE!$A$4:$A$10003, 0)))</f>
        <v/>
      </c>
    </row>
    <row r="220" spans="1:5">
      <c r="A220" t="str">
        <f>IFERROR(INDEX(BASE!$A$4:$A$10003, MATCH(0, COUNTIF($A$1:A219, BASE!$A$4:$A$10003&amp;""), 0)), "")</f>
        <v/>
      </c>
      <c r="B220" t="str">
        <f>IF(A220="", "", VLOOKUP(A220, BASE!$A$4:$B$10003, 2, FALSE))</f>
        <v/>
      </c>
      <c r="C220" t="str">
        <f>IF(A220="", "", SUMIF(BASE!$A$4:$A$10003, A220, BASE!$C$4:$C$10003))</f>
        <v/>
      </c>
      <c r="D220" t="str">
        <f>IF(A220="", "", INDEX(BASE!$D$4:$D$10003, MATCH(A220, BASE!$A$4:$A$10003, 0)))</f>
        <v/>
      </c>
      <c r="E220" t="str">
        <f>IF(A220="", "", INDEX(BASE!$E$4:$E$10003, MATCH(A220, BASE!$A$4:$A$10003, 0)))</f>
        <v/>
      </c>
    </row>
    <row r="221" spans="1:5">
      <c r="A221" t="str">
        <f>IFERROR(INDEX(BASE!$A$4:$A$10003, MATCH(0, COUNTIF($A$1:A220, BASE!$A$4:$A$10003&amp;""), 0)), "")</f>
        <v/>
      </c>
      <c r="B221" t="str">
        <f>IF(A221="", "", VLOOKUP(A221, BASE!$A$4:$B$10003, 2, FALSE))</f>
        <v/>
      </c>
      <c r="C221" t="str">
        <f>IF(A221="", "", SUMIF(BASE!$A$4:$A$10003, A221, BASE!$C$4:$C$10003))</f>
        <v/>
      </c>
      <c r="D221" t="str">
        <f>IF(A221="", "", INDEX(BASE!$D$4:$D$10003, MATCH(A221, BASE!$A$4:$A$10003, 0)))</f>
        <v/>
      </c>
      <c r="E221" t="str">
        <f>IF(A221="", "", INDEX(BASE!$E$4:$E$10003, MATCH(A221, BASE!$A$4:$A$10003, 0)))</f>
        <v/>
      </c>
    </row>
    <row r="222" spans="1:5">
      <c r="A222" t="str">
        <f>IFERROR(INDEX(BASE!$A$4:$A$10003, MATCH(0, COUNTIF($A$1:A221, BASE!$A$4:$A$10003&amp;""), 0)), "")</f>
        <v/>
      </c>
      <c r="B222" t="str">
        <f>IF(A222="", "", VLOOKUP(A222, BASE!$A$4:$B$10003, 2, FALSE))</f>
        <v/>
      </c>
      <c r="C222" t="str">
        <f>IF(A222="", "", SUMIF(BASE!$A$4:$A$10003, A222, BASE!$C$4:$C$10003))</f>
        <v/>
      </c>
      <c r="D222" t="str">
        <f>IF(A222="", "", INDEX(BASE!$D$4:$D$10003, MATCH(A222, BASE!$A$4:$A$10003, 0)))</f>
        <v/>
      </c>
      <c r="E222" t="str">
        <f>IF(A222="", "", INDEX(BASE!$E$4:$E$10003, MATCH(A222, BASE!$A$4:$A$10003, 0)))</f>
        <v/>
      </c>
    </row>
    <row r="223" spans="1:5">
      <c r="A223" t="str">
        <f>IFERROR(INDEX(BASE!$A$4:$A$10003, MATCH(0, COUNTIF($A$1:A222, BASE!$A$4:$A$10003&amp;""), 0)), "")</f>
        <v/>
      </c>
      <c r="B223" t="str">
        <f>IF(A223="", "", VLOOKUP(A223, BASE!$A$4:$B$10003, 2, FALSE))</f>
        <v/>
      </c>
      <c r="C223" t="str">
        <f>IF(A223="", "", SUMIF(BASE!$A$4:$A$10003, A223, BASE!$C$4:$C$10003))</f>
        <v/>
      </c>
      <c r="D223" t="str">
        <f>IF(A223="", "", INDEX(BASE!$D$4:$D$10003, MATCH(A223, BASE!$A$4:$A$10003, 0)))</f>
        <v/>
      </c>
      <c r="E223" t="str">
        <f>IF(A223="", "", INDEX(BASE!$E$4:$E$10003, MATCH(A223, BASE!$A$4:$A$10003, 0)))</f>
        <v/>
      </c>
    </row>
    <row r="224" spans="1:5">
      <c r="A224" t="str">
        <f>IFERROR(INDEX(BASE!$A$4:$A$10003, MATCH(0, COUNTIF($A$1:A223, BASE!$A$4:$A$10003&amp;""), 0)), "")</f>
        <v/>
      </c>
      <c r="B224" t="str">
        <f>IF(A224="", "", VLOOKUP(A224, BASE!$A$4:$B$10003, 2, FALSE))</f>
        <v/>
      </c>
      <c r="C224" t="str">
        <f>IF(A224="", "", SUMIF(BASE!$A$4:$A$10003, A224, BASE!$C$4:$C$10003))</f>
        <v/>
      </c>
      <c r="D224" t="str">
        <f>IF(A224="", "", INDEX(BASE!$D$4:$D$10003, MATCH(A224, BASE!$A$4:$A$10003, 0)))</f>
        <v/>
      </c>
      <c r="E224" t="str">
        <f>IF(A224="", "", INDEX(BASE!$E$4:$E$10003, MATCH(A224, BASE!$A$4:$A$10003, 0)))</f>
        <v/>
      </c>
    </row>
    <row r="225" spans="1:5">
      <c r="A225" t="str">
        <f>IFERROR(INDEX(BASE!$A$4:$A$10003, MATCH(0, COUNTIF($A$1:A224, BASE!$A$4:$A$10003&amp;""), 0)), "")</f>
        <v/>
      </c>
      <c r="B225" t="str">
        <f>IF(A225="", "", VLOOKUP(A225, BASE!$A$4:$B$10003, 2, FALSE))</f>
        <v/>
      </c>
      <c r="C225" t="str">
        <f>IF(A225="", "", SUMIF(BASE!$A$4:$A$10003, A225, BASE!$C$4:$C$10003))</f>
        <v/>
      </c>
      <c r="D225" t="str">
        <f>IF(A225="", "", INDEX(BASE!$D$4:$D$10003, MATCH(A225, BASE!$A$4:$A$10003, 0)))</f>
        <v/>
      </c>
      <c r="E225" t="str">
        <f>IF(A225="", "", INDEX(BASE!$E$4:$E$10003, MATCH(A225, BASE!$A$4:$A$10003, 0)))</f>
        <v/>
      </c>
    </row>
    <row r="226" spans="1:5">
      <c r="A226" t="str">
        <f>IFERROR(INDEX(BASE!$A$4:$A$10003, MATCH(0, COUNTIF($A$1:A225, BASE!$A$4:$A$10003&amp;""), 0)), "")</f>
        <v/>
      </c>
      <c r="B226" t="str">
        <f>IF(A226="", "", VLOOKUP(A226, BASE!$A$4:$B$10003, 2, FALSE))</f>
        <v/>
      </c>
      <c r="C226" t="str">
        <f>IF(A226="", "", SUMIF(BASE!$A$4:$A$10003, A226, BASE!$C$4:$C$10003))</f>
        <v/>
      </c>
      <c r="D226" t="str">
        <f>IF(A226="", "", INDEX(BASE!$D$4:$D$10003, MATCH(A226, BASE!$A$4:$A$10003, 0)))</f>
        <v/>
      </c>
      <c r="E226" t="str">
        <f>IF(A226="", "", INDEX(BASE!$E$4:$E$10003, MATCH(A226, BASE!$A$4:$A$10003, 0)))</f>
        <v/>
      </c>
    </row>
    <row r="227" spans="1:5">
      <c r="A227" t="str">
        <f>IFERROR(INDEX(BASE!$A$4:$A$10003, MATCH(0, COUNTIF($A$1:A226, BASE!$A$4:$A$10003&amp;""), 0)), "")</f>
        <v/>
      </c>
      <c r="B227" t="str">
        <f>IF(A227="", "", VLOOKUP(A227, BASE!$A$4:$B$10003, 2, FALSE))</f>
        <v/>
      </c>
      <c r="C227" t="str">
        <f>IF(A227="", "", SUMIF(BASE!$A$4:$A$10003, A227, BASE!$C$4:$C$10003))</f>
        <v/>
      </c>
      <c r="D227" t="str">
        <f>IF(A227="", "", INDEX(BASE!$D$4:$D$10003, MATCH(A227, BASE!$A$4:$A$10003, 0)))</f>
        <v/>
      </c>
      <c r="E227" t="str">
        <f>IF(A227="", "", INDEX(BASE!$E$4:$E$10003, MATCH(A227, BASE!$A$4:$A$10003, 0)))</f>
        <v/>
      </c>
    </row>
    <row r="228" spans="1:5">
      <c r="A228" t="str">
        <f>IFERROR(INDEX(BASE!$A$4:$A$10003, MATCH(0, COUNTIF($A$1:A227, BASE!$A$4:$A$10003&amp;""), 0)), "")</f>
        <v/>
      </c>
      <c r="B228" t="str">
        <f>IF(A228="", "", VLOOKUP(A228, BASE!$A$4:$B$10003, 2, FALSE))</f>
        <v/>
      </c>
      <c r="C228" t="str">
        <f>IF(A228="", "", SUMIF(BASE!$A$4:$A$10003, A228, BASE!$C$4:$C$10003))</f>
        <v/>
      </c>
      <c r="D228" t="str">
        <f>IF(A228="", "", INDEX(BASE!$D$4:$D$10003, MATCH(A228, BASE!$A$4:$A$10003, 0)))</f>
        <v/>
      </c>
      <c r="E228" t="str">
        <f>IF(A228="", "", INDEX(BASE!$E$4:$E$10003, MATCH(A228, BASE!$A$4:$A$10003, 0)))</f>
        <v/>
      </c>
    </row>
    <row r="229" spans="1:5">
      <c r="A229" t="str">
        <f>IFERROR(INDEX(BASE!$A$4:$A$10003, MATCH(0, COUNTIF($A$1:A228, BASE!$A$4:$A$10003&amp;""), 0)), "")</f>
        <v/>
      </c>
      <c r="B229" t="str">
        <f>IF(A229="", "", VLOOKUP(A229, BASE!$A$4:$B$10003, 2, FALSE))</f>
        <v/>
      </c>
      <c r="C229" t="str">
        <f>IF(A229="", "", SUMIF(BASE!$A$4:$A$10003, A229, BASE!$C$4:$C$10003))</f>
        <v/>
      </c>
      <c r="D229" t="str">
        <f>IF(A229="", "", INDEX(BASE!$D$4:$D$10003, MATCH(A229, BASE!$A$4:$A$10003, 0)))</f>
        <v/>
      </c>
      <c r="E229" t="str">
        <f>IF(A229="", "", INDEX(BASE!$E$4:$E$10003, MATCH(A229, BASE!$A$4:$A$10003, 0)))</f>
        <v/>
      </c>
    </row>
    <row r="230" spans="1:5">
      <c r="A230" t="str">
        <f>IFERROR(INDEX(BASE!$A$4:$A$10003, MATCH(0, COUNTIF($A$1:A229, BASE!$A$4:$A$10003&amp;""), 0)), "")</f>
        <v/>
      </c>
      <c r="B230" t="str">
        <f>IF(A230="", "", VLOOKUP(A230, BASE!$A$4:$B$10003, 2, FALSE))</f>
        <v/>
      </c>
      <c r="C230" t="str">
        <f>IF(A230="", "", SUMIF(BASE!$A$4:$A$10003, A230, BASE!$C$4:$C$10003))</f>
        <v/>
      </c>
      <c r="D230" t="str">
        <f>IF(A230="", "", INDEX(BASE!$D$4:$D$10003, MATCH(A230, BASE!$A$4:$A$10003, 0)))</f>
        <v/>
      </c>
      <c r="E230" t="str">
        <f>IF(A230="", "", INDEX(BASE!$E$4:$E$10003, MATCH(A230, BASE!$A$4:$A$10003, 0)))</f>
        <v/>
      </c>
    </row>
    <row r="231" spans="1:5">
      <c r="A231" t="str">
        <f>IFERROR(INDEX(BASE!$A$4:$A$10003, MATCH(0, COUNTIF($A$1:A230, BASE!$A$4:$A$10003&amp;""), 0)), "")</f>
        <v/>
      </c>
      <c r="B231" t="str">
        <f>IF(A231="", "", VLOOKUP(A231, BASE!$A$4:$B$10003, 2, FALSE))</f>
        <v/>
      </c>
      <c r="C231" t="str">
        <f>IF(A231="", "", SUMIF(BASE!$A$4:$A$10003, A231, BASE!$C$4:$C$10003))</f>
        <v/>
      </c>
      <c r="D231" t="str">
        <f>IF(A231="", "", INDEX(BASE!$D$4:$D$10003, MATCH(A231, BASE!$A$4:$A$10003, 0)))</f>
        <v/>
      </c>
      <c r="E231" t="str">
        <f>IF(A231="", "", INDEX(BASE!$E$4:$E$10003, MATCH(A231, BASE!$A$4:$A$10003, 0)))</f>
        <v/>
      </c>
    </row>
    <row r="232" spans="1:5">
      <c r="A232" t="str">
        <f>IFERROR(INDEX(BASE!$A$4:$A$10003, MATCH(0, COUNTIF($A$1:A231, BASE!$A$4:$A$10003&amp;""), 0)), "")</f>
        <v/>
      </c>
      <c r="B232" t="str">
        <f>IF(A232="", "", VLOOKUP(A232, BASE!$A$4:$B$10003, 2, FALSE))</f>
        <v/>
      </c>
      <c r="C232" t="str">
        <f>IF(A232="", "", SUMIF(BASE!$A$4:$A$10003, A232, BASE!$C$4:$C$10003))</f>
        <v/>
      </c>
      <c r="D232" t="str">
        <f>IF(A232="", "", INDEX(BASE!$D$4:$D$10003, MATCH(A232, BASE!$A$4:$A$10003, 0)))</f>
        <v/>
      </c>
      <c r="E232" t="str">
        <f>IF(A232="", "", INDEX(BASE!$E$4:$E$10003, MATCH(A232, BASE!$A$4:$A$10003, 0)))</f>
        <v/>
      </c>
    </row>
    <row r="233" spans="1:5">
      <c r="A233" t="str">
        <f>IFERROR(INDEX(BASE!$A$4:$A$10003, MATCH(0, COUNTIF($A$1:A232, BASE!$A$4:$A$10003&amp;""), 0)), "")</f>
        <v/>
      </c>
      <c r="B233" t="str">
        <f>IF(A233="", "", VLOOKUP(A233, BASE!$A$4:$B$10003, 2, FALSE))</f>
        <v/>
      </c>
      <c r="C233" t="str">
        <f>IF(A233="", "", SUMIF(BASE!$A$4:$A$10003, A233, BASE!$C$4:$C$10003))</f>
        <v/>
      </c>
      <c r="D233" t="str">
        <f>IF(A233="", "", INDEX(BASE!$D$4:$D$10003, MATCH(A233, BASE!$A$4:$A$10003, 0)))</f>
        <v/>
      </c>
      <c r="E233" t="str">
        <f>IF(A233="", "", INDEX(BASE!$E$4:$E$10003, MATCH(A233, BASE!$A$4:$A$10003, 0)))</f>
        <v/>
      </c>
    </row>
    <row r="234" spans="1:5">
      <c r="A234" t="str">
        <f>IFERROR(INDEX(BASE!$A$4:$A$10003, MATCH(0, COUNTIF($A$1:A233, BASE!$A$4:$A$10003&amp;""), 0)), "")</f>
        <v/>
      </c>
      <c r="B234" t="str">
        <f>IF(A234="", "", VLOOKUP(A234, BASE!$A$4:$B$10003, 2, FALSE))</f>
        <v/>
      </c>
      <c r="C234" t="str">
        <f>IF(A234="", "", SUMIF(BASE!$A$4:$A$10003, A234, BASE!$C$4:$C$10003))</f>
        <v/>
      </c>
      <c r="D234" t="str">
        <f>IF(A234="", "", INDEX(BASE!$D$4:$D$10003, MATCH(A234, BASE!$A$4:$A$10003, 0)))</f>
        <v/>
      </c>
      <c r="E234" t="str">
        <f>IF(A234="", "", INDEX(BASE!$E$4:$E$10003, MATCH(A234, BASE!$A$4:$A$10003, 0)))</f>
        <v/>
      </c>
    </row>
    <row r="235" spans="1:5">
      <c r="A235" t="str">
        <f>IFERROR(INDEX(BASE!$A$4:$A$10003, MATCH(0, COUNTIF($A$1:A234, BASE!$A$4:$A$10003&amp;""), 0)), "")</f>
        <v/>
      </c>
      <c r="B235" t="str">
        <f>IF(A235="", "", VLOOKUP(A235, BASE!$A$4:$B$10003, 2, FALSE))</f>
        <v/>
      </c>
      <c r="C235" t="str">
        <f>IF(A235="", "", SUMIF(BASE!$A$4:$A$10003, A235, BASE!$C$4:$C$10003))</f>
        <v/>
      </c>
      <c r="D235" t="str">
        <f>IF(A235="", "", INDEX(BASE!$D$4:$D$10003, MATCH(A235, BASE!$A$4:$A$10003, 0)))</f>
        <v/>
      </c>
      <c r="E235" t="str">
        <f>IF(A235="", "", INDEX(BASE!$E$4:$E$10003, MATCH(A235, BASE!$A$4:$A$10003, 0)))</f>
        <v/>
      </c>
    </row>
    <row r="236" spans="1:5">
      <c r="A236" t="str">
        <f>IFERROR(INDEX(BASE!$A$4:$A$10003, MATCH(0, COUNTIF($A$1:A235, BASE!$A$4:$A$10003&amp;""), 0)), "")</f>
        <v/>
      </c>
      <c r="B236" t="str">
        <f>IF(A236="", "", VLOOKUP(A236, BASE!$A$4:$B$10003, 2, FALSE))</f>
        <v/>
      </c>
      <c r="C236" t="str">
        <f>IF(A236="", "", SUMIF(BASE!$A$4:$A$10003, A236, BASE!$C$4:$C$10003))</f>
        <v/>
      </c>
      <c r="D236" t="str">
        <f>IF(A236="", "", INDEX(BASE!$D$4:$D$10003, MATCH(A236, BASE!$A$4:$A$10003, 0)))</f>
        <v/>
      </c>
      <c r="E236" t="str">
        <f>IF(A236="", "", INDEX(BASE!$E$4:$E$10003, MATCH(A236, BASE!$A$4:$A$10003, 0)))</f>
        <v/>
      </c>
    </row>
    <row r="237" spans="1:5">
      <c r="A237" t="str">
        <f>IFERROR(INDEX(BASE!$A$4:$A$10003, MATCH(0, COUNTIF($A$1:A236, BASE!$A$4:$A$10003&amp;""), 0)), "")</f>
        <v/>
      </c>
      <c r="B237" t="str">
        <f>IF(A237="", "", VLOOKUP(A237, BASE!$A$4:$B$10003, 2, FALSE))</f>
        <v/>
      </c>
      <c r="C237" t="str">
        <f>IF(A237="", "", SUMIF(BASE!$A$4:$A$10003, A237, BASE!$C$4:$C$10003))</f>
        <v/>
      </c>
      <c r="D237" t="str">
        <f>IF(A237="", "", INDEX(BASE!$D$4:$D$10003, MATCH(A237, BASE!$A$4:$A$10003, 0)))</f>
        <v/>
      </c>
      <c r="E237" t="str">
        <f>IF(A237="", "", INDEX(BASE!$E$4:$E$10003, MATCH(A237, BASE!$A$4:$A$10003, 0)))</f>
        <v/>
      </c>
    </row>
    <row r="238" spans="1:5">
      <c r="A238" t="str">
        <f>IFERROR(INDEX(BASE!$A$4:$A$10003, MATCH(0, COUNTIF($A$1:A237, BASE!$A$4:$A$10003&amp;""), 0)), "")</f>
        <v/>
      </c>
      <c r="B238" t="str">
        <f>IF(A238="", "", VLOOKUP(A238, BASE!$A$4:$B$10003, 2, FALSE))</f>
        <v/>
      </c>
      <c r="C238" t="str">
        <f>IF(A238="", "", SUMIF(BASE!$A$4:$A$10003, A238, BASE!$C$4:$C$10003))</f>
        <v/>
      </c>
      <c r="D238" t="str">
        <f>IF(A238="", "", INDEX(BASE!$D$4:$D$10003, MATCH(A238, BASE!$A$4:$A$10003, 0)))</f>
        <v/>
      </c>
      <c r="E238" t="str">
        <f>IF(A238="", "", INDEX(BASE!$E$4:$E$10003, MATCH(A238, BASE!$A$4:$A$10003, 0)))</f>
        <v/>
      </c>
    </row>
    <row r="239" spans="1:5">
      <c r="A239" t="str">
        <f>IFERROR(INDEX(BASE!$A$4:$A$10003, MATCH(0, COUNTIF($A$1:A238, BASE!$A$4:$A$10003&amp;""), 0)), "")</f>
        <v/>
      </c>
      <c r="B239" t="str">
        <f>IF(A239="", "", VLOOKUP(A239, BASE!$A$4:$B$10003, 2, FALSE))</f>
        <v/>
      </c>
      <c r="C239" t="str">
        <f>IF(A239="", "", SUMIF(BASE!$A$4:$A$10003, A239, BASE!$C$4:$C$10003))</f>
        <v/>
      </c>
      <c r="D239" t="str">
        <f>IF(A239="", "", INDEX(BASE!$D$4:$D$10003, MATCH(A239, BASE!$A$4:$A$10003, 0)))</f>
        <v/>
      </c>
      <c r="E239" t="str">
        <f>IF(A239="", "", INDEX(BASE!$E$4:$E$10003, MATCH(A239, BASE!$A$4:$A$10003, 0)))</f>
        <v/>
      </c>
    </row>
    <row r="240" spans="1:5">
      <c r="A240" t="str">
        <f>IFERROR(INDEX(BASE!$A$4:$A$10003, MATCH(0, COUNTIF($A$1:A239, BASE!$A$4:$A$10003&amp;""), 0)), "")</f>
        <v/>
      </c>
      <c r="B240" t="str">
        <f>IF(A240="", "", VLOOKUP(A240, BASE!$A$4:$B$10003, 2, FALSE))</f>
        <v/>
      </c>
      <c r="C240" t="str">
        <f>IF(A240="", "", SUMIF(BASE!$A$4:$A$10003, A240, BASE!$C$4:$C$10003))</f>
        <v/>
      </c>
      <c r="D240" t="str">
        <f>IF(A240="", "", INDEX(BASE!$D$4:$D$10003, MATCH(A240, BASE!$A$4:$A$10003, 0)))</f>
        <v/>
      </c>
      <c r="E240" t="str">
        <f>IF(A240="", "", INDEX(BASE!$E$4:$E$10003, MATCH(A240, BASE!$A$4:$A$10003, 0)))</f>
        <v/>
      </c>
    </row>
    <row r="241" spans="1:5">
      <c r="A241" t="str">
        <f>IFERROR(INDEX(BASE!$A$4:$A$10003, MATCH(0, COUNTIF($A$1:A240, BASE!$A$4:$A$10003&amp;""), 0)), "")</f>
        <v/>
      </c>
      <c r="B241" t="str">
        <f>IF(A241="", "", VLOOKUP(A241, BASE!$A$4:$B$10003, 2, FALSE))</f>
        <v/>
      </c>
      <c r="C241" t="str">
        <f>IF(A241="", "", SUMIF(BASE!$A$4:$A$10003, A241, BASE!$C$4:$C$10003))</f>
        <v/>
      </c>
      <c r="D241" t="str">
        <f>IF(A241="", "", INDEX(BASE!$D$4:$D$10003, MATCH(A241, BASE!$A$4:$A$10003, 0)))</f>
        <v/>
      </c>
      <c r="E241" t="str">
        <f>IF(A241="", "", INDEX(BASE!$E$4:$E$10003, MATCH(A241, BASE!$A$4:$A$10003, 0)))</f>
        <v/>
      </c>
    </row>
    <row r="242" spans="1:5">
      <c r="A242" t="str">
        <f>IFERROR(INDEX(BASE!$A$4:$A$10003, MATCH(0, COUNTIF($A$1:A241, BASE!$A$4:$A$10003&amp;""), 0)), "")</f>
        <v/>
      </c>
      <c r="B242" t="str">
        <f>IF(A242="", "", VLOOKUP(A242, BASE!$A$4:$B$10003, 2, FALSE))</f>
        <v/>
      </c>
      <c r="C242" t="str">
        <f>IF(A242="", "", SUMIF(BASE!$A$4:$A$10003, A242, BASE!$C$4:$C$10003))</f>
        <v/>
      </c>
      <c r="D242" t="str">
        <f>IF(A242="", "", INDEX(BASE!$D$4:$D$10003, MATCH(A242, BASE!$A$4:$A$10003, 0)))</f>
        <v/>
      </c>
      <c r="E242" t="str">
        <f>IF(A242="", "", INDEX(BASE!$E$4:$E$10003, MATCH(A242, BASE!$A$4:$A$10003, 0)))</f>
        <v/>
      </c>
    </row>
    <row r="243" spans="1:5">
      <c r="A243" t="str">
        <f>IFERROR(INDEX(BASE!$A$4:$A$10003, MATCH(0, COUNTIF($A$1:A242, BASE!$A$4:$A$10003&amp;""), 0)), "")</f>
        <v/>
      </c>
      <c r="B243" t="str">
        <f>IF(A243="", "", VLOOKUP(A243, BASE!$A$4:$B$10003, 2, FALSE))</f>
        <v/>
      </c>
      <c r="C243" t="str">
        <f>IF(A243="", "", SUMIF(BASE!$A$4:$A$10003, A243, BASE!$C$4:$C$10003))</f>
        <v/>
      </c>
      <c r="D243" t="str">
        <f>IF(A243="", "", INDEX(BASE!$D$4:$D$10003, MATCH(A243, BASE!$A$4:$A$10003, 0)))</f>
        <v/>
      </c>
      <c r="E243" t="str">
        <f>IF(A243="", "", INDEX(BASE!$E$4:$E$10003, MATCH(A243, BASE!$A$4:$A$10003, 0)))</f>
        <v/>
      </c>
    </row>
    <row r="244" spans="1:5">
      <c r="A244" t="str">
        <f>IFERROR(INDEX(BASE!$A$4:$A$10003, MATCH(0, COUNTIF($A$1:A243, BASE!$A$4:$A$10003&amp;""), 0)), "")</f>
        <v/>
      </c>
      <c r="B244" t="str">
        <f>IF(A244="", "", VLOOKUP(A244, BASE!$A$4:$B$10003, 2, FALSE))</f>
        <v/>
      </c>
      <c r="C244" t="str">
        <f>IF(A244="", "", SUMIF(BASE!$A$4:$A$10003, A244, BASE!$C$4:$C$10003))</f>
        <v/>
      </c>
      <c r="D244" t="str">
        <f>IF(A244="", "", INDEX(BASE!$D$4:$D$10003, MATCH(A244, BASE!$A$4:$A$10003, 0)))</f>
        <v/>
      </c>
      <c r="E244" t="str">
        <f>IF(A244="", "", INDEX(BASE!$E$4:$E$10003, MATCH(A244, BASE!$A$4:$A$10003, 0)))</f>
        <v/>
      </c>
    </row>
    <row r="245" spans="1:5">
      <c r="A245" t="str">
        <f>IFERROR(INDEX(BASE!$A$4:$A$10003, MATCH(0, COUNTIF($A$1:A244, BASE!$A$4:$A$10003&amp;""), 0)), "")</f>
        <v/>
      </c>
      <c r="B245" t="str">
        <f>IF(A245="", "", VLOOKUP(A245, BASE!$A$4:$B$10003, 2, FALSE))</f>
        <v/>
      </c>
      <c r="C245" t="str">
        <f>IF(A245="", "", SUMIF(BASE!$A$4:$A$10003, A245, BASE!$C$4:$C$10003))</f>
        <v/>
      </c>
      <c r="D245" t="str">
        <f>IF(A245="", "", INDEX(BASE!$D$4:$D$10003, MATCH(A245, BASE!$A$4:$A$10003, 0)))</f>
        <v/>
      </c>
      <c r="E245" t="str">
        <f>IF(A245="", "", INDEX(BASE!$E$4:$E$10003, MATCH(A245, BASE!$A$4:$A$10003, 0)))</f>
        <v/>
      </c>
    </row>
    <row r="246" spans="1:5">
      <c r="A246" t="str">
        <f>IFERROR(INDEX(BASE!$A$4:$A$10003, MATCH(0, COUNTIF($A$1:A245, BASE!$A$4:$A$10003&amp;""), 0)), "")</f>
        <v/>
      </c>
      <c r="B246" t="str">
        <f>IF(A246="", "", VLOOKUP(A246, BASE!$A$4:$B$10003, 2, FALSE))</f>
        <v/>
      </c>
      <c r="C246" t="str">
        <f>IF(A246="", "", SUMIF(BASE!$A$4:$A$10003, A246, BASE!$C$4:$C$10003))</f>
        <v/>
      </c>
      <c r="D246" t="str">
        <f>IF(A246="", "", INDEX(BASE!$D$4:$D$10003, MATCH(A246, BASE!$A$4:$A$10003, 0)))</f>
        <v/>
      </c>
      <c r="E246" t="str">
        <f>IF(A246="", "", INDEX(BASE!$E$4:$E$10003, MATCH(A246, BASE!$A$4:$A$10003, 0)))</f>
        <v/>
      </c>
    </row>
    <row r="247" spans="1:5">
      <c r="A247" t="str">
        <f>IFERROR(INDEX(BASE!$A$4:$A$10003, MATCH(0, COUNTIF($A$1:A246, BASE!$A$4:$A$10003&amp;""), 0)), "")</f>
        <v/>
      </c>
      <c r="B247" t="str">
        <f>IF(A247="", "", VLOOKUP(A247, BASE!$A$4:$B$10003, 2, FALSE))</f>
        <v/>
      </c>
      <c r="C247" t="str">
        <f>IF(A247="", "", SUMIF(BASE!$A$4:$A$10003, A247, BASE!$C$4:$C$10003))</f>
        <v/>
      </c>
      <c r="D247" t="str">
        <f>IF(A247="", "", INDEX(BASE!$D$4:$D$10003, MATCH(A247, BASE!$A$4:$A$10003, 0)))</f>
        <v/>
      </c>
      <c r="E247" t="str">
        <f>IF(A247="", "", INDEX(BASE!$E$4:$E$10003, MATCH(A247, BASE!$A$4:$A$10003, 0)))</f>
        <v/>
      </c>
    </row>
    <row r="248" spans="1:5">
      <c r="A248" t="str">
        <f>IFERROR(INDEX(BASE!$A$4:$A$10003, MATCH(0, COUNTIF($A$1:A247, BASE!$A$4:$A$10003&amp;""), 0)), "")</f>
        <v/>
      </c>
      <c r="B248" t="str">
        <f>IF(A248="", "", VLOOKUP(A248, BASE!$A$4:$B$10003, 2, FALSE))</f>
        <v/>
      </c>
      <c r="C248" t="str">
        <f>IF(A248="", "", SUMIF(BASE!$A$4:$A$10003, A248, BASE!$C$4:$C$10003))</f>
        <v/>
      </c>
      <c r="D248" t="str">
        <f>IF(A248="", "", INDEX(BASE!$D$4:$D$10003, MATCH(A248, BASE!$A$4:$A$10003, 0)))</f>
        <v/>
      </c>
      <c r="E248" t="str">
        <f>IF(A248="", "", INDEX(BASE!$E$4:$E$10003, MATCH(A248, BASE!$A$4:$A$10003, 0)))</f>
        <v/>
      </c>
    </row>
    <row r="249" spans="1:5">
      <c r="A249" t="str">
        <f>IFERROR(INDEX(BASE!$A$4:$A$10003, MATCH(0, COUNTIF($A$1:A248, BASE!$A$4:$A$10003&amp;""), 0)), "")</f>
        <v/>
      </c>
      <c r="B249" t="str">
        <f>IF(A249="", "", VLOOKUP(A249, BASE!$A$4:$B$10003, 2, FALSE))</f>
        <v/>
      </c>
      <c r="C249" t="str">
        <f>IF(A249="", "", SUMIF(BASE!$A$4:$A$10003, A249, BASE!$C$4:$C$10003))</f>
        <v/>
      </c>
      <c r="D249" t="str">
        <f>IF(A249="", "", INDEX(BASE!$D$4:$D$10003, MATCH(A249, BASE!$A$4:$A$10003, 0)))</f>
        <v/>
      </c>
      <c r="E249" t="str">
        <f>IF(A249="", "", INDEX(BASE!$E$4:$E$10003, MATCH(A249, BASE!$A$4:$A$10003, 0)))</f>
        <v/>
      </c>
    </row>
    <row r="250" spans="1:5">
      <c r="A250" t="str">
        <f>IFERROR(INDEX(BASE!$A$4:$A$10003, MATCH(0, COUNTIF($A$1:A249, BASE!$A$4:$A$10003&amp;""), 0)), "")</f>
        <v/>
      </c>
      <c r="B250" t="str">
        <f>IF(A250="", "", VLOOKUP(A250, BASE!$A$4:$B$10003, 2, FALSE))</f>
        <v/>
      </c>
      <c r="C250" t="str">
        <f>IF(A250="", "", SUMIF(BASE!$A$4:$A$10003, A250, BASE!$C$4:$C$10003))</f>
        <v/>
      </c>
      <c r="D250" t="str">
        <f>IF(A250="", "", INDEX(BASE!$D$4:$D$10003, MATCH(A250, BASE!$A$4:$A$10003, 0)))</f>
        <v/>
      </c>
      <c r="E250" t="str">
        <f>IF(A250="", "", INDEX(BASE!$E$4:$E$10003, MATCH(A250, BASE!$A$4:$A$10003, 0)))</f>
        <v/>
      </c>
    </row>
    <row r="251" spans="1:5">
      <c r="A251" t="str">
        <f>IFERROR(INDEX(BASE!$A$4:$A$10003, MATCH(0, COUNTIF($A$1:A250, BASE!$A$4:$A$10003&amp;""), 0)), "")</f>
        <v/>
      </c>
      <c r="B251" t="str">
        <f>IF(A251="", "", VLOOKUP(A251, BASE!$A$4:$B$10003, 2, FALSE))</f>
        <v/>
      </c>
      <c r="C251" t="str">
        <f>IF(A251="", "", SUMIF(BASE!$A$4:$A$10003, A251, BASE!$C$4:$C$10003))</f>
        <v/>
      </c>
      <c r="D251" t="str">
        <f>IF(A251="", "", INDEX(BASE!$D$4:$D$10003, MATCH(A251, BASE!$A$4:$A$10003, 0)))</f>
        <v/>
      </c>
      <c r="E251" t="str">
        <f>IF(A251="", "", INDEX(BASE!$E$4:$E$10003, MATCH(A251, BASE!$A$4:$A$10003, 0)))</f>
        <v/>
      </c>
    </row>
    <row r="252" spans="1:5">
      <c r="A252" t="str">
        <f>IFERROR(INDEX(BASE!$A$4:$A$10003, MATCH(0, COUNTIF($A$1:A251, BASE!$A$4:$A$10003&amp;""), 0)), "")</f>
        <v/>
      </c>
      <c r="B252" t="str">
        <f>IF(A252="", "", VLOOKUP(A252, BASE!$A$4:$B$10003, 2, FALSE))</f>
        <v/>
      </c>
      <c r="C252" t="str">
        <f>IF(A252="", "", SUMIF(BASE!$A$4:$A$10003, A252, BASE!$C$4:$C$10003))</f>
        <v/>
      </c>
      <c r="D252" t="str">
        <f>IF(A252="", "", INDEX(BASE!$D$4:$D$10003, MATCH(A252, BASE!$A$4:$A$10003, 0)))</f>
        <v/>
      </c>
      <c r="E252" t="str">
        <f>IF(A252="", "", INDEX(BASE!$E$4:$E$10003, MATCH(A252, BASE!$A$4:$A$10003, 0)))</f>
        <v/>
      </c>
    </row>
    <row r="253" spans="1:5">
      <c r="A253" t="str">
        <f>IFERROR(INDEX(BASE!$A$4:$A$10003, MATCH(0, COUNTIF($A$1:A252, BASE!$A$4:$A$10003&amp;""), 0)), "")</f>
        <v/>
      </c>
      <c r="B253" t="str">
        <f>IF(A253="", "", VLOOKUP(A253, BASE!$A$4:$B$10003, 2, FALSE))</f>
        <v/>
      </c>
      <c r="C253" t="str">
        <f>IF(A253="", "", SUMIF(BASE!$A$4:$A$10003, A253, BASE!$C$4:$C$10003))</f>
        <v/>
      </c>
      <c r="D253" t="str">
        <f>IF(A253="", "", INDEX(BASE!$D$4:$D$10003, MATCH(A253, BASE!$A$4:$A$10003, 0)))</f>
        <v/>
      </c>
      <c r="E253" t="str">
        <f>IF(A253="", "", INDEX(BASE!$E$4:$E$10003, MATCH(A253, BASE!$A$4:$A$10003, 0)))</f>
        <v/>
      </c>
    </row>
    <row r="254" spans="1:5">
      <c r="A254" t="str">
        <f>IFERROR(INDEX(BASE!$A$4:$A$10003, MATCH(0, COUNTIF($A$1:A253, BASE!$A$4:$A$10003&amp;""), 0)), "")</f>
        <v/>
      </c>
      <c r="B254" t="str">
        <f>IF(A254="", "", VLOOKUP(A254, BASE!$A$4:$B$10003, 2, FALSE))</f>
        <v/>
      </c>
      <c r="C254" t="str">
        <f>IF(A254="", "", SUMIF(BASE!$A$4:$A$10003, A254, BASE!$C$4:$C$10003))</f>
        <v/>
      </c>
      <c r="D254" t="str">
        <f>IF(A254="", "", INDEX(BASE!$D$4:$D$10003, MATCH(A254, BASE!$A$4:$A$10003, 0)))</f>
        <v/>
      </c>
      <c r="E254" t="str">
        <f>IF(A254="", "", INDEX(BASE!$E$4:$E$10003, MATCH(A254, BASE!$A$4:$A$10003, 0)))</f>
        <v/>
      </c>
    </row>
    <row r="255" spans="1:5">
      <c r="A255" t="str">
        <f>IFERROR(INDEX(BASE!$A$4:$A$10003, MATCH(0, COUNTIF($A$1:A254, BASE!$A$4:$A$10003&amp;""), 0)), "")</f>
        <v/>
      </c>
      <c r="B255" t="str">
        <f>IF(A255="", "", VLOOKUP(A255, BASE!$A$4:$B$10003, 2, FALSE))</f>
        <v/>
      </c>
      <c r="C255" t="str">
        <f>IF(A255="", "", SUMIF(BASE!$A$4:$A$10003, A255, BASE!$C$4:$C$10003))</f>
        <v/>
      </c>
      <c r="D255" t="str">
        <f>IF(A255="", "", INDEX(BASE!$D$4:$D$10003, MATCH(A255, BASE!$A$4:$A$10003, 0)))</f>
        <v/>
      </c>
      <c r="E255" t="str">
        <f>IF(A255="", "", INDEX(BASE!$E$4:$E$10003, MATCH(A255, BASE!$A$4:$A$10003, 0)))</f>
        <v/>
      </c>
    </row>
    <row r="256" spans="1:5">
      <c r="A256" t="str">
        <f>IFERROR(INDEX(BASE!$A$4:$A$10003, MATCH(0, COUNTIF($A$1:A255, BASE!$A$4:$A$10003&amp;""), 0)), "")</f>
        <v/>
      </c>
      <c r="B256" t="str">
        <f>IF(A256="", "", VLOOKUP(A256, BASE!$A$4:$B$10003, 2, FALSE))</f>
        <v/>
      </c>
      <c r="C256" t="str">
        <f>IF(A256="", "", SUMIF(BASE!$A$4:$A$10003, A256, BASE!$C$4:$C$10003))</f>
        <v/>
      </c>
      <c r="D256" t="str">
        <f>IF(A256="", "", INDEX(BASE!$D$4:$D$10003, MATCH(A256, BASE!$A$4:$A$10003, 0)))</f>
        <v/>
      </c>
      <c r="E256" t="str">
        <f>IF(A256="", "", INDEX(BASE!$E$4:$E$10003, MATCH(A256, BASE!$A$4:$A$10003, 0)))</f>
        <v/>
      </c>
    </row>
    <row r="257" spans="1:5">
      <c r="A257" t="str">
        <f>IFERROR(INDEX(BASE!$A$4:$A$10003, MATCH(0, COUNTIF($A$1:A256, BASE!$A$4:$A$10003&amp;""), 0)), "")</f>
        <v/>
      </c>
      <c r="B257" t="str">
        <f>IF(A257="", "", VLOOKUP(A257, BASE!$A$4:$B$10003, 2, FALSE))</f>
        <v/>
      </c>
      <c r="C257" t="str">
        <f>IF(A257="", "", SUMIF(BASE!$A$4:$A$10003, A257, BASE!$C$4:$C$10003))</f>
        <v/>
      </c>
      <c r="D257" t="str">
        <f>IF(A257="", "", INDEX(BASE!$D$4:$D$10003, MATCH(A257, BASE!$A$4:$A$10003, 0)))</f>
        <v/>
      </c>
      <c r="E257" t="str">
        <f>IF(A257="", "", INDEX(BASE!$E$4:$E$10003, MATCH(A257, BASE!$A$4:$A$10003, 0)))</f>
        <v/>
      </c>
    </row>
    <row r="258" spans="1:5">
      <c r="A258" t="str">
        <f>IFERROR(INDEX(BASE!$A$4:$A$10003, MATCH(0, COUNTIF($A$1:A257, BASE!$A$4:$A$10003&amp;""), 0)), "")</f>
        <v/>
      </c>
      <c r="B258" t="str">
        <f>IF(A258="", "", VLOOKUP(A258, BASE!$A$4:$B$10003, 2, FALSE))</f>
        <v/>
      </c>
      <c r="C258" t="str">
        <f>IF(A258="", "", SUMIF(BASE!$A$4:$A$10003, A258, BASE!$C$4:$C$10003))</f>
        <v/>
      </c>
      <c r="D258" t="str">
        <f>IF(A258="", "", INDEX(BASE!$D$4:$D$10003, MATCH(A258, BASE!$A$4:$A$10003, 0)))</f>
        <v/>
      </c>
      <c r="E258" t="str">
        <f>IF(A258="", "", INDEX(BASE!$E$4:$E$10003, MATCH(A258, BASE!$A$4:$A$10003, 0)))</f>
        <v/>
      </c>
    </row>
    <row r="259" spans="1:5">
      <c r="A259" t="str">
        <f>IFERROR(INDEX(BASE!$A$4:$A$10003, MATCH(0, COUNTIF($A$1:A258, BASE!$A$4:$A$10003&amp;""), 0)), "")</f>
        <v/>
      </c>
      <c r="B259" t="str">
        <f>IF(A259="", "", VLOOKUP(A259, BASE!$A$4:$B$10003, 2, FALSE))</f>
        <v/>
      </c>
      <c r="C259" t="str">
        <f>IF(A259="", "", SUMIF(BASE!$A$4:$A$10003, A259, BASE!$C$4:$C$10003))</f>
        <v/>
      </c>
      <c r="D259" t="str">
        <f>IF(A259="", "", INDEX(BASE!$D$4:$D$10003, MATCH(A259, BASE!$A$4:$A$10003, 0)))</f>
        <v/>
      </c>
      <c r="E259" t="str">
        <f>IF(A259="", "", INDEX(BASE!$E$4:$E$10003, MATCH(A259, BASE!$A$4:$A$10003, 0)))</f>
        <v/>
      </c>
    </row>
    <row r="260" spans="1:5">
      <c r="A260" t="str">
        <f>IFERROR(INDEX(BASE!$A$4:$A$10003, MATCH(0, COUNTIF($A$1:A259, BASE!$A$4:$A$10003&amp;""), 0)), "")</f>
        <v/>
      </c>
      <c r="B260" t="str">
        <f>IF(A260="", "", VLOOKUP(A260, BASE!$A$4:$B$10003, 2, FALSE))</f>
        <v/>
      </c>
      <c r="C260" t="str">
        <f>IF(A260="", "", SUMIF(BASE!$A$4:$A$10003, A260, BASE!$C$4:$C$10003))</f>
        <v/>
      </c>
      <c r="D260" t="str">
        <f>IF(A260="", "", INDEX(BASE!$D$4:$D$10003, MATCH(A260, BASE!$A$4:$A$10003, 0)))</f>
        <v/>
      </c>
      <c r="E260" t="str">
        <f>IF(A260="", "", INDEX(BASE!$E$4:$E$10003, MATCH(A260, BASE!$A$4:$A$10003, 0)))</f>
        <v/>
      </c>
    </row>
    <row r="261" spans="1:5">
      <c r="A261" t="str">
        <f>IFERROR(INDEX(BASE!$A$4:$A$10003, MATCH(0, COUNTIF($A$1:A260, BASE!$A$4:$A$10003&amp;""), 0)), "")</f>
        <v/>
      </c>
      <c r="B261" t="str">
        <f>IF(A261="", "", VLOOKUP(A261, BASE!$A$4:$B$10003, 2, FALSE))</f>
        <v/>
      </c>
      <c r="C261" t="str">
        <f>IF(A261="", "", SUMIF(BASE!$A$4:$A$10003, A261, BASE!$C$4:$C$10003))</f>
        <v/>
      </c>
      <c r="D261" t="str">
        <f>IF(A261="", "", INDEX(BASE!$D$4:$D$10003, MATCH(A261, BASE!$A$4:$A$10003, 0)))</f>
        <v/>
      </c>
      <c r="E261" t="str">
        <f>IF(A261="", "", INDEX(BASE!$E$4:$E$10003, MATCH(A261, BASE!$A$4:$A$10003, 0)))</f>
        <v/>
      </c>
    </row>
    <row r="262" spans="1:5">
      <c r="A262" t="str">
        <f>IFERROR(INDEX(BASE!$A$4:$A$10003, MATCH(0, COUNTIF($A$1:A261, BASE!$A$4:$A$10003&amp;""), 0)), "")</f>
        <v/>
      </c>
      <c r="B262" t="str">
        <f>IF(A262="", "", VLOOKUP(A262, BASE!$A$4:$B$10003, 2, FALSE))</f>
        <v/>
      </c>
      <c r="C262" t="str">
        <f>IF(A262="", "", SUMIF(BASE!$A$4:$A$10003, A262, BASE!$C$4:$C$10003))</f>
        <v/>
      </c>
      <c r="D262" t="str">
        <f>IF(A262="", "", INDEX(BASE!$D$4:$D$10003, MATCH(A262, BASE!$A$4:$A$10003, 0)))</f>
        <v/>
      </c>
      <c r="E262" t="str">
        <f>IF(A262="", "", INDEX(BASE!$E$4:$E$10003, MATCH(A262, BASE!$A$4:$A$10003, 0)))</f>
        <v/>
      </c>
    </row>
    <row r="263" spans="1:5">
      <c r="A263" t="str">
        <f>IFERROR(INDEX(BASE!$A$4:$A$10003, MATCH(0, COUNTIF($A$1:A262, BASE!$A$4:$A$10003&amp;""), 0)), "")</f>
        <v/>
      </c>
      <c r="B263" t="str">
        <f>IF(A263="", "", VLOOKUP(A263, BASE!$A$4:$B$10003, 2, FALSE))</f>
        <v/>
      </c>
      <c r="C263" t="str">
        <f>IF(A263="", "", SUMIF(BASE!$A$4:$A$10003, A263, BASE!$C$4:$C$10003))</f>
        <v/>
      </c>
      <c r="D263" t="str">
        <f>IF(A263="", "", INDEX(BASE!$D$4:$D$10003, MATCH(A263, BASE!$A$4:$A$10003, 0)))</f>
        <v/>
      </c>
      <c r="E263" t="str">
        <f>IF(A263="", "", INDEX(BASE!$E$4:$E$10003, MATCH(A263, BASE!$A$4:$A$10003, 0)))</f>
        <v/>
      </c>
    </row>
    <row r="264" spans="1:5">
      <c r="A264" t="str">
        <f>IFERROR(INDEX(BASE!$A$4:$A$10003, MATCH(0, COUNTIF($A$1:A263, BASE!$A$4:$A$10003&amp;""), 0)), "")</f>
        <v/>
      </c>
      <c r="B264" t="str">
        <f>IF(A264="", "", VLOOKUP(A264, BASE!$A$4:$B$10003, 2, FALSE))</f>
        <v/>
      </c>
      <c r="C264" t="str">
        <f>IF(A264="", "", SUMIF(BASE!$A$4:$A$10003, A264, BASE!$C$4:$C$10003))</f>
        <v/>
      </c>
      <c r="D264" t="str">
        <f>IF(A264="", "", INDEX(BASE!$D$4:$D$10003, MATCH(A264, BASE!$A$4:$A$10003, 0)))</f>
        <v/>
      </c>
      <c r="E264" t="str">
        <f>IF(A264="", "", INDEX(BASE!$E$4:$E$10003, MATCH(A264, BASE!$A$4:$A$10003, 0)))</f>
        <v/>
      </c>
    </row>
    <row r="265" spans="1:5">
      <c r="A265" t="str">
        <f>IFERROR(INDEX(BASE!$A$4:$A$10003, MATCH(0, COUNTIF($A$1:A264, BASE!$A$4:$A$10003&amp;""), 0)), "")</f>
        <v/>
      </c>
      <c r="B265" t="str">
        <f>IF(A265="", "", VLOOKUP(A265, BASE!$A$4:$B$10003, 2, FALSE))</f>
        <v/>
      </c>
      <c r="C265" t="str">
        <f>IF(A265="", "", SUMIF(BASE!$A$4:$A$10003, A265, BASE!$C$4:$C$10003))</f>
        <v/>
      </c>
      <c r="D265" t="str">
        <f>IF(A265="", "", INDEX(BASE!$D$4:$D$10003, MATCH(A265, BASE!$A$4:$A$10003, 0)))</f>
        <v/>
      </c>
      <c r="E265" t="str">
        <f>IF(A265="", "", INDEX(BASE!$E$4:$E$10003, MATCH(A265, BASE!$A$4:$A$10003, 0)))</f>
        <v/>
      </c>
    </row>
    <row r="266" spans="1:5">
      <c r="A266" t="str">
        <f>IFERROR(INDEX(BASE!$A$4:$A$10003, MATCH(0, COUNTIF($A$1:A265, BASE!$A$4:$A$10003&amp;""), 0)), "")</f>
        <v/>
      </c>
      <c r="B266" t="str">
        <f>IF(A266="", "", VLOOKUP(A266, BASE!$A$4:$B$10003, 2, FALSE))</f>
        <v/>
      </c>
      <c r="C266" t="str">
        <f>IF(A266="", "", SUMIF(BASE!$A$4:$A$10003, A266, BASE!$C$4:$C$10003))</f>
        <v/>
      </c>
      <c r="D266" t="str">
        <f>IF(A266="", "", INDEX(BASE!$D$4:$D$10003, MATCH(A266, BASE!$A$4:$A$10003, 0)))</f>
        <v/>
      </c>
      <c r="E266" t="str">
        <f>IF(A266="", "", INDEX(BASE!$E$4:$E$10003, MATCH(A266, BASE!$A$4:$A$10003, 0)))</f>
        <v/>
      </c>
    </row>
    <row r="267" spans="1:5">
      <c r="A267" t="str">
        <f>IFERROR(INDEX(BASE!$A$4:$A$10003, MATCH(0, COUNTIF($A$1:A266, BASE!$A$4:$A$10003&amp;""), 0)), "")</f>
        <v/>
      </c>
      <c r="B267" t="str">
        <f>IF(A267="", "", VLOOKUP(A267, BASE!$A$4:$B$10003, 2, FALSE))</f>
        <v/>
      </c>
      <c r="C267" t="str">
        <f>IF(A267="", "", SUMIF(BASE!$A$4:$A$10003, A267, BASE!$C$4:$C$10003))</f>
        <v/>
      </c>
      <c r="D267" t="str">
        <f>IF(A267="", "", INDEX(BASE!$D$4:$D$10003, MATCH(A267, BASE!$A$4:$A$10003, 0)))</f>
        <v/>
      </c>
      <c r="E267" t="str">
        <f>IF(A267="", "", INDEX(BASE!$E$4:$E$10003, MATCH(A267, BASE!$A$4:$A$10003, 0)))</f>
        <v/>
      </c>
    </row>
    <row r="268" spans="1:5">
      <c r="A268" t="str">
        <f>IFERROR(INDEX(BASE!$A$4:$A$10003, MATCH(0, COUNTIF($A$1:A267, BASE!$A$4:$A$10003&amp;""), 0)), "")</f>
        <v/>
      </c>
      <c r="B268" t="str">
        <f>IF(A268="", "", VLOOKUP(A268, BASE!$A$4:$B$10003, 2, FALSE))</f>
        <v/>
      </c>
      <c r="C268" t="str">
        <f>IF(A268="", "", SUMIF(BASE!$A$4:$A$10003, A268, BASE!$C$4:$C$10003))</f>
        <v/>
      </c>
      <c r="D268" t="str">
        <f>IF(A268="", "", INDEX(BASE!$D$4:$D$10003, MATCH(A268, BASE!$A$4:$A$10003, 0)))</f>
        <v/>
      </c>
      <c r="E268" t="str">
        <f>IF(A268="", "", INDEX(BASE!$E$4:$E$10003, MATCH(A268, BASE!$A$4:$A$10003, 0)))</f>
        <v/>
      </c>
    </row>
    <row r="269" spans="1:5">
      <c r="A269" t="str">
        <f>IFERROR(INDEX(BASE!$A$4:$A$10003, MATCH(0, COUNTIF($A$1:A268, BASE!$A$4:$A$10003&amp;""), 0)), "")</f>
        <v/>
      </c>
      <c r="B269" t="str">
        <f>IF(A269="", "", VLOOKUP(A269, BASE!$A$4:$B$10003, 2, FALSE))</f>
        <v/>
      </c>
      <c r="C269" t="str">
        <f>IF(A269="", "", SUMIF(BASE!$A$4:$A$10003, A269, BASE!$C$4:$C$10003))</f>
        <v/>
      </c>
      <c r="D269" t="str">
        <f>IF(A269="", "", INDEX(BASE!$D$4:$D$10003, MATCH(A269, BASE!$A$4:$A$10003, 0)))</f>
        <v/>
      </c>
      <c r="E269" t="str">
        <f>IF(A269="", "", INDEX(BASE!$E$4:$E$10003, MATCH(A269, BASE!$A$4:$A$10003, 0)))</f>
        <v/>
      </c>
    </row>
    <row r="270" spans="1:5">
      <c r="A270" t="str">
        <f>IFERROR(INDEX(BASE!$A$4:$A$10003, MATCH(0, COUNTIF($A$1:A269, BASE!$A$4:$A$10003&amp;""), 0)), "")</f>
        <v/>
      </c>
      <c r="B270" t="str">
        <f>IF(A270="", "", VLOOKUP(A270, BASE!$A$4:$B$10003, 2, FALSE))</f>
        <v/>
      </c>
      <c r="C270" t="str">
        <f>IF(A270="", "", SUMIF(BASE!$A$4:$A$10003, A270, BASE!$C$4:$C$10003))</f>
        <v/>
      </c>
      <c r="D270" t="str">
        <f>IF(A270="", "", INDEX(BASE!$D$4:$D$10003, MATCH(A270, BASE!$A$4:$A$10003, 0)))</f>
        <v/>
      </c>
      <c r="E270" t="str">
        <f>IF(A270="", "", INDEX(BASE!$E$4:$E$10003, MATCH(A270, BASE!$A$4:$A$10003, 0)))</f>
        <v/>
      </c>
    </row>
    <row r="271" spans="1:5">
      <c r="A271" t="str">
        <f>IFERROR(INDEX(BASE!$A$4:$A$10003, MATCH(0, COUNTIF($A$1:A270, BASE!$A$4:$A$10003&amp;""), 0)), "")</f>
        <v/>
      </c>
      <c r="B271" t="str">
        <f>IF(A271="", "", VLOOKUP(A271, BASE!$A$4:$B$10003, 2, FALSE))</f>
        <v/>
      </c>
      <c r="C271" t="str">
        <f>IF(A271="", "", SUMIF(BASE!$A$4:$A$10003, A271, BASE!$C$4:$C$10003))</f>
        <v/>
      </c>
      <c r="D271" t="str">
        <f>IF(A271="", "", INDEX(BASE!$D$4:$D$10003, MATCH(A271, BASE!$A$4:$A$10003, 0)))</f>
        <v/>
      </c>
      <c r="E271" t="str">
        <f>IF(A271="", "", INDEX(BASE!$E$4:$E$10003, MATCH(A271, BASE!$A$4:$A$10003, 0)))</f>
        <v/>
      </c>
    </row>
    <row r="272" spans="1:5">
      <c r="A272" t="str">
        <f>IFERROR(INDEX(BASE!$A$4:$A$10003, MATCH(0, COUNTIF($A$1:A271, BASE!$A$4:$A$10003&amp;""), 0)), "")</f>
        <v/>
      </c>
      <c r="B272" t="str">
        <f>IF(A272="", "", VLOOKUP(A272, BASE!$A$4:$B$10003, 2, FALSE))</f>
        <v/>
      </c>
      <c r="C272" t="str">
        <f>IF(A272="", "", SUMIF(BASE!$A$4:$A$10003, A272, BASE!$C$4:$C$10003))</f>
        <v/>
      </c>
      <c r="D272" t="str">
        <f>IF(A272="", "", INDEX(BASE!$D$4:$D$10003, MATCH(A272, BASE!$A$4:$A$10003, 0)))</f>
        <v/>
      </c>
      <c r="E272" t="str">
        <f>IF(A272="", "", INDEX(BASE!$E$4:$E$10003, MATCH(A272, BASE!$A$4:$A$10003, 0)))</f>
        <v/>
      </c>
    </row>
    <row r="273" spans="1:5">
      <c r="A273" t="str">
        <f>IFERROR(INDEX(BASE!$A$4:$A$10003, MATCH(0, COUNTIF($A$1:A272, BASE!$A$4:$A$10003&amp;""), 0)), "")</f>
        <v/>
      </c>
      <c r="B273" t="str">
        <f>IF(A273="", "", VLOOKUP(A273, BASE!$A$4:$B$10003, 2, FALSE))</f>
        <v/>
      </c>
      <c r="C273" t="str">
        <f>IF(A273="", "", SUMIF(BASE!$A$4:$A$10003, A273, BASE!$C$4:$C$10003))</f>
        <v/>
      </c>
      <c r="D273" t="str">
        <f>IF(A273="", "", INDEX(BASE!$D$4:$D$10003, MATCH(A273, BASE!$A$4:$A$10003, 0)))</f>
        <v/>
      </c>
      <c r="E273" t="str">
        <f>IF(A273="", "", INDEX(BASE!$E$4:$E$10003, MATCH(A273, BASE!$A$4:$A$10003, 0)))</f>
        <v/>
      </c>
    </row>
    <row r="274" spans="1:5">
      <c r="A274" t="str">
        <f>IFERROR(INDEX(BASE!$A$4:$A$10003, MATCH(0, COUNTIF($A$1:A273, BASE!$A$4:$A$10003&amp;""), 0)), "")</f>
        <v/>
      </c>
      <c r="B274" t="str">
        <f>IF(A274="", "", VLOOKUP(A274, BASE!$A$4:$B$10003, 2, FALSE))</f>
        <v/>
      </c>
      <c r="C274" t="str">
        <f>IF(A274="", "", SUMIF(BASE!$A$4:$A$10003, A274, BASE!$C$4:$C$10003))</f>
        <v/>
      </c>
      <c r="D274" t="str">
        <f>IF(A274="", "", INDEX(BASE!$D$4:$D$10003, MATCH(A274, BASE!$A$4:$A$10003, 0)))</f>
        <v/>
      </c>
      <c r="E274" t="str">
        <f>IF(A274="", "", INDEX(BASE!$E$4:$E$10003, MATCH(A274, BASE!$A$4:$A$10003, 0)))</f>
        <v/>
      </c>
    </row>
    <row r="275" spans="1:5">
      <c r="A275" t="str">
        <f>IFERROR(INDEX(BASE!$A$4:$A$10003, MATCH(0, COUNTIF($A$1:A274, BASE!$A$4:$A$10003&amp;""), 0)), "")</f>
        <v/>
      </c>
      <c r="B275" t="str">
        <f>IF(A275="", "", VLOOKUP(A275, BASE!$A$4:$B$10003, 2, FALSE))</f>
        <v/>
      </c>
      <c r="C275" t="str">
        <f>IF(A275="", "", SUMIF(BASE!$A$4:$A$10003, A275, BASE!$C$4:$C$10003))</f>
        <v/>
      </c>
      <c r="D275" t="str">
        <f>IF(A275="", "", INDEX(BASE!$D$4:$D$10003, MATCH(A275, BASE!$A$4:$A$10003, 0)))</f>
        <v/>
      </c>
      <c r="E275" t="str">
        <f>IF(A275="", "", INDEX(BASE!$E$4:$E$10003, MATCH(A275, BASE!$A$4:$A$10003, 0)))</f>
        <v/>
      </c>
    </row>
    <row r="276" spans="1:5">
      <c r="A276" t="str">
        <f>IFERROR(INDEX(BASE!$A$4:$A$10003, MATCH(0, COUNTIF($A$1:A275, BASE!$A$4:$A$10003&amp;""), 0)), "")</f>
        <v/>
      </c>
      <c r="B276" t="str">
        <f>IF(A276="", "", VLOOKUP(A276, BASE!$A$4:$B$10003, 2, FALSE))</f>
        <v/>
      </c>
      <c r="C276" t="str">
        <f>IF(A276="", "", SUMIF(BASE!$A$4:$A$10003, A276, BASE!$C$4:$C$10003))</f>
        <v/>
      </c>
      <c r="D276" t="str">
        <f>IF(A276="", "", INDEX(BASE!$D$4:$D$10003, MATCH(A276, BASE!$A$4:$A$10003, 0)))</f>
        <v/>
      </c>
      <c r="E276" t="str">
        <f>IF(A276="", "", INDEX(BASE!$E$4:$E$10003, MATCH(A276, BASE!$A$4:$A$10003, 0)))</f>
        <v/>
      </c>
    </row>
    <row r="277" spans="1:5">
      <c r="A277" t="str">
        <f>IFERROR(INDEX(BASE!$A$4:$A$10003, MATCH(0, COUNTIF($A$1:A276, BASE!$A$4:$A$10003&amp;""), 0)), "")</f>
        <v/>
      </c>
      <c r="B277" t="str">
        <f>IF(A277="", "", VLOOKUP(A277, BASE!$A$4:$B$10003, 2, FALSE))</f>
        <v/>
      </c>
      <c r="C277" t="str">
        <f>IF(A277="", "", SUMIF(BASE!$A$4:$A$10003, A277, BASE!$C$4:$C$10003))</f>
        <v/>
      </c>
      <c r="D277" t="str">
        <f>IF(A277="", "", INDEX(BASE!$D$4:$D$10003, MATCH(A277, BASE!$A$4:$A$10003, 0)))</f>
        <v/>
      </c>
      <c r="E277" t="str">
        <f>IF(A277="", "", INDEX(BASE!$E$4:$E$10003, MATCH(A277, BASE!$A$4:$A$10003, 0)))</f>
        <v/>
      </c>
    </row>
    <row r="278" spans="1:5">
      <c r="A278" t="str">
        <f>IFERROR(INDEX(BASE!$A$4:$A$10003, MATCH(0, COUNTIF($A$1:A277, BASE!$A$4:$A$10003&amp;""), 0)), "")</f>
        <v/>
      </c>
      <c r="B278" t="str">
        <f>IF(A278="", "", VLOOKUP(A278, BASE!$A$4:$B$10003, 2, FALSE))</f>
        <v/>
      </c>
      <c r="C278" t="str">
        <f>IF(A278="", "", SUMIF(BASE!$A$4:$A$10003, A278, BASE!$C$4:$C$10003))</f>
        <v/>
      </c>
      <c r="D278" t="str">
        <f>IF(A278="", "", INDEX(BASE!$D$4:$D$10003, MATCH(A278, BASE!$A$4:$A$10003, 0)))</f>
        <v/>
      </c>
      <c r="E278" t="str">
        <f>IF(A278="", "", INDEX(BASE!$E$4:$E$10003, MATCH(A278, BASE!$A$4:$A$10003, 0)))</f>
        <v/>
      </c>
    </row>
    <row r="279" spans="1:5">
      <c r="A279" t="str">
        <f>IFERROR(INDEX(BASE!$A$4:$A$10003, MATCH(0, COUNTIF($A$1:A278, BASE!$A$4:$A$10003&amp;""), 0)), "")</f>
        <v/>
      </c>
      <c r="B279" t="str">
        <f>IF(A279="", "", VLOOKUP(A279, BASE!$A$4:$B$10003, 2, FALSE))</f>
        <v/>
      </c>
      <c r="C279" t="str">
        <f>IF(A279="", "", SUMIF(BASE!$A$4:$A$10003, A279, BASE!$C$4:$C$10003))</f>
        <v/>
      </c>
      <c r="D279" t="str">
        <f>IF(A279="", "", INDEX(BASE!$D$4:$D$10003, MATCH(A279, BASE!$A$4:$A$10003, 0)))</f>
        <v/>
      </c>
      <c r="E279" t="str">
        <f>IF(A279="", "", INDEX(BASE!$E$4:$E$10003, MATCH(A279, BASE!$A$4:$A$10003, 0)))</f>
        <v/>
      </c>
    </row>
    <row r="280" spans="1:5">
      <c r="A280" t="str">
        <f>IFERROR(INDEX(BASE!$A$4:$A$10003, MATCH(0, COUNTIF($A$1:A279, BASE!$A$4:$A$10003&amp;""), 0)), "")</f>
        <v/>
      </c>
      <c r="B280" t="str">
        <f>IF(A280="", "", VLOOKUP(A280, BASE!$A$4:$B$10003, 2, FALSE))</f>
        <v/>
      </c>
      <c r="C280" t="str">
        <f>IF(A280="", "", SUMIF(BASE!$A$4:$A$10003, A280, BASE!$C$4:$C$10003))</f>
        <v/>
      </c>
      <c r="D280" t="str">
        <f>IF(A280="", "", INDEX(BASE!$D$4:$D$10003, MATCH(A280, BASE!$A$4:$A$10003, 0)))</f>
        <v/>
      </c>
      <c r="E280" t="str">
        <f>IF(A280="", "", INDEX(BASE!$E$4:$E$10003, MATCH(A280, BASE!$A$4:$A$10003, 0)))</f>
        <v/>
      </c>
    </row>
    <row r="281" spans="1:5">
      <c r="A281" t="str">
        <f>IFERROR(INDEX(BASE!$A$4:$A$10003, MATCH(0, COUNTIF($A$1:A280, BASE!$A$4:$A$10003&amp;""), 0)), "")</f>
        <v/>
      </c>
      <c r="B281" t="str">
        <f>IF(A281="", "", VLOOKUP(A281, BASE!$A$4:$B$10003, 2, FALSE))</f>
        <v/>
      </c>
      <c r="C281" t="str">
        <f>IF(A281="", "", SUMIF(BASE!$A$4:$A$10003, A281, BASE!$C$4:$C$10003))</f>
        <v/>
      </c>
      <c r="D281" t="str">
        <f>IF(A281="", "", INDEX(BASE!$D$4:$D$10003, MATCH(A281, BASE!$A$4:$A$10003, 0)))</f>
        <v/>
      </c>
      <c r="E281" t="str">
        <f>IF(A281="", "", INDEX(BASE!$E$4:$E$10003, MATCH(A281, BASE!$A$4:$A$10003, 0)))</f>
        <v/>
      </c>
    </row>
    <row r="282" spans="1:5">
      <c r="A282" t="str">
        <f>IFERROR(INDEX(BASE!$A$4:$A$10003, MATCH(0, COUNTIF($A$1:A281, BASE!$A$4:$A$10003&amp;""), 0)), "")</f>
        <v/>
      </c>
      <c r="B282" t="str">
        <f>IF(A282="", "", VLOOKUP(A282, BASE!$A$4:$B$10003, 2, FALSE))</f>
        <v/>
      </c>
      <c r="C282" t="str">
        <f>IF(A282="", "", SUMIF(BASE!$A$4:$A$10003, A282, BASE!$C$4:$C$10003))</f>
        <v/>
      </c>
      <c r="D282" t="str">
        <f>IF(A282="", "", INDEX(BASE!$D$4:$D$10003, MATCH(A282, BASE!$A$4:$A$10003, 0)))</f>
        <v/>
      </c>
      <c r="E282" t="str">
        <f>IF(A282="", "", INDEX(BASE!$E$4:$E$10003, MATCH(A282, BASE!$A$4:$A$10003, 0)))</f>
        <v/>
      </c>
    </row>
    <row r="283" spans="1:5">
      <c r="A283" t="str">
        <f>IFERROR(INDEX(BASE!$A$4:$A$10003, MATCH(0, COUNTIF($A$1:A282, BASE!$A$4:$A$10003&amp;""), 0)), "")</f>
        <v/>
      </c>
      <c r="B283" t="str">
        <f>IF(A283="", "", VLOOKUP(A283, BASE!$A$4:$B$10003, 2, FALSE))</f>
        <v/>
      </c>
      <c r="C283" t="str">
        <f>IF(A283="", "", SUMIF(BASE!$A$4:$A$10003, A283, BASE!$C$4:$C$10003))</f>
        <v/>
      </c>
      <c r="D283" t="str">
        <f>IF(A283="", "", INDEX(BASE!$D$4:$D$10003, MATCH(A283, BASE!$A$4:$A$10003, 0)))</f>
        <v/>
      </c>
      <c r="E283" t="str">
        <f>IF(A283="", "", INDEX(BASE!$E$4:$E$10003, MATCH(A283, BASE!$A$4:$A$10003, 0)))</f>
        <v/>
      </c>
    </row>
    <row r="284" spans="1:5">
      <c r="A284" t="str">
        <f>IFERROR(INDEX(BASE!$A$4:$A$10003, MATCH(0, COUNTIF($A$1:A283, BASE!$A$4:$A$10003&amp;""), 0)), "")</f>
        <v/>
      </c>
      <c r="B284" t="str">
        <f>IF(A284="", "", VLOOKUP(A284, BASE!$A$4:$B$10003, 2, FALSE))</f>
        <v/>
      </c>
      <c r="C284" t="str">
        <f>IF(A284="", "", SUMIF(BASE!$A$4:$A$10003, A284, BASE!$C$4:$C$10003))</f>
        <v/>
      </c>
      <c r="D284" t="str">
        <f>IF(A284="", "", INDEX(BASE!$D$4:$D$10003, MATCH(A284, BASE!$A$4:$A$10003, 0)))</f>
        <v/>
      </c>
      <c r="E284" t="str">
        <f>IF(A284="", "", INDEX(BASE!$E$4:$E$10003, MATCH(A284, BASE!$A$4:$A$10003, 0)))</f>
        <v/>
      </c>
    </row>
    <row r="285" spans="1:5">
      <c r="A285" t="str">
        <f>IFERROR(INDEX(BASE!$A$4:$A$10003, MATCH(0, COUNTIF($A$1:A284, BASE!$A$4:$A$10003&amp;""), 0)), "")</f>
        <v/>
      </c>
      <c r="B285" t="str">
        <f>IF(A285="", "", VLOOKUP(A285, BASE!$A$4:$B$10003, 2, FALSE))</f>
        <v/>
      </c>
      <c r="C285" t="str">
        <f>IF(A285="", "", SUMIF(BASE!$A$4:$A$10003, A285, BASE!$C$4:$C$10003))</f>
        <v/>
      </c>
      <c r="D285" t="str">
        <f>IF(A285="", "", INDEX(BASE!$D$4:$D$10003, MATCH(A285, BASE!$A$4:$A$10003, 0)))</f>
        <v/>
      </c>
      <c r="E285" t="str">
        <f>IF(A285="", "", INDEX(BASE!$E$4:$E$10003, MATCH(A285, BASE!$A$4:$A$10003, 0)))</f>
        <v/>
      </c>
    </row>
    <row r="286" spans="1:5">
      <c r="A286" t="str">
        <f>IFERROR(INDEX(BASE!$A$4:$A$10003, MATCH(0, COUNTIF($A$1:A285, BASE!$A$4:$A$10003&amp;""), 0)), "")</f>
        <v/>
      </c>
      <c r="B286" t="str">
        <f>IF(A286="", "", VLOOKUP(A286, BASE!$A$4:$B$10003, 2, FALSE))</f>
        <v/>
      </c>
      <c r="C286" t="str">
        <f>IF(A286="", "", SUMIF(BASE!$A$4:$A$10003, A286, BASE!$C$4:$C$10003))</f>
        <v/>
      </c>
      <c r="D286" t="str">
        <f>IF(A286="", "", INDEX(BASE!$D$4:$D$10003, MATCH(A286, BASE!$A$4:$A$10003, 0)))</f>
        <v/>
      </c>
      <c r="E286" t="str">
        <f>IF(A286="", "", INDEX(BASE!$E$4:$E$10003, MATCH(A286, BASE!$A$4:$A$10003, 0)))</f>
        <v/>
      </c>
    </row>
    <row r="287" spans="1:5">
      <c r="A287" t="str">
        <f>IFERROR(INDEX(BASE!$A$4:$A$10003, MATCH(0, COUNTIF($A$1:A286, BASE!$A$4:$A$10003&amp;""), 0)), "")</f>
        <v/>
      </c>
      <c r="B287" t="str">
        <f>IF(A287="", "", VLOOKUP(A287, BASE!$A$4:$B$10003, 2, FALSE))</f>
        <v/>
      </c>
      <c r="C287" t="str">
        <f>IF(A287="", "", SUMIF(BASE!$A$4:$A$10003, A287, BASE!$C$4:$C$10003))</f>
        <v/>
      </c>
      <c r="D287" t="str">
        <f>IF(A287="", "", INDEX(BASE!$D$4:$D$10003, MATCH(A287, BASE!$A$4:$A$10003, 0)))</f>
        <v/>
      </c>
      <c r="E287" t="str">
        <f>IF(A287="", "", INDEX(BASE!$E$4:$E$10003, MATCH(A287, BASE!$A$4:$A$10003, 0)))</f>
        <v/>
      </c>
    </row>
    <row r="288" spans="1:5">
      <c r="A288" t="str">
        <f>IFERROR(INDEX(BASE!$A$4:$A$10003, MATCH(0, COUNTIF($A$1:A287, BASE!$A$4:$A$10003&amp;""), 0)), "")</f>
        <v/>
      </c>
      <c r="B288" t="str">
        <f>IF(A288="", "", VLOOKUP(A288, BASE!$A$4:$B$10003, 2, FALSE))</f>
        <v/>
      </c>
      <c r="C288" t="str">
        <f>IF(A288="", "", SUMIF(BASE!$A$4:$A$10003, A288, BASE!$C$4:$C$10003))</f>
        <v/>
      </c>
      <c r="D288" t="str">
        <f>IF(A288="", "", INDEX(BASE!$D$4:$D$10003, MATCH(A288, BASE!$A$4:$A$10003, 0)))</f>
        <v/>
      </c>
      <c r="E288" t="str">
        <f>IF(A288="", "", INDEX(BASE!$E$4:$E$10003, MATCH(A288, BASE!$A$4:$A$10003, 0)))</f>
        <v/>
      </c>
    </row>
    <row r="289" spans="1:5">
      <c r="A289" t="str">
        <f>IFERROR(INDEX(BASE!$A$4:$A$10003, MATCH(0, COUNTIF($A$1:A288, BASE!$A$4:$A$10003&amp;""), 0)), "")</f>
        <v/>
      </c>
      <c r="B289" t="str">
        <f>IF(A289="", "", VLOOKUP(A289, BASE!$A$4:$B$10003, 2, FALSE))</f>
        <v/>
      </c>
      <c r="C289" t="str">
        <f>IF(A289="", "", SUMIF(BASE!$A$4:$A$10003, A289, BASE!$C$4:$C$10003))</f>
        <v/>
      </c>
      <c r="D289" t="str">
        <f>IF(A289="", "", INDEX(BASE!$D$4:$D$10003, MATCH(A289, BASE!$A$4:$A$10003, 0)))</f>
        <v/>
      </c>
      <c r="E289" t="str">
        <f>IF(A289="", "", INDEX(BASE!$E$4:$E$10003, MATCH(A289, BASE!$A$4:$A$10003, 0)))</f>
        <v/>
      </c>
    </row>
    <row r="290" spans="1:5">
      <c r="A290" t="str">
        <f>IFERROR(INDEX(BASE!$A$4:$A$10003, MATCH(0, COUNTIF($A$1:A289, BASE!$A$4:$A$10003&amp;""), 0)), "")</f>
        <v/>
      </c>
      <c r="B290" t="str">
        <f>IF(A290="", "", VLOOKUP(A290, BASE!$A$4:$B$10003, 2, FALSE))</f>
        <v/>
      </c>
      <c r="C290" t="str">
        <f>IF(A290="", "", SUMIF(BASE!$A$4:$A$10003, A290, BASE!$C$4:$C$10003))</f>
        <v/>
      </c>
      <c r="D290" t="str">
        <f>IF(A290="", "", INDEX(BASE!$D$4:$D$10003, MATCH(A290, BASE!$A$4:$A$10003, 0)))</f>
        <v/>
      </c>
      <c r="E290" t="str">
        <f>IF(A290="", "", INDEX(BASE!$E$4:$E$10003, MATCH(A290, BASE!$A$4:$A$10003, 0)))</f>
        <v/>
      </c>
    </row>
    <row r="291" spans="1:5">
      <c r="A291" t="str">
        <f>IFERROR(INDEX(BASE!$A$4:$A$10003, MATCH(0, COUNTIF($A$1:A290, BASE!$A$4:$A$10003&amp;""), 0)), "")</f>
        <v/>
      </c>
      <c r="B291" t="str">
        <f>IF(A291="", "", VLOOKUP(A291, BASE!$A$4:$B$10003, 2, FALSE))</f>
        <v/>
      </c>
      <c r="C291" t="str">
        <f>IF(A291="", "", SUMIF(BASE!$A$4:$A$10003, A291, BASE!$C$4:$C$10003))</f>
        <v/>
      </c>
      <c r="D291" t="str">
        <f>IF(A291="", "", INDEX(BASE!$D$4:$D$10003, MATCH(A291, BASE!$A$4:$A$10003, 0)))</f>
        <v/>
      </c>
      <c r="E291" t="str">
        <f>IF(A291="", "", INDEX(BASE!$E$4:$E$10003, MATCH(A291, BASE!$A$4:$A$10003, 0)))</f>
        <v/>
      </c>
    </row>
    <row r="292" spans="1:5">
      <c r="A292" t="str">
        <f>IFERROR(INDEX(BASE!$A$4:$A$10003, MATCH(0, COUNTIF($A$1:A291, BASE!$A$4:$A$10003&amp;""), 0)), "")</f>
        <v/>
      </c>
      <c r="B292" t="str">
        <f>IF(A292="", "", VLOOKUP(A292, BASE!$A$4:$B$10003, 2, FALSE))</f>
        <v/>
      </c>
      <c r="C292" t="str">
        <f>IF(A292="", "", SUMIF(BASE!$A$4:$A$10003, A292, BASE!$C$4:$C$10003))</f>
        <v/>
      </c>
      <c r="D292" t="str">
        <f>IF(A292="", "", INDEX(BASE!$D$4:$D$10003, MATCH(A292, BASE!$A$4:$A$10003, 0)))</f>
        <v/>
      </c>
      <c r="E292" t="str">
        <f>IF(A292="", "", INDEX(BASE!$E$4:$E$10003, MATCH(A292, BASE!$A$4:$A$10003, 0)))</f>
        <v/>
      </c>
    </row>
    <row r="293" spans="1:5">
      <c r="A293" t="str">
        <f>IFERROR(INDEX(BASE!$A$4:$A$10003, MATCH(0, COUNTIF($A$1:A292, BASE!$A$4:$A$10003&amp;""), 0)), "")</f>
        <v/>
      </c>
      <c r="B293" t="str">
        <f>IF(A293="", "", VLOOKUP(A293, BASE!$A$4:$B$10003, 2, FALSE))</f>
        <v/>
      </c>
      <c r="C293" t="str">
        <f>IF(A293="", "", SUMIF(BASE!$A$4:$A$10003, A293, BASE!$C$4:$C$10003))</f>
        <v/>
      </c>
      <c r="D293" t="str">
        <f>IF(A293="", "", INDEX(BASE!$D$4:$D$10003, MATCH(A293, BASE!$A$4:$A$10003, 0)))</f>
        <v/>
      </c>
      <c r="E293" t="str">
        <f>IF(A293="", "", INDEX(BASE!$E$4:$E$10003, MATCH(A293, BASE!$A$4:$A$10003, 0)))</f>
        <v/>
      </c>
    </row>
    <row r="294" spans="1:5">
      <c r="A294" t="str">
        <f>IFERROR(INDEX(BASE!$A$4:$A$10003, MATCH(0, COUNTIF($A$1:A293, BASE!$A$4:$A$10003&amp;""), 0)), "")</f>
        <v/>
      </c>
      <c r="B294" t="str">
        <f>IF(A294="", "", VLOOKUP(A294, BASE!$A$4:$B$10003, 2, FALSE))</f>
        <v/>
      </c>
      <c r="C294" t="str">
        <f>IF(A294="", "", SUMIF(BASE!$A$4:$A$10003, A294, BASE!$C$4:$C$10003))</f>
        <v/>
      </c>
      <c r="D294" t="str">
        <f>IF(A294="", "", INDEX(BASE!$D$4:$D$10003, MATCH(A294, BASE!$A$4:$A$10003, 0)))</f>
        <v/>
      </c>
      <c r="E294" t="str">
        <f>IF(A294="", "", INDEX(BASE!$E$4:$E$10003, MATCH(A294, BASE!$A$4:$A$10003, 0)))</f>
        <v/>
      </c>
    </row>
    <row r="295" spans="1:5">
      <c r="A295" t="str">
        <f>IFERROR(INDEX(BASE!$A$4:$A$10003, MATCH(0, COUNTIF($A$1:A294, BASE!$A$4:$A$10003&amp;""), 0)), "")</f>
        <v/>
      </c>
      <c r="B295" t="str">
        <f>IF(A295="", "", VLOOKUP(A295, BASE!$A$4:$B$10003, 2, FALSE))</f>
        <v/>
      </c>
      <c r="C295" t="str">
        <f>IF(A295="", "", SUMIF(BASE!$A$4:$A$10003, A295, BASE!$C$4:$C$10003))</f>
        <v/>
      </c>
      <c r="D295" t="str">
        <f>IF(A295="", "", INDEX(BASE!$D$4:$D$10003, MATCH(A295, BASE!$A$4:$A$10003, 0)))</f>
        <v/>
      </c>
      <c r="E295" t="str">
        <f>IF(A295="", "", INDEX(BASE!$E$4:$E$10003, MATCH(A295, BASE!$A$4:$A$10003, 0)))</f>
        <v/>
      </c>
    </row>
    <row r="296" spans="1:5">
      <c r="A296" t="str">
        <f>IFERROR(INDEX(BASE!$A$4:$A$10003, MATCH(0, COUNTIF($A$1:A295, BASE!$A$4:$A$10003&amp;""), 0)), "")</f>
        <v/>
      </c>
      <c r="B296" t="str">
        <f>IF(A296="", "", VLOOKUP(A296, BASE!$A$4:$B$10003, 2, FALSE))</f>
        <v/>
      </c>
      <c r="C296" t="str">
        <f>IF(A296="", "", SUMIF(BASE!$A$4:$A$10003, A296, BASE!$C$4:$C$10003))</f>
        <v/>
      </c>
      <c r="D296" t="str">
        <f>IF(A296="", "", INDEX(BASE!$D$4:$D$10003, MATCH(A296, BASE!$A$4:$A$10003, 0)))</f>
        <v/>
      </c>
      <c r="E296" t="str">
        <f>IF(A296="", "", INDEX(BASE!$E$4:$E$10003, MATCH(A296, BASE!$A$4:$A$10003, 0)))</f>
        <v/>
      </c>
    </row>
    <row r="297" spans="1:5">
      <c r="A297" t="str">
        <f>IFERROR(INDEX(BASE!$A$4:$A$10003, MATCH(0, COUNTIF($A$1:A296, BASE!$A$4:$A$10003&amp;""), 0)), "")</f>
        <v/>
      </c>
      <c r="B297" t="str">
        <f>IF(A297="", "", VLOOKUP(A297, BASE!$A$4:$B$10003, 2, FALSE))</f>
        <v/>
      </c>
      <c r="C297" t="str">
        <f>IF(A297="", "", SUMIF(BASE!$A$4:$A$10003, A297, BASE!$C$4:$C$10003))</f>
        <v/>
      </c>
      <c r="D297" t="str">
        <f>IF(A297="", "", INDEX(BASE!$D$4:$D$10003, MATCH(A297, BASE!$A$4:$A$10003, 0)))</f>
        <v/>
      </c>
      <c r="E297" t="str">
        <f>IF(A297="", "", INDEX(BASE!$E$4:$E$10003, MATCH(A297, BASE!$A$4:$A$10003, 0)))</f>
        <v/>
      </c>
    </row>
    <row r="298" spans="1:5">
      <c r="A298" t="str">
        <f>IFERROR(INDEX(BASE!$A$4:$A$10003, MATCH(0, COUNTIF($A$1:A297, BASE!$A$4:$A$10003&amp;""), 0)), "")</f>
        <v/>
      </c>
      <c r="B298" t="str">
        <f>IF(A298="", "", VLOOKUP(A298, BASE!$A$4:$B$10003, 2, FALSE))</f>
        <v/>
      </c>
      <c r="C298" t="str">
        <f>IF(A298="", "", SUMIF(BASE!$A$4:$A$10003, A298, BASE!$C$4:$C$10003))</f>
        <v/>
      </c>
      <c r="D298" t="str">
        <f>IF(A298="", "", INDEX(BASE!$D$4:$D$10003, MATCH(A298, BASE!$A$4:$A$10003, 0)))</f>
        <v/>
      </c>
      <c r="E298" t="str">
        <f>IF(A298="", "", INDEX(BASE!$E$4:$E$10003, MATCH(A298, BASE!$A$4:$A$10003, 0)))</f>
        <v/>
      </c>
    </row>
    <row r="299" spans="1:5">
      <c r="A299" t="str">
        <f>IFERROR(INDEX(BASE!$A$4:$A$10003, MATCH(0, COUNTIF($A$1:A298, BASE!$A$4:$A$10003&amp;""), 0)), "")</f>
        <v/>
      </c>
      <c r="B299" t="str">
        <f>IF(A299="", "", VLOOKUP(A299, BASE!$A$4:$B$10003, 2, FALSE))</f>
        <v/>
      </c>
      <c r="C299" t="str">
        <f>IF(A299="", "", SUMIF(BASE!$A$4:$A$10003, A299, BASE!$C$4:$C$10003))</f>
        <v/>
      </c>
      <c r="D299" t="str">
        <f>IF(A299="", "", INDEX(BASE!$D$4:$D$10003, MATCH(A299, BASE!$A$4:$A$10003, 0)))</f>
        <v/>
      </c>
      <c r="E299" t="str">
        <f>IF(A299="", "", INDEX(BASE!$E$4:$E$10003, MATCH(A299, BASE!$A$4:$A$10003, 0)))</f>
        <v/>
      </c>
    </row>
    <row r="300" spans="1:5">
      <c r="A300" t="str">
        <f>IFERROR(INDEX(BASE!$A$4:$A$10003, MATCH(0, COUNTIF($A$1:A299, BASE!$A$4:$A$10003&amp;""), 0)), "")</f>
        <v/>
      </c>
      <c r="B300" t="str">
        <f>IF(A300="", "", VLOOKUP(A300, BASE!$A$4:$B$10003, 2, FALSE))</f>
        <v/>
      </c>
      <c r="C300" t="str">
        <f>IF(A300="", "", SUMIF(BASE!$A$4:$A$10003, A300, BASE!$C$4:$C$10003))</f>
        <v/>
      </c>
      <c r="D300" t="str">
        <f>IF(A300="", "", INDEX(BASE!$D$4:$D$10003, MATCH(A300, BASE!$A$4:$A$10003, 0)))</f>
        <v/>
      </c>
      <c r="E300" t="str">
        <f>IF(A300="", "", INDEX(BASE!$E$4:$E$10003, MATCH(A300, BASE!$A$4:$A$10003, 0)))</f>
        <v/>
      </c>
    </row>
    <row r="301" spans="1:5">
      <c r="A301" t="str">
        <f>IFERROR(INDEX(BASE!$A$4:$A$10003, MATCH(0, COUNTIF($A$1:A300, BASE!$A$4:$A$10003&amp;""), 0)), "")</f>
        <v/>
      </c>
      <c r="B301" t="str">
        <f>IF(A301="", "", VLOOKUP(A301, BASE!$A$4:$B$10003, 2, FALSE))</f>
        <v/>
      </c>
      <c r="C301" t="str">
        <f>IF(A301="", "", SUMIF(BASE!$A$4:$A$10003, A301, BASE!$C$4:$C$10003))</f>
        <v/>
      </c>
      <c r="D301" t="str">
        <f>IF(A301="", "", INDEX(BASE!$D$4:$D$10003, MATCH(A301, BASE!$A$4:$A$10003, 0)))</f>
        <v/>
      </c>
      <c r="E301" t="str">
        <f>IF(A301="", "", INDEX(BASE!$E$4:$E$10003, MATCH(A301, BASE!$A$4:$A$10003, 0)))</f>
        <v/>
      </c>
    </row>
    <row r="302" spans="1:5">
      <c r="A302" t="str">
        <f>IFERROR(INDEX(BASE!$A$4:$A$10003, MATCH(0, COUNTIF($A$1:A301, BASE!$A$4:$A$10003&amp;""), 0)), "")</f>
        <v/>
      </c>
      <c r="B302" t="str">
        <f>IF(A302="", "", VLOOKUP(A302, BASE!$A$4:$B$10003, 2, FALSE))</f>
        <v/>
      </c>
      <c r="C302" t="str">
        <f>IF(A302="", "", SUMIF(BASE!$A$4:$A$10003, A302, BASE!$C$4:$C$10003))</f>
        <v/>
      </c>
      <c r="D302" t="str">
        <f>IF(A302="", "", INDEX(BASE!$D$4:$D$10003, MATCH(A302, BASE!$A$4:$A$10003, 0)))</f>
        <v/>
      </c>
      <c r="E302" t="str">
        <f>IF(A302="", "", INDEX(BASE!$E$4:$E$10003, MATCH(A302, BASE!$A$4:$A$10003, 0)))</f>
        <v/>
      </c>
    </row>
    <row r="303" spans="1:5">
      <c r="A303" t="str">
        <f>IFERROR(INDEX(BASE!$A$4:$A$10003, MATCH(0, COUNTIF($A$1:A302, BASE!$A$4:$A$10003&amp;""), 0)), "")</f>
        <v/>
      </c>
      <c r="B303" t="str">
        <f>IF(A303="", "", VLOOKUP(A303, BASE!$A$4:$B$10003, 2, FALSE))</f>
        <v/>
      </c>
      <c r="C303" t="str">
        <f>IF(A303="", "", SUMIF(BASE!$A$4:$A$10003, A303, BASE!$C$4:$C$10003))</f>
        <v/>
      </c>
      <c r="D303" t="str">
        <f>IF(A303="", "", INDEX(BASE!$D$4:$D$10003, MATCH(A303, BASE!$A$4:$A$10003, 0)))</f>
        <v/>
      </c>
      <c r="E303" t="str">
        <f>IF(A303="", "", INDEX(BASE!$E$4:$E$10003, MATCH(A303, BASE!$A$4:$A$10003, 0)))</f>
        <v/>
      </c>
    </row>
    <row r="304" spans="1:5">
      <c r="A304" t="str">
        <f>IFERROR(INDEX(BASE!$A$4:$A$10003, MATCH(0, COUNTIF($A$1:A303, BASE!$A$4:$A$10003&amp;""), 0)), "")</f>
        <v/>
      </c>
      <c r="B304" t="str">
        <f>IF(A304="", "", VLOOKUP(A304, BASE!$A$4:$B$10003, 2, FALSE))</f>
        <v/>
      </c>
      <c r="C304" t="str">
        <f>IF(A304="", "", SUMIF(BASE!$A$4:$A$10003, A304, BASE!$C$4:$C$10003))</f>
        <v/>
      </c>
      <c r="D304" t="str">
        <f>IF(A304="", "", INDEX(BASE!$D$4:$D$10003, MATCH(A304, BASE!$A$4:$A$10003, 0)))</f>
        <v/>
      </c>
      <c r="E304" t="str">
        <f>IF(A304="", "", INDEX(BASE!$E$4:$E$10003, MATCH(A304, BASE!$A$4:$A$10003, 0)))</f>
        <v/>
      </c>
    </row>
    <row r="305" spans="1:5">
      <c r="A305" t="str">
        <f>IFERROR(INDEX(BASE!$A$4:$A$10003, MATCH(0, COUNTIF($A$1:A304, BASE!$A$4:$A$10003&amp;""), 0)), "")</f>
        <v/>
      </c>
      <c r="B305" t="str">
        <f>IF(A305="", "", VLOOKUP(A305, BASE!$A$4:$B$10003, 2, FALSE))</f>
        <v/>
      </c>
      <c r="C305" t="str">
        <f>IF(A305="", "", SUMIF(BASE!$A$4:$A$10003, A305, BASE!$C$4:$C$10003))</f>
        <v/>
      </c>
      <c r="D305" t="str">
        <f>IF(A305="", "", INDEX(BASE!$D$4:$D$10003, MATCH(A305, BASE!$A$4:$A$10003, 0)))</f>
        <v/>
      </c>
      <c r="E305" t="str">
        <f>IF(A305="", "", INDEX(BASE!$E$4:$E$10003, MATCH(A305, BASE!$A$4:$A$10003, 0)))</f>
        <v/>
      </c>
    </row>
    <row r="306" spans="1:5">
      <c r="A306" t="str">
        <f>IFERROR(INDEX(BASE!$A$4:$A$10003, MATCH(0, COUNTIF($A$1:A305, BASE!$A$4:$A$10003&amp;""), 0)), "")</f>
        <v/>
      </c>
      <c r="B306" t="str">
        <f>IF(A306="", "", VLOOKUP(A306, BASE!$A$4:$B$10003, 2, FALSE))</f>
        <v/>
      </c>
      <c r="C306" t="str">
        <f>IF(A306="", "", SUMIF(BASE!$A$4:$A$10003, A306, BASE!$C$4:$C$10003))</f>
        <v/>
      </c>
      <c r="D306" t="str">
        <f>IF(A306="", "", INDEX(BASE!$D$4:$D$10003, MATCH(A306, BASE!$A$4:$A$10003, 0)))</f>
        <v/>
      </c>
      <c r="E306" t="str">
        <f>IF(A306="", "", INDEX(BASE!$E$4:$E$10003, MATCH(A306, BASE!$A$4:$A$10003, 0)))</f>
        <v/>
      </c>
    </row>
    <row r="307" spans="1:5">
      <c r="A307" t="str">
        <f>IFERROR(INDEX(BASE!$A$4:$A$10003, MATCH(0, COUNTIF($A$1:A306, BASE!$A$4:$A$10003&amp;""), 0)), "")</f>
        <v/>
      </c>
      <c r="B307" t="str">
        <f>IF(A307="", "", VLOOKUP(A307, BASE!$A$4:$B$10003, 2, FALSE))</f>
        <v/>
      </c>
      <c r="C307" t="str">
        <f>IF(A307="", "", SUMIF(BASE!$A$4:$A$10003, A307, BASE!$C$4:$C$10003))</f>
        <v/>
      </c>
      <c r="D307" t="str">
        <f>IF(A307="", "", INDEX(BASE!$D$4:$D$10003, MATCH(A307, BASE!$A$4:$A$10003, 0)))</f>
        <v/>
      </c>
      <c r="E307" t="str">
        <f>IF(A307="", "", INDEX(BASE!$E$4:$E$10003, MATCH(A307, BASE!$A$4:$A$10003, 0)))</f>
        <v/>
      </c>
    </row>
    <row r="308" spans="1:5">
      <c r="A308" t="str">
        <f>IFERROR(INDEX(BASE!$A$4:$A$10003, MATCH(0, COUNTIF($A$1:A307, BASE!$A$4:$A$10003&amp;""), 0)), "")</f>
        <v/>
      </c>
      <c r="B308" t="str">
        <f>IF(A308="", "", VLOOKUP(A308, BASE!$A$4:$B$10003, 2, FALSE))</f>
        <v/>
      </c>
      <c r="C308" t="str">
        <f>IF(A308="", "", SUMIF(BASE!$A$4:$A$10003, A308, BASE!$C$4:$C$10003))</f>
        <v/>
      </c>
      <c r="D308" t="str">
        <f>IF(A308="", "", INDEX(BASE!$D$4:$D$10003, MATCH(A308, BASE!$A$4:$A$10003, 0)))</f>
        <v/>
      </c>
      <c r="E308" t="str">
        <f>IF(A308="", "", INDEX(BASE!$E$4:$E$10003, MATCH(A308, BASE!$A$4:$A$10003, 0)))</f>
        <v/>
      </c>
    </row>
    <row r="309" spans="1:5">
      <c r="A309" t="str">
        <f>IFERROR(INDEX(BASE!$A$4:$A$10003, MATCH(0, COUNTIF($A$1:A308, BASE!$A$4:$A$10003&amp;""), 0)), "")</f>
        <v/>
      </c>
      <c r="B309" t="str">
        <f>IF(A309="", "", VLOOKUP(A309, BASE!$A$4:$B$10003, 2, FALSE))</f>
        <v/>
      </c>
      <c r="C309" t="str">
        <f>IF(A309="", "", SUMIF(BASE!$A$4:$A$10003, A309, BASE!$C$4:$C$10003))</f>
        <v/>
      </c>
      <c r="D309" t="str">
        <f>IF(A309="", "", INDEX(BASE!$D$4:$D$10003, MATCH(A309, BASE!$A$4:$A$10003, 0)))</f>
        <v/>
      </c>
      <c r="E309" t="str">
        <f>IF(A309="", "", INDEX(BASE!$E$4:$E$10003, MATCH(A309, BASE!$A$4:$A$10003, 0)))</f>
        <v/>
      </c>
    </row>
    <row r="310" spans="1:5">
      <c r="A310" t="str">
        <f>IFERROR(INDEX(BASE!$A$4:$A$10003, MATCH(0, COUNTIF($A$1:A309, BASE!$A$4:$A$10003&amp;""), 0)), "")</f>
        <v/>
      </c>
      <c r="B310" t="str">
        <f>IF(A310="", "", VLOOKUP(A310, BASE!$A$4:$B$10003, 2, FALSE))</f>
        <v/>
      </c>
      <c r="C310" t="str">
        <f>IF(A310="", "", SUMIF(BASE!$A$4:$A$10003, A310, BASE!$C$4:$C$10003))</f>
        <v/>
      </c>
      <c r="D310" t="str">
        <f>IF(A310="", "", INDEX(BASE!$D$4:$D$10003, MATCH(A310, BASE!$A$4:$A$10003, 0)))</f>
        <v/>
      </c>
      <c r="E310" t="str">
        <f>IF(A310="", "", INDEX(BASE!$E$4:$E$10003, MATCH(A310, BASE!$A$4:$A$10003, 0)))</f>
        <v/>
      </c>
    </row>
    <row r="311" spans="1:5">
      <c r="A311" t="str">
        <f>IFERROR(INDEX(BASE!$A$4:$A$10003, MATCH(0, COUNTIF($A$1:A310, BASE!$A$4:$A$10003&amp;""), 0)), "")</f>
        <v/>
      </c>
      <c r="B311" t="str">
        <f>IF(A311="", "", VLOOKUP(A311, BASE!$A$4:$B$10003, 2, FALSE))</f>
        <v/>
      </c>
      <c r="C311" t="str">
        <f>IF(A311="", "", SUMIF(BASE!$A$4:$A$10003, A311, BASE!$C$4:$C$10003))</f>
        <v/>
      </c>
      <c r="D311" t="str">
        <f>IF(A311="", "", INDEX(BASE!$D$4:$D$10003, MATCH(A311, BASE!$A$4:$A$10003, 0)))</f>
        <v/>
      </c>
      <c r="E311" t="str">
        <f>IF(A311="", "", INDEX(BASE!$E$4:$E$10003, MATCH(A311, BASE!$A$4:$A$10003, 0)))</f>
        <v/>
      </c>
    </row>
    <row r="312" spans="1:5">
      <c r="A312" t="str">
        <f>IFERROR(INDEX(BASE!$A$4:$A$10003, MATCH(0, COUNTIF($A$1:A311, BASE!$A$4:$A$10003&amp;""), 0)), "")</f>
        <v/>
      </c>
      <c r="B312" t="str">
        <f>IF(A312="", "", VLOOKUP(A312, BASE!$A$4:$B$10003, 2, FALSE))</f>
        <v/>
      </c>
      <c r="C312" t="str">
        <f>IF(A312="", "", SUMIF(BASE!$A$4:$A$10003, A312, BASE!$C$4:$C$10003))</f>
        <v/>
      </c>
      <c r="D312" t="str">
        <f>IF(A312="", "", INDEX(BASE!$D$4:$D$10003, MATCH(A312, BASE!$A$4:$A$10003, 0)))</f>
        <v/>
      </c>
      <c r="E312" t="str">
        <f>IF(A312="", "", INDEX(BASE!$E$4:$E$10003, MATCH(A312, BASE!$A$4:$A$10003, 0)))</f>
        <v/>
      </c>
    </row>
    <row r="313" spans="1:5">
      <c r="A313" t="str">
        <f>IFERROR(INDEX(BASE!$A$4:$A$10003, MATCH(0, COUNTIF($A$1:A312, BASE!$A$4:$A$10003&amp;""), 0)), "")</f>
        <v/>
      </c>
      <c r="B313" t="str">
        <f>IF(A313="", "", VLOOKUP(A313, BASE!$A$4:$B$10003, 2, FALSE))</f>
        <v/>
      </c>
      <c r="C313" t="str">
        <f>IF(A313="", "", SUMIF(BASE!$A$4:$A$10003, A313, BASE!$C$4:$C$10003))</f>
        <v/>
      </c>
      <c r="D313" t="str">
        <f>IF(A313="", "", INDEX(BASE!$D$4:$D$10003, MATCH(A313, BASE!$A$4:$A$10003, 0)))</f>
        <v/>
      </c>
      <c r="E313" t="str">
        <f>IF(A313="", "", INDEX(BASE!$E$4:$E$10003, MATCH(A313, BASE!$A$4:$A$10003, 0)))</f>
        <v/>
      </c>
    </row>
    <row r="314" spans="1:5">
      <c r="A314" t="str">
        <f>IFERROR(INDEX(BASE!$A$4:$A$10003, MATCH(0, COUNTIF($A$1:A313, BASE!$A$4:$A$10003&amp;""), 0)), "")</f>
        <v/>
      </c>
      <c r="B314" t="str">
        <f>IF(A314="", "", VLOOKUP(A314, BASE!$A$4:$B$10003, 2, FALSE))</f>
        <v/>
      </c>
      <c r="C314" t="str">
        <f>IF(A314="", "", SUMIF(BASE!$A$4:$A$10003, A314, BASE!$C$4:$C$10003))</f>
        <v/>
      </c>
      <c r="D314" t="str">
        <f>IF(A314="", "", INDEX(BASE!$D$4:$D$10003, MATCH(A314, BASE!$A$4:$A$10003, 0)))</f>
        <v/>
      </c>
      <c r="E314" t="str">
        <f>IF(A314="", "", INDEX(BASE!$E$4:$E$10003, MATCH(A314, BASE!$A$4:$A$10003, 0)))</f>
        <v/>
      </c>
    </row>
    <row r="315" spans="1:5">
      <c r="A315" t="str">
        <f>IFERROR(INDEX(BASE!$A$4:$A$10003, MATCH(0, COUNTIF($A$1:A314, BASE!$A$4:$A$10003&amp;""), 0)), "")</f>
        <v/>
      </c>
      <c r="B315" t="str">
        <f>IF(A315="", "", VLOOKUP(A315, BASE!$A$4:$B$10003, 2, FALSE))</f>
        <v/>
      </c>
      <c r="C315" t="str">
        <f>IF(A315="", "", SUMIF(BASE!$A$4:$A$10003, A315, BASE!$C$4:$C$10003))</f>
        <v/>
      </c>
      <c r="D315" t="str">
        <f>IF(A315="", "", INDEX(BASE!$D$4:$D$10003, MATCH(A315, BASE!$A$4:$A$10003, 0)))</f>
        <v/>
      </c>
      <c r="E315" t="str">
        <f>IF(A315="", "", INDEX(BASE!$E$4:$E$10003, MATCH(A315, BASE!$A$4:$A$10003, 0)))</f>
        <v/>
      </c>
    </row>
    <row r="316" spans="1:5">
      <c r="A316" t="str">
        <f>IFERROR(INDEX(BASE!$A$4:$A$10003, MATCH(0, COUNTIF($A$1:A315, BASE!$A$4:$A$10003&amp;""), 0)), "")</f>
        <v/>
      </c>
      <c r="B316" t="str">
        <f>IF(A316="", "", VLOOKUP(A316, BASE!$A$4:$B$10003, 2, FALSE))</f>
        <v/>
      </c>
      <c r="C316" t="str">
        <f>IF(A316="", "", SUMIF(BASE!$A$4:$A$10003, A316, BASE!$C$4:$C$10003))</f>
        <v/>
      </c>
      <c r="D316" t="str">
        <f>IF(A316="", "", INDEX(BASE!$D$4:$D$10003, MATCH(A316, BASE!$A$4:$A$10003, 0)))</f>
        <v/>
      </c>
      <c r="E316" t="str">
        <f>IF(A316="", "", INDEX(BASE!$E$4:$E$10003, MATCH(A316, BASE!$A$4:$A$10003, 0)))</f>
        <v/>
      </c>
    </row>
    <row r="317" spans="1:5">
      <c r="A317" t="str">
        <f>IFERROR(INDEX(BASE!$A$4:$A$10003, MATCH(0, COUNTIF($A$1:A316, BASE!$A$4:$A$10003&amp;""), 0)), "")</f>
        <v/>
      </c>
      <c r="B317" t="str">
        <f>IF(A317="", "", VLOOKUP(A317, BASE!$A$4:$B$10003, 2, FALSE))</f>
        <v/>
      </c>
      <c r="C317" t="str">
        <f>IF(A317="", "", SUMIF(BASE!$A$4:$A$10003, A317, BASE!$C$4:$C$10003))</f>
        <v/>
      </c>
      <c r="D317" t="str">
        <f>IF(A317="", "", INDEX(BASE!$D$4:$D$10003, MATCH(A317, BASE!$A$4:$A$10003, 0)))</f>
        <v/>
      </c>
      <c r="E317" t="str">
        <f>IF(A317="", "", INDEX(BASE!$E$4:$E$10003, MATCH(A317, BASE!$A$4:$A$10003, 0)))</f>
        <v/>
      </c>
    </row>
    <row r="318" spans="1:5">
      <c r="A318" t="str">
        <f>IFERROR(INDEX(BASE!$A$4:$A$10003, MATCH(0, COUNTIF($A$1:A317, BASE!$A$4:$A$10003&amp;""), 0)), "")</f>
        <v/>
      </c>
      <c r="B318" t="str">
        <f>IF(A318="", "", VLOOKUP(A318, BASE!$A$4:$B$10003, 2, FALSE))</f>
        <v/>
      </c>
      <c r="C318" t="str">
        <f>IF(A318="", "", SUMIF(BASE!$A$4:$A$10003, A318, BASE!$C$4:$C$10003))</f>
        <v/>
      </c>
      <c r="D318" t="str">
        <f>IF(A318="", "", INDEX(BASE!$D$4:$D$10003, MATCH(A318, BASE!$A$4:$A$10003, 0)))</f>
        <v/>
      </c>
      <c r="E318" t="str">
        <f>IF(A318="", "", INDEX(BASE!$E$4:$E$10003, MATCH(A318, BASE!$A$4:$A$10003, 0)))</f>
        <v/>
      </c>
    </row>
    <row r="319" spans="1:5">
      <c r="A319" t="str">
        <f>IFERROR(INDEX(BASE!$A$4:$A$10003, MATCH(0, COUNTIF($A$1:A318, BASE!$A$4:$A$10003&amp;""), 0)), "")</f>
        <v/>
      </c>
      <c r="B319" t="str">
        <f>IF(A319="", "", VLOOKUP(A319, BASE!$A$4:$B$10003, 2, FALSE))</f>
        <v/>
      </c>
      <c r="C319" t="str">
        <f>IF(A319="", "", SUMIF(BASE!$A$4:$A$10003, A319, BASE!$C$4:$C$10003))</f>
        <v/>
      </c>
      <c r="D319" t="str">
        <f>IF(A319="", "", INDEX(BASE!$D$4:$D$10003, MATCH(A319, BASE!$A$4:$A$10003, 0)))</f>
        <v/>
      </c>
      <c r="E319" t="str">
        <f>IF(A319="", "", INDEX(BASE!$E$4:$E$10003, MATCH(A319, BASE!$A$4:$A$10003, 0)))</f>
        <v/>
      </c>
    </row>
    <row r="320" spans="1:5">
      <c r="A320" t="str">
        <f>IFERROR(INDEX(BASE!$A$4:$A$10003, MATCH(0, COUNTIF($A$1:A319, BASE!$A$4:$A$10003&amp;""), 0)), "")</f>
        <v/>
      </c>
      <c r="B320" t="str">
        <f>IF(A320="", "", VLOOKUP(A320, BASE!$A$4:$B$10003, 2, FALSE))</f>
        <v/>
      </c>
      <c r="C320" t="str">
        <f>IF(A320="", "", SUMIF(BASE!$A$4:$A$10003, A320, BASE!$C$4:$C$10003))</f>
        <v/>
      </c>
      <c r="D320" t="str">
        <f>IF(A320="", "", INDEX(BASE!$D$4:$D$10003, MATCH(A320, BASE!$A$4:$A$10003, 0)))</f>
        <v/>
      </c>
      <c r="E320" t="str">
        <f>IF(A320="", "", INDEX(BASE!$E$4:$E$10003, MATCH(A320, BASE!$A$4:$A$10003, 0)))</f>
        <v/>
      </c>
    </row>
    <row r="321" spans="1:5">
      <c r="A321" t="str">
        <f>IFERROR(INDEX(BASE!$A$4:$A$10003, MATCH(0, COUNTIF($A$1:A320, BASE!$A$4:$A$10003&amp;""), 0)), "")</f>
        <v/>
      </c>
      <c r="B321" t="str">
        <f>IF(A321="", "", VLOOKUP(A321, BASE!$A$4:$B$10003, 2, FALSE))</f>
        <v/>
      </c>
      <c r="C321" t="str">
        <f>IF(A321="", "", SUMIF(BASE!$A$4:$A$10003, A321, BASE!$C$4:$C$10003))</f>
        <v/>
      </c>
      <c r="D321" t="str">
        <f>IF(A321="", "", INDEX(BASE!$D$4:$D$10003, MATCH(A321, BASE!$A$4:$A$10003, 0)))</f>
        <v/>
      </c>
      <c r="E321" t="str">
        <f>IF(A321="", "", INDEX(BASE!$E$4:$E$10003, MATCH(A321, BASE!$A$4:$A$10003, 0)))</f>
        <v/>
      </c>
    </row>
    <row r="322" spans="1:5">
      <c r="A322" t="str">
        <f>IFERROR(INDEX(BASE!$A$4:$A$10003, MATCH(0, COUNTIF($A$1:A321, BASE!$A$4:$A$10003&amp;""), 0)), "")</f>
        <v/>
      </c>
      <c r="B322" t="str">
        <f>IF(A322="", "", VLOOKUP(A322, BASE!$A$4:$B$10003, 2, FALSE))</f>
        <v/>
      </c>
      <c r="C322" t="str">
        <f>IF(A322="", "", SUMIF(BASE!$A$4:$A$10003, A322, BASE!$C$4:$C$10003))</f>
        <v/>
      </c>
      <c r="D322" t="str">
        <f>IF(A322="", "", INDEX(BASE!$D$4:$D$10003, MATCH(A322, BASE!$A$4:$A$10003, 0)))</f>
        <v/>
      </c>
      <c r="E322" t="str">
        <f>IF(A322="", "", INDEX(BASE!$E$4:$E$10003, MATCH(A322, BASE!$A$4:$A$10003, 0)))</f>
        <v/>
      </c>
    </row>
    <row r="323" spans="1:5">
      <c r="A323" t="str">
        <f>IFERROR(INDEX(BASE!$A$4:$A$10003, MATCH(0, COUNTIF($A$1:A322, BASE!$A$4:$A$10003&amp;""), 0)), "")</f>
        <v/>
      </c>
      <c r="B323" t="str">
        <f>IF(A323="", "", VLOOKUP(A323, BASE!$A$4:$B$10003, 2, FALSE))</f>
        <v/>
      </c>
      <c r="C323" t="str">
        <f>IF(A323="", "", SUMIF(BASE!$A$4:$A$10003, A323, BASE!$C$4:$C$10003))</f>
        <v/>
      </c>
      <c r="D323" t="str">
        <f>IF(A323="", "", INDEX(BASE!$D$4:$D$10003, MATCH(A323, BASE!$A$4:$A$10003, 0)))</f>
        <v/>
      </c>
      <c r="E323" t="str">
        <f>IF(A323="", "", INDEX(BASE!$E$4:$E$10003, MATCH(A323, BASE!$A$4:$A$10003, 0)))</f>
        <v/>
      </c>
    </row>
    <row r="324" spans="1:5">
      <c r="A324" t="str">
        <f>IFERROR(INDEX(BASE!$A$4:$A$10003, MATCH(0, COUNTIF($A$1:A323, BASE!$A$4:$A$10003&amp;""), 0)), "")</f>
        <v/>
      </c>
      <c r="B324" t="str">
        <f>IF(A324="", "", VLOOKUP(A324, BASE!$A$4:$B$10003, 2, FALSE))</f>
        <v/>
      </c>
      <c r="C324" t="str">
        <f>IF(A324="", "", SUMIF(BASE!$A$4:$A$10003, A324, BASE!$C$4:$C$10003))</f>
        <v/>
      </c>
      <c r="D324" t="str">
        <f>IF(A324="", "", INDEX(BASE!$D$4:$D$10003, MATCH(A324, BASE!$A$4:$A$10003, 0)))</f>
        <v/>
      </c>
      <c r="E324" t="str">
        <f>IF(A324="", "", INDEX(BASE!$E$4:$E$10003, MATCH(A324, BASE!$A$4:$A$10003, 0)))</f>
        <v/>
      </c>
    </row>
    <row r="325" spans="1:5">
      <c r="A325" t="str">
        <f>IFERROR(INDEX(BASE!$A$4:$A$10003, MATCH(0, COUNTIF($A$1:A324, BASE!$A$4:$A$10003&amp;""), 0)), "")</f>
        <v/>
      </c>
      <c r="B325" t="str">
        <f>IF(A325="", "", VLOOKUP(A325, BASE!$A$4:$B$10003, 2, FALSE))</f>
        <v/>
      </c>
      <c r="C325" t="str">
        <f>IF(A325="", "", SUMIF(BASE!$A$4:$A$10003, A325, BASE!$C$4:$C$10003))</f>
        <v/>
      </c>
      <c r="D325" t="str">
        <f>IF(A325="", "", INDEX(BASE!$D$4:$D$10003, MATCH(A325, BASE!$A$4:$A$10003, 0)))</f>
        <v/>
      </c>
      <c r="E325" t="str">
        <f>IF(A325="", "", INDEX(BASE!$E$4:$E$10003, MATCH(A325, BASE!$A$4:$A$10003, 0)))</f>
        <v/>
      </c>
    </row>
    <row r="326" spans="1:5">
      <c r="A326" t="str">
        <f>IFERROR(INDEX(BASE!$A$4:$A$10003, MATCH(0, COUNTIF($A$1:A325, BASE!$A$4:$A$10003&amp;""), 0)), "")</f>
        <v/>
      </c>
      <c r="B326" t="str">
        <f>IF(A326="", "", VLOOKUP(A326, BASE!$A$4:$B$10003, 2, FALSE))</f>
        <v/>
      </c>
      <c r="C326" t="str">
        <f>IF(A326="", "", SUMIF(BASE!$A$4:$A$10003, A326, BASE!$C$4:$C$10003))</f>
        <v/>
      </c>
      <c r="D326" t="str">
        <f>IF(A326="", "", INDEX(BASE!$D$4:$D$10003, MATCH(A326, BASE!$A$4:$A$10003, 0)))</f>
        <v/>
      </c>
      <c r="E326" t="str">
        <f>IF(A326="", "", INDEX(BASE!$E$4:$E$10003, MATCH(A326, BASE!$A$4:$A$10003, 0)))</f>
        <v/>
      </c>
    </row>
    <row r="327" spans="1:5">
      <c r="A327" t="str">
        <f>IFERROR(INDEX(BASE!$A$4:$A$10003, MATCH(0, COUNTIF($A$1:A326, BASE!$A$4:$A$10003&amp;""), 0)), "")</f>
        <v/>
      </c>
      <c r="B327" t="str">
        <f>IF(A327="", "", VLOOKUP(A327, BASE!$A$4:$B$10003, 2, FALSE))</f>
        <v/>
      </c>
      <c r="C327" t="str">
        <f>IF(A327="", "", SUMIF(BASE!$A$4:$A$10003, A327, BASE!$C$4:$C$10003))</f>
        <v/>
      </c>
      <c r="D327" t="str">
        <f>IF(A327="", "", INDEX(BASE!$D$4:$D$10003, MATCH(A327, BASE!$A$4:$A$10003, 0)))</f>
        <v/>
      </c>
      <c r="E327" t="str">
        <f>IF(A327="", "", INDEX(BASE!$E$4:$E$10003, MATCH(A327, BASE!$A$4:$A$10003, 0)))</f>
        <v/>
      </c>
    </row>
    <row r="328" spans="1:5">
      <c r="A328" t="str">
        <f>IFERROR(INDEX(BASE!$A$4:$A$10003, MATCH(0, COUNTIF($A$1:A327, BASE!$A$4:$A$10003&amp;""), 0)), "")</f>
        <v/>
      </c>
      <c r="B328" t="str">
        <f>IF(A328="", "", VLOOKUP(A328, BASE!$A$4:$B$10003, 2, FALSE))</f>
        <v/>
      </c>
      <c r="C328" t="str">
        <f>IF(A328="", "", SUMIF(BASE!$A$4:$A$10003, A328, BASE!$C$4:$C$10003))</f>
        <v/>
      </c>
      <c r="D328" t="str">
        <f>IF(A328="", "", INDEX(BASE!$D$4:$D$10003, MATCH(A328, BASE!$A$4:$A$10003, 0)))</f>
        <v/>
      </c>
      <c r="E328" t="str">
        <f>IF(A328="", "", INDEX(BASE!$E$4:$E$10003, MATCH(A328, BASE!$A$4:$A$10003, 0)))</f>
        <v/>
      </c>
    </row>
    <row r="329" spans="1:5">
      <c r="A329" t="str">
        <f>IFERROR(INDEX(BASE!$A$4:$A$10003, MATCH(0, COUNTIF($A$1:A328, BASE!$A$4:$A$10003&amp;""), 0)), "")</f>
        <v/>
      </c>
      <c r="B329" t="str">
        <f>IF(A329="", "", VLOOKUP(A329, BASE!$A$4:$B$10003, 2, FALSE))</f>
        <v/>
      </c>
      <c r="C329" t="str">
        <f>IF(A329="", "", SUMIF(BASE!$A$4:$A$10003, A329, BASE!$C$4:$C$10003))</f>
        <v/>
      </c>
      <c r="D329" t="str">
        <f>IF(A329="", "", INDEX(BASE!$D$4:$D$10003, MATCH(A329, BASE!$A$4:$A$10003, 0)))</f>
        <v/>
      </c>
      <c r="E329" t="str">
        <f>IF(A329="", "", INDEX(BASE!$E$4:$E$10003, MATCH(A329, BASE!$A$4:$A$10003, 0)))</f>
        <v/>
      </c>
    </row>
    <row r="330" spans="1:5">
      <c r="A330" t="str">
        <f>IFERROR(INDEX(BASE!$A$4:$A$10003, MATCH(0, COUNTIF($A$1:A329, BASE!$A$4:$A$10003&amp;""), 0)), "")</f>
        <v/>
      </c>
      <c r="B330" t="str">
        <f>IF(A330="", "", VLOOKUP(A330, BASE!$A$4:$B$10003, 2, FALSE))</f>
        <v/>
      </c>
      <c r="C330" t="str">
        <f>IF(A330="", "", SUMIF(BASE!$A$4:$A$10003, A330, BASE!$C$4:$C$10003))</f>
        <v/>
      </c>
      <c r="D330" t="str">
        <f>IF(A330="", "", INDEX(BASE!$D$4:$D$10003, MATCH(A330, BASE!$A$4:$A$10003, 0)))</f>
        <v/>
      </c>
      <c r="E330" t="str">
        <f>IF(A330="", "", INDEX(BASE!$E$4:$E$10003, MATCH(A330, BASE!$A$4:$A$10003, 0)))</f>
        <v/>
      </c>
    </row>
    <row r="331" spans="1:5">
      <c r="A331" t="str">
        <f>IFERROR(INDEX(BASE!$A$4:$A$10003, MATCH(0, COUNTIF($A$1:A330, BASE!$A$4:$A$10003&amp;""), 0)), "")</f>
        <v/>
      </c>
      <c r="B331" t="str">
        <f>IF(A331="", "", VLOOKUP(A331, BASE!$A$4:$B$10003, 2, FALSE))</f>
        <v/>
      </c>
      <c r="C331" t="str">
        <f>IF(A331="", "", SUMIF(BASE!$A$4:$A$10003, A331, BASE!$C$4:$C$10003))</f>
        <v/>
      </c>
      <c r="D331" t="str">
        <f>IF(A331="", "", INDEX(BASE!$D$4:$D$10003, MATCH(A331, BASE!$A$4:$A$10003, 0)))</f>
        <v/>
      </c>
      <c r="E331" t="str">
        <f>IF(A331="", "", INDEX(BASE!$E$4:$E$10003, MATCH(A331, BASE!$A$4:$A$10003, 0)))</f>
        <v/>
      </c>
    </row>
    <row r="332" spans="1:5">
      <c r="A332" t="str">
        <f>IFERROR(INDEX(BASE!$A$4:$A$10003, MATCH(0, COUNTIF($A$1:A331, BASE!$A$4:$A$10003&amp;""), 0)), "")</f>
        <v/>
      </c>
      <c r="B332" t="str">
        <f>IF(A332="", "", VLOOKUP(A332, BASE!$A$4:$B$10003, 2, FALSE))</f>
        <v/>
      </c>
      <c r="C332" t="str">
        <f>IF(A332="", "", SUMIF(BASE!$A$4:$A$10003, A332, BASE!$C$4:$C$10003))</f>
        <v/>
      </c>
      <c r="D332" t="str">
        <f>IF(A332="", "", INDEX(BASE!$D$4:$D$10003, MATCH(A332, BASE!$A$4:$A$10003, 0)))</f>
        <v/>
      </c>
      <c r="E332" t="str">
        <f>IF(A332="", "", INDEX(BASE!$E$4:$E$10003, MATCH(A332, BASE!$A$4:$A$10003, 0)))</f>
        <v/>
      </c>
    </row>
    <row r="333" spans="1:5">
      <c r="A333" t="str">
        <f>IFERROR(INDEX(BASE!$A$4:$A$10003, MATCH(0, COUNTIF($A$1:A332, BASE!$A$4:$A$10003&amp;""), 0)), "")</f>
        <v/>
      </c>
      <c r="B333" t="str">
        <f>IF(A333="", "", VLOOKUP(A333, BASE!$A$4:$B$10003, 2, FALSE))</f>
        <v/>
      </c>
      <c r="C333" t="str">
        <f>IF(A333="", "", SUMIF(BASE!$A$4:$A$10003, A333, BASE!$C$4:$C$10003))</f>
        <v/>
      </c>
      <c r="D333" t="str">
        <f>IF(A333="", "", INDEX(BASE!$D$4:$D$10003, MATCH(A333, BASE!$A$4:$A$10003, 0)))</f>
        <v/>
      </c>
      <c r="E333" t="str">
        <f>IF(A333="", "", INDEX(BASE!$E$4:$E$10003, MATCH(A333, BASE!$A$4:$A$10003, 0)))</f>
        <v/>
      </c>
    </row>
    <row r="334" spans="1:5">
      <c r="A334" t="str">
        <f>IFERROR(INDEX(BASE!$A$4:$A$10003, MATCH(0, COUNTIF($A$1:A333, BASE!$A$4:$A$10003&amp;""), 0)), "")</f>
        <v/>
      </c>
      <c r="B334" t="str">
        <f>IF(A334="", "", VLOOKUP(A334, BASE!$A$4:$B$10003, 2, FALSE))</f>
        <v/>
      </c>
      <c r="C334" t="str">
        <f>IF(A334="", "", SUMIF(BASE!$A$4:$A$10003, A334, BASE!$C$4:$C$10003))</f>
        <v/>
      </c>
      <c r="D334" t="str">
        <f>IF(A334="", "", INDEX(BASE!$D$4:$D$10003, MATCH(A334, BASE!$A$4:$A$10003, 0)))</f>
        <v/>
      </c>
      <c r="E334" t="str">
        <f>IF(A334="", "", INDEX(BASE!$E$4:$E$10003, MATCH(A334, BASE!$A$4:$A$10003, 0)))</f>
        <v/>
      </c>
    </row>
    <row r="335" spans="1:5">
      <c r="A335" t="str">
        <f>IFERROR(INDEX(BASE!$A$4:$A$10003, MATCH(0, COUNTIF($A$1:A334, BASE!$A$4:$A$10003&amp;""), 0)), "")</f>
        <v/>
      </c>
      <c r="B335" t="str">
        <f>IF(A335="", "", VLOOKUP(A335, BASE!$A$4:$B$10003, 2, FALSE))</f>
        <v/>
      </c>
      <c r="C335" t="str">
        <f>IF(A335="", "", SUMIF(BASE!$A$4:$A$10003, A335, BASE!$C$4:$C$10003))</f>
        <v/>
      </c>
      <c r="D335" t="str">
        <f>IF(A335="", "", INDEX(BASE!$D$4:$D$10003, MATCH(A335, BASE!$A$4:$A$10003, 0)))</f>
        <v/>
      </c>
      <c r="E335" t="str">
        <f>IF(A335="", "", INDEX(BASE!$E$4:$E$10003, MATCH(A335, BASE!$A$4:$A$10003, 0)))</f>
        <v/>
      </c>
    </row>
    <row r="336" spans="1:5">
      <c r="A336" t="str">
        <f>IFERROR(INDEX(BASE!$A$4:$A$10003, MATCH(0, COUNTIF($A$1:A335, BASE!$A$4:$A$10003&amp;""), 0)), "")</f>
        <v/>
      </c>
      <c r="B336" t="str">
        <f>IF(A336="", "", VLOOKUP(A336, BASE!$A$4:$B$10003, 2, FALSE))</f>
        <v/>
      </c>
      <c r="C336" t="str">
        <f>IF(A336="", "", SUMIF(BASE!$A$4:$A$10003, A336, BASE!$C$4:$C$10003))</f>
        <v/>
      </c>
      <c r="D336" t="str">
        <f>IF(A336="", "", INDEX(BASE!$D$4:$D$10003, MATCH(A336, BASE!$A$4:$A$10003, 0)))</f>
        <v/>
      </c>
      <c r="E336" t="str">
        <f>IF(A336="", "", INDEX(BASE!$E$4:$E$10003, MATCH(A336, BASE!$A$4:$A$10003, 0)))</f>
        <v/>
      </c>
    </row>
    <row r="337" spans="1:5">
      <c r="A337" t="str">
        <f>IFERROR(INDEX(BASE!$A$4:$A$10003, MATCH(0, COUNTIF($A$1:A336, BASE!$A$4:$A$10003&amp;""), 0)), "")</f>
        <v/>
      </c>
      <c r="B337" t="str">
        <f>IF(A337="", "", VLOOKUP(A337, BASE!$A$4:$B$10003, 2, FALSE))</f>
        <v/>
      </c>
      <c r="C337" t="str">
        <f>IF(A337="", "", SUMIF(BASE!$A$4:$A$10003, A337, BASE!$C$4:$C$10003))</f>
        <v/>
      </c>
      <c r="D337" t="str">
        <f>IF(A337="", "", INDEX(BASE!$D$4:$D$10003, MATCH(A337, BASE!$A$4:$A$10003, 0)))</f>
        <v/>
      </c>
      <c r="E337" t="str">
        <f>IF(A337="", "", INDEX(BASE!$E$4:$E$10003, MATCH(A337, BASE!$A$4:$A$10003, 0)))</f>
        <v/>
      </c>
    </row>
    <row r="338" spans="1:5">
      <c r="A338" t="str">
        <f>IFERROR(INDEX(BASE!$A$4:$A$10003, MATCH(0, COUNTIF($A$1:A337, BASE!$A$4:$A$10003&amp;""), 0)), "")</f>
        <v/>
      </c>
      <c r="B338" t="str">
        <f>IF(A338="", "", VLOOKUP(A338, BASE!$A$4:$B$10003, 2, FALSE))</f>
        <v/>
      </c>
      <c r="C338" t="str">
        <f>IF(A338="", "", SUMIF(BASE!$A$4:$A$10003, A338, BASE!$C$4:$C$10003))</f>
        <v/>
      </c>
      <c r="D338" t="str">
        <f>IF(A338="", "", INDEX(BASE!$D$4:$D$10003, MATCH(A338, BASE!$A$4:$A$10003, 0)))</f>
        <v/>
      </c>
      <c r="E338" t="str">
        <f>IF(A338="", "", INDEX(BASE!$E$4:$E$10003, MATCH(A338, BASE!$A$4:$A$10003, 0)))</f>
        <v/>
      </c>
    </row>
    <row r="339" spans="1:5">
      <c r="A339" t="str">
        <f>IFERROR(INDEX(BASE!$A$4:$A$10003, MATCH(0, COUNTIF($A$1:A338, BASE!$A$4:$A$10003&amp;""), 0)), "")</f>
        <v/>
      </c>
      <c r="B339" t="str">
        <f>IF(A339="", "", VLOOKUP(A339, BASE!$A$4:$B$10003, 2, FALSE))</f>
        <v/>
      </c>
      <c r="C339" t="str">
        <f>IF(A339="", "", SUMIF(BASE!$A$4:$A$10003, A339, BASE!$C$4:$C$10003))</f>
        <v/>
      </c>
      <c r="D339" t="str">
        <f>IF(A339="", "", INDEX(BASE!$D$4:$D$10003, MATCH(A339, BASE!$A$4:$A$10003, 0)))</f>
        <v/>
      </c>
      <c r="E339" t="str">
        <f>IF(A339="", "", INDEX(BASE!$E$4:$E$10003, MATCH(A339, BASE!$A$4:$A$10003, 0)))</f>
        <v/>
      </c>
    </row>
    <row r="340" spans="1:5">
      <c r="A340" t="str">
        <f>IFERROR(INDEX(BASE!$A$4:$A$10003, MATCH(0, COUNTIF($A$1:A339, BASE!$A$4:$A$10003&amp;""), 0)), "")</f>
        <v/>
      </c>
      <c r="B340" t="str">
        <f>IF(A340="", "", VLOOKUP(A340, BASE!$A$4:$B$10003, 2, FALSE))</f>
        <v/>
      </c>
      <c r="C340" t="str">
        <f>IF(A340="", "", SUMIF(BASE!$A$4:$A$10003, A340, BASE!$C$4:$C$10003))</f>
        <v/>
      </c>
      <c r="D340" t="str">
        <f>IF(A340="", "", INDEX(BASE!$D$4:$D$10003, MATCH(A340, BASE!$A$4:$A$10003, 0)))</f>
        <v/>
      </c>
      <c r="E340" t="str">
        <f>IF(A340="", "", INDEX(BASE!$E$4:$E$10003, MATCH(A340, BASE!$A$4:$A$10003, 0)))</f>
        <v/>
      </c>
    </row>
    <row r="341" spans="1:5">
      <c r="A341" t="str">
        <f>IFERROR(INDEX(BASE!$A$4:$A$10003, MATCH(0, COUNTIF($A$1:A340, BASE!$A$4:$A$10003&amp;""), 0)), "")</f>
        <v/>
      </c>
      <c r="B341" t="str">
        <f>IF(A341="", "", VLOOKUP(A341, BASE!$A$4:$B$10003, 2, FALSE))</f>
        <v/>
      </c>
      <c r="C341" t="str">
        <f>IF(A341="", "", SUMIF(BASE!$A$4:$A$10003, A341, BASE!$C$4:$C$10003))</f>
        <v/>
      </c>
      <c r="D341" t="str">
        <f>IF(A341="", "", INDEX(BASE!$D$4:$D$10003, MATCH(A341, BASE!$A$4:$A$10003, 0)))</f>
        <v/>
      </c>
      <c r="E341" t="str">
        <f>IF(A341="", "", INDEX(BASE!$E$4:$E$10003, MATCH(A341, BASE!$A$4:$A$10003, 0)))</f>
        <v/>
      </c>
    </row>
    <row r="342" spans="1:5">
      <c r="A342" t="str">
        <f>IFERROR(INDEX(BASE!$A$4:$A$10003, MATCH(0, COUNTIF($A$1:A341, BASE!$A$4:$A$10003&amp;""), 0)), "")</f>
        <v/>
      </c>
      <c r="B342" t="str">
        <f>IF(A342="", "", VLOOKUP(A342, BASE!$A$4:$B$10003, 2, FALSE))</f>
        <v/>
      </c>
      <c r="C342" t="str">
        <f>IF(A342="", "", SUMIF(BASE!$A$4:$A$10003, A342, BASE!$C$4:$C$10003))</f>
        <v/>
      </c>
      <c r="D342" t="str">
        <f>IF(A342="", "", INDEX(BASE!$D$4:$D$10003, MATCH(A342, BASE!$A$4:$A$10003, 0)))</f>
        <v/>
      </c>
      <c r="E342" t="str">
        <f>IF(A342="", "", INDEX(BASE!$E$4:$E$10003, MATCH(A342, BASE!$A$4:$A$10003, 0)))</f>
        <v/>
      </c>
    </row>
    <row r="343" spans="1:5">
      <c r="A343" t="str">
        <f>IFERROR(INDEX(BASE!$A$4:$A$10003, MATCH(0, COUNTIF($A$1:A342, BASE!$A$4:$A$10003&amp;""), 0)), "")</f>
        <v/>
      </c>
      <c r="B343" t="str">
        <f>IF(A343="", "", VLOOKUP(A343, BASE!$A$4:$B$10003, 2, FALSE))</f>
        <v/>
      </c>
      <c r="C343" t="str">
        <f>IF(A343="", "", SUMIF(BASE!$A$4:$A$10003, A343, BASE!$C$4:$C$10003))</f>
        <v/>
      </c>
      <c r="D343" t="str">
        <f>IF(A343="", "", INDEX(BASE!$D$4:$D$10003, MATCH(A343, BASE!$A$4:$A$10003, 0)))</f>
        <v/>
      </c>
      <c r="E343" t="str">
        <f>IF(A343="", "", INDEX(BASE!$E$4:$E$10003, MATCH(A343, BASE!$A$4:$A$10003, 0)))</f>
        <v/>
      </c>
    </row>
    <row r="344" spans="1:5">
      <c r="A344" t="str">
        <f>IFERROR(INDEX(BASE!$A$4:$A$10003, MATCH(0, COUNTIF($A$1:A343, BASE!$A$4:$A$10003&amp;""), 0)), "")</f>
        <v/>
      </c>
      <c r="B344" t="str">
        <f>IF(A344="", "", VLOOKUP(A344, BASE!$A$4:$B$10003, 2, FALSE))</f>
        <v/>
      </c>
      <c r="C344" t="str">
        <f>IF(A344="", "", SUMIF(BASE!$A$4:$A$10003, A344, BASE!$C$4:$C$10003))</f>
        <v/>
      </c>
      <c r="D344" t="str">
        <f>IF(A344="", "", INDEX(BASE!$D$4:$D$10003, MATCH(A344, BASE!$A$4:$A$10003, 0)))</f>
        <v/>
      </c>
      <c r="E344" t="str">
        <f>IF(A344="", "", INDEX(BASE!$E$4:$E$10003, MATCH(A344, BASE!$A$4:$A$10003, 0)))</f>
        <v/>
      </c>
    </row>
    <row r="345" spans="1:5">
      <c r="A345" t="str">
        <f>IFERROR(INDEX(BASE!$A$4:$A$10003, MATCH(0, COUNTIF($A$1:A344, BASE!$A$4:$A$10003&amp;""), 0)), "")</f>
        <v/>
      </c>
      <c r="B345" t="str">
        <f>IF(A345="", "", VLOOKUP(A345, BASE!$A$4:$B$10003, 2, FALSE))</f>
        <v/>
      </c>
      <c r="C345" t="str">
        <f>IF(A345="", "", SUMIF(BASE!$A$4:$A$10003, A345, BASE!$C$4:$C$10003))</f>
        <v/>
      </c>
      <c r="D345" t="str">
        <f>IF(A345="", "", INDEX(BASE!$D$4:$D$10003, MATCH(A345, BASE!$A$4:$A$10003, 0)))</f>
        <v/>
      </c>
      <c r="E345" t="str">
        <f>IF(A345="", "", INDEX(BASE!$E$4:$E$10003, MATCH(A345, BASE!$A$4:$A$10003, 0)))</f>
        <v/>
      </c>
    </row>
    <row r="346" spans="1:5">
      <c r="A346" t="str">
        <f>IFERROR(INDEX(BASE!$A$4:$A$10003, MATCH(0, COUNTIF($A$1:A345, BASE!$A$4:$A$10003&amp;""), 0)), "")</f>
        <v/>
      </c>
      <c r="B346" t="str">
        <f>IF(A346="", "", VLOOKUP(A346, BASE!$A$4:$B$10003, 2, FALSE))</f>
        <v/>
      </c>
      <c r="C346" t="str">
        <f>IF(A346="", "", SUMIF(BASE!$A$4:$A$10003, A346, BASE!$C$4:$C$10003))</f>
        <v/>
      </c>
      <c r="D346" t="str">
        <f>IF(A346="", "", INDEX(BASE!$D$4:$D$10003, MATCH(A346, BASE!$A$4:$A$10003, 0)))</f>
        <v/>
      </c>
      <c r="E346" t="str">
        <f>IF(A346="", "", INDEX(BASE!$E$4:$E$10003, MATCH(A346, BASE!$A$4:$A$10003, 0)))</f>
        <v/>
      </c>
    </row>
    <row r="347" spans="1:5">
      <c r="A347" t="str">
        <f>IFERROR(INDEX(BASE!$A$4:$A$10003, MATCH(0, COUNTIF($A$1:A346, BASE!$A$4:$A$10003&amp;""), 0)), "")</f>
        <v/>
      </c>
      <c r="B347" t="str">
        <f>IF(A347="", "", VLOOKUP(A347, BASE!$A$4:$B$10003, 2, FALSE))</f>
        <v/>
      </c>
      <c r="C347" t="str">
        <f>IF(A347="", "", SUMIF(BASE!$A$4:$A$10003, A347, BASE!$C$4:$C$10003))</f>
        <v/>
      </c>
      <c r="D347" t="str">
        <f>IF(A347="", "", INDEX(BASE!$D$4:$D$10003, MATCH(A347, BASE!$A$4:$A$10003, 0)))</f>
        <v/>
      </c>
      <c r="E347" t="str">
        <f>IF(A347="", "", INDEX(BASE!$E$4:$E$10003, MATCH(A347, BASE!$A$4:$A$10003, 0)))</f>
        <v/>
      </c>
    </row>
    <row r="348" spans="1:5">
      <c r="A348" t="str">
        <f>IFERROR(INDEX(BASE!$A$4:$A$10003, MATCH(0, COUNTIF($A$1:A347, BASE!$A$4:$A$10003&amp;""), 0)), "")</f>
        <v/>
      </c>
      <c r="B348" t="str">
        <f>IF(A348="", "", VLOOKUP(A348, BASE!$A$4:$B$10003, 2, FALSE))</f>
        <v/>
      </c>
      <c r="C348" t="str">
        <f>IF(A348="", "", SUMIF(BASE!$A$4:$A$10003, A348, BASE!$C$4:$C$10003))</f>
        <v/>
      </c>
      <c r="D348" t="str">
        <f>IF(A348="", "", INDEX(BASE!$D$4:$D$10003, MATCH(A348, BASE!$A$4:$A$10003, 0)))</f>
        <v/>
      </c>
      <c r="E348" t="str">
        <f>IF(A348="", "", INDEX(BASE!$E$4:$E$10003, MATCH(A348, BASE!$A$4:$A$10003, 0)))</f>
        <v/>
      </c>
    </row>
    <row r="349" spans="1:5">
      <c r="A349" t="str">
        <f>IFERROR(INDEX(BASE!$A$4:$A$10003, MATCH(0, COUNTIF($A$1:A348, BASE!$A$4:$A$10003&amp;""), 0)), "")</f>
        <v/>
      </c>
      <c r="B349" t="str">
        <f>IF(A349="", "", VLOOKUP(A349, BASE!$A$4:$B$10003, 2, FALSE))</f>
        <v/>
      </c>
      <c r="C349" t="str">
        <f>IF(A349="", "", SUMIF(BASE!$A$4:$A$10003, A349, BASE!$C$4:$C$10003))</f>
        <v/>
      </c>
      <c r="D349" t="str">
        <f>IF(A349="", "", INDEX(BASE!$D$4:$D$10003, MATCH(A349, BASE!$A$4:$A$10003, 0)))</f>
        <v/>
      </c>
      <c r="E349" t="str">
        <f>IF(A349="", "", INDEX(BASE!$E$4:$E$10003, MATCH(A349, BASE!$A$4:$A$10003, 0)))</f>
        <v/>
      </c>
    </row>
    <row r="350" spans="1:5">
      <c r="A350" t="str">
        <f>IFERROR(INDEX(BASE!$A$4:$A$10003, MATCH(0, COUNTIF($A$1:A349, BASE!$A$4:$A$10003&amp;""), 0)), "")</f>
        <v/>
      </c>
      <c r="B350" t="str">
        <f>IF(A350="", "", VLOOKUP(A350, BASE!$A$4:$B$10003, 2, FALSE))</f>
        <v/>
      </c>
      <c r="C350" t="str">
        <f>IF(A350="", "", SUMIF(BASE!$A$4:$A$10003, A350, BASE!$C$4:$C$10003))</f>
        <v/>
      </c>
      <c r="D350" t="str">
        <f>IF(A350="", "", INDEX(BASE!$D$4:$D$10003, MATCH(A350, BASE!$A$4:$A$10003, 0)))</f>
        <v/>
      </c>
      <c r="E350" t="str">
        <f>IF(A350="", "", INDEX(BASE!$E$4:$E$10003, MATCH(A350, BASE!$A$4:$A$10003, 0)))</f>
        <v/>
      </c>
    </row>
    <row r="351" spans="1:5">
      <c r="A351" t="str">
        <f>IFERROR(INDEX(BASE!$A$4:$A$10003, MATCH(0, COUNTIF($A$1:A350, BASE!$A$4:$A$10003&amp;""), 0)), "")</f>
        <v/>
      </c>
      <c r="B351" t="str">
        <f>IF(A351="", "", VLOOKUP(A351, BASE!$A$4:$B$10003, 2, FALSE))</f>
        <v/>
      </c>
      <c r="C351" t="str">
        <f>IF(A351="", "", SUMIF(BASE!$A$4:$A$10003, A351, BASE!$C$4:$C$10003))</f>
        <v/>
      </c>
      <c r="D351" t="str">
        <f>IF(A351="", "", INDEX(BASE!$D$4:$D$10003, MATCH(A351, BASE!$A$4:$A$10003, 0)))</f>
        <v/>
      </c>
      <c r="E351" t="str">
        <f>IF(A351="", "", INDEX(BASE!$E$4:$E$10003, MATCH(A351, BASE!$A$4:$A$10003, 0)))</f>
        <v/>
      </c>
    </row>
    <row r="352" spans="1:5">
      <c r="A352" t="str">
        <f>IFERROR(INDEX(BASE!$A$4:$A$10003, MATCH(0, COUNTIF($A$1:A351, BASE!$A$4:$A$10003&amp;""), 0)), "")</f>
        <v/>
      </c>
      <c r="B352" t="str">
        <f>IF(A352="", "", VLOOKUP(A352, BASE!$A$4:$B$10003, 2, FALSE))</f>
        <v/>
      </c>
      <c r="C352" t="str">
        <f>IF(A352="", "", SUMIF(BASE!$A$4:$A$10003, A352, BASE!$C$4:$C$10003))</f>
        <v/>
      </c>
      <c r="D352" t="str">
        <f>IF(A352="", "", INDEX(BASE!$D$4:$D$10003, MATCH(A352, BASE!$A$4:$A$10003, 0)))</f>
        <v/>
      </c>
      <c r="E352" t="str">
        <f>IF(A352="", "", INDEX(BASE!$E$4:$E$10003, MATCH(A352, BASE!$A$4:$A$10003, 0)))</f>
        <v/>
      </c>
    </row>
    <row r="353" spans="1:5">
      <c r="A353" t="str">
        <f>IFERROR(INDEX(BASE!$A$4:$A$10003, MATCH(0, COUNTIF($A$1:A352, BASE!$A$4:$A$10003&amp;""), 0)), "")</f>
        <v/>
      </c>
      <c r="B353" t="str">
        <f>IF(A353="", "", VLOOKUP(A353, BASE!$A$4:$B$10003, 2, FALSE))</f>
        <v/>
      </c>
      <c r="C353" t="str">
        <f>IF(A353="", "", SUMIF(BASE!$A$4:$A$10003, A353, BASE!$C$4:$C$10003))</f>
        <v/>
      </c>
      <c r="D353" t="str">
        <f>IF(A353="", "", INDEX(BASE!$D$4:$D$10003, MATCH(A353, BASE!$A$4:$A$10003, 0)))</f>
        <v/>
      </c>
      <c r="E353" t="str">
        <f>IF(A353="", "", INDEX(BASE!$E$4:$E$10003, MATCH(A353, BASE!$A$4:$A$10003, 0)))</f>
        <v/>
      </c>
    </row>
    <row r="354" spans="1:5">
      <c r="A354" t="str">
        <f>IFERROR(INDEX(BASE!$A$4:$A$10003, MATCH(0, COUNTIF($A$1:A353, BASE!$A$4:$A$10003&amp;""), 0)), "")</f>
        <v/>
      </c>
      <c r="B354" t="str">
        <f>IF(A354="", "", VLOOKUP(A354, BASE!$A$4:$B$10003, 2, FALSE))</f>
        <v/>
      </c>
      <c r="C354" t="str">
        <f>IF(A354="", "", SUMIF(BASE!$A$4:$A$10003, A354, BASE!$C$4:$C$10003))</f>
        <v/>
      </c>
      <c r="D354" t="str">
        <f>IF(A354="", "", INDEX(BASE!$D$4:$D$10003, MATCH(A354, BASE!$A$4:$A$10003, 0)))</f>
        <v/>
      </c>
      <c r="E354" t="str">
        <f>IF(A354="", "", INDEX(BASE!$E$4:$E$10003, MATCH(A354, BASE!$A$4:$A$10003, 0)))</f>
        <v/>
      </c>
    </row>
    <row r="355" spans="1:5">
      <c r="A355" t="str">
        <f>IFERROR(INDEX(BASE!$A$4:$A$10003, MATCH(0, COUNTIF($A$1:A354, BASE!$A$4:$A$10003&amp;""), 0)), "")</f>
        <v/>
      </c>
      <c r="B355" t="str">
        <f>IF(A355="", "", VLOOKUP(A355, BASE!$A$4:$B$10003, 2, FALSE))</f>
        <v/>
      </c>
      <c r="C355" t="str">
        <f>IF(A355="", "", SUMIF(BASE!$A$4:$A$10003, A355, BASE!$C$4:$C$10003))</f>
        <v/>
      </c>
      <c r="D355" t="str">
        <f>IF(A355="", "", INDEX(BASE!$D$4:$D$10003, MATCH(A355, BASE!$A$4:$A$10003, 0)))</f>
        <v/>
      </c>
      <c r="E355" t="str">
        <f>IF(A355="", "", INDEX(BASE!$E$4:$E$10003, MATCH(A355, BASE!$A$4:$A$10003, 0)))</f>
        <v/>
      </c>
    </row>
    <row r="356" spans="1:5">
      <c r="A356" t="str">
        <f>IFERROR(INDEX(BASE!$A$4:$A$10003, MATCH(0, COUNTIF($A$1:A355, BASE!$A$4:$A$10003&amp;""), 0)), "")</f>
        <v/>
      </c>
      <c r="B356" t="str">
        <f>IF(A356="", "", VLOOKUP(A356, BASE!$A$4:$B$10003, 2, FALSE))</f>
        <v/>
      </c>
      <c r="C356" t="str">
        <f>IF(A356="", "", SUMIF(BASE!$A$4:$A$10003, A356, BASE!$C$4:$C$10003))</f>
        <v/>
      </c>
      <c r="D356" t="str">
        <f>IF(A356="", "", INDEX(BASE!$D$4:$D$10003, MATCH(A356, BASE!$A$4:$A$10003, 0)))</f>
        <v/>
      </c>
      <c r="E356" t="str">
        <f>IF(A356="", "", INDEX(BASE!$E$4:$E$10003, MATCH(A356, BASE!$A$4:$A$10003, 0)))</f>
        <v/>
      </c>
    </row>
    <row r="357" spans="1:5">
      <c r="A357" t="str">
        <f>IFERROR(INDEX(BASE!$A$4:$A$10003, MATCH(0, COUNTIF($A$1:A356, BASE!$A$4:$A$10003&amp;""), 0)), "")</f>
        <v/>
      </c>
      <c r="B357" t="str">
        <f>IF(A357="", "", VLOOKUP(A357, BASE!$A$4:$B$10003, 2, FALSE))</f>
        <v/>
      </c>
      <c r="C357" t="str">
        <f>IF(A357="", "", SUMIF(BASE!$A$4:$A$10003, A357, BASE!$C$4:$C$10003))</f>
        <v/>
      </c>
      <c r="D357" t="str">
        <f>IF(A357="", "", INDEX(BASE!$D$4:$D$10003, MATCH(A357, BASE!$A$4:$A$10003, 0)))</f>
        <v/>
      </c>
      <c r="E357" t="str">
        <f>IF(A357="", "", INDEX(BASE!$E$4:$E$10003, MATCH(A357, BASE!$A$4:$A$10003, 0)))</f>
        <v/>
      </c>
    </row>
    <row r="358" spans="1:5">
      <c r="A358" t="str">
        <f>IFERROR(INDEX(BASE!$A$4:$A$10003, MATCH(0, COUNTIF($A$1:A357, BASE!$A$4:$A$10003&amp;""), 0)), "")</f>
        <v/>
      </c>
      <c r="B358" t="str">
        <f>IF(A358="", "", VLOOKUP(A358, BASE!$A$4:$B$10003, 2, FALSE))</f>
        <v/>
      </c>
      <c r="C358" t="str">
        <f>IF(A358="", "", SUMIF(BASE!$A$4:$A$10003, A358, BASE!$C$4:$C$10003))</f>
        <v/>
      </c>
      <c r="D358" t="str">
        <f>IF(A358="", "", INDEX(BASE!$D$4:$D$10003, MATCH(A358, BASE!$A$4:$A$10003, 0)))</f>
        <v/>
      </c>
      <c r="E358" t="str">
        <f>IF(A358="", "", INDEX(BASE!$E$4:$E$10003, MATCH(A358, BASE!$A$4:$A$10003, 0)))</f>
        <v/>
      </c>
    </row>
    <row r="359" spans="1:5">
      <c r="A359" t="str">
        <f>IFERROR(INDEX(BASE!$A$4:$A$10003, MATCH(0, COUNTIF($A$1:A358, BASE!$A$4:$A$10003&amp;""), 0)), "")</f>
        <v/>
      </c>
      <c r="B359" t="str">
        <f>IF(A359="", "", VLOOKUP(A359, BASE!$A$4:$B$10003, 2, FALSE))</f>
        <v/>
      </c>
      <c r="C359" t="str">
        <f>IF(A359="", "", SUMIF(BASE!$A$4:$A$10003, A359, BASE!$C$4:$C$10003))</f>
        <v/>
      </c>
      <c r="D359" t="str">
        <f>IF(A359="", "", INDEX(BASE!$D$4:$D$10003, MATCH(A359, BASE!$A$4:$A$10003, 0)))</f>
        <v/>
      </c>
      <c r="E359" t="str">
        <f>IF(A359="", "", INDEX(BASE!$E$4:$E$10003, MATCH(A359, BASE!$A$4:$A$10003, 0)))</f>
        <v/>
      </c>
    </row>
    <row r="360" spans="1:5">
      <c r="A360" t="str">
        <f>IFERROR(INDEX(BASE!$A$4:$A$10003, MATCH(0, COUNTIF($A$1:A359, BASE!$A$4:$A$10003&amp;""), 0)), "")</f>
        <v/>
      </c>
      <c r="B360" t="str">
        <f>IF(A360="", "", VLOOKUP(A360, BASE!$A$4:$B$10003, 2, FALSE))</f>
        <v/>
      </c>
      <c r="C360" t="str">
        <f>IF(A360="", "", SUMIF(BASE!$A$4:$A$10003, A360, BASE!$C$4:$C$10003))</f>
        <v/>
      </c>
      <c r="D360" t="str">
        <f>IF(A360="", "", INDEX(BASE!$D$4:$D$10003, MATCH(A360, BASE!$A$4:$A$10003, 0)))</f>
        <v/>
      </c>
      <c r="E360" t="str">
        <f>IF(A360="", "", INDEX(BASE!$E$4:$E$10003, MATCH(A360, BASE!$A$4:$A$10003, 0)))</f>
        <v/>
      </c>
    </row>
    <row r="361" spans="1:5">
      <c r="A361" t="str">
        <f>IFERROR(INDEX(BASE!$A$4:$A$10003, MATCH(0, COUNTIF($A$1:A360, BASE!$A$4:$A$10003&amp;""), 0)), "")</f>
        <v/>
      </c>
      <c r="B361" t="str">
        <f>IF(A361="", "", VLOOKUP(A361, BASE!$A$4:$B$10003, 2, FALSE))</f>
        <v/>
      </c>
      <c r="C361" t="str">
        <f>IF(A361="", "", SUMIF(BASE!$A$4:$A$10003, A361, BASE!$C$4:$C$10003))</f>
        <v/>
      </c>
      <c r="D361" t="str">
        <f>IF(A361="", "", INDEX(BASE!$D$4:$D$10003, MATCH(A361, BASE!$A$4:$A$10003, 0)))</f>
        <v/>
      </c>
      <c r="E361" t="str">
        <f>IF(A361="", "", INDEX(BASE!$E$4:$E$10003, MATCH(A361, BASE!$A$4:$A$10003, 0)))</f>
        <v/>
      </c>
    </row>
    <row r="362" spans="1:5">
      <c r="A362" t="str">
        <f>IFERROR(INDEX(BASE!$A$4:$A$10003, MATCH(0, COUNTIF($A$1:A361, BASE!$A$4:$A$10003&amp;""), 0)), "")</f>
        <v/>
      </c>
      <c r="B362" t="str">
        <f>IF(A362="", "", VLOOKUP(A362, BASE!$A$4:$B$10003, 2, FALSE))</f>
        <v/>
      </c>
      <c r="C362" t="str">
        <f>IF(A362="", "", SUMIF(BASE!$A$4:$A$10003, A362, BASE!$C$4:$C$10003))</f>
        <v/>
      </c>
      <c r="D362" t="str">
        <f>IF(A362="", "", INDEX(BASE!$D$4:$D$10003, MATCH(A362, BASE!$A$4:$A$10003, 0)))</f>
        <v/>
      </c>
      <c r="E362" t="str">
        <f>IF(A362="", "", INDEX(BASE!$E$4:$E$10003, MATCH(A362, BASE!$A$4:$A$10003, 0)))</f>
        <v/>
      </c>
    </row>
    <row r="363" spans="1:5">
      <c r="A363" t="str">
        <f>IFERROR(INDEX(BASE!$A$4:$A$10003, MATCH(0, COUNTIF($A$1:A362, BASE!$A$4:$A$10003&amp;""), 0)), "")</f>
        <v/>
      </c>
      <c r="B363" t="str">
        <f>IF(A363="", "", VLOOKUP(A363, BASE!$A$4:$B$10003, 2, FALSE))</f>
        <v/>
      </c>
      <c r="C363" t="str">
        <f>IF(A363="", "", SUMIF(BASE!$A$4:$A$10003, A363, BASE!$C$4:$C$10003))</f>
        <v/>
      </c>
      <c r="D363" t="str">
        <f>IF(A363="", "", INDEX(BASE!$D$4:$D$10003, MATCH(A363, BASE!$A$4:$A$10003, 0)))</f>
        <v/>
      </c>
      <c r="E363" t="str">
        <f>IF(A363="", "", INDEX(BASE!$E$4:$E$10003, MATCH(A363, BASE!$A$4:$A$10003, 0)))</f>
        <v/>
      </c>
    </row>
    <row r="364" spans="1:5">
      <c r="A364" t="str">
        <f>IFERROR(INDEX(BASE!$A$4:$A$10003, MATCH(0, COUNTIF($A$1:A363, BASE!$A$4:$A$10003&amp;""), 0)), "")</f>
        <v/>
      </c>
      <c r="B364" t="str">
        <f>IF(A364="", "", VLOOKUP(A364, BASE!$A$4:$B$10003, 2, FALSE))</f>
        <v/>
      </c>
      <c r="C364" t="str">
        <f>IF(A364="", "", SUMIF(BASE!$A$4:$A$10003, A364, BASE!$C$4:$C$10003))</f>
        <v/>
      </c>
      <c r="D364" t="str">
        <f>IF(A364="", "", INDEX(BASE!$D$4:$D$10003, MATCH(A364, BASE!$A$4:$A$10003, 0)))</f>
        <v/>
      </c>
      <c r="E364" t="str">
        <f>IF(A364="", "", INDEX(BASE!$E$4:$E$10003, MATCH(A364, BASE!$A$4:$A$10003, 0)))</f>
        <v/>
      </c>
    </row>
    <row r="365" spans="1:5">
      <c r="A365" t="str">
        <f>IFERROR(INDEX(BASE!$A$4:$A$10003, MATCH(0, COUNTIF($A$1:A364, BASE!$A$4:$A$10003&amp;""), 0)), "")</f>
        <v/>
      </c>
      <c r="B365" t="str">
        <f>IF(A365="", "", VLOOKUP(A365, BASE!$A$4:$B$10003, 2, FALSE))</f>
        <v/>
      </c>
      <c r="C365" t="str">
        <f>IF(A365="", "", SUMIF(BASE!$A$4:$A$10003, A365, BASE!$C$4:$C$10003))</f>
        <v/>
      </c>
      <c r="D365" t="str">
        <f>IF(A365="", "", INDEX(BASE!$D$4:$D$10003, MATCH(A365, BASE!$A$4:$A$10003, 0)))</f>
        <v/>
      </c>
      <c r="E365" t="str">
        <f>IF(A365="", "", INDEX(BASE!$E$4:$E$10003, MATCH(A365, BASE!$A$4:$A$10003, 0)))</f>
        <v/>
      </c>
    </row>
    <row r="366" spans="1:5">
      <c r="A366" t="str">
        <f>IFERROR(INDEX(BASE!$A$4:$A$10003, MATCH(0, COUNTIF($A$1:A365, BASE!$A$4:$A$10003&amp;""), 0)), "")</f>
        <v/>
      </c>
      <c r="B366" t="str">
        <f>IF(A366="", "", VLOOKUP(A366, BASE!$A$4:$B$10003, 2, FALSE))</f>
        <v/>
      </c>
      <c r="C366" t="str">
        <f>IF(A366="", "", SUMIF(BASE!$A$4:$A$10003, A366, BASE!$C$4:$C$10003))</f>
        <v/>
      </c>
      <c r="D366" t="str">
        <f>IF(A366="", "", INDEX(BASE!$D$4:$D$10003, MATCH(A366, BASE!$A$4:$A$10003, 0)))</f>
        <v/>
      </c>
      <c r="E366" t="str">
        <f>IF(A366="", "", INDEX(BASE!$E$4:$E$10003, MATCH(A366, BASE!$A$4:$A$10003, 0)))</f>
        <v/>
      </c>
    </row>
    <row r="367" spans="1:5">
      <c r="A367" t="str">
        <f>IFERROR(INDEX(BASE!$A$4:$A$10003, MATCH(0, COUNTIF($A$1:A366, BASE!$A$4:$A$10003&amp;""), 0)), "")</f>
        <v/>
      </c>
      <c r="B367" t="str">
        <f>IF(A367="", "", VLOOKUP(A367, BASE!$A$4:$B$10003, 2, FALSE))</f>
        <v/>
      </c>
      <c r="C367" t="str">
        <f>IF(A367="", "", SUMIF(BASE!$A$4:$A$10003, A367, BASE!$C$4:$C$10003))</f>
        <v/>
      </c>
      <c r="D367" t="str">
        <f>IF(A367="", "", INDEX(BASE!$D$4:$D$10003, MATCH(A367, BASE!$A$4:$A$10003, 0)))</f>
        <v/>
      </c>
      <c r="E367" t="str">
        <f>IF(A367="", "", INDEX(BASE!$E$4:$E$10003, MATCH(A367, BASE!$A$4:$A$10003, 0)))</f>
        <v/>
      </c>
    </row>
    <row r="368" spans="1:5">
      <c r="A368" t="str">
        <f>IFERROR(INDEX(BASE!$A$4:$A$10003, MATCH(0, COUNTIF($A$1:A367, BASE!$A$4:$A$10003&amp;""), 0)), "")</f>
        <v/>
      </c>
      <c r="B368" t="str">
        <f>IF(A368="", "", VLOOKUP(A368, BASE!$A$4:$B$10003, 2, FALSE))</f>
        <v/>
      </c>
      <c r="C368" t="str">
        <f>IF(A368="", "", SUMIF(BASE!$A$4:$A$10003, A368, BASE!$C$4:$C$10003))</f>
        <v/>
      </c>
      <c r="D368" t="str">
        <f>IF(A368="", "", INDEX(BASE!$D$4:$D$10003, MATCH(A368, BASE!$A$4:$A$10003, 0)))</f>
        <v/>
      </c>
      <c r="E368" t="str">
        <f>IF(A368="", "", INDEX(BASE!$E$4:$E$10003, MATCH(A368, BASE!$A$4:$A$10003, 0)))</f>
        <v/>
      </c>
    </row>
    <row r="369" spans="1:5">
      <c r="A369" t="str">
        <f>IFERROR(INDEX(BASE!$A$4:$A$10003, MATCH(0, COUNTIF($A$1:A368, BASE!$A$4:$A$10003&amp;""), 0)), "")</f>
        <v/>
      </c>
      <c r="B369" t="str">
        <f>IF(A369="", "", VLOOKUP(A369, BASE!$A$4:$B$10003, 2, FALSE))</f>
        <v/>
      </c>
      <c r="C369" t="str">
        <f>IF(A369="", "", SUMIF(BASE!$A$4:$A$10003, A369, BASE!$C$4:$C$10003))</f>
        <v/>
      </c>
      <c r="D369" t="str">
        <f>IF(A369="", "", INDEX(BASE!$D$4:$D$10003, MATCH(A369, BASE!$A$4:$A$10003, 0)))</f>
        <v/>
      </c>
      <c r="E369" t="str">
        <f>IF(A369="", "", INDEX(BASE!$E$4:$E$10003, MATCH(A369, BASE!$A$4:$A$10003, 0)))</f>
        <v/>
      </c>
    </row>
    <row r="370" spans="1:5">
      <c r="A370" t="str">
        <f>IFERROR(INDEX(BASE!$A$4:$A$10003, MATCH(0, COUNTIF($A$1:A369, BASE!$A$4:$A$10003&amp;""), 0)), "")</f>
        <v/>
      </c>
      <c r="B370" t="str">
        <f>IF(A370="", "", VLOOKUP(A370, BASE!$A$4:$B$10003, 2, FALSE))</f>
        <v/>
      </c>
      <c r="C370" t="str">
        <f>IF(A370="", "", SUMIF(BASE!$A$4:$A$10003, A370, BASE!$C$4:$C$10003))</f>
        <v/>
      </c>
      <c r="D370" t="str">
        <f>IF(A370="", "", INDEX(BASE!$D$4:$D$10003, MATCH(A370, BASE!$A$4:$A$10003, 0)))</f>
        <v/>
      </c>
      <c r="E370" t="str">
        <f>IF(A370="", "", INDEX(BASE!$E$4:$E$10003, MATCH(A370, BASE!$A$4:$A$10003, 0)))</f>
        <v/>
      </c>
    </row>
    <row r="371" spans="1:5">
      <c r="A371" t="str">
        <f>IFERROR(INDEX(BASE!$A$4:$A$10003, MATCH(0, COUNTIF($A$1:A370, BASE!$A$4:$A$10003&amp;""), 0)), "")</f>
        <v/>
      </c>
      <c r="B371" t="str">
        <f>IF(A371="", "", VLOOKUP(A371, BASE!$A$4:$B$10003, 2, FALSE))</f>
        <v/>
      </c>
      <c r="C371" t="str">
        <f>IF(A371="", "", SUMIF(BASE!$A$4:$A$10003, A371, BASE!$C$4:$C$10003))</f>
        <v/>
      </c>
      <c r="D371" t="str">
        <f>IF(A371="", "", INDEX(BASE!$D$4:$D$10003, MATCH(A371, BASE!$A$4:$A$10003, 0)))</f>
        <v/>
      </c>
      <c r="E371" t="str">
        <f>IF(A371="", "", INDEX(BASE!$E$4:$E$10003, MATCH(A371, BASE!$A$4:$A$10003, 0)))</f>
        <v/>
      </c>
    </row>
    <row r="372" spans="1:5">
      <c r="A372" t="str">
        <f>IFERROR(INDEX(BASE!$A$4:$A$10003, MATCH(0, COUNTIF($A$1:A371, BASE!$A$4:$A$10003&amp;""), 0)), "")</f>
        <v/>
      </c>
      <c r="B372" t="str">
        <f>IF(A372="", "", VLOOKUP(A372, BASE!$A$4:$B$10003, 2, FALSE))</f>
        <v/>
      </c>
      <c r="C372" t="str">
        <f>IF(A372="", "", SUMIF(BASE!$A$4:$A$10003, A372, BASE!$C$4:$C$10003))</f>
        <v/>
      </c>
      <c r="D372" t="str">
        <f>IF(A372="", "", INDEX(BASE!$D$4:$D$10003, MATCH(A372, BASE!$A$4:$A$10003, 0)))</f>
        <v/>
      </c>
      <c r="E372" t="str">
        <f>IF(A372="", "", INDEX(BASE!$E$4:$E$10003, MATCH(A372, BASE!$A$4:$A$10003, 0)))</f>
        <v/>
      </c>
    </row>
    <row r="373" spans="1:5">
      <c r="A373" t="str">
        <f>IFERROR(INDEX(BASE!$A$4:$A$10003, MATCH(0, COUNTIF($A$1:A372, BASE!$A$4:$A$10003&amp;""), 0)), "")</f>
        <v/>
      </c>
      <c r="B373" t="str">
        <f>IF(A373="", "", VLOOKUP(A373, BASE!$A$4:$B$10003, 2, FALSE))</f>
        <v/>
      </c>
      <c r="C373" t="str">
        <f>IF(A373="", "", SUMIF(BASE!$A$4:$A$10003, A373, BASE!$C$4:$C$10003))</f>
        <v/>
      </c>
      <c r="D373" t="str">
        <f>IF(A373="", "", INDEX(BASE!$D$4:$D$10003, MATCH(A373, BASE!$A$4:$A$10003, 0)))</f>
        <v/>
      </c>
      <c r="E373" t="str">
        <f>IF(A373="", "", INDEX(BASE!$E$4:$E$10003, MATCH(A373, BASE!$A$4:$A$10003, 0)))</f>
        <v/>
      </c>
    </row>
    <row r="374" spans="1:5">
      <c r="A374" t="str">
        <f>IFERROR(INDEX(BASE!$A$4:$A$10003, MATCH(0, COUNTIF($A$1:A373, BASE!$A$4:$A$10003&amp;""), 0)), "")</f>
        <v/>
      </c>
      <c r="B374" t="str">
        <f>IF(A374="", "", VLOOKUP(A374, BASE!$A$4:$B$10003, 2, FALSE))</f>
        <v/>
      </c>
      <c r="C374" t="str">
        <f>IF(A374="", "", SUMIF(BASE!$A$4:$A$10003, A374, BASE!$C$4:$C$10003))</f>
        <v/>
      </c>
      <c r="D374" t="str">
        <f>IF(A374="", "", INDEX(BASE!$D$4:$D$10003, MATCH(A374, BASE!$A$4:$A$10003, 0)))</f>
        <v/>
      </c>
      <c r="E374" t="str">
        <f>IF(A374="", "", INDEX(BASE!$E$4:$E$10003, MATCH(A374, BASE!$A$4:$A$10003, 0)))</f>
        <v/>
      </c>
    </row>
    <row r="375" spans="1:5">
      <c r="A375" t="str">
        <f>IFERROR(INDEX(BASE!$A$4:$A$10003, MATCH(0, COUNTIF($A$1:A374, BASE!$A$4:$A$10003&amp;""), 0)), "")</f>
        <v/>
      </c>
      <c r="B375" t="str">
        <f>IF(A375="", "", VLOOKUP(A375, BASE!$A$4:$B$10003, 2, FALSE))</f>
        <v/>
      </c>
      <c r="C375" t="str">
        <f>IF(A375="", "", SUMIF(BASE!$A$4:$A$10003, A375, BASE!$C$4:$C$10003))</f>
        <v/>
      </c>
      <c r="D375" t="str">
        <f>IF(A375="", "", INDEX(BASE!$D$4:$D$10003, MATCH(A375, BASE!$A$4:$A$10003, 0)))</f>
        <v/>
      </c>
      <c r="E375" t="str">
        <f>IF(A375="", "", INDEX(BASE!$E$4:$E$10003, MATCH(A375, BASE!$A$4:$A$10003, 0)))</f>
        <v/>
      </c>
    </row>
    <row r="376" spans="1:5">
      <c r="A376" t="str">
        <f>IFERROR(INDEX(BASE!$A$4:$A$10003, MATCH(0, COUNTIF($A$1:A375, BASE!$A$4:$A$10003&amp;""), 0)), "")</f>
        <v/>
      </c>
      <c r="B376" t="str">
        <f>IF(A376="", "", VLOOKUP(A376, BASE!$A$4:$B$10003, 2, FALSE))</f>
        <v/>
      </c>
      <c r="C376" t="str">
        <f>IF(A376="", "", SUMIF(BASE!$A$4:$A$10003, A376, BASE!$C$4:$C$10003))</f>
        <v/>
      </c>
      <c r="D376" t="str">
        <f>IF(A376="", "", INDEX(BASE!$D$4:$D$10003, MATCH(A376, BASE!$A$4:$A$10003, 0)))</f>
        <v/>
      </c>
      <c r="E376" t="str">
        <f>IF(A376="", "", INDEX(BASE!$E$4:$E$10003, MATCH(A376, BASE!$A$4:$A$10003, 0)))</f>
        <v/>
      </c>
    </row>
    <row r="377" spans="1:5">
      <c r="A377" t="str">
        <f>IFERROR(INDEX(BASE!$A$4:$A$10003, MATCH(0, COUNTIF($A$1:A376, BASE!$A$4:$A$10003&amp;""), 0)), "")</f>
        <v/>
      </c>
      <c r="B377" t="str">
        <f>IF(A377="", "", VLOOKUP(A377, BASE!$A$4:$B$10003, 2, FALSE))</f>
        <v/>
      </c>
      <c r="C377" t="str">
        <f>IF(A377="", "", SUMIF(BASE!$A$4:$A$10003, A377, BASE!$C$4:$C$10003))</f>
        <v/>
      </c>
      <c r="D377" t="str">
        <f>IF(A377="", "", INDEX(BASE!$D$4:$D$10003, MATCH(A377, BASE!$A$4:$A$10003, 0)))</f>
        <v/>
      </c>
      <c r="E377" t="str">
        <f>IF(A377="", "", INDEX(BASE!$E$4:$E$10003, MATCH(A377, BASE!$A$4:$A$10003, 0)))</f>
        <v/>
      </c>
    </row>
    <row r="378" spans="1:5">
      <c r="A378" t="str">
        <f>IFERROR(INDEX(BASE!$A$4:$A$10003, MATCH(0, COUNTIF($A$1:A377, BASE!$A$4:$A$10003&amp;""), 0)), "")</f>
        <v/>
      </c>
      <c r="B378" t="str">
        <f>IF(A378="", "", VLOOKUP(A378, BASE!$A$4:$B$10003, 2, FALSE))</f>
        <v/>
      </c>
      <c r="C378" t="str">
        <f>IF(A378="", "", SUMIF(BASE!$A$4:$A$10003, A378, BASE!$C$4:$C$10003))</f>
        <v/>
      </c>
      <c r="D378" t="str">
        <f>IF(A378="", "", INDEX(BASE!$D$4:$D$10003, MATCH(A378, BASE!$A$4:$A$10003, 0)))</f>
        <v/>
      </c>
      <c r="E378" t="str">
        <f>IF(A378="", "", INDEX(BASE!$E$4:$E$10003, MATCH(A378, BASE!$A$4:$A$10003, 0)))</f>
        <v/>
      </c>
    </row>
    <row r="379" spans="1:5">
      <c r="A379" t="str">
        <f>IFERROR(INDEX(BASE!$A$4:$A$10003, MATCH(0, COUNTIF($A$1:A378, BASE!$A$4:$A$10003&amp;""), 0)), "")</f>
        <v/>
      </c>
      <c r="B379" t="str">
        <f>IF(A379="", "", VLOOKUP(A379, BASE!$A$4:$B$10003, 2, FALSE))</f>
        <v/>
      </c>
      <c r="C379" t="str">
        <f>IF(A379="", "", SUMIF(BASE!$A$4:$A$10003, A379, BASE!$C$4:$C$10003))</f>
        <v/>
      </c>
      <c r="D379" t="str">
        <f>IF(A379="", "", INDEX(BASE!$D$4:$D$10003, MATCH(A379, BASE!$A$4:$A$10003, 0)))</f>
        <v/>
      </c>
      <c r="E379" t="str">
        <f>IF(A379="", "", INDEX(BASE!$E$4:$E$10003, MATCH(A379, BASE!$A$4:$A$10003, 0)))</f>
        <v/>
      </c>
    </row>
    <row r="380" spans="1:5">
      <c r="A380" t="str">
        <f>IFERROR(INDEX(BASE!$A$4:$A$10003, MATCH(0, COUNTIF($A$1:A379, BASE!$A$4:$A$10003&amp;""), 0)), "")</f>
        <v/>
      </c>
      <c r="B380" t="str">
        <f>IF(A380="", "", VLOOKUP(A380, BASE!$A$4:$B$10003, 2, FALSE))</f>
        <v/>
      </c>
      <c r="C380" t="str">
        <f>IF(A380="", "", SUMIF(BASE!$A$4:$A$10003, A380, BASE!$C$4:$C$10003))</f>
        <v/>
      </c>
      <c r="D380" t="str">
        <f>IF(A380="", "", INDEX(BASE!$D$4:$D$10003, MATCH(A380, BASE!$A$4:$A$10003, 0)))</f>
        <v/>
      </c>
      <c r="E380" t="str">
        <f>IF(A380="", "", INDEX(BASE!$E$4:$E$10003, MATCH(A380, BASE!$A$4:$A$10003, 0)))</f>
        <v/>
      </c>
    </row>
    <row r="381" spans="1:5">
      <c r="A381" t="str">
        <f>IFERROR(INDEX(BASE!$A$4:$A$10003, MATCH(0, COUNTIF($A$1:A380, BASE!$A$4:$A$10003&amp;""), 0)), "")</f>
        <v/>
      </c>
      <c r="B381" t="str">
        <f>IF(A381="", "", VLOOKUP(A381, BASE!$A$4:$B$10003, 2, FALSE))</f>
        <v/>
      </c>
      <c r="C381" t="str">
        <f>IF(A381="", "", SUMIF(BASE!$A$4:$A$10003, A381, BASE!$C$4:$C$10003))</f>
        <v/>
      </c>
      <c r="D381" t="str">
        <f>IF(A381="", "", INDEX(BASE!$D$4:$D$10003, MATCH(A381, BASE!$A$4:$A$10003, 0)))</f>
        <v/>
      </c>
      <c r="E381" t="str">
        <f>IF(A381="", "", INDEX(BASE!$E$4:$E$10003, MATCH(A381, BASE!$A$4:$A$10003, 0)))</f>
        <v/>
      </c>
    </row>
    <row r="382" spans="1:5">
      <c r="A382" t="str">
        <f>IFERROR(INDEX(BASE!$A$4:$A$10003, MATCH(0, COUNTIF($A$1:A381, BASE!$A$4:$A$10003&amp;""), 0)), "")</f>
        <v/>
      </c>
      <c r="B382" t="str">
        <f>IF(A382="", "", VLOOKUP(A382, BASE!$A$4:$B$10003, 2, FALSE))</f>
        <v/>
      </c>
      <c r="C382" t="str">
        <f>IF(A382="", "", SUMIF(BASE!$A$4:$A$10003, A382, BASE!$C$4:$C$10003))</f>
        <v/>
      </c>
      <c r="D382" t="str">
        <f>IF(A382="", "", INDEX(BASE!$D$4:$D$10003, MATCH(A382, BASE!$A$4:$A$10003, 0)))</f>
        <v/>
      </c>
      <c r="E382" t="str">
        <f>IF(A382="", "", INDEX(BASE!$E$4:$E$10003, MATCH(A382, BASE!$A$4:$A$10003, 0)))</f>
        <v/>
      </c>
    </row>
    <row r="383" spans="1:5">
      <c r="A383" t="str">
        <f>IFERROR(INDEX(BASE!$A$4:$A$10003, MATCH(0, COUNTIF($A$1:A382, BASE!$A$4:$A$10003&amp;""), 0)), "")</f>
        <v/>
      </c>
      <c r="B383" t="str">
        <f>IF(A383="", "", VLOOKUP(A383, BASE!$A$4:$B$10003, 2, FALSE))</f>
        <v/>
      </c>
      <c r="C383" t="str">
        <f>IF(A383="", "", SUMIF(BASE!$A$4:$A$10003, A383, BASE!$C$4:$C$10003))</f>
        <v/>
      </c>
      <c r="D383" t="str">
        <f>IF(A383="", "", INDEX(BASE!$D$4:$D$10003, MATCH(A383, BASE!$A$4:$A$10003, 0)))</f>
        <v/>
      </c>
      <c r="E383" t="str">
        <f>IF(A383="", "", INDEX(BASE!$E$4:$E$10003, MATCH(A383, BASE!$A$4:$A$10003, 0)))</f>
        <v/>
      </c>
    </row>
    <row r="384" spans="1:5">
      <c r="A384" t="str">
        <f>IFERROR(INDEX(BASE!$A$4:$A$10003, MATCH(0, COUNTIF($A$1:A383, BASE!$A$4:$A$10003&amp;""), 0)), "")</f>
        <v/>
      </c>
      <c r="B384" t="str">
        <f>IF(A384="", "", VLOOKUP(A384, BASE!$A$4:$B$10003, 2, FALSE))</f>
        <v/>
      </c>
      <c r="C384" t="str">
        <f>IF(A384="", "", SUMIF(BASE!$A$4:$A$10003, A384, BASE!$C$4:$C$10003))</f>
        <v/>
      </c>
      <c r="D384" t="str">
        <f>IF(A384="", "", INDEX(BASE!$D$4:$D$10003, MATCH(A384, BASE!$A$4:$A$10003, 0)))</f>
        <v/>
      </c>
      <c r="E384" t="str">
        <f>IF(A384="", "", INDEX(BASE!$E$4:$E$10003, MATCH(A384, BASE!$A$4:$A$10003, 0)))</f>
        <v/>
      </c>
    </row>
    <row r="385" spans="1:5">
      <c r="A385" t="str">
        <f>IFERROR(INDEX(BASE!$A$4:$A$10003, MATCH(0, COUNTIF($A$1:A384, BASE!$A$4:$A$10003&amp;""), 0)), "")</f>
        <v/>
      </c>
      <c r="B385" t="str">
        <f>IF(A385="", "", VLOOKUP(A385, BASE!$A$4:$B$10003, 2, FALSE))</f>
        <v/>
      </c>
      <c r="C385" t="str">
        <f>IF(A385="", "", SUMIF(BASE!$A$4:$A$10003, A385, BASE!$C$4:$C$10003))</f>
        <v/>
      </c>
      <c r="D385" t="str">
        <f>IF(A385="", "", INDEX(BASE!$D$4:$D$10003, MATCH(A385, BASE!$A$4:$A$10003, 0)))</f>
        <v/>
      </c>
      <c r="E385" t="str">
        <f>IF(A385="", "", INDEX(BASE!$E$4:$E$10003, MATCH(A385, BASE!$A$4:$A$10003, 0)))</f>
        <v/>
      </c>
    </row>
    <row r="386" spans="1:5">
      <c r="A386" t="str">
        <f>IFERROR(INDEX(BASE!$A$4:$A$10003, MATCH(0, COUNTIF($A$1:A385, BASE!$A$4:$A$10003&amp;""), 0)), "")</f>
        <v/>
      </c>
      <c r="B386" t="str">
        <f>IF(A386="", "", VLOOKUP(A386, BASE!$A$4:$B$10003, 2, FALSE))</f>
        <v/>
      </c>
      <c r="C386" t="str">
        <f>IF(A386="", "", SUMIF(BASE!$A$4:$A$10003, A386, BASE!$C$4:$C$10003))</f>
        <v/>
      </c>
      <c r="D386" t="str">
        <f>IF(A386="", "", INDEX(BASE!$D$4:$D$10003, MATCH(A386, BASE!$A$4:$A$10003, 0)))</f>
        <v/>
      </c>
      <c r="E386" t="str">
        <f>IF(A386="", "", INDEX(BASE!$E$4:$E$10003, MATCH(A386, BASE!$A$4:$A$10003, 0)))</f>
        <v/>
      </c>
    </row>
    <row r="387" spans="1:5">
      <c r="A387" t="str">
        <f>IFERROR(INDEX(BASE!$A$4:$A$10003, MATCH(0, COUNTIF($A$1:A386, BASE!$A$4:$A$10003&amp;""), 0)), "")</f>
        <v/>
      </c>
      <c r="B387" t="str">
        <f>IF(A387="", "", VLOOKUP(A387, BASE!$A$4:$B$10003, 2, FALSE))</f>
        <v/>
      </c>
      <c r="C387" t="str">
        <f>IF(A387="", "", SUMIF(BASE!$A$4:$A$10003, A387, BASE!$C$4:$C$10003))</f>
        <v/>
      </c>
      <c r="D387" t="str">
        <f>IF(A387="", "", INDEX(BASE!$D$4:$D$10003, MATCH(A387, BASE!$A$4:$A$10003, 0)))</f>
        <v/>
      </c>
      <c r="E387" t="str">
        <f>IF(A387="", "", INDEX(BASE!$E$4:$E$10003, MATCH(A387, BASE!$A$4:$A$10003, 0)))</f>
        <v/>
      </c>
    </row>
    <row r="388" spans="1:5">
      <c r="A388" t="str">
        <f>IFERROR(INDEX(BASE!$A$4:$A$10003, MATCH(0, COUNTIF($A$1:A387, BASE!$A$4:$A$10003&amp;""), 0)), "")</f>
        <v/>
      </c>
      <c r="B388" t="str">
        <f>IF(A388="", "", VLOOKUP(A388, BASE!$A$4:$B$10003, 2, FALSE))</f>
        <v/>
      </c>
      <c r="C388" t="str">
        <f>IF(A388="", "", SUMIF(BASE!$A$4:$A$10003, A388, BASE!$C$4:$C$10003))</f>
        <v/>
      </c>
      <c r="D388" t="str">
        <f>IF(A388="", "", INDEX(BASE!$D$4:$D$10003, MATCH(A388, BASE!$A$4:$A$10003, 0)))</f>
        <v/>
      </c>
      <c r="E388" t="str">
        <f>IF(A388="", "", INDEX(BASE!$E$4:$E$10003, MATCH(A388, BASE!$A$4:$A$10003, 0)))</f>
        <v/>
      </c>
    </row>
    <row r="389" spans="1:5">
      <c r="A389" t="str">
        <f>IFERROR(INDEX(BASE!$A$4:$A$10003, MATCH(0, COUNTIF($A$1:A388, BASE!$A$4:$A$10003&amp;""), 0)), "")</f>
        <v/>
      </c>
      <c r="B389" t="str">
        <f>IF(A389="", "", VLOOKUP(A389, BASE!$A$4:$B$10003, 2, FALSE))</f>
        <v/>
      </c>
      <c r="C389" t="str">
        <f>IF(A389="", "", SUMIF(BASE!$A$4:$A$10003, A389, BASE!$C$4:$C$10003))</f>
        <v/>
      </c>
      <c r="D389" t="str">
        <f>IF(A389="", "", INDEX(BASE!$D$4:$D$10003, MATCH(A389, BASE!$A$4:$A$10003, 0)))</f>
        <v/>
      </c>
      <c r="E389" t="str">
        <f>IF(A389="", "", INDEX(BASE!$E$4:$E$10003, MATCH(A389, BASE!$A$4:$A$10003, 0)))</f>
        <v/>
      </c>
    </row>
    <row r="390" spans="1:5">
      <c r="A390" t="str">
        <f>IFERROR(INDEX(BASE!$A$4:$A$10003, MATCH(0, COUNTIF($A$1:A389, BASE!$A$4:$A$10003&amp;""), 0)), "")</f>
        <v/>
      </c>
      <c r="B390" t="str">
        <f>IF(A390="", "", VLOOKUP(A390, BASE!$A$4:$B$10003, 2, FALSE))</f>
        <v/>
      </c>
      <c r="C390" t="str">
        <f>IF(A390="", "", SUMIF(BASE!$A$4:$A$10003, A390, BASE!$C$4:$C$10003))</f>
        <v/>
      </c>
      <c r="D390" t="str">
        <f>IF(A390="", "", INDEX(BASE!$D$4:$D$10003, MATCH(A390, BASE!$A$4:$A$10003, 0)))</f>
        <v/>
      </c>
      <c r="E390" t="str">
        <f>IF(A390="", "", INDEX(BASE!$E$4:$E$10003, MATCH(A390, BASE!$A$4:$A$10003, 0)))</f>
        <v/>
      </c>
    </row>
    <row r="391" spans="1:5">
      <c r="A391" t="str">
        <f>IFERROR(INDEX(BASE!$A$4:$A$10003, MATCH(0, COUNTIF($A$1:A390, BASE!$A$4:$A$10003&amp;""), 0)), "")</f>
        <v/>
      </c>
      <c r="B391" t="str">
        <f>IF(A391="", "", VLOOKUP(A391, BASE!$A$4:$B$10003, 2, FALSE))</f>
        <v/>
      </c>
      <c r="C391" t="str">
        <f>IF(A391="", "", SUMIF(BASE!$A$4:$A$10003, A391, BASE!$C$4:$C$10003))</f>
        <v/>
      </c>
      <c r="D391" t="str">
        <f>IF(A391="", "", INDEX(BASE!$D$4:$D$10003, MATCH(A391, BASE!$A$4:$A$10003, 0)))</f>
        <v/>
      </c>
      <c r="E391" t="str">
        <f>IF(A391="", "", INDEX(BASE!$E$4:$E$10003, MATCH(A391, BASE!$A$4:$A$10003, 0)))</f>
        <v/>
      </c>
    </row>
    <row r="392" spans="1:5">
      <c r="A392" t="str">
        <f>IFERROR(INDEX(BASE!$A$4:$A$10003, MATCH(0, COUNTIF($A$1:A391, BASE!$A$4:$A$10003&amp;""), 0)), "")</f>
        <v/>
      </c>
      <c r="B392" t="str">
        <f>IF(A392="", "", VLOOKUP(A392, BASE!$A$4:$B$10003, 2, FALSE))</f>
        <v/>
      </c>
      <c r="C392" t="str">
        <f>IF(A392="", "", SUMIF(BASE!$A$4:$A$10003, A392, BASE!$C$4:$C$10003))</f>
        <v/>
      </c>
      <c r="D392" t="str">
        <f>IF(A392="", "", INDEX(BASE!$D$4:$D$10003, MATCH(A392, BASE!$A$4:$A$10003, 0)))</f>
        <v/>
      </c>
      <c r="E392" t="str">
        <f>IF(A392="", "", INDEX(BASE!$E$4:$E$10003, MATCH(A392, BASE!$A$4:$A$10003, 0)))</f>
        <v/>
      </c>
    </row>
    <row r="393" spans="1:5">
      <c r="A393" t="str">
        <f>IFERROR(INDEX(BASE!$A$4:$A$10003, MATCH(0, COUNTIF($A$1:A392, BASE!$A$4:$A$10003&amp;""), 0)), "")</f>
        <v/>
      </c>
      <c r="B393" t="str">
        <f>IF(A393="", "", VLOOKUP(A393, BASE!$A$4:$B$10003, 2, FALSE))</f>
        <v/>
      </c>
      <c r="C393" t="str">
        <f>IF(A393="", "", SUMIF(BASE!$A$4:$A$10003, A393, BASE!$C$4:$C$10003))</f>
        <v/>
      </c>
      <c r="D393" t="str">
        <f>IF(A393="", "", INDEX(BASE!$D$4:$D$10003, MATCH(A393, BASE!$A$4:$A$10003, 0)))</f>
        <v/>
      </c>
      <c r="E393" t="str">
        <f>IF(A393="", "", INDEX(BASE!$E$4:$E$10003, MATCH(A393, BASE!$A$4:$A$10003, 0)))</f>
        <v/>
      </c>
    </row>
    <row r="394" spans="1:5">
      <c r="A394" t="str">
        <f>IFERROR(INDEX(BASE!$A$4:$A$10003, MATCH(0, COUNTIF($A$1:A393, BASE!$A$4:$A$10003&amp;""), 0)), "")</f>
        <v/>
      </c>
      <c r="B394" t="str">
        <f>IF(A394="", "", VLOOKUP(A394, BASE!$A$4:$B$10003, 2, FALSE))</f>
        <v/>
      </c>
      <c r="C394" t="str">
        <f>IF(A394="", "", SUMIF(BASE!$A$4:$A$10003, A394, BASE!$C$4:$C$10003))</f>
        <v/>
      </c>
      <c r="D394" t="str">
        <f>IF(A394="", "", INDEX(BASE!$D$4:$D$10003, MATCH(A394, BASE!$A$4:$A$10003, 0)))</f>
        <v/>
      </c>
      <c r="E394" t="str">
        <f>IF(A394="", "", INDEX(BASE!$E$4:$E$10003, MATCH(A394, BASE!$A$4:$A$10003, 0)))</f>
        <v/>
      </c>
    </row>
    <row r="395" spans="1:5">
      <c r="A395" t="str">
        <f>IFERROR(INDEX(BASE!$A$4:$A$10003, MATCH(0, COUNTIF($A$1:A394, BASE!$A$4:$A$10003&amp;""), 0)), "")</f>
        <v/>
      </c>
      <c r="B395" t="str">
        <f>IF(A395="", "", VLOOKUP(A395, BASE!$A$4:$B$10003, 2, FALSE))</f>
        <v/>
      </c>
      <c r="C395" t="str">
        <f>IF(A395="", "", SUMIF(BASE!$A$4:$A$10003, A395, BASE!$C$4:$C$10003))</f>
        <v/>
      </c>
      <c r="D395" t="str">
        <f>IF(A395="", "", INDEX(BASE!$D$4:$D$10003, MATCH(A395, BASE!$A$4:$A$10003, 0)))</f>
        <v/>
      </c>
      <c r="E395" t="str">
        <f>IF(A395="", "", INDEX(BASE!$E$4:$E$10003, MATCH(A395, BASE!$A$4:$A$10003, 0)))</f>
        <v/>
      </c>
    </row>
    <row r="396" spans="1:5">
      <c r="A396" t="str">
        <f>IFERROR(INDEX(BASE!$A$4:$A$10003, MATCH(0, COUNTIF($A$1:A395, BASE!$A$4:$A$10003&amp;""), 0)), "")</f>
        <v/>
      </c>
      <c r="B396" t="str">
        <f>IF(A396="", "", VLOOKUP(A396, BASE!$A$4:$B$10003, 2, FALSE))</f>
        <v/>
      </c>
      <c r="C396" t="str">
        <f>IF(A396="", "", SUMIF(BASE!$A$4:$A$10003, A396, BASE!$C$4:$C$10003))</f>
        <v/>
      </c>
      <c r="D396" t="str">
        <f>IF(A396="", "", INDEX(BASE!$D$4:$D$10003, MATCH(A396, BASE!$A$4:$A$10003, 0)))</f>
        <v/>
      </c>
      <c r="E396" t="str">
        <f>IF(A396="", "", INDEX(BASE!$E$4:$E$10003, MATCH(A396, BASE!$A$4:$A$10003, 0)))</f>
        <v/>
      </c>
    </row>
    <row r="397" spans="1:5">
      <c r="A397" t="str">
        <f>IFERROR(INDEX(BASE!$A$4:$A$10003, MATCH(0, COUNTIF($A$1:A396, BASE!$A$4:$A$10003&amp;""), 0)), "")</f>
        <v/>
      </c>
      <c r="B397" t="str">
        <f>IF(A397="", "", VLOOKUP(A397, BASE!$A$4:$B$10003, 2, FALSE))</f>
        <v/>
      </c>
      <c r="C397" t="str">
        <f>IF(A397="", "", SUMIF(BASE!$A$4:$A$10003, A397, BASE!$C$4:$C$10003))</f>
        <v/>
      </c>
      <c r="D397" t="str">
        <f>IF(A397="", "", INDEX(BASE!$D$4:$D$10003, MATCH(A397, BASE!$A$4:$A$10003, 0)))</f>
        <v/>
      </c>
      <c r="E397" t="str">
        <f>IF(A397="", "", INDEX(BASE!$E$4:$E$10003, MATCH(A397, BASE!$A$4:$A$10003, 0)))</f>
        <v/>
      </c>
    </row>
    <row r="398" spans="1:5">
      <c r="A398" t="str">
        <f>IFERROR(INDEX(BASE!$A$4:$A$10003, MATCH(0, COUNTIF($A$1:A397, BASE!$A$4:$A$10003&amp;""), 0)), "")</f>
        <v/>
      </c>
      <c r="B398" t="str">
        <f>IF(A398="", "", VLOOKUP(A398, BASE!$A$4:$B$10003, 2, FALSE))</f>
        <v/>
      </c>
      <c r="C398" t="str">
        <f>IF(A398="", "", SUMIF(BASE!$A$4:$A$10003, A398, BASE!$C$4:$C$10003))</f>
        <v/>
      </c>
      <c r="D398" t="str">
        <f>IF(A398="", "", INDEX(BASE!$D$4:$D$10003, MATCH(A398, BASE!$A$4:$A$10003, 0)))</f>
        <v/>
      </c>
      <c r="E398" t="str">
        <f>IF(A398="", "", INDEX(BASE!$E$4:$E$10003, MATCH(A398, BASE!$A$4:$A$10003, 0)))</f>
        <v/>
      </c>
    </row>
    <row r="399" spans="1:5">
      <c r="A399" t="str">
        <f>IFERROR(INDEX(BASE!$A$4:$A$10003, MATCH(0, COUNTIF($A$1:A398, BASE!$A$4:$A$10003&amp;""), 0)), "")</f>
        <v/>
      </c>
      <c r="B399" t="str">
        <f>IF(A399="", "", VLOOKUP(A399, BASE!$A$4:$B$10003, 2, FALSE))</f>
        <v/>
      </c>
      <c r="C399" t="str">
        <f>IF(A399="", "", SUMIF(BASE!$A$4:$A$10003, A399, BASE!$C$4:$C$10003))</f>
        <v/>
      </c>
      <c r="D399" t="str">
        <f>IF(A399="", "", INDEX(BASE!$D$4:$D$10003, MATCH(A399, BASE!$A$4:$A$10003, 0)))</f>
        <v/>
      </c>
      <c r="E399" t="str">
        <f>IF(A399="", "", INDEX(BASE!$E$4:$E$10003, MATCH(A399, BASE!$A$4:$A$10003, 0)))</f>
        <v/>
      </c>
    </row>
    <row r="400" spans="1:5">
      <c r="A400" t="str">
        <f>IFERROR(INDEX(BASE!$A$4:$A$10003, MATCH(0, COUNTIF($A$1:A399, BASE!$A$4:$A$10003&amp;""), 0)), "")</f>
        <v/>
      </c>
      <c r="B400" t="str">
        <f>IF(A400="", "", VLOOKUP(A400, BASE!$A$4:$B$10003, 2, FALSE))</f>
        <v/>
      </c>
      <c r="C400" t="str">
        <f>IF(A400="", "", SUMIF(BASE!$A$4:$A$10003, A400, BASE!$C$4:$C$10003))</f>
        <v/>
      </c>
      <c r="D400" t="str">
        <f>IF(A400="", "", INDEX(BASE!$D$4:$D$10003, MATCH(A400, BASE!$A$4:$A$10003, 0)))</f>
        <v/>
      </c>
      <c r="E400" t="str">
        <f>IF(A400="", "", INDEX(BASE!$E$4:$E$10003, MATCH(A400, BASE!$A$4:$A$10003, 0)))</f>
        <v/>
      </c>
    </row>
    <row r="401" spans="1:5">
      <c r="A401" t="str">
        <f>IFERROR(INDEX(BASE!$A$4:$A$10003, MATCH(0, COUNTIF($A$1:A400, BASE!$A$4:$A$10003&amp;""), 0)), "")</f>
        <v/>
      </c>
      <c r="B401" t="str">
        <f>IF(A401="", "", VLOOKUP(A401, BASE!$A$4:$B$10003, 2, FALSE))</f>
        <v/>
      </c>
      <c r="C401" t="str">
        <f>IF(A401="", "", SUMIF(BASE!$A$4:$A$10003, A401, BASE!$C$4:$C$10003))</f>
        <v/>
      </c>
      <c r="D401" t="str">
        <f>IF(A401="", "", INDEX(BASE!$D$4:$D$10003, MATCH(A401, BASE!$A$4:$A$10003, 0)))</f>
        <v/>
      </c>
      <c r="E401" t="str">
        <f>IF(A401="", "", INDEX(BASE!$E$4:$E$10003, MATCH(A401, BASE!$A$4:$A$10003, 0)))</f>
        <v/>
      </c>
    </row>
    <row r="402" spans="1:5">
      <c r="A402" t="str">
        <f>IFERROR(INDEX(BASE!$A$4:$A$10003, MATCH(0, COUNTIF($A$1:A401, BASE!$A$4:$A$10003&amp;""), 0)), "")</f>
        <v/>
      </c>
      <c r="B402" t="str">
        <f>IF(A402="", "", VLOOKUP(A402, BASE!$A$4:$B$10003, 2, FALSE))</f>
        <v/>
      </c>
      <c r="C402" t="str">
        <f>IF(A402="", "", SUMIF(BASE!$A$4:$A$10003, A402, BASE!$C$4:$C$10003))</f>
        <v/>
      </c>
      <c r="D402" t="str">
        <f>IF(A402="", "", INDEX(BASE!$D$4:$D$10003, MATCH(A402, BASE!$A$4:$A$10003, 0)))</f>
        <v/>
      </c>
      <c r="E402" t="str">
        <f>IF(A402="", "", INDEX(BASE!$E$4:$E$10003, MATCH(A402, BASE!$A$4:$A$10003, 0)))</f>
        <v/>
      </c>
    </row>
    <row r="403" spans="1:5">
      <c r="A403" t="str">
        <f>IFERROR(INDEX(BASE!$A$4:$A$10003, MATCH(0, COUNTIF($A$1:A402, BASE!$A$4:$A$10003&amp;""), 0)), "")</f>
        <v/>
      </c>
      <c r="B403" t="str">
        <f>IF(A403="", "", VLOOKUP(A403, BASE!$A$4:$B$10003, 2, FALSE))</f>
        <v/>
      </c>
      <c r="C403" t="str">
        <f>IF(A403="", "", SUMIF(BASE!$A$4:$A$10003, A403, BASE!$C$4:$C$10003))</f>
        <v/>
      </c>
      <c r="D403" t="str">
        <f>IF(A403="", "", INDEX(BASE!$D$4:$D$10003, MATCH(A403, BASE!$A$4:$A$10003, 0)))</f>
        <v/>
      </c>
      <c r="E403" t="str">
        <f>IF(A403="", "", INDEX(BASE!$E$4:$E$10003, MATCH(A403, BASE!$A$4:$A$10003, 0)))</f>
        <v/>
      </c>
    </row>
    <row r="404" spans="1:5">
      <c r="A404" t="str">
        <f>IFERROR(INDEX(BASE!$A$4:$A$10003, MATCH(0, COUNTIF($A$1:A403, BASE!$A$4:$A$10003&amp;""), 0)), "")</f>
        <v/>
      </c>
      <c r="B404" t="str">
        <f>IF(A404="", "", VLOOKUP(A404, BASE!$A$4:$B$10003, 2, FALSE))</f>
        <v/>
      </c>
      <c r="C404" t="str">
        <f>IF(A404="", "", SUMIF(BASE!$A$4:$A$10003, A404, BASE!$C$4:$C$10003))</f>
        <v/>
      </c>
      <c r="D404" t="str">
        <f>IF(A404="", "", INDEX(BASE!$D$4:$D$10003, MATCH(A404, BASE!$A$4:$A$10003, 0)))</f>
        <v/>
      </c>
      <c r="E404" t="str">
        <f>IF(A404="", "", INDEX(BASE!$E$4:$E$10003, MATCH(A404, BASE!$A$4:$A$10003, 0)))</f>
        <v/>
      </c>
    </row>
    <row r="405" spans="1:5">
      <c r="A405" t="str">
        <f>IFERROR(INDEX(BASE!$A$4:$A$10003, MATCH(0, COUNTIF($A$1:A404, BASE!$A$4:$A$10003&amp;""), 0)), "")</f>
        <v/>
      </c>
      <c r="B405" t="str">
        <f>IF(A405="", "", VLOOKUP(A405, BASE!$A$4:$B$10003, 2, FALSE))</f>
        <v/>
      </c>
      <c r="C405" t="str">
        <f>IF(A405="", "", SUMIF(BASE!$A$4:$A$10003, A405, BASE!$C$4:$C$10003))</f>
        <v/>
      </c>
      <c r="D405" t="str">
        <f>IF(A405="", "", INDEX(BASE!$D$4:$D$10003, MATCH(A405, BASE!$A$4:$A$10003, 0)))</f>
        <v/>
      </c>
      <c r="E405" t="str">
        <f>IF(A405="", "", INDEX(BASE!$E$4:$E$10003, MATCH(A405, BASE!$A$4:$A$10003, 0)))</f>
        <v/>
      </c>
    </row>
    <row r="406" spans="1:5">
      <c r="A406" t="str">
        <f>IFERROR(INDEX(BASE!$A$4:$A$10003, MATCH(0, COUNTIF($A$1:A405, BASE!$A$4:$A$10003&amp;""), 0)), "")</f>
        <v/>
      </c>
      <c r="B406" t="str">
        <f>IF(A406="", "", VLOOKUP(A406, BASE!$A$4:$B$10003, 2, FALSE))</f>
        <v/>
      </c>
      <c r="C406" t="str">
        <f>IF(A406="", "", SUMIF(BASE!$A$4:$A$10003, A406, BASE!$C$4:$C$10003))</f>
        <v/>
      </c>
      <c r="D406" t="str">
        <f>IF(A406="", "", INDEX(BASE!$D$4:$D$10003, MATCH(A406, BASE!$A$4:$A$10003, 0)))</f>
        <v/>
      </c>
      <c r="E406" t="str">
        <f>IF(A406="", "", INDEX(BASE!$E$4:$E$10003, MATCH(A406, BASE!$A$4:$A$10003, 0)))</f>
        <v/>
      </c>
    </row>
    <row r="407" spans="1:5">
      <c r="A407" t="str">
        <f>IFERROR(INDEX(BASE!$A$4:$A$10003, MATCH(0, COUNTIF($A$1:A406, BASE!$A$4:$A$10003&amp;""), 0)), "")</f>
        <v/>
      </c>
      <c r="B407" t="str">
        <f>IF(A407="", "", VLOOKUP(A407, BASE!$A$4:$B$10003, 2, FALSE))</f>
        <v/>
      </c>
      <c r="C407" t="str">
        <f>IF(A407="", "", SUMIF(BASE!$A$4:$A$10003, A407, BASE!$C$4:$C$10003))</f>
        <v/>
      </c>
      <c r="D407" t="str">
        <f>IF(A407="", "", INDEX(BASE!$D$4:$D$10003, MATCH(A407, BASE!$A$4:$A$10003, 0)))</f>
        <v/>
      </c>
      <c r="E407" t="str">
        <f>IF(A407="", "", INDEX(BASE!$E$4:$E$10003, MATCH(A407, BASE!$A$4:$A$10003, 0)))</f>
        <v/>
      </c>
    </row>
    <row r="408" spans="1:5">
      <c r="A408" t="str">
        <f>IFERROR(INDEX(BASE!$A$4:$A$10003, MATCH(0, COUNTIF($A$1:A407, BASE!$A$4:$A$10003&amp;""), 0)), "")</f>
        <v/>
      </c>
      <c r="B408" t="str">
        <f>IF(A408="", "", VLOOKUP(A408, BASE!$A$4:$B$10003, 2, FALSE))</f>
        <v/>
      </c>
      <c r="C408" t="str">
        <f>IF(A408="", "", SUMIF(BASE!$A$4:$A$10003, A408, BASE!$C$4:$C$10003))</f>
        <v/>
      </c>
      <c r="D408" t="str">
        <f>IF(A408="", "", INDEX(BASE!$D$4:$D$10003, MATCH(A408, BASE!$A$4:$A$10003, 0)))</f>
        <v/>
      </c>
      <c r="E408" t="str">
        <f>IF(A408="", "", INDEX(BASE!$E$4:$E$10003, MATCH(A408, BASE!$A$4:$A$10003, 0)))</f>
        <v/>
      </c>
    </row>
    <row r="409" spans="1:5">
      <c r="A409" t="str">
        <f>IFERROR(INDEX(BASE!$A$4:$A$10003, MATCH(0, COUNTIF($A$1:A408, BASE!$A$4:$A$10003&amp;""), 0)), "")</f>
        <v/>
      </c>
      <c r="B409" t="str">
        <f>IF(A409="", "", VLOOKUP(A409, BASE!$A$4:$B$10003, 2, FALSE))</f>
        <v/>
      </c>
      <c r="C409" t="str">
        <f>IF(A409="", "", SUMIF(BASE!$A$4:$A$10003, A409, BASE!$C$4:$C$10003))</f>
        <v/>
      </c>
      <c r="D409" t="str">
        <f>IF(A409="", "", INDEX(BASE!$D$4:$D$10003, MATCH(A409, BASE!$A$4:$A$10003, 0)))</f>
        <v/>
      </c>
      <c r="E409" t="str">
        <f>IF(A409="", "", INDEX(BASE!$E$4:$E$10003, MATCH(A409, BASE!$A$4:$A$10003, 0)))</f>
        <v/>
      </c>
    </row>
    <row r="410" spans="1:5">
      <c r="A410" t="str">
        <f>IFERROR(INDEX(BASE!$A$4:$A$10003, MATCH(0, COUNTIF($A$1:A409, BASE!$A$4:$A$10003&amp;""), 0)), "")</f>
        <v/>
      </c>
      <c r="B410" t="str">
        <f>IF(A410="", "", VLOOKUP(A410, BASE!$A$4:$B$10003, 2, FALSE))</f>
        <v/>
      </c>
      <c r="C410" t="str">
        <f>IF(A410="", "", SUMIF(BASE!$A$4:$A$10003, A410, BASE!$C$4:$C$10003))</f>
        <v/>
      </c>
      <c r="D410" t="str">
        <f>IF(A410="", "", INDEX(BASE!$D$4:$D$10003, MATCH(A410, BASE!$A$4:$A$10003, 0)))</f>
        <v/>
      </c>
      <c r="E410" t="str">
        <f>IF(A410="", "", INDEX(BASE!$E$4:$E$10003, MATCH(A410, BASE!$A$4:$A$10003, 0)))</f>
        <v/>
      </c>
    </row>
    <row r="411" spans="1:5">
      <c r="A411" t="str">
        <f>IFERROR(INDEX(BASE!$A$4:$A$10003, MATCH(0, COUNTIF($A$1:A410, BASE!$A$4:$A$10003&amp;""), 0)), "")</f>
        <v/>
      </c>
      <c r="B411" t="str">
        <f>IF(A411="", "", VLOOKUP(A411, BASE!$A$4:$B$10003, 2, FALSE))</f>
        <v/>
      </c>
      <c r="C411" t="str">
        <f>IF(A411="", "", SUMIF(BASE!$A$4:$A$10003, A411, BASE!$C$4:$C$10003))</f>
        <v/>
      </c>
      <c r="D411" t="str">
        <f>IF(A411="", "", INDEX(BASE!$D$4:$D$10003, MATCH(A411, BASE!$A$4:$A$10003, 0)))</f>
        <v/>
      </c>
      <c r="E411" t="str">
        <f>IF(A411="", "", INDEX(BASE!$E$4:$E$10003, MATCH(A411, BASE!$A$4:$A$10003, 0)))</f>
        <v/>
      </c>
    </row>
    <row r="412" spans="1:5">
      <c r="A412" t="str">
        <f>IFERROR(INDEX(BASE!$A$4:$A$10003, MATCH(0, COUNTIF($A$1:A411, BASE!$A$4:$A$10003&amp;""), 0)), "")</f>
        <v/>
      </c>
      <c r="B412" t="str">
        <f>IF(A412="", "", VLOOKUP(A412, BASE!$A$4:$B$10003, 2, FALSE))</f>
        <v/>
      </c>
      <c r="C412" t="str">
        <f>IF(A412="", "", SUMIF(BASE!$A$4:$A$10003, A412, BASE!$C$4:$C$10003))</f>
        <v/>
      </c>
      <c r="D412" t="str">
        <f>IF(A412="", "", INDEX(BASE!$D$4:$D$10003, MATCH(A412, BASE!$A$4:$A$10003, 0)))</f>
        <v/>
      </c>
      <c r="E412" t="str">
        <f>IF(A412="", "", INDEX(BASE!$E$4:$E$10003, MATCH(A412, BASE!$A$4:$A$10003, 0)))</f>
        <v/>
      </c>
    </row>
    <row r="413" spans="1:5">
      <c r="A413" t="str">
        <f>IFERROR(INDEX(BASE!$A$4:$A$10003, MATCH(0, COUNTIF($A$1:A412, BASE!$A$4:$A$10003&amp;""), 0)), "")</f>
        <v/>
      </c>
      <c r="B413" t="str">
        <f>IF(A413="", "", VLOOKUP(A413, BASE!$A$4:$B$10003, 2, FALSE))</f>
        <v/>
      </c>
      <c r="C413" t="str">
        <f>IF(A413="", "", SUMIF(BASE!$A$4:$A$10003, A413, BASE!$C$4:$C$10003))</f>
        <v/>
      </c>
      <c r="D413" t="str">
        <f>IF(A413="", "", INDEX(BASE!$D$4:$D$10003, MATCH(A413, BASE!$A$4:$A$10003, 0)))</f>
        <v/>
      </c>
      <c r="E413" t="str">
        <f>IF(A413="", "", INDEX(BASE!$E$4:$E$10003, MATCH(A413, BASE!$A$4:$A$10003, 0)))</f>
        <v/>
      </c>
    </row>
    <row r="414" spans="1:5">
      <c r="A414" t="str">
        <f>IFERROR(INDEX(BASE!$A$4:$A$10003, MATCH(0, COUNTIF($A$1:A413, BASE!$A$4:$A$10003&amp;""), 0)), "")</f>
        <v/>
      </c>
      <c r="B414" t="str">
        <f>IF(A414="", "", VLOOKUP(A414, BASE!$A$4:$B$10003, 2, FALSE))</f>
        <v/>
      </c>
      <c r="C414" t="str">
        <f>IF(A414="", "", SUMIF(BASE!$A$4:$A$10003, A414, BASE!$C$4:$C$10003))</f>
        <v/>
      </c>
      <c r="D414" t="str">
        <f>IF(A414="", "", INDEX(BASE!$D$4:$D$10003, MATCH(A414, BASE!$A$4:$A$10003, 0)))</f>
        <v/>
      </c>
      <c r="E414" t="str">
        <f>IF(A414="", "", INDEX(BASE!$E$4:$E$10003, MATCH(A414, BASE!$A$4:$A$10003, 0)))</f>
        <v/>
      </c>
    </row>
    <row r="415" spans="1:5">
      <c r="A415" t="str">
        <f>IFERROR(INDEX(BASE!$A$4:$A$10003, MATCH(0, COUNTIF($A$1:A414, BASE!$A$4:$A$10003&amp;""), 0)), "")</f>
        <v/>
      </c>
      <c r="B415" t="str">
        <f>IF(A415="", "", VLOOKUP(A415, BASE!$A$4:$B$10003, 2, FALSE))</f>
        <v/>
      </c>
      <c r="C415" t="str">
        <f>IF(A415="", "", SUMIF(BASE!$A$4:$A$10003, A415, BASE!$C$4:$C$10003))</f>
        <v/>
      </c>
      <c r="D415" t="str">
        <f>IF(A415="", "", INDEX(BASE!$D$4:$D$10003, MATCH(A415, BASE!$A$4:$A$10003, 0)))</f>
        <v/>
      </c>
      <c r="E415" t="str">
        <f>IF(A415="", "", INDEX(BASE!$E$4:$E$10003, MATCH(A415, BASE!$A$4:$A$10003, 0)))</f>
        <v/>
      </c>
    </row>
    <row r="416" spans="1:5">
      <c r="A416" t="str">
        <f>IFERROR(INDEX(BASE!$A$4:$A$10003, MATCH(0, COUNTIF($A$1:A415, BASE!$A$4:$A$10003&amp;""), 0)), "")</f>
        <v/>
      </c>
      <c r="B416" t="str">
        <f>IF(A416="", "", VLOOKUP(A416, BASE!$A$4:$B$10003, 2, FALSE))</f>
        <v/>
      </c>
      <c r="C416" t="str">
        <f>IF(A416="", "", SUMIF(BASE!$A$4:$A$10003, A416, BASE!$C$4:$C$10003))</f>
        <v/>
      </c>
      <c r="D416" t="str">
        <f>IF(A416="", "", INDEX(BASE!$D$4:$D$10003, MATCH(A416, BASE!$A$4:$A$10003, 0)))</f>
        <v/>
      </c>
      <c r="E416" t="str">
        <f>IF(A416="", "", INDEX(BASE!$E$4:$E$10003, MATCH(A416, BASE!$A$4:$A$10003, 0)))</f>
        <v/>
      </c>
    </row>
    <row r="417" spans="1:5">
      <c r="A417" t="str">
        <f>IFERROR(INDEX(BASE!$A$4:$A$10003, MATCH(0, COUNTIF($A$1:A416, BASE!$A$4:$A$10003&amp;""), 0)), "")</f>
        <v/>
      </c>
      <c r="B417" t="str">
        <f>IF(A417="", "", VLOOKUP(A417, BASE!$A$4:$B$10003, 2, FALSE))</f>
        <v/>
      </c>
      <c r="C417" t="str">
        <f>IF(A417="", "", SUMIF(BASE!$A$4:$A$10003, A417, BASE!$C$4:$C$10003))</f>
        <v/>
      </c>
      <c r="D417" t="str">
        <f>IF(A417="", "", INDEX(BASE!$D$4:$D$10003, MATCH(A417, BASE!$A$4:$A$10003, 0)))</f>
        <v/>
      </c>
      <c r="E417" t="str">
        <f>IF(A417="", "", INDEX(BASE!$E$4:$E$10003, MATCH(A417, BASE!$A$4:$A$10003, 0)))</f>
        <v/>
      </c>
    </row>
    <row r="418" spans="1:5">
      <c r="A418" t="str">
        <f>IFERROR(INDEX(BASE!$A$4:$A$10003, MATCH(0, COUNTIF($A$1:A417, BASE!$A$4:$A$10003&amp;""), 0)), "")</f>
        <v/>
      </c>
      <c r="B418" t="str">
        <f>IF(A418="", "", VLOOKUP(A418, BASE!$A$4:$B$10003, 2, FALSE))</f>
        <v/>
      </c>
      <c r="C418" t="str">
        <f>IF(A418="", "", SUMIF(BASE!$A$4:$A$10003, A418, BASE!$C$4:$C$10003))</f>
        <v/>
      </c>
      <c r="D418" t="str">
        <f>IF(A418="", "", INDEX(BASE!$D$4:$D$10003, MATCH(A418, BASE!$A$4:$A$10003, 0)))</f>
        <v/>
      </c>
      <c r="E418" t="str">
        <f>IF(A418="", "", INDEX(BASE!$E$4:$E$10003, MATCH(A418, BASE!$A$4:$A$10003, 0)))</f>
        <v/>
      </c>
    </row>
    <row r="419" spans="1:5">
      <c r="A419" t="str">
        <f>IFERROR(INDEX(BASE!$A$4:$A$10003, MATCH(0, COUNTIF($A$1:A418, BASE!$A$4:$A$10003&amp;""), 0)), "")</f>
        <v/>
      </c>
      <c r="B419" t="str">
        <f>IF(A419="", "", VLOOKUP(A419, BASE!$A$4:$B$10003, 2, FALSE))</f>
        <v/>
      </c>
      <c r="C419" t="str">
        <f>IF(A419="", "", SUMIF(BASE!$A$4:$A$10003, A419, BASE!$C$4:$C$10003))</f>
        <v/>
      </c>
      <c r="D419" t="str">
        <f>IF(A419="", "", INDEX(BASE!$D$4:$D$10003, MATCH(A419, BASE!$A$4:$A$10003, 0)))</f>
        <v/>
      </c>
      <c r="E419" t="str">
        <f>IF(A419="", "", INDEX(BASE!$E$4:$E$10003, MATCH(A419, BASE!$A$4:$A$10003, 0)))</f>
        <v/>
      </c>
    </row>
    <row r="420" spans="1:5">
      <c r="A420" t="str">
        <f>IFERROR(INDEX(BASE!$A$4:$A$10003, MATCH(0, COUNTIF($A$1:A419, BASE!$A$4:$A$10003&amp;""), 0)), "")</f>
        <v/>
      </c>
      <c r="B420" t="str">
        <f>IF(A420="", "", VLOOKUP(A420, BASE!$A$4:$B$10003, 2, FALSE))</f>
        <v/>
      </c>
      <c r="C420" t="str">
        <f>IF(A420="", "", SUMIF(BASE!$A$4:$A$10003, A420, BASE!$C$4:$C$10003))</f>
        <v/>
      </c>
      <c r="D420" t="str">
        <f>IF(A420="", "", INDEX(BASE!$D$4:$D$10003, MATCH(A420, BASE!$A$4:$A$10003, 0)))</f>
        <v/>
      </c>
      <c r="E420" t="str">
        <f>IF(A420="", "", INDEX(BASE!$E$4:$E$10003, MATCH(A420, BASE!$A$4:$A$10003, 0)))</f>
        <v/>
      </c>
    </row>
    <row r="421" spans="1:5">
      <c r="A421" t="str">
        <f>IFERROR(INDEX(BASE!$A$4:$A$10003, MATCH(0, COUNTIF($A$1:A420, BASE!$A$4:$A$10003&amp;""), 0)), "")</f>
        <v/>
      </c>
      <c r="B421" t="str">
        <f>IF(A421="", "", VLOOKUP(A421, BASE!$A$4:$B$10003, 2, FALSE))</f>
        <v/>
      </c>
      <c r="C421" t="str">
        <f>IF(A421="", "", SUMIF(BASE!$A$4:$A$10003, A421, BASE!$C$4:$C$10003))</f>
        <v/>
      </c>
      <c r="D421" t="str">
        <f>IF(A421="", "", INDEX(BASE!$D$4:$D$10003, MATCH(A421, BASE!$A$4:$A$10003, 0)))</f>
        <v/>
      </c>
      <c r="E421" t="str">
        <f>IF(A421="", "", INDEX(BASE!$E$4:$E$10003, MATCH(A421, BASE!$A$4:$A$10003, 0)))</f>
        <v/>
      </c>
    </row>
    <row r="422" spans="1:5">
      <c r="A422" t="str">
        <f>IFERROR(INDEX(BASE!$A$4:$A$10003, MATCH(0, COUNTIF($A$1:A421, BASE!$A$4:$A$10003&amp;""), 0)), "")</f>
        <v/>
      </c>
      <c r="B422" t="str">
        <f>IF(A422="", "", VLOOKUP(A422, BASE!$A$4:$B$10003, 2, FALSE))</f>
        <v/>
      </c>
      <c r="C422" t="str">
        <f>IF(A422="", "", SUMIF(BASE!$A$4:$A$10003, A422, BASE!$C$4:$C$10003))</f>
        <v/>
      </c>
      <c r="D422" t="str">
        <f>IF(A422="", "", INDEX(BASE!$D$4:$D$10003, MATCH(A422, BASE!$A$4:$A$10003, 0)))</f>
        <v/>
      </c>
      <c r="E422" t="str">
        <f>IF(A422="", "", INDEX(BASE!$E$4:$E$10003, MATCH(A422, BASE!$A$4:$A$10003, 0)))</f>
        <v/>
      </c>
    </row>
    <row r="423" spans="1:5">
      <c r="A423" t="str">
        <f>IFERROR(INDEX(BASE!$A$4:$A$10003, MATCH(0, COUNTIF($A$1:A422, BASE!$A$4:$A$10003&amp;""), 0)), "")</f>
        <v/>
      </c>
      <c r="B423" t="str">
        <f>IF(A423="", "", VLOOKUP(A423, BASE!$A$4:$B$10003, 2, FALSE))</f>
        <v/>
      </c>
      <c r="C423" t="str">
        <f>IF(A423="", "", SUMIF(BASE!$A$4:$A$10003, A423, BASE!$C$4:$C$10003))</f>
        <v/>
      </c>
      <c r="D423" t="str">
        <f>IF(A423="", "", INDEX(BASE!$D$4:$D$10003, MATCH(A423, BASE!$A$4:$A$10003, 0)))</f>
        <v/>
      </c>
      <c r="E423" t="str">
        <f>IF(A423="", "", INDEX(BASE!$E$4:$E$10003, MATCH(A423, BASE!$A$4:$A$10003, 0)))</f>
        <v/>
      </c>
    </row>
    <row r="424" spans="1:5">
      <c r="A424" t="str">
        <f>IFERROR(INDEX(BASE!$A$4:$A$10003, MATCH(0, COUNTIF($A$1:A423, BASE!$A$4:$A$10003&amp;""), 0)), "")</f>
        <v/>
      </c>
      <c r="B424" t="str">
        <f>IF(A424="", "", VLOOKUP(A424, BASE!$A$4:$B$10003, 2, FALSE))</f>
        <v/>
      </c>
      <c r="C424" t="str">
        <f>IF(A424="", "", SUMIF(BASE!$A$4:$A$10003, A424, BASE!$C$4:$C$10003))</f>
        <v/>
      </c>
      <c r="D424" t="str">
        <f>IF(A424="", "", INDEX(BASE!$D$4:$D$10003, MATCH(A424, BASE!$A$4:$A$10003, 0)))</f>
        <v/>
      </c>
      <c r="E424" t="str">
        <f>IF(A424="", "", INDEX(BASE!$E$4:$E$10003, MATCH(A424, BASE!$A$4:$A$10003, 0)))</f>
        <v/>
      </c>
    </row>
    <row r="425" spans="1:5">
      <c r="A425" t="str">
        <f>IFERROR(INDEX(BASE!$A$4:$A$10003, MATCH(0, COUNTIF($A$1:A424, BASE!$A$4:$A$10003&amp;""), 0)), "")</f>
        <v/>
      </c>
      <c r="B425" t="str">
        <f>IF(A425="", "", VLOOKUP(A425, BASE!$A$4:$B$10003, 2, FALSE))</f>
        <v/>
      </c>
      <c r="C425" t="str">
        <f>IF(A425="", "", SUMIF(BASE!$A$4:$A$10003, A425, BASE!$C$4:$C$10003))</f>
        <v/>
      </c>
      <c r="D425" t="str">
        <f>IF(A425="", "", INDEX(BASE!$D$4:$D$10003, MATCH(A425, BASE!$A$4:$A$10003, 0)))</f>
        <v/>
      </c>
      <c r="E425" t="str">
        <f>IF(A425="", "", INDEX(BASE!$E$4:$E$10003, MATCH(A425, BASE!$A$4:$A$10003, 0)))</f>
        <v/>
      </c>
    </row>
    <row r="426" spans="1:5">
      <c r="A426" t="str">
        <f>IFERROR(INDEX(BASE!$A$4:$A$10003, MATCH(0, COUNTIF($A$1:A425, BASE!$A$4:$A$10003&amp;""), 0)), "")</f>
        <v/>
      </c>
      <c r="B426" t="str">
        <f>IF(A426="", "", VLOOKUP(A426, BASE!$A$4:$B$10003, 2, FALSE))</f>
        <v/>
      </c>
      <c r="C426" t="str">
        <f>IF(A426="", "", SUMIF(BASE!$A$4:$A$10003, A426, BASE!$C$4:$C$10003))</f>
        <v/>
      </c>
      <c r="D426" t="str">
        <f>IF(A426="", "", INDEX(BASE!$D$4:$D$10003, MATCH(A426, BASE!$A$4:$A$10003, 0)))</f>
        <v/>
      </c>
      <c r="E426" t="str">
        <f>IF(A426="", "", INDEX(BASE!$E$4:$E$10003, MATCH(A426, BASE!$A$4:$A$10003, 0)))</f>
        <v/>
      </c>
    </row>
    <row r="427" spans="1:5">
      <c r="A427" t="str">
        <f>IFERROR(INDEX(BASE!$A$4:$A$10003, MATCH(0, COUNTIF($A$1:A426, BASE!$A$4:$A$10003&amp;""), 0)), "")</f>
        <v/>
      </c>
      <c r="B427" t="str">
        <f>IF(A427="", "", VLOOKUP(A427, BASE!$A$4:$B$10003, 2, FALSE))</f>
        <v/>
      </c>
      <c r="C427" t="str">
        <f>IF(A427="", "", SUMIF(BASE!$A$4:$A$10003, A427, BASE!$C$4:$C$10003))</f>
        <v/>
      </c>
      <c r="D427" t="str">
        <f>IF(A427="", "", INDEX(BASE!$D$4:$D$10003, MATCH(A427, BASE!$A$4:$A$10003, 0)))</f>
        <v/>
      </c>
      <c r="E427" t="str">
        <f>IF(A427="", "", INDEX(BASE!$E$4:$E$10003, MATCH(A427, BASE!$A$4:$A$10003, 0)))</f>
        <v/>
      </c>
    </row>
    <row r="428" spans="1:5">
      <c r="A428" t="str">
        <f>IFERROR(INDEX(BASE!$A$4:$A$10003, MATCH(0, COUNTIF($A$1:A427, BASE!$A$4:$A$10003&amp;""), 0)), "")</f>
        <v/>
      </c>
      <c r="B428" t="str">
        <f>IF(A428="", "", VLOOKUP(A428, BASE!$A$4:$B$10003, 2, FALSE))</f>
        <v/>
      </c>
      <c r="C428" t="str">
        <f>IF(A428="", "", SUMIF(BASE!$A$4:$A$10003, A428, BASE!$C$4:$C$10003))</f>
        <v/>
      </c>
      <c r="D428" t="str">
        <f>IF(A428="", "", INDEX(BASE!$D$4:$D$10003, MATCH(A428, BASE!$A$4:$A$10003, 0)))</f>
        <v/>
      </c>
      <c r="E428" t="str">
        <f>IF(A428="", "", INDEX(BASE!$E$4:$E$10003, MATCH(A428, BASE!$A$4:$A$10003, 0)))</f>
        <v/>
      </c>
    </row>
    <row r="429" spans="1:5">
      <c r="A429" t="str">
        <f>IFERROR(INDEX(BASE!$A$4:$A$10003, MATCH(0, COUNTIF($A$1:A428, BASE!$A$4:$A$10003&amp;""), 0)), "")</f>
        <v/>
      </c>
      <c r="B429" t="str">
        <f>IF(A429="", "", VLOOKUP(A429, BASE!$A$4:$B$10003, 2, FALSE))</f>
        <v/>
      </c>
      <c r="C429" t="str">
        <f>IF(A429="", "", SUMIF(BASE!$A$4:$A$10003, A429, BASE!$C$4:$C$10003))</f>
        <v/>
      </c>
      <c r="D429" t="str">
        <f>IF(A429="", "", INDEX(BASE!$D$4:$D$10003, MATCH(A429, BASE!$A$4:$A$10003, 0)))</f>
        <v/>
      </c>
      <c r="E429" t="str">
        <f>IF(A429="", "", INDEX(BASE!$E$4:$E$10003, MATCH(A429, BASE!$A$4:$A$10003, 0)))</f>
        <v/>
      </c>
    </row>
    <row r="430" spans="1:5">
      <c r="A430" t="str">
        <f>IFERROR(INDEX(BASE!$A$4:$A$10003, MATCH(0, COUNTIF($A$1:A429, BASE!$A$4:$A$10003&amp;""), 0)), "")</f>
        <v/>
      </c>
      <c r="B430" t="str">
        <f>IF(A430="", "", VLOOKUP(A430, BASE!$A$4:$B$10003, 2, FALSE))</f>
        <v/>
      </c>
      <c r="C430" t="str">
        <f>IF(A430="", "", SUMIF(BASE!$A$4:$A$10003, A430, BASE!$C$4:$C$10003))</f>
        <v/>
      </c>
      <c r="D430" t="str">
        <f>IF(A430="", "", INDEX(BASE!$D$4:$D$10003, MATCH(A430, BASE!$A$4:$A$10003, 0)))</f>
        <v/>
      </c>
      <c r="E430" t="str">
        <f>IF(A430="", "", INDEX(BASE!$E$4:$E$10003, MATCH(A430, BASE!$A$4:$A$10003, 0)))</f>
        <v/>
      </c>
    </row>
    <row r="431" spans="1:5">
      <c r="A431" t="str">
        <f>IFERROR(INDEX(BASE!$A$4:$A$10003, MATCH(0, COUNTIF($A$1:A430, BASE!$A$4:$A$10003&amp;""), 0)), "")</f>
        <v/>
      </c>
      <c r="B431" t="str">
        <f>IF(A431="", "", VLOOKUP(A431, BASE!$A$4:$B$10003, 2, FALSE))</f>
        <v/>
      </c>
      <c r="C431" t="str">
        <f>IF(A431="", "", SUMIF(BASE!$A$4:$A$10003, A431, BASE!$C$4:$C$10003))</f>
        <v/>
      </c>
      <c r="D431" t="str">
        <f>IF(A431="", "", INDEX(BASE!$D$4:$D$10003, MATCH(A431, BASE!$A$4:$A$10003, 0)))</f>
        <v/>
      </c>
      <c r="E431" t="str">
        <f>IF(A431="", "", INDEX(BASE!$E$4:$E$10003, MATCH(A431, BASE!$A$4:$A$10003, 0)))</f>
        <v/>
      </c>
    </row>
    <row r="432" spans="1:5">
      <c r="A432" t="str">
        <f>IFERROR(INDEX(BASE!$A$4:$A$10003, MATCH(0, COUNTIF($A$1:A431, BASE!$A$4:$A$10003&amp;""), 0)), "")</f>
        <v/>
      </c>
      <c r="B432" t="str">
        <f>IF(A432="", "", VLOOKUP(A432, BASE!$A$4:$B$10003, 2, FALSE))</f>
        <v/>
      </c>
      <c r="C432" t="str">
        <f>IF(A432="", "", SUMIF(BASE!$A$4:$A$10003, A432, BASE!$C$4:$C$10003))</f>
        <v/>
      </c>
      <c r="D432" t="str">
        <f>IF(A432="", "", INDEX(BASE!$D$4:$D$10003, MATCH(A432, BASE!$A$4:$A$10003, 0)))</f>
        <v/>
      </c>
      <c r="E432" t="str">
        <f>IF(A432="", "", INDEX(BASE!$E$4:$E$10003, MATCH(A432, BASE!$A$4:$A$10003, 0)))</f>
        <v/>
      </c>
    </row>
    <row r="433" spans="1:5">
      <c r="A433" t="str">
        <f>IFERROR(INDEX(BASE!$A$4:$A$10003, MATCH(0, COUNTIF($A$1:A432, BASE!$A$4:$A$10003&amp;""), 0)), "")</f>
        <v/>
      </c>
      <c r="B433" t="str">
        <f>IF(A433="", "", VLOOKUP(A433, BASE!$A$4:$B$10003, 2, FALSE))</f>
        <v/>
      </c>
      <c r="C433" t="str">
        <f>IF(A433="", "", SUMIF(BASE!$A$4:$A$10003, A433, BASE!$C$4:$C$10003))</f>
        <v/>
      </c>
      <c r="D433" t="str">
        <f>IF(A433="", "", INDEX(BASE!$D$4:$D$10003, MATCH(A433, BASE!$A$4:$A$10003, 0)))</f>
        <v/>
      </c>
      <c r="E433" t="str">
        <f>IF(A433="", "", INDEX(BASE!$E$4:$E$10003, MATCH(A433, BASE!$A$4:$A$10003, 0)))</f>
        <v/>
      </c>
    </row>
    <row r="434" spans="1:5">
      <c r="A434" t="str">
        <f>IFERROR(INDEX(BASE!$A$4:$A$10003, MATCH(0, COUNTIF($A$1:A433, BASE!$A$4:$A$10003&amp;""), 0)), "")</f>
        <v/>
      </c>
      <c r="B434" t="str">
        <f>IF(A434="", "", VLOOKUP(A434, BASE!$A$4:$B$10003, 2, FALSE))</f>
        <v/>
      </c>
      <c r="C434" t="str">
        <f>IF(A434="", "", SUMIF(BASE!$A$4:$A$10003, A434, BASE!$C$4:$C$10003))</f>
        <v/>
      </c>
      <c r="D434" t="str">
        <f>IF(A434="", "", INDEX(BASE!$D$4:$D$10003, MATCH(A434, BASE!$A$4:$A$10003, 0)))</f>
        <v/>
      </c>
      <c r="E434" t="str">
        <f>IF(A434="", "", INDEX(BASE!$E$4:$E$10003, MATCH(A434, BASE!$A$4:$A$10003, 0)))</f>
        <v/>
      </c>
    </row>
    <row r="435" spans="1:5">
      <c r="A435" t="str">
        <f>IFERROR(INDEX(BASE!$A$4:$A$10003, MATCH(0, COUNTIF($A$1:A434, BASE!$A$4:$A$10003&amp;""), 0)), "")</f>
        <v/>
      </c>
      <c r="B435" t="str">
        <f>IF(A435="", "", VLOOKUP(A435, BASE!$A$4:$B$10003, 2, FALSE))</f>
        <v/>
      </c>
      <c r="C435" t="str">
        <f>IF(A435="", "", SUMIF(BASE!$A$4:$A$10003, A435, BASE!$C$4:$C$10003))</f>
        <v/>
      </c>
      <c r="D435" t="str">
        <f>IF(A435="", "", INDEX(BASE!$D$4:$D$10003, MATCH(A435, BASE!$A$4:$A$10003, 0)))</f>
        <v/>
      </c>
      <c r="E435" t="str">
        <f>IF(A435="", "", INDEX(BASE!$E$4:$E$10003, MATCH(A435, BASE!$A$4:$A$10003, 0)))</f>
        <v/>
      </c>
    </row>
    <row r="436" spans="1:5">
      <c r="A436" t="str">
        <f>IFERROR(INDEX(BASE!$A$4:$A$10003, MATCH(0, COUNTIF($A$1:A435, BASE!$A$4:$A$10003&amp;""), 0)), "")</f>
        <v/>
      </c>
      <c r="B436" t="str">
        <f>IF(A436="", "", VLOOKUP(A436, BASE!$A$4:$B$10003, 2, FALSE))</f>
        <v/>
      </c>
      <c r="C436" t="str">
        <f>IF(A436="", "", SUMIF(BASE!$A$4:$A$10003, A436, BASE!$C$4:$C$10003))</f>
        <v/>
      </c>
      <c r="D436" t="str">
        <f>IF(A436="", "", INDEX(BASE!$D$4:$D$10003, MATCH(A436, BASE!$A$4:$A$10003, 0)))</f>
        <v/>
      </c>
      <c r="E436" t="str">
        <f>IF(A436="", "", INDEX(BASE!$E$4:$E$10003, MATCH(A436, BASE!$A$4:$A$10003, 0)))</f>
        <v/>
      </c>
    </row>
    <row r="437" spans="1:5">
      <c r="A437" t="str">
        <f>IFERROR(INDEX(BASE!$A$4:$A$10003, MATCH(0, COUNTIF($A$1:A436, BASE!$A$4:$A$10003&amp;""), 0)), "")</f>
        <v/>
      </c>
      <c r="B437" t="str">
        <f>IF(A437="", "", VLOOKUP(A437, BASE!$A$4:$B$10003, 2, FALSE))</f>
        <v/>
      </c>
      <c r="C437" t="str">
        <f>IF(A437="", "", SUMIF(BASE!$A$4:$A$10003, A437, BASE!$C$4:$C$10003))</f>
        <v/>
      </c>
      <c r="D437" t="str">
        <f>IF(A437="", "", INDEX(BASE!$D$4:$D$10003, MATCH(A437, BASE!$A$4:$A$10003, 0)))</f>
        <v/>
      </c>
      <c r="E437" t="str">
        <f>IF(A437="", "", INDEX(BASE!$E$4:$E$10003, MATCH(A437, BASE!$A$4:$A$10003, 0)))</f>
        <v/>
      </c>
    </row>
    <row r="438" spans="1:5">
      <c r="A438" t="str">
        <f>IFERROR(INDEX(BASE!$A$4:$A$10003, MATCH(0, COUNTIF($A$1:A437, BASE!$A$4:$A$10003&amp;""), 0)), "")</f>
        <v/>
      </c>
      <c r="B438" t="str">
        <f>IF(A438="", "", VLOOKUP(A438, BASE!$A$4:$B$10003, 2, FALSE))</f>
        <v/>
      </c>
      <c r="C438" t="str">
        <f>IF(A438="", "", SUMIF(BASE!$A$4:$A$10003, A438, BASE!$C$4:$C$10003))</f>
        <v/>
      </c>
      <c r="D438" t="str">
        <f>IF(A438="", "", INDEX(BASE!$D$4:$D$10003, MATCH(A438, BASE!$A$4:$A$10003, 0)))</f>
        <v/>
      </c>
      <c r="E438" t="str">
        <f>IF(A438="", "", INDEX(BASE!$E$4:$E$10003, MATCH(A438, BASE!$A$4:$A$10003, 0)))</f>
        <v/>
      </c>
    </row>
    <row r="439" spans="1:5">
      <c r="A439" t="str">
        <f>IFERROR(INDEX(BASE!$A$4:$A$10003, MATCH(0, COUNTIF($A$1:A438, BASE!$A$4:$A$10003&amp;""), 0)), "")</f>
        <v/>
      </c>
      <c r="B439" t="str">
        <f>IF(A439="", "", VLOOKUP(A439, BASE!$A$4:$B$10003, 2, FALSE))</f>
        <v/>
      </c>
      <c r="C439" t="str">
        <f>IF(A439="", "", SUMIF(BASE!$A$4:$A$10003, A439, BASE!$C$4:$C$10003))</f>
        <v/>
      </c>
      <c r="D439" t="str">
        <f>IF(A439="", "", INDEX(BASE!$D$4:$D$10003, MATCH(A439, BASE!$A$4:$A$10003, 0)))</f>
        <v/>
      </c>
      <c r="E439" t="str">
        <f>IF(A439="", "", INDEX(BASE!$E$4:$E$10003, MATCH(A439, BASE!$A$4:$A$10003, 0)))</f>
        <v/>
      </c>
    </row>
    <row r="440" spans="1:5">
      <c r="A440" t="str">
        <f>IFERROR(INDEX(BASE!$A$4:$A$10003, MATCH(0, COUNTIF($A$1:A439, BASE!$A$4:$A$10003&amp;""), 0)), "")</f>
        <v/>
      </c>
      <c r="B440" t="str">
        <f>IF(A440="", "", VLOOKUP(A440, BASE!$A$4:$B$10003, 2, FALSE))</f>
        <v/>
      </c>
      <c r="C440" t="str">
        <f>IF(A440="", "", SUMIF(BASE!$A$4:$A$10003, A440, BASE!$C$4:$C$10003))</f>
        <v/>
      </c>
      <c r="D440" t="str">
        <f>IF(A440="", "", INDEX(BASE!$D$4:$D$10003, MATCH(A440, BASE!$A$4:$A$10003, 0)))</f>
        <v/>
      </c>
      <c r="E440" t="str">
        <f>IF(A440="", "", INDEX(BASE!$E$4:$E$10003, MATCH(A440, BASE!$A$4:$A$10003, 0)))</f>
        <v/>
      </c>
    </row>
    <row r="441" spans="1:5">
      <c r="A441" t="str">
        <f>IFERROR(INDEX(BASE!$A$4:$A$10003, MATCH(0, COUNTIF($A$1:A440, BASE!$A$4:$A$10003&amp;""), 0)), "")</f>
        <v/>
      </c>
      <c r="B441" t="str">
        <f>IF(A441="", "", VLOOKUP(A441, BASE!$A$4:$B$10003, 2, FALSE))</f>
        <v/>
      </c>
      <c r="C441" t="str">
        <f>IF(A441="", "", SUMIF(BASE!$A$4:$A$10003, A441, BASE!$C$4:$C$10003))</f>
        <v/>
      </c>
      <c r="D441" t="str">
        <f>IF(A441="", "", INDEX(BASE!$D$4:$D$10003, MATCH(A441, BASE!$A$4:$A$10003, 0)))</f>
        <v/>
      </c>
      <c r="E441" t="str">
        <f>IF(A441="", "", INDEX(BASE!$E$4:$E$10003, MATCH(A441, BASE!$A$4:$A$10003, 0)))</f>
        <v/>
      </c>
    </row>
    <row r="442" spans="1:5">
      <c r="A442" t="str">
        <f>IFERROR(INDEX(BASE!$A$4:$A$10003, MATCH(0, COUNTIF($A$1:A441, BASE!$A$4:$A$10003&amp;""), 0)), "")</f>
        <v/>
      </c>
      <c r="B442" t="str">
        <f>IF(A442="", "", VLOOKUP(A442, BASE!$A$4:$B$10003, 2, FALSE))</f>
        <v/>
      </c>
      <c r="C442" t="str">
        <f>IF(A442="", "", SUMIF(BASE!$A$4:$A$10003, A442, BASE!$C$4:$C$10003))</f>
        <v/>
      </c>
      <c r="D442" t="str">
        <f>IF(A442="", "", INDEX(BASE!$D$4:$D$10003, MATCH(A442, BASE!$A$4:$A$10003, 0)))</f>
        <v/>
      </c>
      <c r="E442" t="str">
        <f>IF(A442="", "", INDEX(BASE!$E$4:$E$10003, MATCH(A442, BASE!$A$4:$A$10003, 0)))</f>
        <v/>
      </c>
    </row>
    <row r="443" spans="1:5">
      <c r="A443" t="str">
        <f>IFERROR(INDEX(BASE!$A$4:$A$10003, MATCH(0, COUNTIF($A$1:A442, BASE!$A$4:$A$10003&amp;""), 0)), "")</f>
        <v/>
      </c>
      <c r="B443" t="str">
        <f>IF(A443="", "", VLOOKUP(A443, BASE!$A$4:$B$10003, 2, FALSE))</f>
        <v/>
      </c>
      <c r="C443" t="str">
        <f>IF(A443="", "", SUMIF(BASE!$A$4:$A$10003, A443, BASE!$C$4:$C$10003))</f>
        <v/>
      </c>
      <c r="D443" t="str">
        <f>IF(A443="", "", INDEX(BASE!$D$4:$D$10003, MATCH(A443, BASE!$A$4:$A$10003, 0)))</f>
        <v/>
      </c>
      <c r="E443" t="str">
        <f>IF(A443="", "", INDEX(BASE!$E$4:$E$10003, MATCH(A443, BASE!$A$4:$A$10003, 0)))</f>
        <v/>
      </c>
    </row>
    <row r="444" spans="1:5">
      <c r="A444" t="str">
        <f>IFERROR(INDEX(BASE!$A$4:$A$10003, MATCH(0, COUNTIF($A$1:A443, BASE!$A$4:$A$10003&amp;""), 0)), "")</f>
        <v/>
      </c>
      <c r="B444" t="str">
        <f>IF(A444="", "", VLOOKUP(A444, BASE!$A$4:$B$10003, 2, FALSE))</f>
        <v/>
      </c>
      <c r="C444" t="str">
        <f>IF(A444="", "", SUMIF(BASE!$A$4:$A$10003, A444, BASE!$C$4:$C$10003))</f>
        <v/>
      </c>
      <c r="D444" t="str">
        <f>IF(A444="", "", INDEX(BASE!$D$4:$D$10003, MATCH(A444, BASE!$A$4:$A$10003, 0)))</f>
        <v/>
      </c>
      <c r="E444" t="str">
        <f>IF(A444="", "", INDEX(BASE!$E$4:$E$10003, MATCH(A444, BASE!$A$4:$A$10003, 0)))</f>
        <v/>
      </c>
    </row>
    <row r="445" spans="1:5">
      <c r="A445" t="str">
        <f>IFERROR(INDEX(BASE!$A$4:$A$10003, MATCH(0, COUNTIF($A$1:A444, BASE!$A$4:$A$10003&amp;""), 0)), "")</f>
        <v/>
      </c>
      <c r="B445" t="str">
        <f>IF(A445="", "", VLOOKUP(A445, BASE!$A$4:$B$10003, 2, FALSE))</f>
        <v/>
      </c>
      <c r="C445" t="str">
        <f>IF(A445="", "", SUMIF(BASE!$A$4:$A$10003, A445, BASE!$C$4:$C$10003))</f>
        <v/>
      </c>
      <c r="D445" t="str">
        <f>IF(A445="", "", INDEX(BASE!$D$4:$D$10003, MATCH(A445, BASE!$A$4:$A$10003, 0)))</f>
        <v/>
      </c>
      <c r="E445" t="str">
        <f>IF(A445="", "", INDEX(BASE!$E$4:$E$10003, MATCH(A445, BASE!$A$4:$A$10003, 0)))</f>
        <v/>
      </c>
    </row>
    <row r="446" spans="1:5">
      <c r="A446" t="str">
        <f>IFERROR(INDEX(BASE!$A$4:$A$10003, MATCH(0, COUNTIF($A$1:A445, BASE!$A$4:$A$10003&amp;""), 0)), "")</f>
        <v/>
      </c>
      <c r="B446" t="str">
        <f>IF(A446="", "", VLOOKUP(A446, BASE!$A$4:$B$10003, 2, FALSE))</f>
        <v/>
      </c>
      <c r="C446" t="str">
        <f>IF(A446="", "", SUMIF(BASE!$A$4:$A$10003, A446, BASE!$C$4:$C$10003))</f>
        <v/>
      </c>
      <c r="D446" t="str">
        <f>IF(A446="", "", INDEX(BASE!$D$4:$D$10003, MATCH(A446, BASE!$A$4:$A$10003, 0)))</f>
        <v/>
      </c>
      <c r="E446" t="str">
        <f>IF(A446="", "", INDEX(BASE!$E$4:$E$10003, MATCH(A446, BASE!$A$4:$A$10003, 0)))</f>
        <v/>
      </c>
    </row>
    <row r="447" spans="1:5">
      <c r="A447" t="str">
        <f>IFERROR(INDEX(BASE!$A$4:$A$10003, MATCH(0, COUNTIF($A$1:A446, BASE!$A$4:$A$10003&amp;""), 0)), "")</f>
        <v/>
      </c>
      <c r="B447" t="str">
        <f>IF(A447="", "", VLOOKUP(A447, BASE!$A$4:$B$10003, 2, FALSE))</f>
        <v/>
      </c>
      <c r="C447" t="str">
        <f>IF(A447="", "", SUMIF(BASE!$A$4:$A$10003, A447, BASE!$C$4:$C$10003))</f>
        <v/>
      </c>
      <c r="D447" t="str">
        <f>IF(A447="", "", INDEX(BASE!$D$4:$D$10003, MATCH(A447, BASE!$A$4:$A$10003, 0)))</f>
        <v/>
      </c>
      <c r="E447" t="str">
        <f>IF(A447="", "", INDEX(BASE!$E$4:$E$10003, MATCH(A447, BASE!$A$4:$A$10003, 0)))</f>
        <v/>
      </c>
    </row>
    <row r="448" spans="1:5">
      <c r="A448" t="str">
        <f>IFERROR(INDEX(BASE!$A$4:$A$10003, MATCH(0, COUNTIF($A$1:A447, BASE!$A$4:$A$10003&amp;""), 0)), "")</f>
        <v/>
      </c>
      <c r="B448" t="str">
        <f>IF(A448="", "", VLOOKUP(A448, BASE!$A$4:$B$10003, 2, FALSE))</f>
        <v/>
      </c>
      <c r="C448" t="str">
        <f>IF(A448="", "", SUMIF(BASE!$A$4:$A$10003, A448, BASE!$C$4:$C$10003))</f>
        <v/>
      </c>
      <c r="D448" t="str">
        <f>IF(A448="", "", INDEX(BASE!$D$4:$D$10003, MATCH(A448, BASE!$A$4:$A$10003, 0)))</f>
        <v/>
      </c>
      <c r="E448" t="str">
        <f>IF(A448="", "", INDEX(BASE!$E$4:$E$10003, MATCH(A448, BASE!$A$4:$A$10003, 0)))</f>
        <v/>
      </c>
    </row>
    <row r="449" spans="1:5">
      <c r="A449" t="str">
        <f>IFERROR(INDEX(BASE!$A$4:$A$10003, MATCH(0, COUNTIF($A$1:A448, BASE!$A$4:$A$10003&amp;""), 0)), "")</f>
        <v/>
      </c>
      <c r="B449" t="str">
        <f>IF(A449="", "", VLOOKUP(A449, BASE!$A$4:$B$10003, 2, FALSE))</f>
        <v/>
      </c>
      <c r="C449" t="str">
        <f>IF(A449="", "", SUMIF(BASE!$A$4:$A$10003, A449, BASE!$C$4:$C$10003))</f>
        <v/>
      </c>
      <c r="D449" t="str">
        <f>IF(A449="", "", INDEX(BASE!$D$4:$D$10003, MATCH(A449, BASE!$A$4:$A$10003, 0)))</f>
        <v/>
      </c>
      <c r="E449" t="str">
        <f>IF(A449="", "", INDEX(BASE!$E$4:$E$10003, MATCH(A449, BASE!$A$4:$A$10003, 0)))</f>
        <v/>
      </c>
    </row>
    <row r="450" spans="1:5">
      <c r="A450" t="str">
        <f>IFERROR(INDEX(BASE!$A$4:$A$10003, MATCH(0, COUNTIF($A$1:A449, BASE!$A$4:$A$10003&amp;""), 0)), "")</f>
        <v/>
      </c>
      <c r="B450" t="str">
        <f>IF(A450="", "", VLOOKUP(A450, BASE!$A$4:$B$10003, 2, FALSE))</f>
        <v/>
      </c>
      <c r="C450" t="str">
        <f>IF(A450="", "", SUMIF(BASE!$A$4:$A$10003, A450, BASE!$C$4:$C$10003))</f>
        <v/>
      </c>
      <c r="D450" t="str">
        <f>IF(A450="", "", INDEX(BASE!$D$4:$D$10003, MATCH(A450, BASE!$A$4:$A$10003, 0)))</f>
        <v/>
      </c>
      <c r="E450" t="str">
        <f>IF(A450="", "", INDEX(BASE!$E$4:$E$10003, MATCH(A450, BASE!$A$4:$A$10003, 0)))</f>
        <v/>
      </c>
    </row>
    <row r="451" spans="1:5">
      <c r="A451" t="str">
        <f>IFERROR(INDEX(BASE!$A$4:$A$10003, MATCH(0, COUNTIF($A$1:A450, BASE!$A$4:$A$10003&amp;""), 0)), "")</f>
        <v/>
      </c>
      <c r="B451" t="str">
        <f>IF(A451="", "", VLOOKUP(A451, BASE!$A$4:$B$10003, 2, FALSE))</f>
        <v/>
      </c>
      <c r="C451" t="str">
        <f>IF(A451="", "", SUMIF(BASE!$A$4:$A$10003, A451, BASE!$C$4:$C$10003))</f>
        <v/>
      </c>
      <c r="D451" t="str">
        <f>IF(A451="", "", INDEX(BASE!$D$4:$D$10003, MATCH(A451, BASE!$A$4:$A$10003, 0)))</f>
        <v/>
      </c>
      <c r="E451" t="str">
        <f>IF(A451="", "", INDEX(BASE!$E$4:$E$10003, MATCH(A451, BASE!$A$4:$A$10003, 0)))</f>
        <v/>
      </c>
    </row>
    <row r="452" spans="1:5">
      <c r="A452" t="str">
        <f>IFERROR(INDEX(BASE!$A$4:$A$10003, MATCH(0, COUNTIF($A$1:A451, BASE!$A$4:$A$10003&amp;""), 0)), "")</f>
        <v/>
      </c>
      <c r="B452" t="str">
        <f>IF(A452="", "", VLOOKUP(A452, BASE!$A$4:$B$10003, 2, FALSE))</f>
        <v/>
      </c>
      <c r="C452" t="str">
        <f>IF(A452="", "", SUMIF(BASE!$A$4:$A$10003, A452, BASE!$C$4:$C$10003))</f>
        <v/>
      </c>
      <c r="D452" t="str">
        <f>IF(A452="", "", INDEX(BASE!$D$4:$D$10003, MATCH(A452, BASE!$A$4:$A$10003, 0)))</f>
        <v/>
      </c>
      <c r="E452" t="str">
        <f>IF(A452="", "", INDEX(BASE!$E$4:$E$10003, MATCH(A452, BASE!$A$4:$A$10003, 0)))</f>
        <v/>
      </c>
    </row>
    <row r="453" spans="1:5">
      <c r="A453" t="str">
        <f>IFERROR(INDEX(BASE!$A$4:$A$10003, MATCH(0, COUNTIF($A$1:A452, BASE!$A$4:$A$10003&amp;""), 0)), "")</f>
        <v/>
      </c>
      <c r="B453" t="str">
        <f>IF(A453="", "", VLOOKUP(A453, BASE!$A$4:$B$10003, 2, FALSE))</f>
        <v/>
      </c>
      <c r="C453" t="str">
        <f>IF(A453="", "", SUMIF(BASE!$A$4:$A$10003, A453, BASE!$C$4:$C$10003))</f>
        <v/>
      </c>
      <c r="D453" t="str">
        <f>IF(A453="", "", INDEX(BASE!$D$4:$D$10003, MATCH(A453, BASE!$A$4:$A$10003, 0)))</f>
        <v/>
      </c>
      <c r="E453" t="str">
        <f>IF(A453="", "", INDEX(BASE!$E$4:$E$10003, MATCH(A453, BASE!$A$4:$A$10003, 0)))</f>
        <v/>
      </c>
    </row>
    <row r="454" spans="1:5">
      <c r="A454" t="str">
        <f>IFERROR(INDEX(BASE!$A$4:$A$10003, MATCH(0, COUNTIF($A$1:A453, BASE!$A$4:$A$10003&amp;""), 0)), "")</f>
        <v/>
      </c>
      <c r="B454" t="str">
        <f>IF(A454="", "", VLOOKUP(A454, BASE!$A$4:$B$10003, 2, FALSE))</f>
        <v/>
      </c>
      <c r="C454" t="str">
        <f>IF(A454="", "", SUMIF(BASE!$A$4:$A$10003, A454, BASE!$C$4:$C$10003))</f>
        <v/>
      </c>
      <c r="D454" t="str">
        <f>IF(A454="", "", INDEX(BASE!$D$4:$D$10003, MATCH(A454, BASE!$A$4:$A$10003, 0)))</f>
        <v/>
      </c>
      <c r="E454" t="str">
        <f>IF(A454="", "", INDEX(BASE!$E$4:$E$10003, MATCH(A454, BASE!$A$4:$A$10003, 0)))</f>
        <v/>
      </c>
    </row>
    <row r="455" spans="1:5">
      <c r="A455" t="str">
        <f>IFERROR(INDEX(BASE!$A$4:$A$10003, MATCH(0, COUNTIF($A$1:A454, BASE!$A$4:$A$10003&amp;""), 0)), "")</f>
        <v/>
      </c>
      <c r="B455" t="str">
        <f>IF(A455="", "", VLOOKUP(A455, BASE!$A$4:$B$10003, 2, FALSE))</f>
        <v/>
      </c>
      <c r="C455" t="str">
        <f>IF(A455="", "", SUMIF(BASE!$A$4:$A$10003, A455, BASE!$C$4:$C$10003))</f>
        <v/>
      </c>
      <c r="D455" t="str">
        <f>IF(A455="", "", INDEX(BASE!$D$4:$D$10003, MATCH(A455, BASE!$A$4:$A$10003, 0)))</f>
        <v/>
      </c>
      <c r="E455" t="str">
        <f>IF(A455="", "", INDEX(BASE!$E$4:$E$10003, MATCH(A455, BASE!$A$4:$A$10003, 0)))</f>
        <v/>
      </c>
    </row>
    <row r="456" spans="1:5">
      <c r="A456" t="str">
        <f>IFERROR(INDEX(BASE!$A$4:$A$10003, MATCH(0, COUNTIF($A$1:A455, BASE!$A$4:$A$10003&amp;""), 0)), "")</f>
        <v/>
      </c>
      <c r="B456" t="str">
        <f>IF(A456="", "", VLOOKUP(A456, BASE!$A$4:$B$10003, 2, FALSE))</f>
        <v/>
      </c>
      <c r="C456" t="str">
        <f>IF(A456="", "", SUMIF(BASE!$A$4:$A$10003, A456, BASE!$C$4:$C$10003))</f>
        <v/>
      </c>
      <c r="D456" t="str">
        <f>IF(A456="", "", INDEX(BASE!$D$4:$D$10003, MATCH(A456, BASE!$A$4:$A$10003, 0)))</f>
        <v/>
      </c>
      <c r="E456" t="str">
        <f>IF(A456="", "", INDEX(BASE!$E$4:$E$10003, MATCH(A456, BASE!$A$4:$A$10003, 0)))</f>
        <v/>
      </c>
    </row>
    <row r="457" spans="1:5">
      <c r="A457" t="str">
        <f>IFERROR(INDEX(BASE!$A$4:$A$10003, MATCH(0, COUNTIF($A$1:A456, BASE!$A$4:$A$10003&amp;""), 0)), "")</f>
        <v/>
      </c>
      <c r="B457" t="str">
        <f>IF(A457="", "", VLOOKUP(A457, BASE!$A$4:$B$10003, 2, FALSE))</f>
        <v/>
      </c>
      <c r="C457" t="str">
        <f>IF(A457="", "", SUMIF(BASE!$A$4:$A$10003, A457, BASE!$C$4:$C$10003))</f>
        <v/>
      </c>
      <c r="D457" t="str">
        <f>IF(A457="", "", INDEX(BASE!$D$4:$D$10003, MATCH(A457, BASE!$A$4:$A$10003, 0)))</f>
        <v/>
      </c>
      <c r="E457" t="str">
        <f>IF(A457="", "", INDEX(BASE!$E$4:$E$10003, MATCH(A457, BASE!$A$4:$A$10003, 0)))</f>
        <v/>
      </c>
    </row>
    <row r="458" spans="1:5">
      <c r="A458" t="str">
        <f>IFERROR(INDEX(BASE!$A$4:$A$10003, MATCH(0, COUNTIF($A$1:A457, BASE!$A$4:$A$10003&amp;""), 0)), "")</f>
        <v/>
      </c>
      <c r="B458" t="str">
        <f>IF(A458="", "", VLOOKUP(A458, BASE!$A$4:$B$10003, 2, FALSE))</f>
        <v/>
      </c>
      <c r="C458" t="str">
        <f>IF(A458="", "", SUMIF(BASE!$A$4:$A$10003, A458, BASE!$C$4:$C$10003))</f>
        <v/>
      </c>
      <c r="D458" t="str">
        <f>IF(A458="", "", INDEX(BASE!$D$4:$D$10003, MATCH(A458, BASE!$A$4:$A$10003, 0)))</f>
        <v/>
      </c>
      <c r="E458" t="str">
        <f>IF(A458="", "", INDEX(BASE!$E$4:$E$10003, MATCH(A458, BASE!$A$4:$A$10003, 0)))</f>
        <v/>
      </c>
    </row>
    <row r="459" spans="1:5">
      <c r="A459" t="str">
        <f>IFERROR(INDEX(BASE!$A$4:$A$10003, MATCH(0, COUNTIF($A$1:A458, BASE!$A$4:$A$10003&amp;""), 0)), "")</f>
        <v/>
      </c>
      <c r="B459" t="str">
        <f>IF(A459="", "", VLOOKUP(A459, BASE!$A$4:$B$10003, 2, FALSE))</f>
        <v/>
      </c>
      <c r="C459" t="str">
        <f>IF(A459="", "", SUMIF(BASE!$A$4:$A$10003, A459, BASE!$C$4:$C$10003))</f>
        <v/>
      </c>
      <c r="D459" t="str">
        <f>IF(A459="", "", INDEX(BASE!$D$4:$D$10003, MATCH(A459, BASE!$A$4:$A$10003, 0)))</f>
        <v/>
      </c>
      <c r="E459" t="str">
        <f>IF(A459="", "", INDEX(BASE!$E$4:$E$10003, MATCH(A459, BASE!$A$4:$A$10003, 0)))</f>
        <v/>
      </c>
    </row>
    <row r="460" spans="1:5">
      <c r="A460" t="str">
        <f>IFERROR(INDEX(BASE!$A$4:$A$10003, MATCH(0, COUNTIF($A$1:A459, BASE!$A$4:$A$10003&amp;""), 0)), "")</f>
        <v/>
      </c>
      <c r="B460" t="str">
        <f>IF(A460="", "", VLOOKUP(A460, BASE!$A$4:$B$10003, 2, FALSE))</f>
        <v/>
      </c>
      <c r="C460" t="str">
        <f>IF(A460="", "", SUMIF(BASE!$A$4:$A$10003, A460, BASE!$C$4:$C$10003))</f>
        <v/>
      </c>
      <c r="D460" t="str">
        <f>IF(A460="", "", INDEX(BASE!$D$4:$D$10003, MATCH(A460, BASE!$A$4:$A$10003, 0)))</f>
        <v/>
      </c>
      <c r="E460" t="str">
        <f>IF(A460="", "", INDEX(BASE!$E$4:$E$10003, MATCH(A460, BASE!$A$4:$A$10003, 0)))</f>
        <v/>
      </c>
    </row>
    <row r="461" spans="1:5">
      <c r="A461" t="str">
        <f>IFERROR(INDEX(BASE!$A$4:$A$10003, MATCH(0, COUNTIF($A$1:A460, BASE!$A$4:$A$10003&amp;""), 0)), "")</f>
        <v/>
      </c>
      <c r="B461" t="str">
        <f>IF(A461="", "", VLOOKUP(A461, BASE!$A$4:$B$10003, 2, FALSE))</f>
        <v/>
      </c>
      <c r="C461" t="str">
        <f>IF(A461="", "", SUMIF(BASE!$A$4:$A$10003, A461, BASE!$C$4:$C$10003))</f>
        <v/>
      </c>
      <c r="D461" t="str">
        <f>IF(A461="", "", INDEX(BASE!$D$4:$D$10003, MATCH(A461, BASE!$A$4:$A$10003, 0)))</f>
        <v/>
      </c>
      <c r="E461" t="str">
        <f>IF(A461="", "", INDEX(BASE!$E$4:$E$10003, MATCH(A461, BASE!$A$4:$A$10003, 0)))</f>
        <v/>
      </c>
    </row>
    <row r="462" spans="1:5">
      <c r="A462" t="str">
        <f>IFERROR(INDEX(BASE!$A$4:$A$10003, MATCH(0, COUNTIF($A$1:A461, BASE!$A$4:$A$10003&amp;""), 0)), "")</f>
        <v/>
      </c>
      <c r="B462" t="str">
        <f>IF(A462="", "", VLOOKUP(A462, BASE!$A$4:$B$10003, 2, FALSE))</f>
        <v/>
      </c>
      <c r="C462" t="str">
        <f>IF(A462="", "", SUMIF(BASE!$A$4:$A$10003, A462, BASE!$C$4:$C$10003))</f>
        <v/>
      </c>
      <c r="D462" t="str">
        <f>IF(A462="", "", INDEX(BASE!$D$4:$D$10003, MATCH(A462, BASE!$A$4:$A$10003, 0)))</f>
        <v/>
      </c>
      <c r="E462" t="str">
        <f>IF(A462="", "", INDEX(BASE!$E$4:$E$10003, MATCH(A462, BASE!$A$4:$A$10003, 0)))</f>
        <v/>
      </c>
    </row>
    <row r="463" spans="1:5">
      <c r="A463" t="str">
        <f>IFERROR(INDEX(BASE!$A$4:$A$10003, MATCH(0, COUNTIF($A$1:A462, BASE!$A$4:$A$10003&amp;""), 0)), "")</f>
        <v/>
      </c>
      <c r="B463" t="str">
        <f>IF(A463="", "", VLOOKUP(A463, BASE!$A$4:$B$10003, 2, FALSE))</f>
        <v/>
      </c>
      <c r="C463" t="str">
        <f>IF(A463="", "", SUMIF(BASE!$A$4:$A$10003, A463, BASE!$C$4:$C$10003))</f>
        <v/>
      </c>
      <c r="D463" t="str">
        <f>IF(A463="", "", INDEX(BASE!$D$4:$D$10003, MATCH(A463, BASE!$A$4:$A$10003, 0)))</f>
        <v/>
      </c>
      <c r="E463" t="str">
        <f>IF(A463="", "", INDEX(BASE!$E$4:$E$10003, MATCH(A463, BASE!$A$4:$A$10003, 0)))</f>
        <v/>
      </c>
    </row>
    <row r="464" spans="1:5">
      <c r="A464" t="str">
        <f>IFERROR(INDEX(BASE!$A$4:$A$10003, MATCH(0, COUNTIF($A$1:A463, BASE!$A$4:$A$10003&amp;""), 0)), "")</f>
        <v/>
      </c>
      <c r="B464" t="str">
        <f>IF(A464="", "", VLOOKUP(A464, BASE!$A$4:$B$10003, 2, FALSE))</f>
        <v/>
      </c>
      <c r="C464" t="str">
        <f>IF(A464="", "", SUMIF(BASE!$A$4:$A$10003, A464, BASE!$C$4:$C$10003))</f>
        <v/>
      </c>
      <c r="D464" t="str">
        <f>IF(A464="", "", INDEX(BASE!$D$4:$D$10003, MATCH(A464, BASE!$A$4:$A$10003, 0)))</f>
        <v/>
      </c>
      <c r="E464" t="str">
        <f>IF(A464="", "", INDEX(BASE!$E$4:$E$10003, MATCH(A464, BASE!$A$4:$A$10003, 0)))</f>
        <v/>
      </c>
    </row>
    <row r="465" spans="1:5">
      <c r="A465" t="str">
        <f>IFERROR(INDEX(BASE!$A$4:$A$10003, MATCH(0, COUNTIF($A$1:A464, BASE!$A$4:$A$10003&amp;""), 0)), "")</f>
        <v/>
      </c>
      <c r="B465" t="str">
        <f>IF(A465="", "", VLOOKUP(A465, BASE!$A$4:$B$10003, 2, FALSE))</f>
        <v/>
      </c>
      <c r="C465" t="str">
        <f>IF(A465="", "", SUMIF(BASE!$A$4:$A$10003, A465, BASE!$C$4:$C$10003))</f>
        <v/>
      </c>
      <c r="D465" t="str">
        <f>IF(A465="", "", INDEX(BASE!$D$4:$D$10003, MATCH(A465, BASE!$A$4:$A$10003, 0)))</f>
        <v/>
      </c>
      <c r="E465" t="str">
        <f>IF(A465="", "", INDEX(BASE!$E$4:$E$10003, MATCH(A465, BASE!$A$4:$A$10003, 0)))</f>
        <v/>
      </c>
    </row>
    <row r="466" spans="1:5">
      <c r="A466" t="str">
        <f>IFERROR(INDEX(BASE!$A$4:$A$10003, MATCH(0, COUNTIF($A$1:A465, BASE!$A$4:$A$10003&amp;""), 0)), "")</f>
        <v/>
      </c>
      <c r="B466" t="str">
        <f>IF(A466="", "", VLOOKUP(A466, BASE!$A$4:$B$10003, 2, FALSE))</f>
        <v/>
      </c>
      <c r="C466" t="str">
        <f>IF(A466="", "", SUMIF(BASE!$A$4:$A$10003, A466, BASE!$C$4:$C$10003))</f>
        <v/>
      </c>
      <c r="D466" t="str">
        <f>IF(A466="", "", INDEX(BASE!$D$4:$D$10003, MATCH(A466, BASE!$A$4:$A$10003, 0)))</f>
        <v/>
      </c>
      <c r="E466" t="str">
        <f>IF(A466="", "", INDEX(BASE!$E$4:$E$10003, MATCH(A466, BASE!$A$4:$A$10003, 0)))</f>
        <v/>
      </c>
    </row>
    <row r="467" spans="1:5">
      <c r="A467" t="str">
        <f>IFERROR(INDEX(BASE!$A$4:$A$10003, MATCH(0, COUNTIF($A$1:A466, BASE!$A$4:$A$10003&amp;""), 0)), "")</f>
        <v/>
      </c>
      <c r="B467" t="str">
        <f>IF(A467="", "", VLOOKUP(A467, BASE!$A$4:$B$10003, 2, FALSE))</f>
        <v/>
      </c>
      <c r="C467" t="str">
        <f>IF(A467="", "", SUMIF(BASE!$A$4:$A$10003, A467, BASE!$C$4:$C$10003))</f>
        <v/>
      </c>
      <c r="D467" t="str">
        <f>IF(A467="", "", INDEX(BASE!$D$4:$D$10003, MATCH(A467, BASE!$A$4:$A$10003, 0)))</f>
        <v/>
      </c>
      <c r="E467" t="str">
        <f>IF(A467="", "", INDEX(BASE!$E$4:$E$10003, MATCH(A467, BASE!$A$4:$A$10003, 0)))</f>
        <v/>
      </c>
    </row>
    <row r="468" spans="1:5">
      <c r="A468" t="str">
        <f>IFERROR(INDEX(BASE!$A$4:$A$10003, MATCH(0, COUNTIF($A$1:A467, BASE!$A$4:$A$10003&amp;""), 0)), "")</f>
        <v/>
      </c>
      <c r="B468" t="str">
        <f>IF(A468="", "", VLOOKUP(A468, BASE!$A$4:$B$10003, 2, FALSE))</f>
        <v/>
      </c>
      <c r="C468" t="str">
        <f>IF(A468="", "", SUMIF(BASE!$A$4:$A$10003, A468, BASE!$C$4:$C$10003))</f>
        <v/>
      </c>
      <c r="D468" t="str">
        <f>IF(A468="", "", INDEX(BASE!$D$4:$D$10003, MATCH(A468, BASE!$A$4:$A$10003, 0)))</f>
        <v/>
      </c>
      <c r="E468" t="str">
        <f>IF(A468="", "", INDEX(BASE!$E$4:$E$10003, MATCH(A468, BASE!$A$4:$A$10003, 0)))</f>
        <v/>
      </c>
    </row>
    <row r="469" spans="1:5">
      <c r="A469" t="str">
        <f>IFERROR(INDEX(BASE!$A$4:$A$10003, MATCH(0, COUNTIF($A$1:A468, BASE!$A$4:$A$10003&amp;""), 0)), "")</f>
        <v/>
      </c>
      <c r="B469" t="str">
        <f>IF(A469="", "", VLOOKUP(A469, BASE!$A$4:$B$10003, 2, FALSE))</f>
        <v/>
      </c>
      <c r="C469" t="str">
        <f>IF(A469="", "", SUMIF(BASE!$A$4:$A$10003, A469, BASE!$C$4:$C$10003))</f>
        <v/>
      </c>
      <c r="D469" t="str">
        <f>IF(A469="", "", INDEX(BASE!$D$4:$D$10003, MATCH(A469, BASE!$A$4:$A$10003, 0)))</f>
        <v/>
      </c>
      <c r="E469" t="str">
        <f>IF(A469="", "", INDEX(BASE!$E$4:$E$10003, MATCH(A469, BASE!$A$4:$A$10003, 0)))</f>
        <v/>
      </c>
    </row>
    <row r="470" spans="1:5">
      <c r="A470" t="str">
        <f>IFERROR(INDEX(BASE!$A$4:$A$10003, MATCH(0, COUNTIF($A$1:A469, BASE!$A$4:$A$10003&amp;""), 0)), "")</f>
        <v/>
      </c>
      <c r="B470" t="str">
        <f>IF(A470="", "", VLOOKUP(A470, BASE!$A$4:$B$10003, 2, FALSE))</f>
        <v/>
      </c>
      <c r="C470" t="str">
        <f>IF(A470="", "", SUMIF(BASE!$A$4:$A$10003, A470, BASE!$C$4:$C$10003))</f>
        <v/>
      </c>
      <c r="D470" t="str">
        <f>IF(A470="", "", INDEX(BASE!$D$4:$D$10003, MATCH(A470, BASE!$A$4:$A$10003, 0)))</f>
        <v/>
      </c>
      <c r="E470" t="str">
        <f>IF(A470="", "", INDEX(BASE!$E$4:$E$10003, MATCH(A470, BASE!$A$4:$A$10003, 0)))</f>
        <v/>
      </c>
    </row>
    <row r="471" spans="1:5">
      <c r="A471" t="str">
        <f>IFERROR(INDEX(BASE!$A$4:$A$10003, MATCH(0, COUNTIF($A$1:A470, BASE!$A$4:$A$10003&amp;""), 0)), "")</f>
        <v/>
      </c>
      <c r="B471" t="str">
        <f>IF(A471="", "", VLOOKUP(A471, BASE!$A$4:$B$10003, 2, FALSE))</f>
        <v/>
      </c>
      <c r="C471" t="str">
        <f>IF(A471="", "", SUMIF(BASE!$A$4:$A$10003, A471, BASE!$C$4:$C$10003))</f>
        <v/>
      </c>
      <c r="D471" t="str">
        <f>IF(A471="", "", INDEX(BASE!$D$4:$D$10003, MATCH(A471, BASE!$A$4:$A$10003, 0)))</f>
        <v/>
      </c>
      <c r="E471" t="str">
        <f>IF(A471="", "", INDEX(BASE!$E$4:$E$10003, MATCH(A471, BASE!$A$4:$A$10003, 0)))</f>
        <v/>
      </c>
    </row>
    <row r="472" spans="1:5">
      <c r="A472" t="str">
        <f>IFERROR(INDEX(BASE!$A$4:$A$10003, MATCH(0, COUNTIF($A$1:A471, BASE!$A$4:$A$10003&amp;""), 0)), "")</f>
        <v/>
      </c>
      <c r="B472" t="str">
        <f>IF(A472="", "", VLOOKUP(A472, BASE!$A$4:$B$10003, 2, FALSE))</f>
        <v/>
      </c>
      <c r="C472" t="str">
        <f>IF(A472="", "", SUMIF(BASE!$A$4:$A$10003, A472, BASE!$C$4:$C$10003))</f>
        <v/>
      </c>
      <c r="D472" t="str">
        <f>IF(A472="", "", INDEX(BASE!$D$4:$D$10003, MATCH(A472, BASE!$A$4:$A$10003, 0)))</f>
        <v/>
      </c>
      <c r="E472" t="str">
        <f>IF(A472="", "", INDEX(BASE!$E$4:$E$10003, MATCH(A472, BASE!$A$4:$A$10003, 0)))</f>
        <v/>
      </c>
    </row>
    <row r="473" spans="1:5">
      <c r="A473" t="str">
        <f>IFERROR(INDEX(BASE!$A$4:$A$10003, MATCH(0, COUNTIF($A$1:A472, BASE!$A$4:$A$10003&amp;""), 0)), "")</f>
        <v/>
      </c>
      <c r="B473" t="str">
        <f>IF(A473="", "", VLOOKUP(A473, BASE!$A$4:$B$10003, 2, FALSE))</f>
        <v/>
      </c>
      <c r="C473" t="str">
        <f>IF(A473="", "", SUMIF(BASE!$A$4:$A$10003, A473, BASE!$C$4:$C$10003))</f>
        <v/>
      </c>
      <c r="D473" t="str">
        <f>IF(A473="", "", INDEX(BASE!$D$4:$D$10003, MATCH(A473, BASE!$A$4:$A$10003, 0)))</f>
        <v/>
      </c>
      <c r="E473" t="str">
        <f>IF(A473="", "", INDEX(BASE!$E$4:$E$10003, MATCH(A473, BASE!$A$4:$A$10003, 0)))</f>
        <v/>
      </c>
    </row>
    <row r="474" spans="1:5">
      <c r="A474" t="str">
        <f>IFERROR(INDEX(BASE!$A$4:$A$10003, MATCH(0, COUNTIF($A$1:A473, BASE!$A$4:$A$10003&amp;""), 0)), "")</f>
        <v/>
      </c>
      <c r="B474" t="str">
        <f>IF(A474="", "", VLOOKUP(A474, BASE!$A$4:$B$10003, 2, FALSE))</f>
        <v/>
      </c>
      <c r="C474" t="str">
        <f>IF(A474="", "", SUMIF(BASE!$A$4:$A$10003, A474, BASE!$C$4:$C$10003))</f>
        <v/>
      </c>
      <c r="D474" t="str">
        <f>IF(A474="", "", INDEX(BASE!$D$4:$D$10003, MATCH(A474, BASE!$A$4:$A$10003, 0)))</f>
        <v/>
      </c>
      <c r="E474" t="str">
        <f>IF(A474="", "", INDEX(BASE!$E$4:$E$10003, MATCH(A474, BASE!$A$4:$A$10003, 0)))</f>
        <v/>
      </c>
    </row>
    <row r="475" spans="1:5">
      <c r="A475" t="str">
        <f>IFERROR(INDEX(BASE!$A$4:$A$10003, MATCH(0, COUNTIF($A$1:A474, BASE!$A$4:$A$10003&amp;""), 0)), "")</f>
        <v/>
      </c>
      <c r="B475" t="str">
        <f>IF(A475="", "", VLOOKUP(A475, BASE!$A$4:$B$10003, 2, FALSE))</f>
        <v/>
      </c>
      <c r="C475" t="str">
        <f>IF(A475="", "", SUMIF(BASE!$A$4:$A$10003, A475, BASE!$C$4:$C$10003))</f>
        <v/>
      </c>
      <c r="D475" t="str">
        <f>IF(A475="", "", INDEX(BASE!$D$4:$D$10003, MATCH(A475, BASE!$A$4:$A$10003, 0)))</f>
        <v/>
      </c>
      <c r="E475" t="str">
        <f>IF(A475="", "", INDEX(BASE!$E$4:$E$10003, MATCH(A475, BASE!$A$4:$A$10003, 0)))</f>
        <v/>
      </c>
    </row>
    <row r="476" spans="1:5">
      <c r="A476" t="str">
        <f>IFERROR(INDEX(BASE!$A$4:$A$10003, MATCH(0, COUNTIF($A$1:A475, BASE!$A$4:$A$10003&amp;""), 0)), "")</f>
        <v/>
      </c>
      <c r="B476" t="str">
        <f>IF(A476="", "", VLOOKUP(A476, BASE!$A$4:$B$10003, 2, FALSE))</f>
        <v/>
      </c>
      <c r="C476" t="str">
        <f>IF(A476="", "", SUMIF(BASE!$A$4:$A$10003, A476, BASE!$C$4:$C$10003))</f>
        <v/>
      </c>
      <c r="D476" t="str">
        <f>IF(A476="", "", INDEX(BASE!$D$4:$D$10003, MATCH(A476, BASE!$A$4:$A$10003, 0)))</f>
        <v/>
      </c>
      <c r="E476" t="str">
        <f>IF(A476="", "", INDEX(BASE!$E$4:$E$10003, MATCH(A476, BASE!$A$4:$A$10003, 0)))</f>
        <v/>
      </c>
    </row>
    <row r="477" spans="1:5">
      <c r="A477" t="str">
        <f>IFERROR(INDEX(BASE!$A$4:$A$10003, MATCH(0, COUNTIF($A$1:A476, BASE!$A$4:$A$10003&amp;""), 0)), "")</f>
        <v/>
      </c>
      <c r="B477" t="str">
        <f>IF(A477="", "", VLOOKUP(A477, BASE!$A$4:$B$10003, 2, FALSE))</f>
        <v/>
      </c>
      <c r="C477" t="str">
        <f>IF(A477="", "", SUMIF(BASE!$A$4:$A$10003, A477, BASE!$C$4:$C$10003))</f>
        <v/>
      </c>
      <c r="D477" t="str">
        <f>IF(A477="", "", INDEX(BASE!$D$4:$D$10003, MATCH(A477, BASE!$A$4:$A$10003, 0)))</f>
        <v/>
      </c>
      <c r="E477" t="str">
        <f>IF(A477="", "", INDEX(BASE!$E$4:$E$10003, MATCH(A477, BASE!$A$4:$A$10003, 0)))</f>
        <v/>
      </c>
    </row>
    <row r="478" spans="1:5">
      <c r="A478" t="str">
        <f>IFERROR(INDEX(BASE!$A$4:$A$10003, MATCH(0, COUNTIF($A$1:A477, BASE!$A$4:$A$10003&amp;""), 0)), "")</f>
        <v/>
      </c>
      <c r="B478" t="str">
        <f>IF(A478="", "", VLOOKUP(A478, BASE!$A$4:$B$10003, 2, FALSE))</f>
        <v/>
      </c>
      <c r="C478" t="str">
        <f>IF(A478="", "", SUMIF(BASE!$A$4:$A$10003, A478, BASE!$C$4:$C$10003))</f>
        <v/>
      </c>
      <c r="D478" t="str">
        <f>IF(A478="", "", INDEX(BASE!$D$4:$D$10003, MATCH(A478, BASE!$A$4:$A$10003, 0)))</f>
        <v/>
      </c>
      <c r="E478" t="str">
        <f>IF(A478="", "", INDEX(BASE!$E$4:$E$10003, MATCH(A478, BASE!$A$4:$A$10003, 0)))</f>
        <v/>
      </c>
    </row>
    <row r="479" spans="1:5">
      <c r="A479" t="str">
        <f>IFERROR(INDEX(BASE!$A$4:$A$10003, MATCH(0, COUNTIF($A$1:A478, BASE!$A$4:$A$10003&amp;""), 0)), "")</f>
        <v/>
      </c>
      <c r="B479" t="str">
        <f>IF(A479="", "", VLOOKUP(A479, BASE!$A$4:$B$10003, 2, FALSE))</f>
        <v/>
      </c>
      <c r="C479" t="str">
        <f>IF(A479="", "", SUMIF(BASE!$A$4:$A$10003, A479, BASE!$C$4:$C$10003))</f>
        <v/>
      </c>
      <c r="D479" t="str">
        <f>IF(A479="", "", INDEX(BASE!$D$4:$D$10003, MATCH(A479, BASE!$A$4:$A$10003, 0)))</f>
        <v/>
      </c>
      <c r="E479" t="str">
        <f>IF(A479="", "", INDEX(BASE!$E$4:$E$10003, MATCH(A479, BASE!$A$4:$A$10003, 0)))</f>
        <v/>
      </c>
    </row>
    <row r="480" spans="1:5">
      <c r="A480" t="str">
        <f>IFERROR(INDEX(BASE!$A$4:$A$10003, MATCH(0, COUNTIF($A$1:A479, BASE!$A$4:$A$10003&amp;""), 0)), "")</f>
        <v/>
      </c>
      <c r="B480" t="str">
        <f>IF(A480="", "", VLOOKUP(A480, BASE!$A$4:$B$10003, 2, FALSE))</f>
        <v/>
      </c>
      <c r="C480" t="str">
        <f>IF(A480="", "", SUMIF(BASE!$A$4:$A$10003, A480, BASE!$C$4:$C$10003))</f>
        <v/>
      </c>
      <c r="D480" t="str">
        <f>IF(A480="", "", INDEX(BASE!$D$4:$D$10003, MATCH(A480, BASE!$A$4:$A$10003, 0)))</f>
        <v/>
      </c>
      <c r="E480" t="str">
        <f>IF(A480="", "", INDEX(BASE!$E$4:$E$10003, MATCH(A480, BASE!$A$4:$A$10003, 0)))</f>
        <v/>
      </c>
    </row>
    <row r="481" spans="1:5">
      <c r="A481" t="str">
        <f>IFERROR(INDEX(BASE!$A$4:$A$10003, MATCH(0, COUNTIF($A$1:A480, BASE!$A$4:$A$10003&amp;""), 0)), "")</f>
        <v/>
      </c>
      <c r="B481" t="str">
        <f>IF(A481="", "", VLOOKUP(A481, BASE!$A$4:$B$10003, 2, FALSE))</f>
        <v/>
      </c>
      <c r="C481" t="str">
        <f>IF(A481="", "", SUMIF(BASE!$A$4:$A$10003, A481, BASE!$C$4:$C$10003))</f>
        <v/>
      </c>
      <c r="D481" t="str">
        <f>IF(A481="", "", INDEX(BASE!$D$4:$D$10003, MATCH(A481, BASE!$A$4:$A$10003, 0)))</f>
        <v/>
      </c>
      <c r="E481" t="str">
        <f>IF(A481="", "", INDEX(BASE!$E$4:$E$10003, MATCH(A481, BASE!$A$4:$A$10003, 0)))</f>
        <v/>
      </c>
    </row>
    <row r="482" spans="1:5">
      <c r="A482" t="str">
        <f>IFERROR(INDEX(BASE!$A$4:$A$10003, MATCH(0, COUNTIF($A$1:A481, BASE!$A$4:$A$10003&amp;""), 0)), "")</f>
        <v/>
      </c>
      <c r="B482" t="str">
        <f>IF(A482="", "", VLOOKUP(A482, BASE!$A$4:$B$10003, 2, FALSE))</f>
        <v/>
      </c>
      <c r="C482" t="str">
        <f>IF(A482="", "", SUMIF(BASE!$A$4:$A$10003, A482, BASE!$C$4:$C$10003))</f>
        <v/>
      </c>
      <c r="D482" t="str">
        <f>IF(A482="", "", INDEX(BASE!$D$4:$D$10003, MATCH(A482, BASE!$A$4:$A$10003, 0)))</f>
        <v/>
      </c>
      <c r="E482" t="str">
        <f>IF(A482="", "", INDEX(BASE!$E$4:$E$10003, MATCH(A482, BASE!$A$4:$A$10003, 0)))</f>
        <v/>
      </c>
    </row>
    <row r="483" spans="1:5">
      <c r="A483" t="str">
        <f>IFERROR(INDEX(BASE!$A$4:$A$10003, MATCH(0, COUNTIF($A$1:A482, BASE!$A$4:$A$10003&amp;""), 0)), "")</f>
        <v/>
      </c>
      <c r="B483" t="str">
        <f>IF(A483="", "", VLOOKUP(A483, BASE!$A$4:$B$10003, 2, FALSE))</f>
        <v/>
      </c>
      <c r="C483" t="str">
        <f>IF(A483="", "", SUMIF(BASE!$A$4:$A$10003, A483, BASE!$C$4:$C$10003))</f>
        <v/>
      </c>
      <c r="D483" t="str">
        <f>IF(A483="", "", INDEX(BASE!$D$4:$D$10003, MATCH(A483, BASE!$A$4:$A$10003, 0)))</f>
        <v/>
      </c>
      <c r="E483" t="str">
        <f>IF(A483="", "", INDEX(BASE!$E$4:$E$10003, MATCH(A483, BASE!$A$4:$A$10003, 0)))</f>
        <v/>
      </c>
    </row>
    <row r="484" spans="1:5">
      <c r="A484" t="str">
        <f>IFERROR(INDEX(BASE!$A$4:$A$10003, MATCH(0, COUNTIF($A$1:A483, BASE!$A$4:$A$10003&amp;""), 0)), "")</f>
        <v/>
      </c>
      <c r="B484" t="str">
        <f>IF(A484="", "", VLOOKUP(A484, BASE!$A$4:$B$10003, 2, FALSE))</f>
        <v/>
      </c>
      <c r="C484" t="str">
        <f>IF(A484="", "", SUMIF(BASE!$A$4:$A$10003, A484, BASE!$C$4:$C$10003))</f>
        <v/>
      </c>
      <c r="D484" t="str">
        <f>IF(A484="", "", INDEX(BASE!$D$4:$D$10003, MATCH(A484, BASE!$A$4:$A$10003, 0)))</f>
        <v/>
      </c>
      <c r="E484" t="str">
        <f>IF(A484="", "", INDEX(BASE!$E$4:$E$10003, MATCH(A484, BASE!$A$4:$A$10003, 0)))</f>
        <v/>
      </c>
    </row>
    <row r="485" spans="1:5">
      <c r="A485" t="str">
        <f>IFERROR(INDEX(BASE!$A$4:$A$10003, MATCH(0, COUNTIF($A$1:A484, BASE!$A$4:$A$10003&amp;""), 0)), "")</f>
        <v/>
      </c>
      <c r="B485" t="str">
        <f>IF(A485="", "", VLOOKUP(A485, BASE!$A$4:$B$10003, 2, FALSE))</f>
        <v/>
      </c>
      <c r="C485" t="str">
        <f>IF(A485="", "", SUMIF(BASE!$A$4:$A$10003, A485, BASE!$C$4:$C$10003))</f>
        <v/>
      </c>
      <c r="D485" t="str">
        <f>IF(A485="", "", INDEX(BASE!$D$4:$D$10003, MATCH(A485, BASE!$A$4:$A$10003, 0)))</f>
        <v/>
      </c>
      <c r="E485" t="str">
        <f>IF(A485="", "", INDEX(BASE!$E$4:$E$10003, MATCH(A485, BASE!$A$4:$A$10003, 0)))</f>
        <v/>
      </c>
    </row>
    <row r="486" spans="1:5">
      <c r="A486" t="str">
        <f>IFERROR(INDEX(BASE!$A$4:$A$10003, MATCH(0, COUNTIF($A$1:A485, BASE!$A$4:$A$10003&amp;""), 0)), "")</f>
        <v/>
      </c>
      <c r="B486" t="str">
        <f>IF(A486="", "", VLOOKUP(A486, BASE!$A$4:$B$10003, 2, FALSE))</f>
        <v/>
      </c>
      <c r="C486" t="str">
        <f>IF(A486="", "", SUMIF(BASE!$A$4:$A$10003, A486, BASE!$C$4:$C$10003))</f>
        <v/>
      </c>
      <c r="D486" t="str">
        <f>IF(A486="", "", INDEX(BASE!$D$4:$D$10003, MATCH(A486, BASE!$A$4:$A$10003, 0)))</f>
        <v/>
      </c>
      <c r="E486" t="str">
        <f>IF(A486="", "", INDEX(BASE!$E$4:$E$10003, MATCH(A486, BASE!$A$4:$A$10003, 0)))</f>
        <v/>
      </c>
    </row>
    <row r="487" spans="1:5">
      <c r="A487" t="str">
        <f>IFERROR(INDEX(BASE!$A$4:$A$10003, MATCH(0, COUNTIF($A$1:A486, BASE!$A$4:$A$10003&amp;""), 0)), "")</f>
        <v/>
      </c>
      <c r="B487" t="str">
        <f>IF(A487="", "", VLOOKUP(A487, BASE!$A$4:$B$10003, 2, FALSE))</f>
        <v/>
      </c>
      <c r="C487" t="str">
        <f>IF(A487="", "", SUMIF(BASE!$A$4:$A$10003, A487, BASE!$C$4:$C$10003))</f>
        <v/>
      </c>
      <c r="D487" t="str">
        <f>IF(A487="", "", INDEX(BASE!$D$4:$D$10003, MATCH(A487, BASE!$A$4:$A$10003, 0)))</f>
        <v/>
      </c>
      <c r="E487" t="str">
        <f>IF(A487="", "", INDEX(BASE!$E$4:$E$10003, MATCH(A487, BASE!$A$4:$A$10003, 0)))</f>
        <v/>
      </c>
    </row>
    <row r="488" spans="1:5">
      <c r="A488" t="str">
        <f>IFERROR(INDEX(BASE!$A$4:$A$10003, MATCH(0, COUNTIF($A$1:A487, BASE!$A$4:$A$10003&amp;""), 0)), "")</f>
        <v/>
      </c>
      <c r="B488" t="str">
        <f>IF(A488="", "", VLOOKUP(A488, BASE!$A$4:$B$10003, 2, FALSE))</f>
        <v/>
      </c>
      <c r="C488" t="str">
        <f>IF(A488="", "", SUMIF(BASE!$A$4:$A$10003, A488, BASE!$C$4:$C$10003))</f>
        <v/>
      </c>
      <c r="D488" t="str">
        <f>IF(A488="", "", INDEX(BASE!$D$4:$D$10003, MATCH(A488, BASE!$A$4:$A$10003, 0)))</f>
        <v/>
      </c>
      <c r="E488" t="str">
        <f>IF(A488="", "", INDEX(BASE!$E$4:$E$10003, MATCH(A488, BASE!$A$4:$A$10003, 0)))</f>
        <v/>
      </c>
    </row>
    <row r="489" spans="1:5">
      <c r="A489" t="str">
        <f>IFERROR(INDEX(BASE!$A$4:$A$10003, MATCH(0, COUNTIF($A$1:A488, BASE!$A$4:$A$10003&amp;""), 0)), "")</f>
        <v/>
      </c>
      <c r="B489" t="str">
        <f>IF(A489="", "", VLOOKUP(A489, BASE!$A$4:$B$10003, 2, FALSE))</f>
        <v/>
      </c>
      <c r="C489" t="str">
        <f>IF(A489="", "", SUMIF(BASE!$A$4:$A$10003, A489, BASE!$C$4:$C$10003))</f>
        <v/>
      </c>
      <c r="D489" t="str">
        <f>IF(A489="", "", INDEX(BASE!$D$4:$D$10003, MATCH(A489, BASE!$A$4:$A$10003, 0)))</f>
        <v/>
      </c>
      <c r="E489" t="str">
        <f>IF(A489="", "", INDEX(BASE!$E$4:$E$10003, MATCH(A489, BASE!$A$4:$A$10003, 0)))</f>
        <v/>
      </c>
    </row>
    <row r="490" spans="1:5">
      <c r="A490" t="str">
        <f>IFERROR(INDEX(BASE!$A$4:$A$10003, MATCH(0, COUNTIF($A$1:A489, BASE!$A$4:$A$10003&amp;""), 0)), "")</f>
        <v/>
      </c>
      <c r="B490" t="str">
        <f>IF(A490="", "", VLOOKUP(A490, BASE!$A$4:$B$10003, 2, FALSE))</f>
        <v/>
      </c>
      <c r="C490" t="str">
        <f>IF(A490="", "", SUMIF(BASE!$A$4:$A$10003, A490, BASE!$C$4:$C$10003))</f>
        <v/>
      </c>
      <c r="D490" t="str">
        <f>IF(A490="", "", INDEX(BASE!$D$4:$D$10003, MATCH(A490, BASE!$A$4:$A$10003, 0)))</f>
        <v/>
      </c>
      <c r="E490" t="str">
        <f>IF(A490="", "", INDEX(BASE!$E$4:$E$10003, MATCH(A490, BASE!$A$4:$A$10003, 0)))</f>
        <v/>
      </c>
    </row>
    <row r="491" spans="1:5">
      <c r="A491" t="str">
        <f>IFERROR(INDEX(BASE!$A$4:$A$10003, MATCH(0, COUNTIF($A$1:A490, BASE!$A$4:$A$10003&amp;""), 0)), "")</f>
        <v/>
      </c>
      <c r="B491" t="str">
        <f>IF(A491="", "", VLOOKUP(A491, BASE!$A$4:$B$10003, 2, FALSE))</f>
        <v/>
      </c>
      <c r="C491" t="str">
        <f>IF(A491="", "", SUMIF(BASE!$A$4:$A$10003, A491, BASE!$C$4:$C$10003))</f>
        <v/>
      </c>
      <c r="D491" t="str">
        <f>IF(A491="", "", INDEX(BASE!$D$4:$D$10003, MATCH(A491, BASE!$A$4:$A$10003, 0)))</f>
        <v/>
      </c>
      <c r="E491" t="str">
        <f>IF(A491="", "", INDEX(BASE!$E$4:$E$10003, MATCH(A491, BASE!$A$4:$A$10003, 0)))</f>
        <v/>
      </c>
    </row>
    <row r="492" spans="1:5">
      <c r="A492" t="str">
        <f>IFERROR(INDEX(BASE!$A$4:$A$10003, MATCH(0, COUNTIF($A$1:A491, BASE!$A$4:$A$10003&amp;""), 0)), "")</f>
        <v/>
      </c>
      <c r="B492" t="str">
        <f>IF(A492="", "", VLOOKUP(A492, BASE!$A$4:$B$10003, 2, FALSE))</f>
        <v/>
      </c>
      <c r="C492" t="str">
        <f>IF(A492="", "", SUMIF(BASE!$A$4:$A$10003, A492, BASE!$C$4:$C$10003))</f>
        <v/>
      </c>
      <c r="D492" t="str">
        <f>IF(A492="", "", INDEX(BASE!$D$4:$D$10003, MATCH(A492, BASE!$A$4:$A$10003, 0)))</f>
        <v/>
      </c>
      <c r="E492" t="str">
        <f>IF(A492="", "", INDEX(BASE!$E$4:$E$10003, MATCH(A492, BASE!$A$4:$A$10003, 0)))</f>
        <v/>
      </c>
    </row>
    <row r="493" spans="1:5">
      <c r="A493" t="str">
        <f>IFERROR(INDEX(BASE!$A$4:$A$10003, MATCH(0, COUNTIF($A$1:A492, BASE!$A$4:$A$10003&amp;""), 0)), "")</f>
        <v/>
      </c>
      <c r="B493" t="str">
        <f>IF(A493="", "", VLOOKUP(A493, BASE!$A$4:$B$10003, 2, FALSE))</f>
        <v/>
      </c>
      <c r="C493" t="str">
        <f>IF(A493="", "", SUMIF(BASE!$A$4:$A$10003, A493, BASE!$C$4:$C$10003))</f>
        <v/>
      </c>
      <c r="D493" t="str">
        <f>IF(A493="", "", INDEX(BASE!$D$4:$D$10003, MATCH(A493, BASE!$A$4:$A$10003, 0)))</f>
        <v/>
      </c>
      <c r="E493" t="str">
        <f>IF(A493="", "", INDEX(BASE!$E$4:$E$10003, MATCH(A493, BASE!$A$4:$A$10003, 0)))</f>
        <v/>
      </c>
    </row>
    <row r="494" spans="1:5">
      <c r="A494" t="str">
        <f>IFERROR(INDEX(BASE!$A$4:$A$10003, MATCH(0, COUNTIF($A$1:A493, BASE!$A$4:$A$10003&amp;""), 0)), "")</f>
        <v/>
      </c>
      <c r="B494" t="str">
        <f>IF(A494="", "", VLOOKUP(A494, BASE!$A$4:$B$10003, 2, FALSE))</f>
        <v/>
      </c>
      <c r="C494" t="str">
        <f>IF(A494="", "", SUMIF(BASE!$A$4:$A$10003, A494, BASE!$C$4:$C$10003))</f>
        <v/>
      </c>
      <c r="D494" t="str">
        <f>IF(A494="", "", INDEX(BASE!$D$4:$D$10003, MATCH(A494, BASE!$A$4:$A$10003, 0)))</f>
        <v/>
      </c>
      <c r="E494" t="str">
        <f>IF(A494="", "", INDEX(BASE!$E$4:$E$10003, MATCH(A494, BASE!$A$4:$A$10003, 0)))</f>
        <v/>
      </c>
    </row>
    <row r="495" spans="1:5">
      <c r="A495" t="str">
        <f>IFERROR(INDEX(BASE!$A$4:$A$10003, MATCH(0, COUNTIF($A$1:A494, BASE!$A$4:$A$10003&amp;""), 0)), "")</f>
        <v/>
      </c>
      <c r="B495" t="str">
        <f>IF(A495="", "", VLOOKUP(A495, BASE!$A$4:$B$10003, 2, FALSE))</f>
        <v/>
      </c>
      <c r="C495" t="str">
        <f>IF(A495="", "", SUMIF(BASE!$A$4:$A$10003, A495, BASE!$C$4:$C$10003))</f>
        <v/>
      </c>
      <c r="D495" t="str">
        <f>IF(A495="", "", INDEX(BASE!$D$4:$D$10003, MATCH(A495, BASE!$A$4:$A$10003, 0)))</f>
        <v/>
      </c>
      <c r="E495" t="str">
        <f>IF(A495="", "", INDEX(BASE!$E$4:$E$10003, MATCH(A495, BASE!$A$4:$A$10003, 0)))</f>
        <v/>
      </c>
    </row>
    <row r="496" spans="1:5">
      <c r="A496" t="str">
        <f>IFERROR(INDEX(BASE!$A$4:$A$10003, MATCH(0, COUNTIF($A$1:A495, BASE!$A$4:$A$10003&amp;""), 0)), "")</f>
        <v/>
      </c>
      <c r="B496" t="str">
        <f>IF(A496="", "", VLOOKUP(A496, BASE!$A$4:$B$10003, 2, FALSE))</f>
        <v/>
      </c>
      <c r="C496" t="str">
        <f>IF(A496="", "", SUMIF(BASE!$A$4:$A$10003, A496, BASE!$C$4:$C$10003))</f>
        <v/>
      </c>
      <c r="D496" t="str">
        <f>IF(A496="", "", INDEX(BASE!$D$4:$D$10003, MATCH(A496, BASE!$A$4:$A$10003, 0)))</f>
        <v/>
      </c>
      <c r="E496" t="str">
        <f>IF(A496="", "", INDEX(BASE!$E$4:$E$10003, MATCH(A496, BASE!$A$4:$A$10003, 0)))</f>
        <v/>
      </c>
    </row>
    <row r="497" spans="1:5">
      <c r="A497" t="str">
        <f>IFERROR(INDEX(BASE!$A$4:$A$10003, MATCH(0, COUNTIF($A$1:A496, BASE!$A$4:$A$10003&amp;""), 0)), "")</f>
        <v/>
      </c>
      <c r="B497" t="str">
        <f>IF(A497="", "", VLOOKUP(A497, BASE!$A$4:$B$10003, 2, FALSE))</f>
        <v/>
      </c>
      <c r="C497" t="str">
        <f>IF(A497="", "", SUMIF(BASE!$A$4:$A$10003, A497, BASE!$C$4:$C$10003))</f>
        <v/>
      </c>
      <c r="D497" t="str">
        <f>IF(A497="", "", INDEX(BASE!$D$4:$D$10003, MATCH(A497, BASE!$A$4:$A$10003, 0)))</f>
        <v/>
      </c>
      <c r="E497" t="str">
        <f>IF(A497="", "", INDEX(BASE!$E$4:$E$10003, MATCH(A497, BASE!$A$4:$A$10003, 0)))</f>
        <v/>
      </c>
    </row>
    <row r="498" spans="1:5">
      <c r="A498" t="str">
        <f>IFERROR(INDEX(BASE!$A$4:$A$10003, MATCH(0, COUNTIF($A$1:A497, BASE!$A$4:$A$10003&amp;""), 0)), "")</f>
        <v/>
      </c>
      <c r="B498" t="str">
        <f>IF(A498="", "", VLOOKUP(A498, BASE!$A$4:$B$10003, 2, FALSE))</f>
        <v/>
      </c>
      <c r="C498" t="str">
        <f>IF(A498="", "", SUMIF(BASE!$A$4:$A$10003, A498, BASE!$C$4:$C$10003))</f>
        <v/>
      </c>
      <c r="D498" t="str">
        <f>IF(A498="", "", INDEX(BASE!$D$4:$D$10003, MATCH(A498, BASE!$A$4:$A$10003, 0)))</f>
        <v/>
      </c>
      <c r="E498" t="str">
        <f>IF(A498="", "", INDEX(BASE!$E$4:$E$10003, MATCH(A498, BASE!$A$4:$A$10003, 0)))</f>
        <v/>
      </c>
    </row>
    <row r="499" spans="1:5">
      <c r="A499" t="str">
        <f>IFERROR(INDEX(BASE!$A$4:$A$10003, MATCH(0, COUNTIF($A$1:A498, BASE!$A$4:$A$10003&amp;""), 0)), "")</f>
        <v/>
      </c>
      <c r="B499" t="str">
        <f>IF(A499="", "", VLOOKUP(A499, BASE!$A$4:$B$10003, 2, FALSE))</f>
        <v/>
      </c>
      <c r="C499" t="str">
        <f>IF(A499="", "", SUMIF(BASE!$A$4:$A$10003, A499, BASE!$C$4:$C$10003))</f>
        <v/>
      </c>
      <c r="D499" t="str">
        <f>IF(A499="", "", INDEX(BASE!$D$4:$D$10003, MATCH(A499, BASE!$A$4:$A$10003, 0)))</f>
        <v/>
      </c>
      <c r="E499" t="str">
        <f>IF(A499="", "", INDEX(BASE!$E$4:$E$10003, MATCH(A499, BASE!$A$4:$A$10003, 0)))</f>
        <v/>
      </c>
    </row>
    <row r="500" spans="1:5">
      <c r="A500" t="str">
        <f>IFERROR(INDEX(BASE!$A$4:$A$10003, MATCH(0, COUNTIF($A$1:A499, BASE!$A$4:$A$10003&amp;""), 0)), "")</f>
        <v/>
      </c>
      <c r="B500" t="str">
        <f>IF(A500="", "", VLOOKUP(A500, BASE!$A$4:$B$10003, 2, FALSE))</f>
        <v/>
      </c>
      <c r="C500" t="str">
        <f>IF(A500="", "", SUMIF(BASE!$A$4:$A$10003, A500, BASE!$C$4:$C$10003))</f>
        <v/>
      </c>
      <c r="D500" t="str">
        <f>IF(A500="", "", INDEX(BASE!$D$4:$D$10003, MATCH(A500, BASE!$A$4:$A$10003, 0)))</f>
        <v/>
      </c>
      <c r="E500" t="str">
        <f>IF(A500="", "", INDEX(BASE!$E$4:$E$10003, MATCH(A500, BASE!$A$4:$A$10003, 0)))</f>
        <v/>
      </c>
    </row>
    <row r="501" spans="1:5">
      <c r="A501" t="str">
        <f>IFERROR(INDEX(BASE!$A$4:$A$10003, MATCH(0, COUNTIF($A$1:A500, BASE!$A$4:$A$10003&amp;""), 0)), "")</f>
        <v/>
      </c>
      <c r="B501" t="str">
        <f>IF(A501="", "", VLOOKUP(A501, BASE!$A$4:$B$10003, 2, FALSE))</f>
        <v/>
      </c>
      <c r="C501" t="str">
        <f>IF(A501="", "", SUMIF(BASE!$A$4:$A$10003, A501, BASE!$C$4:$C$10003))</f>
        <v/>
      </c>
      <c r="D501" t="str">
        <f>IF(A501="", "", INDEX(BASE!$D$4:$D$10003, MATCH(A501, BASE!$A$4:$A$10003, 0)))</f>
        <v/>
      </c>
      <c r="E501" t="str">
        <f>IF(A501="", "", INDEX(BASE!$E$4:$E$10003, MATCH(A501, BASE!$A$4:$A$10003, 0)))</f>
        <v/>
      </c>
    </row>
    <row r="502" spans="1:5">
      <c r="A502" t="str">
        <f>IFERROR(INDEX(BASE!$A$4:$A$10003, MATCH(0, COUNTIF($A$1:A501, BASE!$A$4:$A$10003&amp;""), 0)), "")</f>
        <v/>
      </c>
      <c r="B502" t="str">
        <f>IF(A502="", "", VLOOKUP(A502, BASE!$A$4:$B$10003, 2, FALSE))</f>
        <v/>
      </c>
      <c r="C502" t="str">
        <f>IF(A502="", "", SUMIF(BASE!$A$4:$A$10003, A502, BASE!$C$4:$C$10003))</f>
        <v/>
      </c>
      <c r="D502" t="str">
        <f>IF(A502="", "", INDEX(BASE!$D$4:$D$10003, MATCH(A502, BASE!$A$4:$A$10003, 0)))</f>
        <v/>
      </c>
      <c r="E502" t="str">
        <f>IF(A502="", "", INDEX(BASE!$E$4:$E$10003, MATCH(A502, BASE!$A$4:$A$10003, 0)))</f>
        <v/>
      </c>
    </row>
    <row r="503" spans="1:5">
      <c r="A503" t="str">
        <f>IFERROR(INDEX(BASE!$A$4:$A$10003, MATCH(0, COUNTIF($A$1:A502, BASE!$A$4:$A$10003&amp;""), 0)), "")</f>
        <v/>
      </c>
      <c r="B503" t="str">
        <f>IF(A503="", "", VLOOKUP(A503, BASE!$A$4:$B$10003, 2, FALSE))</f>
        <v/>
      </c>
      <c r="C503" t="str">
        <f>IF(A503="", "", SUMIF(BASE!$A$4:$A$10003, A503, BASE!$C$4:$C$10003))</f>
        <v/>
      </c>
      <c r="D503" t="str">
        <f>IF(A503="", "", INDEX(BASE!$D$4:$D$10003, MATCH(A503, BASE!$A$4:$A$10003, 0)))</f>
        <v/>
      </c>
      <c r="E503" t="str">
        <f>IF(A503="", "", INDEX(BASE!$E$4:$E$10003, MATCH(A503, BASE!$A$4:$A$10003, 0)))</f>
        <v/>
      </c>
    </row>
    <row r="504" spans="1:5">
      <c r="A504" t="str">
        <f>IFERROR(INDEX(BASE!$A$4:$A$10003, MATCH(0, COUNTIF($A$1:A503, BASE!$A$4:$A$10003&amp;""), 0)), "")</f>
        <v/>
      </c>
      <c r="B504" t="str">
        <f>IF(A504="", "", VLOOKUP(A504, BASE!$A$4:$B$10003, 2, FALSE))</f>
        <v/>
      </c>
      <c r="C504" t="str">
        <f>IF(A504="", "", SUMIF(BASE!$A$4:$A$10003, A504, BASE!$C$4:$C$10003))</f>
        <v/>
      </c>
      <c r="D504" t="str">
        <f>IF(A504="", "", INDEX(BASE!$D$4:$D$10003, MATCH(A504, BASE!$A$4:$A$10003, 0)))</f>
        <v/>
      </c>
      <c r="E504" t="str">
        <f>IF(A504="", "", INDEX(BASE!$E$4:$E$10003, MATCH(A504, BASE!$A$4:$A$10003, 0)))</f>
        <v/>
      </c>
    </row>
    <row r="505" spans="1:5">
      <c r="A505" t="str">
        <f>IFERROR(INDEX(BASE!$A$4:$A$10003, MATCH(0, COUNTIF($A$1:A504, BASE!$A$4:$A$10003&amp;""), 0)), "")</f>
        <v/>
      </c>
      <c r="B505" t="str">
        <f>IF(A505="", "", VLOOKUP(A505, BASE!$A$4:$B$10003, 2, FALSE))</f>
        <v/>
      </c>
      <c r="C505" t="str">
        <f>IF(A505="", "", SUMIF(BASE!$A$4:$A$10003, A505, BASE!$C$4:$C$10003))</f>
        <v/>
      </c>
      <c r="D505" t="str">
        <f>IF(A505="", "", INDEX(BASE!$D$4:$D$10003, MATCH(A505, BASE!$A$4:$A$10003, 0)))</f>
        <v/>
      </c>
      <c r="E505" t="str">
        <f>IF(A505="", "", INDEX(BASE!$E$4:$E$10003, MATCH(A505, BASE!$A$4:$A$10003, 0)))</f>
        <v/>
      </c>
    </row>
    <row r="506" spans="1:5">
      <c r="A506" t="str">
        <f>IFERROR(INDEX(BASE!$A$4:$A$10003, MATCH(0, COUNTIF($A$1:A505, BASE!$A$4:$A$10003&amp;""), 0)), "")</f>
        <v/>
      </c>
      <c r="B506" t="str">
        <f>IF(A506="", "", VLOOKUP(A506, BASE!$A$4:$B$10003, 2, FALSE))</f>
        <v/>
      </c>
      <c r="C506" t="str">
        <f>IF(A506="", "", SUMIF(BASE!$A$4:$A$10003, A506, BASE!$C$4:$C$10003))</f>
        <v/>
      </c>
      <c r="D506" t="str">
        <f>IF(A506="", "", INDEX(BASE!$D$4:$D$10003, MATCH(A506, BASE!$A$4:$A$10003, 0)))</f>
        <v/>
      </c>
      <c r="E506" t="str">
        <f>IF(A506="", "", INDEX(BASE!$E$4:$E$10003, MATCH(A506, BASE!$A$4:$A$10003, 0)))</f>
        <v/>
      </c>
    </row>
    <row r="507" spans="1:5">
      <c r="A507" t="str">
        <f>IFERROR(INDEX(BASE!$A$4:$A$10003, MATCH(0, COUNTIF($A$1:A506, BASE!$A$4:$A$10003&amp;""), 0)), "")</f>
        <v/>
      </c>
      <c r="B507" t="str">
        <f>IF(A507="", "", VLOOKUP(A507, BASE!$A$4:$B$10003, 2, FALSE))</f>
        <v/>
      </c>
      <c r="C507" t="str">
        <f>IF(A507="", "", SUMIF(BASE!$A$4:$A$10003, A507, BASE!$C$4:$C$10003))</f>
        <v/>
      </c>
      <c r="D507" t="str">
        <f>IF(A507="", "", INDEX(BASE!$D$4:$D$10003, MATCH(A507, BASE!$A$4:$A$10003, 0)))</f>
        <v/>
      </c>
      <c r="E507" t="str">
        <f>IF(A507="", "", INDEX(BASE!$E$4:$E$10003, MATCH(A507, BASE!$A$4:$A$10003, 0)))</f>
        <v/>
      </c>
    </row>
    <row r="508" spans="1:5">
      <c r="A508" t="str">
        <f>IFERROR(INDEX(BASE!$A$4:$A$10003, MATCH(0, COUNTIF($A$1:A507, BASE!$A$4:$A$10003&amp;""), 0)), "")</f>
        <v/>
      </c>
      <c r="B508" t="str">
        <f>IF(A508="", "", VLOOKUP(A508, BASE!$A$4:$B$10003, 2, FALSE))</f>
        <v/>
      </c>
      <c r="C508" t="str">
        <f>IF(A508="", "", SUMIF(BASE!$A$4:$A$10003, A508, BASE!$C$4:$C$10003))</f>
        <v/>
      </c>
      <c r="D508" t="str">
        <f>IF(A508="", "", INDEX(BASE!$D$4:$D$10003, MATCH(A508, BASE!$A$4:$A$10003, 0)))</f>
        <v/>
      </c>
      <c r="E508" t="str">
        <f>IF(A508="", "", INDEX(BASE!$E$4:$E$10003, MATCH(A508, BASE!$A$4:$A$10003, 0)))</f>
        <v/>
      </c>
    </row>
    <row r="509" spans="1:5">
      <c r="A509" t="str">
        <f>IFERROR(INDEX(BASE!$A$4:$A$10003, MATCH(0, COUNTIF($A$1:A508, BASE!$A$4:$A$10003&amp;""), 0)), "")</f>
        <v/>
      </c>
      <c r="B509" t="str">
        <f>IF(A509="", "", VLOOKUP(A509, BASE!$A$4:$B$10003, 2, FALSE))</f>
        <v/>
      </c>
      <c r="C509" t="str">
        <f>IF(A509="", "", SUMIF(BASE!$A$4:$A$10003, A509, BASE!$C$4:$C$10003))</f>
        <v/>
      </c>
      <c r="D509" t="str">
        <f>IF(A509="", "", INDEX(BASE!$D$4:$D$10003, MATCH(A509, BASE!$A$4:$A$10003, 0)))</f>
        <v/>
      </c>
      <c r="E509" t="str">
        <f>IF(A509="", "", INDEX(BASE!$E$4:$E$10003, MATCH(A509, BASE!$A$4:$A$10003, 0)))</f>
        <v/>
      </c>
    </row>
    <row r="510" spans="1:5">
      <c r="A510" t="str">
        <f>IFERROR(INDEX(BASE!$A$4:$A$10003, MATCH(0, COUNTIF($A$1:A509, BASE!$A$4:$A$10003&amp;""), 0)), "")</f>
        <v/>
      </c>
      <c r="B510" t="str">
        <f>IF(A510="", "", VLOOKUP(A510, BASE!$A$4:$B$10003, 2, FALSE))</f>
        <v/>
      </c>
      <c r="C510" t="str">
        <f>IF(A510="", "", SUMIF(BASE!$A$4:$A$10003, A510, BASE!$C$4:$C$10003))</f>
        <v/>
      </c>
      <c r="D510" t="str">
        <f>IF(A510="", "", INDEX(BASE!$D$4:$D$10003, MATCH(A510, BASE!$A$4:$A$10003, 0)))</f>
        <v/>
      </c>
      <c r="E510" t="str">
        <f>IF(A510="", "", INDEX(BASE!$E$4:$E$10003, MATCH(A510, BASE!$A$4:$A$10003, 0)))</f>
        <v/>
      </c>
    </row>
    <row r="511" spans="1:5">
      <c r="A511" t="str">
        <f>IFERROR(INDEX(BASE!$A$4:$A$10003, MATCH(0, COUNTIF($A$1:A510, BASE!$A$4:$A$10003&amp;""), 0)), "")</f>
        <v/>
      </c>
      <c r="B511" t="str">
        <f>IF(A511="", "", VLOOKUP(A511, BASE!$A$4:$B$10003, 2, FALSE))</f>
        <v/>
      </c>
      <c r="C511" t="str">
        <f>IF(A511="", "", SUMIF(BASE!$A$4:$A$10003, A511, BASE!$C$4:$C$10003))</f>
        <v/>
      </c>
      <c r="D511" t="str">
        <f>IF(A511="", "", INDEX(BASE!$D$4:$D$10003, MATCH(A511, BASE!$A$4:$A$10003, 0)))</f>
        <v/>
      </c>
      <c r="E511" t="str">
        <f>IF(A511="", "", INDEX(BASE!$E$4:$E$10003, MATCH(A511, BASE!$A$4:$A$10003, 0)))</f>
        <v/>
      </c>
    </row>
    <row r="512" spans="1:5">
      <c r="A512" t="str">
        <f>IFERROR(INDEX(BASE!$A$4:$A$10003, MATCH(0, COUNTIF($A$1:A511, BASE!$A$4:$A$10003&amp;""), 0)), "")</f>
        <v/>
      </c>
      <c r="B512" t="str">
        <f>IF(A512="", "", VLOOKUP(A512, BASE!$A$4:$B$10003, 2, FALSE))</f>
        <v/>
      </c>
      <c r="C512" t="str">
        <f>IF(A512="", "", SUMIF(BASE!$A$4:$A$10003, A512, BASE!$C$4:$C$10003))</f>
        <v/>
      </c>
      <c r="D512" t="str">
        <f>IF(A512="", "", INDEX(BASE!$D$4:$D$10003, MATCH(A512, BASE!$A$4:$A$10003, 0)))</f>
        <v/>
      </c>
      <c r="E512" t="str">
        <f>IF(A512="", "", INDEX(BASE!$E$4:$E$10003, MATCH(A512, BASE!$A$4:$A$10003, 0)))</f>
        <v/>
      </c>
    </row>
    <row r="513" spans="1:5">
      <c r="A513" t="str">
        <f>IFERROR(INDEX(BASE!$A$4:$A$10003, MATCH(0, COUNTIF($A$1:A512, BASE!$A$4:$A$10003&amp;""), 0)), "")</f>
        <v/>
      </c>
      <c r="B513" t="str">
        <f>IF(A513="", "", VLOOKUP(A513, BASE!$A$4:$B$10003, 2, FALSE))</f>
        <v/>
      </c>
      <c r="C513" t="str">
        <f>IF(A513="", "", SUMIF(BASE!$A$4:$A$10003, A513, BASE!$C$4:$C$10003))</f>
        <v/>
      </c>
      <c r="D513" t="str">
        <f>IF(A513="", "", INDEX(BASE!$D$4:$D$10003, MATCH(A513, BASE!$A$4:$A$10003, 0)))</f>
        <v/>
      </c>
      <c r="E513" t="str">
        <f>IF(A513="", "", INDEX(BASE!$E$4:$E$10003, MATCH(A513, BASE!$A$4:$A$10003, 0)))</f>
        <v/>
      </c>
    </row>
    <row r="514" spans="1:5">
      <c r="A514" t="str">
        <f>IFERROR(INDEX(BASE!$A$4:$A$10003, MATCH(0, COUNTIF($A$1:A513, BASE!$A$4:$A$10003&amp;""), 0)), "")</f>
        <v/>
      </c>
      <c r="B514" t="str">
        <f>IF(A514="", "", VLOOKUP(A514, BASE!$A$4:$B$10003, 2, FALSE))</f>
        <v/>
      </c>
      <c r="C514" t="str">
        <f>IF(A514="", "", SUMIF(BASE!$A$4:$A$10003, A514, BASE!$C$4:$C$10003))</f>
        <v/>
      </c>
      <c r="D514" t="str">
        <f>IF(A514="", "", INDEX(BASE!$D$4:$D$10003, MATCH(A514, BASE!$A$4:$A$10003, 0)))</f>
        <v/>
      </c>
      <c r="E514" t="str">
        <f>IF(A514="", "", INDEX(BASE!$E$4:$E$10003, MATCH(A514, BASE!$A$4:$A$10003, 0)))</f>
        <v/>
      </c>
    </row>
    <row r="515" spans="1:5">
      <c r="A515" t="str">
        <f>IFERROR(INDEX(BASE!$A$4:$A$10003, MATCH(0, COUNTIF($A$1:A514, BASE!$A$4:$A$10003&amp;""), 0)), "")</f>
        <v/>
      </c>
      <c r="B515" t="str">
        <f>IF(A515="", "", VLOOKUP(A515, BASE!$A$4:$B$10003, 2, FALSE))</f>
        <v/>
      </c>
      <c r="C515" t="str">
        <f>IF(A515="", "", SUMIF(BASE!$A$4:$A$10003, A515, BASE!$C$4:$C$10003))</f>
        <v/>
      </c>
      <c r="D515" t="str">
        <f>IF(A515="", "", INDEX(BASE!$D$4:$D$10003, MATCH(A515, BASE!$A$4:$A$10003, 0)))</f>
        <v/>
      </c>
      <c r="E515" t="str">
        <f>IF(A515="", "", INDEX(BASE!$E$4:$E$10003, MATCH(A515, BASE!$A$4:$A$10003, 0)))</f>
        <v/>
      </c>
    </row>
    <row r="516" spans="1:5">
      <c r="A516" t="str">
        <f>IFERROR(INDEX(BASE!$A$4:$A$10003, MATCH(0, COUNTIF($A$1:A515, BASE!$A$4:$A$10003&amp;""), 0)), "")</f>
        <v/>
      </c>
      <c r="B516" t="str">
        <f>IF(A516="", "", VLOOKUP(A516, BASE!$A$4:$B$10003, 2, FALSE))</f>
        <v/>
      </c>
      <c r="C516" t="str">
        <f>IF(A516="", "", SUMIF(BASE!$A$4:$A$10003, A516, BASE!$C$4:$C$10003))</f>
        <v/>
      </c>
      <c r="D516" t="str">
        <f>IF(A516="", "", INDEX(BASE!$D$4:$D$10003, MATCH(A516, BASE!$A$4:$A$10003, 0)))</f>
        <v/>
      </c>
      <c r="E516" t="str">
        <f>IF(A516="", "", INDEX(BASE!$E$4:$E$10003, MATCH(A516, BASE!$A$4:$A$10003, 0)))</f>
        <v/>
      </c>
    </row>
    <row r="517" spans="1:5">
      <c r="A517" t="str">
        <f>IFERROR(INDEX(BASE!$A$4:$A$10003, MATCH(0, COUNTIF($A$1:A516, BASE!$A$4:$A$10003&amp;""), 0)), "")</f>
        <v/>
      </c>
      <c r="B517" t="str">
        <f>IF(A517="", "", VLOOKUP(A517, BASE!$A$4:$B$10003, 2, FALSE))</f>
        <v/>
      </c>
      <c r="C517" t="str">
        <f>IF(A517="", "", SUMIF(BASE!$A$4:$A$10003, A517, BASE!$C$4:$C$10003))</f>
        <v/>
      </c>
      <c r="D517" t="str">
        <f>IF(A517="", "", INDEX(BASE!$D$4:$D$10003, MATCH(A517, BASE!$A$4:$A$10003, 0)))</f>
        <v/>
      </c>
      <c r="E517" t="str">
        <f>IF(A517="", "", INDEX(BASE!$E$4:$E$10003, MATCH(A517, BASE!$A$4:$A$10003, 0)))</f>
        <v/>
      </c>
    </row>
    <row r="518" spans="1:5">
      <c r="A518" t="str">
        <f>IFERROR(INDEX(BASE!$A$4:$A$10003, MATCH(0, COUNTIF($A$1:A517, BASE!$A$4:$A$10003&amp;""), 0)), "")</f>
        <v/>
      </c>
      <c r="B518" t="str">
        <f>IF(A518="", "", VLOOKUP(A518, BASE!$A$4:$B$10003, 2, FALSE))</f>
        <v/>
      </c>
      <c r="C518" t="str">
        <f>IF(A518="", "", SUMIF(BASE!$A$4:$A$10003, A518, BASE!$C$4:$C$10003))</f>
        <v/>
      </c>
      <c r="D518" t="str">
        <f>IF(A518="", "", INDEX(BASE!$D$4:$D$10003, MATCH(A518, BASE!$A$4:$A$10003, 0)))</f>
        <v/>
      </c>
      <c r="E518" t="str">
        <f>IF(A518="", "", INDEX(BASE!$E$4:$E$10003, MATCH(A518, BASE!$A$4:$A$10003, 0)))</f>
        <v/>
      </c>
    </row>
    <row r="519" spans="1:5">
      <c r="A519" t="str">
        <f>IFERROR(INDEX(BASE!$A$4:$A$10003, MATCH(0, COUNTIF($A$1:A518, BASE!$A$4:$A$10003&amp;""), 0)), "")</f>
        <v/>
      </c>
      <c r="B519" t="str">
        <f>IF(A519="", "", VLOOKUP(A519, BASE!$A$4:$B$10003, 2, FALSE))</f>
        <v/>
      </c>
      <c r="C519" t="str">
        <f>IF(A519="", "", SUMIF(BASE!$A$4:$A$10003, A519, BASE!$C$4:$C$10003))</f>
        <v/>
      </c>
      <c r="D519" t="str">
        <f>IF(A519="", "", INDEX(BASE!$D$4:$D$10003, MATCH(A519, BASE!$A$4:$A$10003, 0)))</f>
        <v/>
      </c>
      <c r="E519" t="str">
        <f>IF(A519="", "", INDEX(BASE!$E$4:$E$10003, MATCH(A519, BASE!$A$4:$A$10003, 0)))</f>
        <v/>
      </c>
    </row>
    <row r="520" spans="1:5">
      <c r="A520" t="str">
        <f>IFERROR(INDEX(BASE!$A$4:$A$10003, MATCH(0, COUNTIF($A$1:A519, BASE!$A$4:$A$10003&amp;""), 0)), "")</f>
        <v/>
      </c>
      <c r="B520" t="str">
        <f>IF(A520="", "", VLOOKUP(A520, BASE!$A$4:$B$10003, 2, FALSE))</f>
        <v/>
      </c>
      <c r="C520" t="str">
        <f>IF(A520="", "", SUMIF(BASE!$A$4:$A$10003, A520, BASE!$C$4:$C$10003))</f>
        <v/>
      </c>
      <c r="D520" t="str">
        <f>IF(A520="", "", INDEX(BASE!$D$4:$D$10003, MATCH(A520, BASE!$A$4:$A$10003, 0)))</f>
        <v/>
      </c>
      <c r="E520" t="str">
        <f>IF(A520="", "", INDEX(BASE!$E$4:$E$10003, MATCH(A520, BASE!$A$4:$A$10003, 0)))</f>
        <v/>
      </c>
    </row>
    <row r="521" spans="1:5">
      <c r="A521" t="str">
        <f>IFERROR(INDEX(BASE!$A$4:$A$10003, MATCH(0, COUNTIF($A$1:A520, BASE!$A$4:$A$10003&amp;""), 0)), "")</f>
        <v/>
      </c>
      <c r="B521" t="str">
        <f>IF(A521="", "", VLOOKUP(A521, BASE!$A$4:$B$10003, 2, FALSE))</f>
        <v/>
      </c>
      <c r="C521" t="str">
        <f>IF(A521="", "", SUMIF(BASE!$A$4:$A$10003, A521, BASE!$C$4:$C$10003))</f>
        <v/>
      </c>
      <c r="D521" t="str">
        <f>IF(A521="", "", INDEX(BASE!$D$4:$D$10003, MATCH(A521, BASE!$A$4:$A$10003, 0)))</f>
        <v/>
      </c>
      <c r="E521" t="str">
        <f>IF(A521="", "", INDEX(BASE!$E$4:$E$10003, MATCH(A521, BASE!$A$4:$A$10003, 0)))</f>
        <v/>
      </c>
    </row>
    <row r="522" spans="1:5">
      <c r="A522" t="str">
        <f>IFERROR(INDEX(BASE!$A$4:$A$10003, MATCH(0, COUNTIF($A$1:A521, BASE!$A$4:$A$10003&amp;""), 0)), "")</f>
        <v/>
      </c>
      <c r="B522" t="str">
        <f>IF(A522="", "", VLOOKUP(A522, BASE!$A$4:$B$10003, 2, FALSE))</f>
        <v/>
      </c>
      <c r="C522" t="str">
        <f>IF(A522="", "", SUMIF(BASE!$A$4:$A$10003, A522, BASE!$C$4:$C$10003))</f>
        <v/>
      </c>
      <c r="D522" t="str">
        <f>IF(A522="", "", INDEX(BASE!$D$4:$D$10003, MATCH(A522, BASE!$A$4:$A$10003, 0)))</f>
        <v/>
      </c>
      <c r="E522" t="str">
        <f>IF(A522="", "", INDEX(BASE!$E$4:$E$10003, MATCH(A522, BASE!$A$4:$A$10003, 0)))</f>
        <v/>
      </c>
    </row>
    <row r="523" spans="1:5">
      <c r="A523" t="str">
        <f>IFERROR(INDEX(BASE!$A$4:$A$10003, MATCH(0, COUNTIF($A$1:A522, BASE!$A$4:$A$10003&amp;""), 0)), "")</f>
        <v/>
      </c>
      <c r="B523" t="str">
        <f>IF(A523="", "", VLOOKUP(A523, BASE!$A$4:$B$10003, 2, FALSE))</f>
        <v/>
      </c>
      <c r="C523" t="str">
        <f>IF(A523="", "", SUMIF(BASE!$A$4:$A$10003, A523, BASE!$C$4:$C$10003))</f>
        <v/>
      </c>
      <c r="D523" t="str">
        <f>IF(A523="", "", INDEX(BASE!$D$4:$D$10003, MATCH(A523, BASE!$A$4:$A$10003, 0)))</f>
        <v/>
      </c>
      <c r="E523" t="str">
        <f>IF(A523="", "", INDEX(BASE!$E$4:$E$10003, MATCH(A523, BASE!$A$4:$A$10003, 0)))</f>
        <v/>
      </c>
    </row>
    <row r="524" spans="1:5">
      <c r="A524" t="str">
        <f>IFERROR(INDEX(BASE!$A$4:$A$10003, MATCH(0, COUNTIF($A$1:A523, BASE!$A$4:$A$10003&amp;""), 0)), "")</f>
        <v/>
      </c>
      <c r="B524" t="str">
        <f>IF(A524="", "", VLOOKUP(A524, BASE!$A$4:$B$10003, 2, FALSE))</f>
        <v/>
      </c>
      <c r="C524" t="str">
        <f>IF(A524="", "", SUMIF(BASE!$A$4:$A$10003, A524, BASE!$C$4:$C$10003))</f>
        <v/>
      </c>
      <c r="D524" t="str">
        <f>IF(A524="", "", INDEX(BASE!$D$4:$D$10003, MATCH(A524, BASE!$A$4:$A$10003, 0)))</f>
        <v/>
      </c>
      <c r="E524" t="str">
        <f>IF(A524="", "", INDEX(BASE!$E$4:$E$10003, MATCH(A524, BASE!$A$4:$A$10003, 0)))</f>
        <v/>
      </c>
    </row>
    <row r="525" spans="1:5">
      <c r="A525" t="str">
        <f>IFERROR(INDEX(BASE!$A$4:$A$10003, MATCH(0, COUNTIF($A$1:A524, BASE!$A$4:$A$10003&amp;""), 0)), "")</f>
        <v/>
      </c>
      <c r="B525" t="str">
        <f>IF(A525="", "", VLOOKUP(A525, BASE!$A$4:$B$10003, 2, FALSE))</f>
        <v/>
      </c>
      <c r="C525" t="str">
        <f>IF(A525="", "", SUMIF(BASE!$A$4:$A$10003, A525, BASE!$C$4:$C$10003))</f>
        <v/>
      </c>
      <c r="D525" t="str">
        <f>IF(A525="", "", INDEX(BASE!$D$4:$D$10003, MATCH(A525, BASE!$A$4:$A$10003, 0)))</f>
        <v/>
      </c>
      <c r="E525" t="str">
        <f>IF(A525="", "", INDEX(BASE!$E$4:$E$10003, MATCH(A525, BASE!$A$4:$A$10003, 0)))</f>
        <v/>
      </c>
    </row>
    <row r="526" spans="1:5">
      <c r="A526" t="str">
        <f>IFERROR(INDEX(BASE!$A$4:$A$10003, MATCH(0, COUNTIF($A$1:A525, BASE!$A$4:$A$10003&amp;""), 0)), "")</f>
        <v/>
      </c>
      <c r="B526" t="str">
        <f>IF(A526="", "", VLOOKUP(A526, BASE!$A$4:$B$10003, 2, FALSE))</f>
        <v/>
      </c>
      <c r="C526" t="str">
        <f>IF(A526="", "", SUMIF(BASE!$A$4:$A$10003, A526, BASE!$C$4:$C$10003))</f>
        <v/>
      </c>
      <c r="D526" t="str">
        <f>IF(A526="", "", INDEX(BASE!$D$4:$D$10003, MATCH(A526, BASE!$A$4:$A$10003, 0)))</f>
        <v/>
      </c>
      <c r="E526" t="str">
        <f>IF(A526="", "", INDEX(BASE!$E$4:$E$10003, MATCH(A526, BASE!$A$4:$A$10003, 0)))</f>
        <v/>
      </c>
    </row>
    <row r="527" spans="1:5">
      <c r="A527" t="str">
        <f>IFERROR(INDEX(BASE!$A$4:$A$10003, MATCH(0, COUNTIF($A$1:A526, BASE!$A$4:$A$10003&amp;""), 0)), "")</f>
        <v/>
      </c>
      <c r="B527" t="str">
        <f>IF(A527="", "", VLOOKUP(A527, BASE!$A$4:$B$10003, 2, FALSE))</f>
        <v/>
      </c>
      <c r="C527" t="str">
        <f>IF(A527="", "", SUMIF(BASE!$A$4:$A$10003, A527, BASE!$C$4:$C$10003))</f>
        <v/>
      </c>
      <c r="D527" t="str">
        <f>IF(A527="", "", INDEX(BASE!$D$4:$D$10003, MATCH(A527, BASE!$A$4:$A$10003, 0)))</f>
        <v/>
      </c>
      <c r="E527" t="str">
        <f>IF(A527="", "", INDEX(BASE!$E$4:$E$10003, MATCH(A527, BASE!$A$4:$A$10003, 0)))</f>
        <v/>
      </c>
    </row>
    <row r="528" spans="1:5">
      <c r="A528" t="str">
        <f>IFERROR(INDEX(BASE!$A$4:$A$10003, MATCH(0, COUNTIF($A$1:A527, BASE!$A$4:$A$10003&amp;""), 0)), "")</f>
        <v/>
      </c>
      <c r="B528" t="str">
        <f>IF(A528="", "", VLOOKUP(A528, BASE!$A$4:$B$10003, 2, FALSE))</f>
        <v/>
      </c>
      <c r="C528" t="str">
        <f>IF(A528="", "", SUMIF(BASE!$A$4:$A$10003, A528, BASE!$C$4:$C$10003))</f>
        <v/>
      </c>
      <c r="D528" t="str">
        <f>IF(A528="", "", INDEX(BASE!$D$4:$D$10003, MATCH(A528, BASE!$A$4:$A$10003, 0)))</f>
        <v/>
      </c>
      <c r="E528" t="str">
        <f>IF(A528="", "", INDEX(BASE!$E$4:$E$10003, MATCH(A528, BASE!$A$4:$A$10003, 0)))</f>
        <v/>
      </c>
    </row>
    <row r="529" spans="1:5">
      <c r="A529" t="str">
        <f>IFERROR(INDEX(BASE!$A$4:$A$10003, MATCH(0, COUNTIF($A$1:A528, BASE!$A$4:$A$10003&amp;""), 0)), "")</f>
        <v/>
      </c>
      <c r="B529" t="str">
        <f>IF(A529="", "", VLOOKUP(A529, BASE!$A$4:$B$10003, 2, FALSE))</f>
        <v/>
      </c>
      <c r="C529" t="str">
        <f>IF(A529="", "", SUMIF(BASE!$A$4:$A$10003, A529, BASE!$C$4:$C$10003))</f>
        <v/>
      </c>
      <c r="D529" t="str">
        <f>IF(A529="", "", INDEX(BASE!$D$4:$D$10003, MATCH(A529, BASE!$A$4:$A$10003, 0)))</f>
        <v/>
      </c>
      <c r="E529" t="str">
        <f>IF(A529="", "", INDEX(BASE!$E$4:$E$10003, MATCH(A529, BASE!$A$4:$A$10003, 0)))</f>
        <v/>
      </c>
    </row>
    <row r="530" spans="1:5">
      <c r="A530" t="str">
        <f>IFERROR(INDEX(BASE!$A$4:$A$10003, MATCH(0, COUNTIF($A$1:A529, BASE!$A$4:$A$10003&amp;""), 0)), "")</f>
        <v/>
      </c>
      <c r="B530" t="str">
        <f>IF(A530="", "", VLOOKUP(A530, BASE!$A$4:$B$10003, 2, FALSE))</f>
        <v/>
      </c>
      <c r="C530" t="str">
        <f>IF(A530="", "", SUMIF(BASE!$A$4:$A$10003, A530, BASE!$C$4:$C$10003))</f>
        <v/>
      </c>
      <c r="D530" t="str">
        <f>IF(A530="", "", INDEX(BASE!$D$4:$D$10003, MATCH(A530, BASE!$A$4:$A$10003, 0)))</f>
        <v/>
      </c>
      <c r="E530" t="str">
        <f>IF(A530="", "", INDEX(BASE!$E$4:$E$10003, MATCH(A530, BASE!$A$4:$A$10003, 0)))</f>
        <v/>
      </c>
    </row>
    <row r="531" spans="1:5">
      <c r="A531" t="str">
        <f>IFERROR(INDEX(BASE!$A$4:$A$10003, MATCH(0, COUNTIF($A$1:A530, BASE!$A$4:$A$10003&amp;""), 0)), "")</f>
        <v/>
      </c>
      <c r="B531" t="str">
        <f>IF(A531="", "", VLOOKUP(A531, BASE!$A$4:$B$10003, 2, FALSE))</f>
        <v/>
      </c>
      <c r="C531" t="str">
        <f>IF(A531="", "", SUMIF(BASE!$A$4:$A$10003, A531, BASE!$C$4:$C$10003))</f>
        <v/>
      </c>
      <c r="D531" t="str">
        <f>IF(A531="", "", INDEX(BASE!$D$4:$D$10003, MATCH(A531, BASE!$A$4:$A$10003, 0)))</f>
        <v/>
      </c>
      <c r="E531" t="str">
        <f>IF(A531="", "", INDEX(BASE!$E$4:$E$10003, MATCH(A531, BASE!$A$4:$A$10003, 0)))</f>
        <v/>
      </c>
    </row>
    <row r="532" spans="1:5">
      <c r="A532" t="str">
        <f>IFERROR(INDEX(BASE!$A$4:$A$10003, MATCH(0, COUNTIF($A$1:A531, BASE!$A$4:$A$10003&amp;""), 0)), "")</f>
        <v/>
      </c>
      <c r="B532" t="str">
        <f>IF(A532="", "", VLOOKUP(A532, BASE!$A$4:$B$10003, 2, FALSE))</f>
        <v/>
      </c>
      <c r="C532" t="str">
        <f>IF(A532="", "", SUMIF(BASE!$A$4:$A$10003, A532, BASE!$C$4:$C$10003))</f>
        <v/>
      </c>
      <c r="D532" t="str">
        <f>IF(A532="", "", INDEX(BASE!$D$4:$D$10003, MATCH(A532, BASE!$A$4:$A$10003, 0)))</f>
        <v/>
      </c>
      <c r="E532" t="str">
        <f>IF(A532="", "", INDEX(BASE!$E$4:$E$10003, MATCH(A532, BASE!$A$4:$A$10003, 0)))</f>
        <v/>
      </c>
    </row>
    <row r="533" spans="1:5">
      <c r="A533" t="str">
        <f>IFERROR(INDEX(BASE!$A$4:$A$10003, MATCH(0, COUNTIF($A$1:A532, BASE!$A$4:$A$10003&amp;""), 0)), "")</f>
        <v/>
      </c>
      <c r="B533" t="str">
        <f>IF(A533="", "", VLOOKUP(A533, BASE!$A$4:$B$10003, 2, FALSE))</f>
        <v/>
      </c>
      <c r="C533" t="str">
        <f>IF(A533="", "", SUMIF(BASE!$A$4:$A$10003, A533, BASE!$C$4:$C$10003))</f>
        <v/>
      </c>
      <c r="D533" t="str">
        <f>IF(A533="", "", INDEX(BASE!$D$4:$D$10003, MATCH(A533, BASE!$A$4:$A$10003, 0)))</f>
        <v/>
      </c>
      <c r="E533" t="str">
        <f>IF(A533="", "", INDEX(BASE!$E$4:$E$10003, MATCH(A533, BASE!$A$4:$A$10003, 0)))</f>
        <v/>
      </c>
    </row>
    <row r="534" spans="1:5">
      <c r="A534" t="str">
        <f>IFERROR(INDEX(BASE!$A$4:$A$10003, MATCH(0, COUNTIF($A$1:A533, BASE!$A$4:$A$10003&amp;""), 0)), "")</f>
        <v/>
      </c>
      <c r="B534" t="str">
        <f>IF(A534="", "", VLOOKUP(A534, BASE!$A$4:$B$10003, 2, FALSE))</f>
        <v/>
      </c>
      <c r="C534" t="str">
        <f>IF(A534="", "", SUMIF(BASE!$A$4:$A$10003, A534, BASE!$C$4:$C$10003))</f>
        <v/>
      </c>
      <c r="D534" t="str">
        <f>IF(A534="", "", INDEX(BASE!$D$4:$D$10003, MATCH(A534, BASE!$A$4:$A$10003, 0)))</f>
        <v/>
      </c>
      <c r="E534" t="str">
        <f>IF(A534="", "", INDEX(BASE!$E$4:$E$10003, MATCH(A534, BASE!$A$4:$A$10003, 0)))</f>
        <v/>
      </c>
    </row>
    <row r="535" spans="1:5">
      <c r="A535" t="str">
        <f>IFERROR(INDEX(BASE!$A$4:$A$10003, MATCH(0, COUNTIF($A$1:A534, BASE!$A$4:$A$10003&amp;""), 0)), "")</f>
        <v/>
      </c>
      <c r="B535" t="str">
        <f>IF(A535="", "", VLOOKUP(A535, BASE!$A$4:$B$10003, 2, FALSE))</f>
        <v/>
      </c>
      <c r="C535" t="str">
        <f>IF(A535="", "", SUMIF(BASE!$A$4:$A$10003, A535, BASE!$C$4:$C$10003))</f>
        <v/>
      </c>
      <c r="D535" t="str">
        <f>IF(A535="", "", INDEX(BASE!$D$4:$D$10003, MATCH(A535, BASE!$A$4:$A$10003, 0)))</f>
        <v/>
      </c>
      <c r="E535" t="str">
        <f>IF(A535="", "", INDEX(BASE!$E$4:$E$10003, MATCH(A535, BASE!$A$4:$A$10003, 0)))</f>
        <v/>
      </c>
    </row>
    <row r="536" spans="1:5">
      <c r="A536" t="str">
        <f>IFERROR(INDEX(BASE!$A$4:$A$10003, MATCH(0, COUNTIF($A$1:A535, BASE!$A$4:$A$10003&amp;""), 0)), "")</f>
        <v/>
      </c>
      <c r="B536" t="str">
        <f>IF(A536="", "", VLOOKUP(A536, BASE!$A$4:$B$10003, 2, FALSE))</f>
        <v/>
      </c>
      <c r="C536" t="str">
        <f>IF(A536="", "", SUMIF(BASE!$A$4:$A$10003, A536, BASE!$C$4:$C$10003))</f>
        <v/>
      </c>
      <c r="D536" t="str">
        <f>IF(A536="", "", INDEX(BASE!$D$4:$D$10003, MATCH(A536, BASE!$A$4:$A$10003, 0)))</f>
        <v/>
      </c>
      <c r="E536" t="str">
        <f>IF(A536="", "", INDEX(BASE!$E$4:$E$10003, MATCH(A536, BASE!$A$4:$A$10003, 0)))</f>
        <v/>
      </c>
    </row>
    <row r="537" spans="1:5">
      <c r="A537" t="str">
        <f>IFERROR(INDEX(BASE!$A$4:$A$10003, MATCH(0, COUNTIF($A$1:A536, BASE!$A$4:$A$10003&amp;""), 0)), "")</f>
        <v/>
      </c>
      <c r="B537" t="str">
        <f>IF(A537="", "", VLOOKUP(A537, BASE!$A$4:$B$10003, 2, FALSE))</f>
        <v/>
      </c>
      <c r="C537" t="str">
        <f>IF(A537="", "", SUMIF(BASE!$A$4:$A$10003, A537, BASE!$C$4:$C$10003))</f>
        <v/>
      </c>
      <c r="D537" t="str">
        <f>IF(A537="", "", INDEX(BASE!$D$4:$D$10003, MATCH(A537, BASE!$A$4:$A$10003, 0)))</f>
        <v/>
      </c>
      <c r="E537" t="str">
        <f>IF(A537="", "", INDEX(BASE!$E$4:$E$10003, MATCH(A537, BASE!$A$4:$A$10003, 0)))</f>
        <v/>
      </c>
    </row>
    <row r="538" spans="1:5">
      <c r="A538" t="str">
        <f>IFERROR(INDEX(BASE!$A$4:$A$10003, MATCH(0, COUNTIF($A$1:A537, BASE!$A$4:$A$10003&amp;""), 0)), "")</f>
        <v/>
      </c>
      <c r="B538" t="str">
        <f>IF(A538="", "", VLOOKUP(A538, BASE!$A$4:$B$10003, 2, FALSE))</f>
        <v/>
      </c>
      <c r="C538" t="str">
        <f>IF(A538="", "", SUMIF(BASE!$A$4:$A$10003, A538, BASE!$C$4:$C$10003))</f>
        <v/>
      </c>
      <c r="D538" t="str">
        <f>IF(A538="", "", INDEX(BASE!$D$4:$D$10003, MATCH(A538, BASE!$A$4:$A$10003, 0)))</f>
        <v/>
      </c>
      <c r="E538" t="str">
        <f>IF(A538="", "", INDEX(BASE!$E$4:$E$10003, MATCH(A538, BASE!$A$4:$A$10003, 0)))</f>
        <v/>
      </c>
    </row>
    <row r="539" spans="1:5">
      <c r="A539" t="str">
        <f>IFERROR(INDEX(BASE!$A$4:$A$10003, MATCH(0, COUNTIF($A$1:A538, BASE!$A$4:$A$10003&amp;""), 0)), "")</f>
        <v/>
      </c>
      <c r="B539" t="str">
        <f>IF(A539="", "", VLOOKUP(A539, BASE!$A$4:$B$10003, 2, FALSE))</f>
        <v/>
      </c>
      <c r="C539" t="str">
        <f>IF(A539="", "", SUMIF(BASE!$A$4:$A$10003, A539, BASE!$C$4:$C$10003))</f>
        <v/>
      </c>
      <c r="D539" t="str">
        <f>IF(A539="", "", INDEX(BASE!$D$4:$D$10003, MATCH(A539, BASE!$A$4:$A$10003, 0)))</f>
        <v/>
      </c>
      <c r="E539" t="str">
        <f>IF(A539="", "", INDEX(BASE!$E$4:$E$10003, MATCH(A539, BASE!$A$4:$A$10003, 0)))</f>
        <v/>
      </c>
    </row>
    <row r="540" spans="1:5">
      <c r="A540" t="str">
        <f>IFERROR(INDEX(BASE!$A$4:$A$10003, MATCH(0, COUNTIF($A$1:A539, BASE!$A$4:$A$10003&amp;""), 0)), "")</f>
        <v/>
      </c>
      <c r="B540" t="str">
        <f>IF(A540="", "", VLOOKUP(A540, BASE!$A$4:$B$10003, 2, FALSE))</f>
        <v/>
      </c>
      <c r="C540" t="str">
        <f>IF(A540="", "", SUMIF(BASE!$A$4:$A$10003, A540, BASE!$C$4:$C$10003))</f>
        <v/>
      </c>
      <c r="D540" t="str">
        <f>IF(A540="", "", INDEX(BASE!$D$4:$D$10003, MATCH(A540, BASE!$A$4:$A$10003, 0)))</f>
        <v/>
      </c>
      <c r="E540" t="str">
        <f>IF(A540="", "", INDEX(BASE!$E$4:$E$10003, MATCH(A540, BASE!$A$4:$A$10003, 0)))</f>
        <v/>
      </c>
    </row>
    <row r="541" spans="1:5">
      <c r="A541" t="str">
        <f>IFERROR(INDEX(BASE!$A$4:$A$10003, MATCH(0, COUNTIF($A$1:A540, BASE!$A$4:$A$10003&amp;""), 0)), "")</f>
        <v/>
      </c>
      <c r="B541" t="str">
        <f>IF(A541="", "", VLOOKUP(A541, BASE!$A$4:$B$10003, 2, FALSE))</f>
        <v/>
      </c>
      <c r="C541" t="str">
        <f>IF(A541="", "", SUMIF(BASE!$A$4:$A$10003, A541, BASE!$C$4:$C$10003))</f>
        <v/>
      </c>
      <c r="D541" t="str">
        <f>IF(A541="", "", INDEX(BASE!$D$4:$D$10003, MATCH(A541, BASE!$A$4:$A$10003, 0)))</f>
        <v/>
      </c>
      <c r="E541" t="str">
        <f>IF(A541="", "", INDEX(BASE!$E$4:$E$10003, MATCH(A541, BASE!$A$4:$A$10003, 0)))</f>
        <v/>
      </c>
    </row>
    <row r="542" spans="1:5">
      <c r="A542" t="str">
        <f>IFERROR(INDEX(BASE!$A$4:$A$10003, MATCH(0, COUNTIF($A$1:A541, BASE!$A$4:$A$10003&amp;""), 0)), "")</f>
        <v/>
      </c>
      <c r="B542" t="str">
        <f>IF(A542="", "", VLOOKUP(A542, BASE!$A$4:$B$10003, 2, FALSE))</f>
        <v/>
      </c>
      <c r="C542" t="str">
        <f>IF(A542="", "", SUMIF(BASE!$A$4:$A$10003, A542, BASE!$C$4:$C$10003))</f>
        <v/>
      </c>
      <c r="D542" t="str">
        <f>IF(A542="", "", INDEX(BASE!$D$4:$D$10003, MATCH(A542, BASE!$A$4:$A$10003, 0)))</f>
        <v/>
      </c>
      <c r="E542" t="str">
        <f>IF(A542="", "", INDEX(BASE!$E$4:$E$10003, MATCH(A542, BASE!$A$4:$A$10003, 0)))</f>
        <v/>
      </c>
    </row>
    <row r="543" spans="1:5">
      <c r="A543" t="str">
        <f>IFERROR(INDEX(BASE!$A$4:$A$10003, MATCH(0, COUNTIF($A$1:A542, BASE!$A$4:$A$10003&amp;""), 0)), "")</f>
        <v/>
      </c>
      <c r="B543" t="str">
        <f>IF(A543="", "", VLOOKUP(A543, BASE!$A$4:$B$10003, 2, FALSE))</f>
        <v/>
      </c>
      <c r="C543" t="str">
        <f>IF(A543="", "", SUMIF(BASE!$A$4:$A$10003, A543, BASE!$C$4:$C$10003))</f>
        <v/>
      </c>
      <c r="D543" t="str">
        <f>IF(A543="", "", INDEX(BASE!$D$4:$D$10003, MATCH(A543, BASE!$A$4:$A$10003, 0)))</f>
        <v/>
      </c>
      <c r="E543" t="str">
        <f>IF(A543="", "", INDEX(BASE!$E$4:$E$10003, MATCH(A543, BASE!$A$4:$A$10003, 0)))</f>
        <v/>
      </c>
    </row>
    <row r="544" spans="1:5">
      <c r="A544" t="str">
        <f>IFERROR(INDEX(BASE!$A$4:$A$10003, MATCH(0, COUNTIF($A$1:A543, BASE!$A$4:$A$10003&amp;""), 0)), "")</f>
        <v/>
      </c>
      <c r="B544" t="str">
        <f>IF(A544="", "", VLOOKUP(A544, BASE!$A$4:$B$10003, 2, FALSE))</f>
        <v/>
      </c>
      <c r="C544" t="str">
        <f>IF(A544="", "", SUMIF(BASE!$A$4:$A$10003, A544, BASE!$C$4:$C$10003))</f>
        <v/>
      </c>
      <c r="D544" t="str">
        <f>IF(A544="", "", INDEX(BASE!$D$4:$D$10003, MATCH(A544, BASE!$A$4:$A$10003, 0)))</f>
        <v/>
      </c>
      <c r="E544" t="str">
        <f>IF(A544="", "", INDEX(BASE!$E$4:$E$10003, MATCH(A544, BASE!$A$4:$A$10003, 0)))</f>
        <v/>
      </c>
    </row>
    <row r="545" spans="1:5">
      <c r="A545" t="str">
        <f>IFERROR(INDEX(BASE!$A$4:$A$10003, MATCH(0, COUNTIF($A$1:A544, BASE!$A$4:$A$10003&amp;""), 0)), "")</f>
        <v/>
      </c>
      <c r="B545" t="str">
        <f>IF(A545="", "", VLOOKUP(A545, BASE!$A$4:$B$10003, 2, FALSE))</f>
        <v/>
      </c>
      <c r="C545" t="str">
        <f>IF(A545="", "", SUMIF(BASE!$A$4:$A$10003, A545, BASE!$C$4:$C$10003))</f>
        <v/>
      </c>
      <c r="D545" t="str">
        <f>IF(A545="", "", INDEX(BASE!$D$4:$D$10003, MATCH(A545, BASE!$A$4:$A$10003, 0)))</f>
        <v/>
      </c>
      <c r="E545" t="str">
        <f>IF(A545="", "", INDEX(BASE!$E$4:$E$10003, MATCH(A545, BASE!$A$4:$A$10003, 0)))</f>
        <v/>
      </c>
    </row>
    <row r="546" spans="1:5">
      <c r="A546" t="str">
        <f>IFERROR(INDEX(BASE!$A$4:$A$10003, MATCH(0, COUNTIF($A$1:A545, BASE!$A$4:$A$10003&amp;""), 0)), "")</f>
        <v/>
      </c>
      <c r="B546" t="str">
        <f>IF(A546="", "", VLOOKUP(A546, BASE!$A$4:$B$10003, 2, FALSE))</f>
        <v/>
      </c>
      <c r="C546" t="str">
        <f>IF(A546="", "", SUMIF(BASE!$A$4:$A$10003, A546, BASE!$C$4:$C$10003))</f>
        <v/>
      </c>
      <c r="D546" t="str">
        <f>IF(A546="", "", INDEX(BASE!$D$4:$D$10003, MATCH(A546, BASE!$A$4:$A$10003, 0)))</f>
        <v/>
      </c>
      <c r="E546" t="str">
        <f>IF(A546="", "", INDEX(BASE!$E$4:$E$10003, MATCH(A546, BASE!$A$4:$A$10003, 0)))</f>
        <v/>
      </c>
    </row>
    <row r="547" spans="1:5">
      <c r="A547" t="str">
        <f>IFERROR(INDEX(BASE!$A$4:$A$10003, MATCH(0, COUNTIF($A$1:A546, BASE!$A$4:$A$10003&amp;""), 0)), "")</f>
        <v/>
      </c>
      <c r="B547" t="str">
        <f>IF(A547="", "", VLOOKUP(A547, BASE!$A$4:$B$10003, 2, FALSE))</f>
        <v/>
      </c>
      <c r="C547" t="str">
        <f>IF(A547="", "", SUMIF(BASE!$A$4:$A$10003, A547, BASE!$C$4:$C$10003))</f>
        <v/>
      </c>
      <c r="D547" t="str">
        <f>IF(A547="", "", INDEX(BASE!$D$4:$D$10003, MATCH(A547, BASE!$A$4:$A$10003, 0)))</f>
        <v/>
      </c>
      <c r="E547" t="str">
        <f>IF(A547="", "", INDEX(BASE!$E$4:$E$10003, MATCH(A547, BASE!$A$4:$A$10003, 0)))</f>
        <v/>
      </c>
    </row>
    <row r="548" spans="1:5">
      <c r="A548" t="str">
        <f>IFERROR(INDEX(BASE!$A$4:$A$10003, MATCH(0, COUNTIF($A$1:A547, BASE!$A$4:$A$10003&amp;""), 0)), "")</f>
        <v/>
      </c>
      <c r="B548" t="str">
        <f>IF(A548="", "", VLOOKUP(A548, BASE!$A$4:$B$10003, 2, FALSE))</f>
        <v/>
      </c>
      <c r="C548" t="str">
        <f>IF(A548="", "", SUMIF(BASE!$A$4:$A$10003, A548, BASE!$C$4:$C$10003))</f>
        <v/>
      </c>
      <c r="D548" t="str">
        <f>IF(A548="", "", INDEX(BASE!$D$4:$D$10003, MATCH(A548, BASE!$A$4:$A$10003, 0)))</f>
        <v/>
      </c>
      <c r="E548" t="str">
        <f>IF(A548="", "", INDEX(BASE!$E$4:$E$10003, MATCH(A548, BASE!$A$4:$A$10003, 0)))</f>
        <v/>
      </c>
    </row>
    <row r="549" spans="1:5">
      <c r="A549" t="str">
        <f>IFERROR(INDEX(BASE!$A$4:$A$10003, MATCH(0, COUNTIF($A$1:A548, BASE!$A$4:$A$10003&amp;""), 0)), "")</f>
        <v/>
      </c>
      <c r="B549" t="str">
        <f>IF(A549="", "", VLOOKUP(A549, BASE!$A$4:$B$10003, 2, FALSE))</f>
        <v/>
      </c>
      <c r="C549" t="str">
        <f>IF(A549="", "", SUMIF(BASE!$A$4:$A$10003, A549, BASE!$C$4:$C$10003))</f>
        <v/>
      </c>
      <c r="D549" t="str">
        <f>IF(A549="", "", INDEX(BASE!$D$4:$D$10003, MATCH(A549, BASE!$A$4:$A$10003, 0)))</f>
        <v/>
      </c>
      <c r="E549" t="str">
        <f>IF(A549="", "", INDEX(BASE!$E$4:$E$10003, MATCH(A549, BASE!$A$4:$A$10003, 0)))</f>
        <v/>
      </c>
    </row>
    <row r="550" spans="1:5">
      <c r="A550" t="str">
        <f>IFERROR(INDEX(BASE!$A$4:$A$10003, MATCH(0, COUNTIF($A$1:A549, BASE!$A$4:$A$10003&amp;""), 0)), "")</f>
        <v/>
      </c>
      <c r="B550" t="str">
        <f>IF(A550="", "", VLOOKUP(A550, BASE!$A$4:$B$10003, 2, FALSE))</f>
        <v/>
      </c>
      <c r="C550" t="str">
        <f>IF(A550="", "", SUMIF(BASE!$A$4:$A$10003, A550, BASE!$C$4:$C$10003))</f>
        <v/>
      </c>
      <c r="D550" t="str">
        <f>IF(A550="", "", INDEX(BASE!$D$4:$D$10003, MATCH(A550, BASE!$A$4:$A$10003, 0)))</f>
        <v/>
      </c>
      <c r="E550" t="str">
        <f>IF(A550="", "", INDEX(BASE!$E$4:$E$10003, MATCH(A550, BASE!$A$4:$A$10003, 0)))</f>
        <v/>
      </c>
    </row>
    <row r="551" spans="1:5">
      <c r="A551" t="str">
        <f>IFERROR(INDEX(BASE!$A$4:$A$10003, MATCH(0, COUNTIF($A$1:A550, BASE!$A$4:$A$10003&amp;""), 0)), "")</f>
        <v/>
      </c>
      <c r="B551" t="str">
        <f>IF(A551="", "", VLOOKUP(A551, BASE!$A$4:$B$10003, 2, FALSE))</f>
        <v/>
      </c>
      <c r="C551" t="str">
        <f>IF(A551="", "", SUMIF(BASE!$A$4:$A$10003, A551, BASE!$C$4:$C$10003))</f>
        <v/>
      </c>
      <c r="D551" t="str">
        <f>IF(A551="", "", INDEX(BASE!$D$4:$D$10003, MATCH(A551, BASE!$A$4:$A$10003, 0)))</f>
        <v/>
      </c>
      <c r="E551" t="str">
        <f>IF(A551="", "", INDEX(BASE!$E$4:$E$10003, MATCH(A551, BASE!$A$4:$A$10003, 0)))</f>
        <v/>
      </c>
    </row>
    <row r="552" spans="1:5">
      <c r="A552" t="str">
        <f>IFERROR(INDEX(BASE!$A$4:$A$10003, MATCH(0, COUNTIF($A$1:A551, BASE!$A$4:$A$10003&amp;""), 0)), "")</f>
        <v/>
      </c>
      <c r="B552" t="str">
        <f>IF(A552="", "", VLOOKUP(A552, BASE!$A$4:$B$10003, 2, FALSE))</f>
        <v/>
      </c>
      <c r="C552" t="str">
        <f>IF(A552="", "", SUMIF(BASE!$A$4:$A$10003, A552, BASE!$C$4:$C$10003))</f>
        <v/>
      </c>
      <c r="D552" t="str">
        <f>IF(A552="", "", INDEX(BASE!$D$4:$D$10003, MATCH(A552, BASE!$A$4:$A$10003, 0)))</f>
        <v/>
      </c>
      <c r="E552" t="str">
        <f>IF(A552="", "", INDEX(BASE!$E$4:$E$10003, MATCH(A552, BASE!$A$4:$A$10003, 0)))</f>
        <v/>
      </c>
    </row>
    <row r="553" spans="1:5">
      <c r="A553" t="str">
        <f>IFERROR(INDEX(BASE!$A$4:$A$10003, MATCH(0, COUNTIF($A$1:A552, BASE!$A$4:$A$10003&amp;""), 0)), "")</f>
        <v/>
      </c>
      <c r="B553" t="str">
        <f>IF(A553="", "", VLOOKUP(A553, BASE!$A$4:$B$10003, 2, FALSE))</f>
        <v/>
      </c>
      <c r="C553" t="str">
        <f>IF(A553="", "", SUMIF(BASE!$A$4:$A$10003, A553, BASE!$C$4:$C$10003))</f>
        <v/>
      </c>
      <c r="D553" t="str">
        <f>IF(A553="", "", INDEX(BASE!$D$4:$D$10003, MATCH(A553, BASE!$A$4:$A$10003, 0)))</f>
        <v/>
      </c>
      <c r="E553" t="str">
        <f>IF(A553="", "", INDEX(BASE!$E$4:$E$10003, MATCH(A553, BASE!$A$4:$A$10003, 0)))</f>
        <v/>
      </c>
    </row>
    <row r="554" spans="1:5">
      <c r="A554" t="str">
        <f>IFERROR(INDEX(BASE!$A$4:$A$10003, MATCH(0, COUNTIF($A$1:A553, BASE!$A$4:$A$10003&amp;""), 0)), "")</f>
        <v/>
      </c>
      <c r="B554" t="str">
        <f>IF(A554="", "", VLOOKUP(A554, BASE!$A$4:$B$10003, 2, FALSE))</f>
        <v/>
      </c>
      <c r="C554" t="str">
        <f>IF(A554="", "", SUMIF(BASE!$A$4:$A$10003, A554, BASE!$C$4:$C$10003))</f>
        <v/>
      </c>
      <c r="D554" t="str">
        <f>IF(A554="", "", INDEX(BASE!$D$4:$D$10003, MATCH(A554, BASE!$A$4:$A$10003, 0)))</f>
        <v/>
      </c>
      <c r="E554" t="str">
        <f>IF(A554="", "", INDEX(BASE!$E$4:$E$10003, MATCH(A554, BASE!$A$4:$A$10003, 0)))</f>
        <v/>
      </c>
    </row>
    <row r="555" spans="1:5">
      <c r="A555" t="str">
        <f>IFERROR(INDEX(BASE!$A$4:$A$10003, MATCH(0, COUNTIF($A$1:A554, BASE!$A$4:$A$10003&amp;""), 0)), "")</f>
        <v/>
      </c>
      <c r="B555" t="str">
        <f>IF(A555="", "", VLOOKUP(A555, BASE!$A$4:$B$10003, 2, FALSE))</f>
        <v/>
      </c>
      <c r="C555" t="str">
        <f>IF(A555="", "", SUMIF(BASE!$A$4:$A$10003, A555, BASE!$C$4:$C$10003))</f>
        <v/>
      </c>
      <c r="D555" t="str">
        <f>IF(A555="", "", INDEX(BASE!$D$4:$D$10003, MATCH(A555, BASE!$A$4:$A$10003, 0)))</f>
        <v/>
      </c>
      <c r="E555" t="str">
        <f>IF(A555="", "", INDEX(BASE!$E$4:$E$10003, MATCH(A555, BASE!$A$4:$A$10003, 0)))</f>
        <v/>
      </c>
    </row>
    <row r="556" spans="1:5">
      <c r="A556" t="str">
        <f>IFERROR(INDEX(BASE!$A$4:$A$10003, MATCH(0, COUNTIF($A$1:A555, BASE!$A$4:$A$10003&amp;""), 0)), "")</f>
        <v/>
      </c>
      <c r="B556" t="str">
        <f>IF(A556="", "", VLOOKUP(A556, BASE!$A$4:$B$10003, 2, FALSE))</f>
        <v/>
      </c>
      <c r="C556" t="str">
        <f>IF(A556="", "", SUMIF(BASE!$A$4:$A$10003, A556, BASE!$C$4:$C$10003))</f>
        <v/>
      </c>
      <c r="D556" t="str">
        <f>IF(A556="", "", INDEX(BASE!$D$4:$D$10003, MATCH(A556, BASE!$A$4:$A$10003, 0)))</f>
        <v/>
      </c>
      <c r="E556" t="str">
        <f>IF(A556="", "", INDEX(BASE!$E$4:$E$10003, MATCH(A556, BASE!$A$4:$A$10003, 0)))</f>
        <v/>
      </c>
    </row>
    <row r="557" spans="1:5">
      <c r="A557" t="str">
        <f>IFERROR(INDEX(BASE!$A$4:$A$10003, MATCH(0, COUNTIF($A$1:A556, BASE!$A$4:$A$10003&amp;""), 0)), "")</f>
        <v/>
      </c>
      <c r="B557" t="str">
        <f>IF(A557="", "", VLOOKUP(A557, BASE!$A$4:$B$10003, 2, FALSE))</f>
        <v/>
      </c>
      <c r="C557" t="str">
        <f>IF(A557="", "", SUMIF(BASE!$A$4:$A$10003, A557, BASE!$C$4:$C$10003))</f>
        <v/>
      </c>
      <c r="D557" t="str">
        <f>IF(A557="", "", INDEX(BASE!$D$4:$D$10003, MATCH(A557, BASE!$A$4:$A$10003, 0)))</f>
        <v/>
      </c>
      <c r="E557" t="str">
        <f>IF(A557="", "", INDEX(BASE!$E$4:$E$10003, MATCH(A557, BASE!$A$4:$A$10003, 0)))</f>
        <v/>
      </c>
    </row>
    <row r="558" spans="1:5">
      <c r="A558" t="str">
        <f>IFERROR(INDEX(BASE!$A$4:$A$10003, MATCH(0, COUNTIF($A$1:A557, BASE!$A$4:$A$10003&amp;""), 0)), "")</f>
        <v/>
      </c>
      <c r="B558" t="str">
        <f>IF(A558="", "", VLOOKUP(A558, BASE!$A$4:$B$10003, 2, FALSE))</f>
        <v/>
      </c>
      <c r="C558" t="str">
        <f>IF(A558="", "", SUMIF(BASE!$A$4:$A$10003, A558, BASE!$C$4:$C$10003))</f>
        <v/>
      </c>
      <c r="D558" t="str">
        <f>IF(A558="", "", INDEX(BASE!$D$4:$D$10003, MATCH(A558, BASE!$A$4:$A$10003, 0)))</f>
        <v/>
      </c>
      <c r="E558" t="str">
        <f>IF(A558="", "", INDEX(BASE!$E$4:$E$10003, MATCH(A558, BASE!$A$4:$A$10003, 0)))</f>
        <v/>
      </c>
    </row>
    <row r="559" spans="1:5">
      <c r="A559" t="str">
        <f>IFERROR(INDEX(BASE!$A$4:$A$10003, MATCH(0, COUNTIF($A$1:A558, BASE!$A$4:$A$10003&amp;""), 0)), "")</f>
        <v/>
      </c>
      <c r="B559" t="str">
        <f>IF(A559="", "", VLOOKUP(A559, BASE!$A$4:$B$10003, 2, FALSE))</f>
        <v/>
      </c>
      <c r="C559" t="str">
        <f>IF(A559="", "", SUMIF(BASE!$A$4:$A$10003, A559, BASE!$C$4:$C$10003))</f>
        <v/>
      </c>
      <c r="D559" t="str">
        <f>IF(A559="", "", INDEX(BASE!$D$4:$D$10003, MATCH(A559, BASE!$A$4:$A$10003, 0)))</f>
        <v/>
      </c>
      <c r="E559" t="str">
        <f>IF(A559="", "", INDEX(BASE!$E$4:$E$10003, MATCH(A559, BASE!$A$4:$A$10003, 0)))</f>
        <v/>
      </c>
    </row>
    <row r="560" spans="1:5">
      <c r="A560" t="str">
        <f>IFERROR(INDEX(BASE!$A$4:$A$10003, MATCH(0, COUNTIF($A$1:A559, BASE!$A$4:$A$10003&amp;""), 0)), "")</f>
        <v/>
      </c>
      <c r="B560" t="str">
        <f>IF(A560="", "", VLOOKUP(A560, BASE!$A$4:$B$10003, 2, FALSE))</f>
        <v/>
      </c>
      <c r="C560" t="str">
        <f>IF(A560="", "", SUMIF(BASE!$A$4:$A$10003, A560, BASE!$C$4:$C$10003))</f>
        <v/>
      </c>
      <c r="D560" t="str">
        <f>IF(A560="", "", INDEX(BASE!$D$4:$D$10003, MATCH(A560, BASE!$A$4:$A$10003, 0)))</f>
        <v/>
      </c>
      <c r="E560" t="str">
        <f>IF(A560="", "", INDEX(BASE!$E$4:$E$10003, MATCH(A560, BASE!$A$4:$A$10003, 0)))</f>
        <v/>
      </c>
    </row>
    <row r="561" spans="1:5">
      <c r="A561" t="str">
        <f>IFERROR(INDEX(BASE!$A$4:$A$10003, MATCH(0, COUNTIF($A$1:A560, BASE!$A$4:$A$10003&amp;""), 0)), "")</f>
        <v/>
      </c>
      <c r="B561" t="str">
        <f>IF(A561="", "", VLOOKUP(A561, BASE!$A$4:$B$10003, 2, FALSE))</f>
        <v/>
      </c>
      <c r="C561" t="str">
        <f>IF(A561="", "", SUMIF(BASE!$A$4:$A$10003, A561, BASE!$C$4:$C$10003))</f>
        <v/>
      </c>
      <c r="D561" t="str">
        <f>IF(A561="", "", INDEX(BASE!$D$4:$D$10003, MATCH(A561, BASE!$A$4:$A$10003, 0)))</f>
        <v/>
      </c>
      <c r="E561" t="str">
        <f>IF(A561="", "", INDEX(BASE!$E$4:$E$10003, MATCH(A561, BASE!$A$4:$A$10003, 0)))</f>
        <v/>
      </c>
    </row>
    <row r="562" spans="1:5">
      <c r="A562" t="str">
        <f>IFERROR(INDEX(BASE!$A$4:$A$10003, MATCH(0, COUNTIF($A$1:A561, BASE!$A$4:$A$10003&amp;""), 0)), "")</f>
        <v/>
      </c>
      <c r="B562" t="str">
        <f>IF(A562="", "", VLOOKUP(A562, BASE!$A$4:$B$10003, 2, FALSE))</f>
        <v/>
      </c>
      <c r="C562" t="str">
        <f>IF(A562="", "", SUMIF(BASE!$A$4:$A$10003, A562, BASE!$C$4:$C$10003))</f>
        <v/>
      </c>
      <c r="D562" t="str">
        <f>IF(A562="", "", INDEX(BASE!$D$4:$D$10003, MATCH(A562, BASE!$A$4:$A$10003, 0)))</f>
        <v/>
      </c>
      <c r="E562" t="str">
        <f>IF(A562="", "", INDEX(BASE!$E$4:$E$10003, MATCH(A562, BASE!$A$4:$A$10003, 0)))</f>
        <v/>
      </c>
    </row>
    <row r="563" spans="1:5">
      <c r="A563" t="str">
        <f>IFERROR(INDEX(BASE!$A$4:$A$10003, MATCH(0, COUNTIF($A$1:A562, BASE!$A$4:$A$10003&amp;""), 0)), "")</f>
        <v/>
      </c>
      <c r="B563" t="str">
        <f>IF(A563="", "", VLOOKUP(A563, BASE!$A$4:$B$10003, 2, FALSE))</f>
        <v/>
      </c>
      <c r="C563" t="str">
        <f>IF(A563="", "", SUMIF(BASE!$A$4:$A$10003, A563, BASE!$C$4:$C$10003))</f>
        <v/>
      </c>
      <c r="D563" t="str">
        <f>IF(A563="", "", INDEX(BASE!$D$4:$D$10003, MATCH(A563, BASE!$A$4:$A$10003, 0)))</f>
        <v/>
      </c>
      <c r="E563" t="str">
        <f>IF(A563="", "", INDEX(BASE!$E$4:$E$10003, MATCH(A563, BASE!$A$4:$A$10003, 0)))</f>
        <v/>
      </c>
    </row>
    <row r="564" spans="1:5">
      <c r="A564" t="str">
        <f>IFERROR(INDEX(BASE!$A$4:$A$10003, MATCH(0, COUNTIF($A$1:A563, BASE!$A$4:$A$10003&amp;""), 0)), "")</f>
        <v/>
      </c>
      <c r="B564" t="str">
        <f>IF(A564="", "", VLOOKUP(A564, BASE!$A$4:$B$10003, 2, FALSE))</f>
        <v/>
      </c>
      <c r="C564" t="str">
        <f>IF(A564="", "", SUMIF(BASE!$A$4:$A$10003, A564, BASE!$C$4:$C$10003))</f>
        <v/>
      </c>
      <c r="D564" t="str">
        <f>IF(A564="", "", INDEX(BASE!$D$4:$D$10003, MATCH(A564, BASE!$A$4:$A$10003, 0)))</f>
        <v/>
      </c>
      <c r="E564" t="str">
        <f>IF(A564="", "", INDEX(BASE!$E$4:$E$10003, MATCH(A564, BASE!$A$4:$A$10003, 0)))</f>
        <v/>
      </c>
    </row>
    <row r="565" spans="1:5">
      <c r="A565" t="str">
        <f>IFERROR(INDEX(BASE!$A$4:$A$10003, MATCH(0, COUNTIF($A$1:A564, BASE!$A$4:$A$10003&amp;""), 0)), "")</f>
        <v/>
      </c>
      <c r="B565" t="str">
        <f>IF(A565="", "", VLOOKUP(A565, BASE!$A$4:$B$10003, 2, FALSE))</f>
        <v/>
      </c>
      <c r="C565" t="str">
        <f>IF(A565="", "", SUMIF(BASE!$A$4:$A$10003, A565, BASE!$C$4:$C$10003))</f>
        <v/>
      </c>
      <c r="D565" t="str">
        <f>IF(A565="", "", INDEX(BASE!$D$4:$D$10003, MATCH(A565, BASE!$A$4:$A$10003, 0)))</f>
        <v/>
      </c>
      <c r="E565" t="str">
        <f>IF(A565="", "", INDEX(BASE!$E$4:$E$10003, MATCH(A565, BASE!$A$4:$A$10003, 0)))</f>
        <v/>
      </c>
    </row>
    <row r="566" spans="1:5">
      <c r="A566" t="str">
        <f>IFERROR(INDEX(BASE!$A$4:$A$10003, MATCH(0, COUNTIF($A$1:A565, BASE!$A$4:$A$10003&amp;""), 0)), "")</f>
        <v/>
      </c>
      <c r="B566" t="str">
        <f>IF(A566="", "", VLOOKUP(A566, BASE!$A$4:$B$10003, 2, FALSE))</f>
        <v/>
      </c>
      <c r="C566" t="str">
        <f>IF(A566="", "", SUMIF(BASE!$A$4:$A$10003, A566, BASE!$C$4:$C$10003))</f>
        <v/>
      </c>
      <c r="D566" t="str">
        <f>IF(A566="", "", INDEX(BASE!$D$4:$D$10003, MATCH(A566, BASE!$A$4:$A$10003, 0)))</f>
        <v/>
      </c>
      <c r="E566" t="str">
        <f>IF(A566="", "", INDEX(BASE!$E$4:$E$10003, MATCH(A566, BASE!$A$4:$A$10003, 0)))</f>
        <v/>
      </c>
    </row>
    <row r="567" spans="1:5">
      <c r="A567" t="str">
        <f>IFERROR(INDEX(BASE!$A$4:$A$10003, MATCH(0, COUNTIF($A$1:A566, BASE!$A$4:$A$10003&amp;""), 0)), "")</f>
        <v/>
      </c>
      <c r="B567" t="str">
        <f>IF(A567="", "", VLOOKUP(A567, BASE!$A$4:$B$10003, 2, FALSE))</f>
        <v/>
      </c>
      <c r="C567" t="str">
        <f>IF(A567="", "", SUMIF(BASE!$A$4:$A$10003, A567, BASE!$C$4:$C$10003))</f>
        <v/>
      </c>
      <c r="D567" t="str">
        <f>IF(A567="", "", INDEX(BASE!$D$4:$D$10003, MATCH(A567, BASE!$A$4:$A$10003, 0)))</f>
        <v/>
      </c>
      <c r="E567" t="str">
        <f>IF(A567="", "", INDEX(BASE!$E$4:$E$10003, MATCH(A567, BASE!$A$4:$A$10003, 0)))</f>
        <v/>
      </c>
    </row>
    <row r="568" spans="1:5">
      <c r="A568" t="str">
        <f>IFERROR(INDEX(BASE!$A$4:$A$10003, MATCH(0, COUNTIF($A$1:A567, BASE!$A$4:$A$10003&amp;""), 0)), "")</f>
        <v/>
      </c>
      <c r="B568" t="str">
        <f>IF(A568="", "", VLOOKUP(A568, BASE!$A$4:$B$10003, 2, FALSE))</f>
        <v/>
      </c>
      <c r="C568" t="str">
        <f>IF(A568="", "", SUMIF(BASE!$A$4:$A$10003, A568, BASE!$C$4:$C$10003))</f>
        <v/>
      </c>
      <c r="D568" t="str">
        <f>IF(A568="", "", INDEX(BASE!$D$4:$D$10003, MATCH(A568, BASE!$A$4:$A$10003, 0)))</f>
        <v/>
      </c>
      <c r="E568" t="str">
        <f>IF(A568="", "", INDEX(BASE!$E$4:$E$10003, MATCH(A568, BASE!$A$4:$A$10003, 0)))</f>
        <v/>
      </c>
    </row>
    <row r="569" spans="1:5">
      <c r="A569" t="str">
        <f>IFERROR(INDEX(BASE!$A$4:$A$10003, MATCH(0, COUNTIF($A$1:A568, BASE!$A$4:$A$10003&amp;""), 0)), "")</f>
        <v/>
      </c>
      <c r="B569" t="str">
        <f>IF(A569="", "", VLOOKUP(A569, BASE!$A$4:$B$10003, 2, FALSE))</f>
        <v/>
      </c>
      <c r="C569" t="str">
        <f>IF(A569="", "", SUMIF(BASE!$A$4:$A$10003, A569, BASE!$C$4:$C$10003))</f>
        <v/>
      </c>
      <c r="D569" t="str">
        <f>IF(A569="", "", INDEX(BASE!$D$4:$D$10003, MATCH(A569, BASE!$A$4:$A$10003, 0)))</f>
        <v/>
      </c>
      <c r="E569" t="str">
        <f>IF(A569="", "", INDEX(BASE!$E$4:$E$10003, MATCH(A569, BASE!$A$4:$A$10003, 0)))</f>
        <v/>
      </c>
    </row>
    <row r="570" spans="1:5">
      <c r="A570" t="str">
        <f>IFERROR(INDEX(BASE!$A$4:$A$10003, MATCH(0, COUNTIF($A$1:A569, BASE!$A$4:$A$10003&amp;""), 0)), "")</f>
        <v/>
      </c>
      <c r="B570" t="str">
        <f>IF(A570="", "", VLOOKUP(A570, BASE!$A$4:$B$10003, 2, FALSE))</f>
        <v/>
      </c>
      <c r="C570" t="str">
        <f>IF(A570="", "", SUMIF(BASE!$A$4:$A$10003, A570, BASE!$C$4:$C$10003))</f>
        <v/>
      </c>
      <c r="D570" t="str">
        <f>IF(A570="", "", INDEX(BASE!$D$4:$D$10003, MATCH(A570, BASE!$A$4:$A$10003, 0)))</f>
        <v/>
      </c>
      <c r="E570" t="str">
        <f>IF(A570="", "", INDEX(BASE!$E$4:$E$10003, MATCH(A570, BASE!$A$4:$A$10003, 0)))</f>
        <v/>
      </c>
    </row>
    <row r="571" spans="1:5">
      <c r="A571" t="str">
        <f>IFERROR(INDEX(BASE!$A$4:$A$10003, MATCH(0, COUNTIF($A$1:A570, BASE!$A$4:$A$10003&amp;""), 0)), "")</f>
        <v/>
      </c>
      <c r="B571" t="str">
        <f>IF(A571="", "", VLOOKUP(A571, BASE!$A$4:$B$10003, 2, FALSE))</f>
        <v/>
      </c>
      <c r="C571" t="str">
        <f>IF(A571="", "", SUMIF(BASE!$A$4:$A$10003, A571, BASE!$C$4:$C$10003))</f>
        <v/>
      </c>
      <c r="D571" t="str">
        <f>IF(A571="", "", INDEX(BASE!$D$4:$D$10003, MATCH(A571, BASE!$A$4:$A$10003, 0)))</f>
        <v/>
      </c>
      <c r="E571" t="str">
        <f>IF(A571="", "", INDEX(BASE!$E$4:$E$10003, MATCH(A571, BASE!$A$4:$A$10003, 0)))</f>
        <v/>
      </c>
    </row>
    <row r="572" spans="1:5">
      <c r="A572" t="str">
        <f>IFERROR(INDEX(BASE!$A$4:$A$10003, MATCH(0, COUNTIF($A$1:A571, BASE!$A$4:$A$10003&amp;""), 0)), "")</f>
        <v/>
      </c>
      <c r="B572" t="str">
        <f>IF(A572="", "", VLOOKUP(A572, BASE!$A$4:$B$10003, 2, FALSE))</f>
        <v/>
      </c>
      <c r="C572" t="str">
        <f>IF(A572="", "", SUMIF(BASE!$A$4:$A$10003, A572, BASE!$C$4:$C$10003))</f>
        <v/>
      </c>
      <c r="D572" t="str">
        <f>IF(A572="", "", INDEX(BASE!$D$4:$D$10003, MATCH(A572, BASE!$A$4:$A$10003, 0)))</f>
        <v/>
      </c>
      <c r="E572" t="str">
        <f>IF(A572="", "", INDEX(BASE!$E$4:$E$10003, MATCH(A572, BASE!$A$4:$A$10003, 0)))</f>
        <v/>
      </c>
    </row>
    <row r="573" spans="1:5">
      <c r="A573" t="str">
        <f>IFERROR(INDEX(BASE!$A$4:$A$10003, MATCH(0, COUNTIF($A$1:A572, BASE!$A$4:$A$10003&amp;""), 0)), "")</f>
        <v/>
      </c>
      <c r="B573" t="str">
        <f>IF(A573="", "", VLOOKUP(A573, BASE!$A$4:$B$10003, 2, FALSE))</f>
        <v/>
      </c>
      <c r="C573" t="str">
        <f>IF(A573="", "", SUMIF(BASE!$A$4:$A$10003, A573, BASE!$C$4:$C$10003))</f>
        <v/>
      </c>
      <c r="D573" t="str">
        <f>IF(A573="", "", INDEX(BASE!$D$4:$D$10003, MATCH(A573, BASE!$A$4:$A$10003, 0)))</f>
        <v/>
      </c>
      <c r="E573" t="str">
        <f>IF(A573="", "", INDEX(BASE!$E$4:$E$10003, MATCH(A573, BASE!$A$4:$A$10003, 0)))</f>
        <v/>
      </c>
    </row>
    <row r="574" spans="1:5">
      <c r="A574" t="str">
        <f>IFERROR(INDEX(BASE!$A$4:$A$10003, MATCH(0, COUNTIF($A$1:A573, BASE!$A$4:$A$10003&amp;""), 0)), "")</f>
        <v/>
      </c>
      <c r="B574" t="str">
        <f>IF(A574="", "", VLOOKUP(A574, BASE!$A$4:$B$10003, 2, FALSE))</f>
        <v/>
      </c>
      <c r="C574" t="str">
        <f>IF(A574="", "", SUMIF(BASE!$A$4:$A$10003, A574, BASE!$C$4:$C$10003))</f>
        <v/>
      </c>
      <c r="D574" t="str">
        <f>IF(A574="", "", INDEX(BASE!$D$4:$D$10003, MATCH(A574, BASE!$A$4:$A$10003, 0)))</f>
        <v/>
      </c>
      <c r="E574" t="str">
        <f>IF(A574="", "", INDEX(BASE!$E$4:$E$10003, MATCH(A574, BASE!$A$4:$A$10003, 0)))</f>
        <v/>
      </c>
    </row>
    <row r="575" spans="1:5">
      <c r="A575" t="str">
        <f>IFERROR(INDEX(BASE!$A$4:$A$10003, MATCH(0, COUNTIF($A$1:A574, BASE!$A$4:$A$10003&amp;""), 0)), "")</f>
        <v/>
      </c>
      <c r="B575" t="str">
        <f>IF(A575="", "", VLOOKUP(A575, BASE!$A$4:$B$10003, 2, FALSE))</f>
        <v/>
      </c>
      <c r="C575" t="str">
        <f>IF(A575="", "", SUMIF(BASE!$A$4:$A$10003, A575, BASE!$C$4:$C$10003))</f>
        <v/>
      </c>
      <c r="D575" t="str">
        <f>IF(A575="", "", INDEX(BASE!$D$4:$D$10003, MATCH(A575, BASE!$A$4:$A$10003, 0)))</f>
        <v/>
      </c>
      <c r="E575" t="str">
        <f>IF(A575="", "", INDEX(BASE!$E$4:$E$10003, MATCH(A575, BASE!$A$4:$A$10003, 0)))</f>
        <v/>
      </c>
    </row>
    <row r="576" spans="1:5">
      <c r="A576" t="str">
        <f>IFERROR(INDEX(BASE!$A$4:$A$10003, MATCH(0, COUNTIF($A$1:A575, BASE!$A$4:$A$10003&amp;""), 0)), "")</f>
        <v/>
      </c>
      <c r="B576" t="str">
        <f>IF(A576="", "", VLOOKUP(A576, BASE!$A$4:$B$10003, 2, FALSE))</f>
        <v/>
      </c>
      <c r="C576" t="str">
        <f>IF(A576="", "", SUMIF(BASE!$A$4:$A$10003, A576, BASE!$C$4:$C$10003))</f>
        <v/>
      </c>
      <c r="D576" t="str">
        <f>IF(A576="", "", INDEX(BASE!$D$4:$D$10003, MATCH(A576, BASE!$A$4:$A$10003, 0)))</f>
        <v/>
      </c>
      <c r="E576" t="str">
        <f>IF(A576="", "", INDEX(BASE!$E$4:$E$10003, MATCH(A576, BASE!$A$4:$A$10003, 0)))</f>
        <v/>
      </c>
    </row>
    <row r="577" spans="1:5">
      <c r="A577" t="str">
        <f>IFERROR(INDEX(BASE!$A$4:$A$10003, MATCH(0, COUNTIF($A$1:A576, BASE!$A$4:$A$10003&amp;""), 0)), "")</f>
        <v/>
      </c>
      <c r="B577" t="str">
        <f>IF(A577="", "", VLOOKUP(A577, BASE!$A$4:$B$10003, 2, FALSE))</f>
        <v/>
      </c>
      <c r="C577" t="str">
        <f>IF(A577="", "", SUMIF(BASE!$A$4:$A$10003, A577, BASE!$C$4:$C$10003))</f>
        <v/>
      </c>
      <c r="D577" t="str">
        <f>IF(A577="", "", INDEX(BASE!$D$4:$D$10003, MATCH(A577, BASE!$A$4:$A$10003, 0)))</f>
        <v/>
      </c>
      <c r="E577" t="str">
        <f>IF(A577="", "", INDEX(BASE!$E$4:$E$10003, MATCH(A577, BASE!$A$4:$A$10003, 0)))</f>
        <v/>
      </c>
    </row>
    <row r="578" spans="1:5">
      <c r="A578" t="str">
        <f>IFERROR(INDEX(BASE!$A$4:$A$10003, MATCH(0, COUNTIF($A$1:A577, BASE!$A$4:$A$10003&amp;""), 0)), "")</f>
        <v/>
      </c>
      <c r="B578" t="str">
        <f>IF(A578="", "", VLOOKUP(A578, BASE!$A$4:$B$10003, 2, FALSE))</f>
        <v/>
      </c>
      <c r="C578" t="str">
        <f>IF(A578="", "", SUMIF(BASE!$A$4:$A$10003, A578, BASE!$C$4:$C$10003))</f>
        <v/>
      </c>
      <c r="D578" t="str">
        <f>IF(A578="", "", INDEX(BASE!$D$4:$D$10003, MATCH(A578, BASE!$A$4:$A$10003, 0)))</f>
        <v/>
      </c>
      <c r="E578" t="str">
        <f>IF(A578="", "", INDEX(BASE!$E$4:$E$10003, MATCH(A578, BASE!$A$4:$A$10003, 0)))</f>
        <v/>
      </c>
    </row>
    <row r="579" spans="1:5">
      <c r="A579" t="str">
        <f>IFERROR(INDEX(BASE!$A$4:$A$10003, MATCH(0, COUNTIF($A$1:A578, BASE!$A$4:$A$10003&amp;""), 0)), "")</f>
        <v/>
      </c>
      <c r="B579" t="str">
        <f>IF(A579="", "", VLOOKUP(A579, BASE!$A$4:$B$10003, 2, FALSE))</f>
        <v/>
      </c>
      <c r="C579" t="str">
        <f>IF(A579="", "", SUMIF(BASE!$A$4:$A$10003, A579, BASE!$C$4:$C$10003))</f>
        <v/>
      </c>
      <c r="D579" t="str">
        <f>IF(A579="", "", INDEX(BASE!$D$4:$D$10003, MATCH(A579, BASE!$A$4:$A$10003, 0)))</f>
        <v/>
      </c>
      <c r="E579" t="str">
        <f>IF(A579="", "", INDEX(BASE!$E$4:$E$10003, MATCH(A579, BASE!$A$4:$A$10003, 0)))</f>
        <v/>
      </c>
    </row>
    <row r="580" spans="1:5">
      <c r="A580" t="str">
        <f>IFERROR(INDEX(BASE!$A$4:$A$10003, MATCH(0, COUNTIF($A$1:A579, BASE!$A$4:$A$10003&amp;""), 0)), "")</f>
        <v/>
      </c>
      <c r="B580" t="str">
        <f>IF(A580="", "", VLOOKUP(A580, BASE!$A$4:$B$10003, 2, FALSE))</f>
        <v/>
      </c>
      <c r="C580" t="str">
        <f>IF(A580="", "", SUMIF(BASE!$A$4:$A$10003, A580, BASE!$C$4:$C$10003))</f>
        <v/>
      </c>
      <c r="D580" t="str">
        <f>IF(A580="", "", INDEX(BASE!$D$4:$D$10003, MATCH(A580, BASE!$A$4:$A$10003, 0)))</f>
        <v/>
      </c>
      <c r="E580" t="str">
        <f>IF(A580="", "", INDEX(BASE!$E$4:$E$10003, MATCH(A580, BASE!$A$4:$A$10003, 0)))</f>
        <v/>
      </c>
    </row>
    <row r="581" spans="1:5">
      <c r="A581" t="str">
        <f>IFERROR(INDEX(BASE!$A$4:$A$10003, MATCH(0, COUNTIF($A$1:A580, BASE!$A$4:$A$10003&amp;""), 0)), "")</f>
        <v/>
      </c>
      <c r="B581" t="str">
        <f>IF(A581="", "", VLOOKUP(A581, BASE!$A$4:$B$10003, 2, FALSE))</f>
        <v/>
      </c>
      <c r="C581" t="str">
        <f>IF(A581="", "", SUMIF(BASE!$A$4:$A$10003, A581, BASE!$C$4:$C$10003))</f>
        <v/>
      </c>
      <c r="D581" t="str">
        <f>IF(A581="", "", INDEX(BASE!$D$4:$D$10003, MATCH(A581, BASE!$A$4:$A$10003, 0)))</f>
        <v/>
      </c>
      <c r="E581" t="str">
        <f>IF(A581="", "", INDEX(BASE!$E$4:$E$10003, MATCH(A581, BASE!$A$4:$A$10003, 0)))</f>
        <v/>
      </c>
    </row>
    <row r="582" spans="1:5">
      <c r="A582" t="str">
        <f>IFERROR(INDEX(BASE!$A$4:$A$10003, MATCH(0, COUNTIF($A$1:A581, BASE!$A$4:$A$10003&amp;""), 0)), "")</f>
        <v/>
      </c>
      <c r="B582" t="str">
        <f>IF(A582="", "", VLOOKUP(A582, BASE!$A$4:$B$10003, 2, FALSE))</f>
        <v/>
      </c>
      <c r="C582" t="str">
        <f>IF(A582="", "", SUMIF(BASE!$A$4:$A$10003, A582, BASE!$C$4:$C$10003))</f>
        <v/>
      </c>
      <c r="D582" t="str">
        <f>IF(A582="", "", INDEX(BASE!$D$4:$D$10003, MATCH(A582, BASE!$A$4:$A$10003, 0)))</f>
        <v/>
      </c>
      <c r="E582" t="str">
        <f>IF(A582="", "", INDEX(BASE!$E$4:$E$10003, MATCH(A582, BASE!$A$4:$A$10003, 0)))</f>
        <v/>
      </c>
    </row>
    <row r="583" spans="1:5">
      <c r="A583" t="str">
        <f>IFERROR(INDEX(BASE!$A$4:$A$10003, MATCH(0, COUNTIF($A$1:A582, BASE!$A$4:$A$10003&amp;""), 0)), "")</f>
        <v/>
      </c>
      <c r="B583" t="str">
        <f>IF(A583="", "", VLOOKUP(A583, BASE!$A$4:$B$10003, 2, FALSE))</f>
        <v/>
      </c>
      <c r="C583" t="str">
        <f>IF(A583="", "", SUMIF(BASE!$A$4:$A$10003, A583, BASE!$C$4:$C$10003))</f>
        <v/>
      </c>
      <c r="D583" t="str">
        <f>IF(A583="", "", INDEX(BASE!$D$4:$D$10003, MATCH(A583, BASE!$A$4:$A$10003, 0)))</f>
        <v/>
      </c>
      <c r="E583" t="str">
        <f>IF(A583="", "", INDEX(BASE!$E$4:$E$10003, MATCH(A583, BASE!$A$4:$A$10003, 0)))</f>
        <v/>
      </c>
    </row>
    <row r="584" spans="1:5">
      <c r="A584" t="str">
        <f>IFERROR(INDEX(BASE!$A$4:$A$10003, MATCH(0, COUNTIF($A$1:A583, BASE!$A$4:$A$10003&amp;""), 0)), "")</f>
        <v/>
      </c>
      <c r="B584" t="str">
        <f>IF(A584="", "", VLOOKUP(A584, BASE!$A$4:$B$10003, 2, FALSE))</f>
        <v/>
      </c>
      <c r="C584" t="str">
        <f>IF(A584="", "", SUMIF(BASE!$A$4:$A$10003, A584, BASE!$C$4:$C$10003))</f>
        <v/>
      </c>
      <c r="D584" t="str">
        <f>IF(A584="", "", INDEX(BASE!$D$4:$D$10003, MATCH(A584, BASE!$A$4:$A$10003, 0)))</f>
        <v/>
      </c>
      <c r="E584" t="str">
        <f>IF(A584="", "", INDEX(BASE!$E$4:$E$10003, MATCH(A584, BASE!$A$4:$A$10003, 0)))</f>
        <v/>
      </c>
    </row>
    <row r="585" spans="1:5">
      <c r="A585" t="str">
        <f>IFERROR(INDEX(BASE!$A$4:$A$10003, MATCH(0, COUNTIF($A$1:A584, BASE!$A$4:$A$10003&amp;""), 0)), "")</f>
        <v/>
      </c>
      <c r="B585" t="str">
        <f>IF(A585="", "", VLOOKUP(A585, BASE!$A$4:$B$10003, 2, FALSE))</f>
        <v/>
      </c>
      <c r="C585" t="str">
        <f>IF(A585="", "", SUMIF(BASE!$A$4:$A$10003, A585, BASE!$C$4:$C$10003))</f>
        <v/>
      </c>
      <c r="D585" t="str">
        <f>IF(A585="", "", INDEX(BASE!$D$4:$D$10003, MATCH(A585, BASE!$A$4:$A$10003, 0)))</f>
        <v/>
      </c>
      <c r="E585" t="str">
        <f>IF(A585="", "", INDEX(BASE!$E$4:$E$10003, MATCH(A585, BASE!$A$4:$A$10003, 0)))</f>
        <v/>
      </c>
    </row>
    <row r="586" spans="1:5">
      <c r="A586" t="str">
        <f>IFERROR(INDEX(BASE!$A$4:$A$10003, MATCH(0, COUNTIF($A$1:A585, BASE!$A$4:$A$10003&amp;""), 0)), "")</f>
        <v/>
      </c>
      <c r="B586" t="str">
        <f>IF(A586="", "", VLOOKUP(A586, BASE!$A$4:$B$10003, 2, FALSE))</f>
        <v/>
      </c>
      <c r="C586" t="str">
        <f>IF(A586="", "", SUMIF(BASE!$A$4:$A$10003, A586, BASE!$C$4:$C$10003))</f>
        <v/>
      </c>
      <c r="D586" t="str">
        <f>IF(A586="", "", INDEX(BASE!$D$4:$D$10003, MATCH(A586, BASE!$A$4:$A$10003, 0)))</f>
        <v/>
      </c>
      <c r="E586" t="str">
        <f>IF(A586="", "", INDEX(BASE!$E$4:$E$10003, MATCH(A586, BASE!$A$4:$A$10003, 0)))</f>
        <v/>
      </c>
    </row>
    <row r="587" spans="1:5">
      <c r="A587" t="str">
        <f>IFERROR(INDEX(BASE!$A$4:$A$10003, MATCH(0, COUNTIF($A$1:A586, BASE!$A$4:$A$10003&amp;""), 0)), "")</f>
        <v/>
      </c>
      <c r="B587" t="str">
        <f>IF(A587="", "", VLOOKUP(A587, BASE!$A$4:$B$10003, 2, FALSE))</f>
        <v/>
      </c>
      <c r="C587" t="str">
        <f>IF(A587="", "", SUMIF(BASE!$A$4:$A$10003, A587, BASE!$C$4:$C$10003))</f>
        <v/>
      </c>
      <c r="D587" t="str">
        <f>IF(A587="", "", INDEX(BASE!$D$4:$D$10003, MATCH(A587, BASE!$A$4:$A$10003, 0)))</f>
        <v/>
      </c>
      <c r="E587" t="str">
        <f>IF(A587="", "", INDEX(BASE!$E$4:$E$10003, MATCH(A587, BASE!$A$4:$A$10003, 0)))</f>
        <v/>
      </c>
    </row>
    <row r="588" spans="1:5">
      <c r="A588" t="str">
        <f>IFERROR(INDEX(BASE!$A$4:$A$10003, MATCH(0, COUNTIF($A$1:A587, BASE!$A$4:$A$10003&amp;""), 0)), "")</f>
        <v/>
      </c>
      <c r="B588" t="str">
        <f>IF(A588="", "", VLOOKUP(A588, BASE!$A$4:$B$10003, 2, FALSE))</f>
        <v/>
      </c>
      <c r="C588" t="str">
        <f>IF(A588="", "", SUMIF(BASE!$A$4:$A$10003, A588, BASE!$C$4:$C$10003))</f>
        <v/>
      </c>
      <c r="D588" t="str">
        <f>IF(A588="", "", INDEX(BASE!$D$4:$D$10003, MATCH(A588, BASE!$A$4:$A$10003, 0)))</f>
        <v/>
      </c>
      <c r="E588" t="str">
        <f>IF(A588="", "", INDEX(BASE!$E$4:$E$10003, MATCH(A588, BASE!$A$4:$A$10003, 0)))</f>
        <v/>
      </c>
    </row>
    <row r="589" spans="1:5">
      <c r="A589" t="str">
        <f>IFERROR(INDEX(BASE!$A$4:$A$10003, MATCH(0, COUNTIF($A$1:A588, BASE!$A$4:$A$10003&amp;""), 0)), "")</f>
        <v/>
      </c>
      <c r="B589" t="str">
        <f>IF(A589="", "", VLOOKUP(A589, BASE!$A$4:$B$10003, 2, FALSE))</f>
        <v/>
      </c>
      <c r="C589" t="str">
        <f>IF(A589="", "", SUMIF(BASE!$A$4:$A$10003, A589, BASE!$C$4:$C$10003))</f>
        <v/>
      </c>
      <c r="D589" t="str">
        <f>IF(A589="", "", INDEX(BASE!$D$4:$D$10003, MATCH(A589, BASE!$A$4:$A$10003, 0)))</f>
        <v/>
      </c>
      <c r="E589" t="str">
        <f>IF(A589="", "", INDEX(BASE!$E$4:$E$10003, MATCH(A589, BASE!$A$4:$A$10003, 0)))</f>
        <v/>
      </c>
    </row>
    <row r="590" spans="1:5">
      <c r="A590" t="str">
        <f>IFERROR(INDEX(BASE!$A$4:$A$10003, MATCH(0, COUNTIF($A$1:A589, BASE!$A$4:$A$10003&amp;""), 0)), "")</f>
        <v/>
      </c>
      <c r="B590" t="str">
        <f>IF(A590="", "", VLOOKUP(A590, BASE!$A$4:$B$10003, 2, FALSE))</f>
        <v/>
      </c>
      <c r="C590" t="str">
        <f>IF(A590="", "", SUMIF(BASE!$A$4:$A$10003, A590, BASE!$C$4:$C$10003))</f>
        <v/>
      </c>
      <c r="D590" t="str">
        <f>IF(A590="", "", INDEX(BASE!$D$4:$D$10003, MATCH(A590, BASE!$A$4:$A$10003, 0)))</f>
        <v/>
      </c>
      <c r="E590" t="str">
        <f>IF(A590="", "", INDEX(BASE!$E$4:$E$10003, MATCH(A590, BASE!$A$4:$A$10003, 0)))</f>
        <v/>
      </c>
    </row>
    <row r="591" spans="1:5">
      <c r="A591" t="str">
        <f>IFERROR(INDEX(BASE!$A$4:$A$10003, MATCH(0, COUNTIF($A$1:A590, BASE!$A$4:$A$10003&amp;""), 0)), "")</f>
        <v/>
      </c>
      <c r="B591" t="str">
        <f>IF(A591="", "", VLOOKUP(A591, BASE!$A$4:$B$10003, 2, FALSE))</f>
        <v/>
      </c>
      <c r="C591" t="str">
        <f>IF(A591="", "", SUMIF(BASE!$A$4:$A$10003, A591, BASE!$C$4:$C$10003))</f>
        <v/>
      </c>
      <c r="D591" t="str">
        <f>IF(A591="", "", INDEX(BASE!$D$4:$D$10003, MATCH(A591, BASE!$A$4:$A$10003, 0)))</f>
        <v/>
      </c>
      <c r="E591" t="str">
        <f>IF(A591="", "", INDEX(BASE!$E$4:$E$10003, MATCH(A591, BASE!$A$4:$A$10003, 0)))</f>
        <v/>
      </c>
    </row>
    <row r="592" spans="1:5">
      <c r="A592" t="str">
        <f>IFERROR(INDEX(BASE!$A$4:$A$10003, MATCH(0, COUNTIF($A$1:A591, BASE!$A$4:$A$10003&amp;""), 0)), "")</f>
        <v/>
      </c>
      <c r="B592" t="str">
        <f>IF(A592="", "", VLOOKUP(A592, BASE!$A$4:$B$10003, 2, FALSE))</f>
        <v/>
      </c>
      <c r="C592" t="str">
        <f>IF(A592="", "", SUMIF(BASE!$A$4:$A$10003, A592, BASE!$C$4:$C$10003))</f>
        <v/>
      </c>
      <c r="D592" t="str">
        <f>IF(A592="", "", INDEX(BASE!$D$4:$D$10003, MATCH(A592, BASE!$A$4:$A$10003, 0)))</f>
        <v/>
      </c>
      <c r="E592" t="str">
        <f>IF(A592="", "", INDEX(BASE!$E$4:$E$10003, MATCH(A592, BASE!$A$4:$A$10003, 0)))</f>
        <v/>
      </c>
    </row>
    <row r="593" spans="1:5">
      <c r="A593" t="str">
        <f>IFERROR(INDEX(BASE!$A$4:$A$10003, MATCH(0, COUNTIF($A$1:A592, BASE!$A$4:$A$10003&amp;""), 0)), "")</f>
        <v/>
      </c>
      <c r="B593" t="str">
        <f>IF(A593="", "", VLOOKUP(A593, BASE!$A$4:$B$10003, 2, FALSE))</f>
        <v/>
      </c>
      <c r="C593" t="str">
        <f>IF(A593="", "", SUMIF(BASE!$A$4:$A$10003, A593, BASE!$C$4:$C$10003))</f>
        <v/>
      </c>
      <c r="D593" t="str">
        <f>IF(A593="", "", INDEX(BASE!$D$4:$D$10003, MATCH(A593, BASE!$A$4:$A$10003, 0)))</f>
        <v/>
      </c>
      <c r="E593" t="str">
        <f>IF(A593="", "", INDEX(BASE!$E$4:$E$10003, MATCH(A593, BASE!$A$4:$A$10003, 0)))</f>
        <v/>
      </c>
    </row>
    <row r="594" spans="1:5">
      <c r="A594" t="str">
        <f>IFERROR(INDEX(BASE!$A$4:$A$10003, MATCH(0, COUNTIF($A$1:A593, BASE!$A$4:$A$10003&amp;""), 0)), "")</f>
        <v/>
      </c>
      <c r="B594" t="str">
        <f>IF(A594="", "", VLOOKUP(A594, BASE!$A$4:$B$10003, 2, FALSE))</f>
        <v/>
      </c>
      <c r="C594" t="str">
        <f>IF(A594="", "", SUMIF(BASE!$A$4:$A$10003, A594, BASE!$C$4:$C$10003))</f>
        <v/>
      </c>
      <c r="D594" t="str">
        <f>IF(A594="", "", INDEX(BASE!$D$4:$D$10003, MATCH(A594, BASE!$A$4:$A$10003, 0)))</f>
        <v/>
      </c>
      <c r="E594" t="str">
        <f>IF(A594="", "", INDEX(BASE!$E$4:$E$10003, MATCH(A594, BASE!$A$4:$A$10003, 0)))</f>
        <v/>
      </c>
    </row>
    <row r="595" spans="1:5">
      <c r="A595" t="str">
        <f>IFERROR(INDEX(BASE!$A$4:$A$10003, MATCH(0, COUNTIF($A$1:A594, BASE!$A$4:$A$10003&amp;""), 0)), "")</f>
        <v/>
      </c>
      <c r="B595" t="str">
        <f>IF(A595="", "", VLOOKUP(A595, BASE!$A$4:$B$10003, 2, FALSE))</f>
        <v/>
      </c>
      <c r="C595" t="str">
        <f>IF(A595="", "", SUMIF(BASE!$A$4:$A$10003, A595, BASE!$C$4:$C$10003))</f>
        <v/>
      </c>
      <c r="D595" t="str">
        <f>IF(A595="", "", INDEX(BASE!$D$4:$D$10003, MATCH(A595, BASE!$A$4:$A$10003, 0)))</f>
        <v/>
      </c>
      <c r="E595" t="str">
        <f>IF(A595="", "", INDEX(BASE!$E$4:$E$10003, MATCH(A595, BASE!$A$4:$A$10003, 0)))</f>
        <v/>
      </c>
    </row>
    <row r="596" spans="1:5">
      <c r="A596" t="str">
        <f>IFERROR(INDEX(BASE!$A$4:$A$10003, MATCH(0, COUNTIF($A$1:A595, BASE!$A$4:$A$10003&amp;""), 0)), "")</f>
        <v/>
      </c>
      <c r="B596" t="str">
        <f>IF(A596="", "", VLOOKUP(A596, BASE!$A$4:$B$10003, 2, FALSE))</f>
        <v/>
      </c>
      <c r="C596" t="str">
        <f>IF(A596="", "", SUMIF(BASE!$A$4:$A$10003, A596, BASE!$C$4:$C$10003))</f>
        <v/>
      </c>
      <c r="D596" t="str">
        <f>IF(A596="", "", INDEX(BASE!$D$4:$D$10003, MATCH(A596, BASE!$A$4:$A$10003, 0)))</f>
        <v/>
      </c>
      <c r="E596" t="str">
        <f>IF(A596="", "", INDEX(BASE!$E$4:$E$10003, MATCH(A596, BASE!$A$4:$A$10003, 0)))</f>
        <v/>
      </c>
    </row>
    <row r="597" spans="1:5">
      <c r="A597" t="str">
        <f>IFERROR(INDEX(BASE!$A$4:$A$10003, MATCH(0, COUNTIF($A$1:A596, BASE!$A$4:$A$10003&amp;""), 0)), "")</f>
        <v/>
      </c>
      <c r="B597" t="str">
        <f>IF(A597="", "", VLOOKUP(A597, BASE!$A$4:$B$10003, 2, FALSE))</f>
        <v/>
      </c>
      <c r="C597" t="str">
        <f>IF(A597="", "", SUMIF(BASE!$A$4:$A$10003, A597, BASE!$C$4:$C$10003))</f>
        <v/>
      </c>
      <c r="D597" t="str">
        <f>IF(A597="", "", INDEX(BASE!$D$4:$D$10003, MATCH(A597, BASE!$A$4:$A$10003, 0)))</f>
        <v/>
      </c>
      <c r="E597" t="str">
        <f>IF(A597="", "", INDEX(BASE!$E$4:$E$10003, MATCH(A597, BASE!$A$4:$A$10003, 0)))</f>
        <v/>
      </c>
    </row>
    <row r="598" spans="1:5">
      <c r="A598" t="str">
        <f>IFERROR(INDEX(BASE!$A$4:$A$10003, MATCH(0, COUNTIF($A$1:A597, BASE!$A$4:$A$10003&amp;""), 0)), "")</f>
        <v/>
      </c>
      <c r="B598" t="str">
        <f>IF(A598="", "", VLOOKUP(A598, BASE!$A$4:$B$10003, 2, FALSE))</f>
        <v/>
      </c>
      <c r="C598" t="str">
        <f>IF(A598="", "", SUMIF(BASE!$A$4:$A$10003, A598, BASE!$C$4:$C$10003))</f>
        <v/>
      </c>
      <c r="D598" t="str">
        <f>IF(A598="", "", INDEX(BASE!$D$4:$D$10003, MATCH(A598, BASE!$A$4:$A$10003, 0)))</f>
        <v/>
      </c>
      <c r="E598" t="str">
        <f>IF(A598="", "", INDEX(BASE!$E$4:$E$10003, MATCH(A598, BASE!$A$4:$A$10003, 0)))</f>
        <v/>
      </c>
    </row>
    <row r="599" spans="1:5">
      <c r="A599" t="str">
        <f>IFERROR(INDEX(BASE!$A$4:$A$10003, MATCH(0, COUNTIF($A$1:A598, BASE!$A$4:$A$10003&amp;""), 0)), "")</f>
        <v/>
      </c>
      <c r="B599" t="str">
        <f>IF(A599="", "", VLOOKUP(A599, BASE!$A$4:$B$10003, 2, FALSE))</f>
        <v/>
      </c>
      <c r="C599" t="str">
        <f>IF(A599="", "", SUMIF(BASE!$A$4:$A$10003, A599, BASE!$C$4:$C$10003))</f>
        <v/>
      </c>
      <c r="D599" t="str">
        <f>IF(A599="", "", INDEX(BASE!$D$4:$D$10003, MATCH(A599, BASE!$A$4:$A$10003, 0)))</f>
        <v/>
      </c>
      <c r="E599" t="str">
        <f>IF(A599="", "", INDEX(BASE!$E$4:$E$10003, MATCH(A599, BASE!$A$4:$A$10003, 0)))</f>
        <v/>
      </c>
    </row>
    <row r="600" spans="1:5">
      <c r="A600" t="str">
        <f>IFERROR(INDEX(BASE!$A$4:$A$10003, MATCH(0, COUNTIF($A$1:A599, BASE!$A$4:$A$10003&amp;""), 0)), "")</f>
        <v/>
      </c>
      <c r="B600" t="str">
        <f>IF(A600="", "", VLOOKUP(A600, BASE!$A$4:$B$10003, 2, FALSE))</f>
        <v/>
      </c>
      <c r="C600" t="str">
        <f>IF(A600="", "", SUMIF(BASE!$A$4:$A$10003, A600, BASE!$C$4:$C$10003))</f>
        <v/>
      </c>
      <c r="D600" t="str">
        <f>IF(A600="", "", INDEX(BASE!$D$4:$D$10003, MATCH(A600, BASE!$A$4:$A$10003, 0)))</f>
        <v/>
      </c>
      <c r="E600" t="str">
        <f>IF(A600="", "", INDEX(BASE!$E$4:$E$10003, MATCH(A600, BASE!$A$4:$A$10003, 0)))</f>
        <v/>
      </c>
    </row>
    <row r="601" spans="1:5">
      <c r="A601" t="str">
        <f>IFERROR(INDEX(BASE!$A$4:$A$10003, MATCH(0, COUNTIF($A$1:A600, BASE!$A$4:$A$10003&amp;""), 0)), "")</f>
        <v/>
      </c>
      <c r="B601" t="str">
        <f>IF(A601="", "", VLOOKUP(A601, BASE!$A$4:$B$10003, 2, FALSE))</f>
        <v/>
      </c>
      <c r="C601" t="str">
        <f>IF(A601="", "", SUMIF(BASE!$A$4:$A$10003, A601, BASE!$C$4:$C$10003))</f>
        <v/>
      </c>
      <c r="D601" t="str">
        <f>IF(A601="", "", INDEX(BASE!$D$4:$D$10003, MATCH(A601, BASE!$A$4:$A$10003, 0)))</f>
        <v/>
      </c>
      <c r="E601" t="str">
        <f>IF(A601="", "", INDEX(BASE!$E$4:$E$10003, MATCH(A601, BASE!$A$4:$A$10003, 0)))</f>
        <v/>
      </c>
    </row>
    <row r="602" spans="1:5">
      <c r="A602" t="str">
        <f>IFERROR(INDEX(BASE!$A$4:$A$10003, MATCH(0, COUNTIF($A$1:A601, BASE!$A$4:$A$10003&amp;""), 0)), "")</f>
        <v/>
      </c>
      <c r="B602" t="str">
        <f>IF(A602="", "", VLOOKUP(A602, BASE!$A$4:$B$10003, 2, FALSE))</f>
        <v/>
      </c>
      <c r="C602" t="str">
        <f>IF(A602="", "", SUMIF(BASE!$A$4:$A$10003, A602, BASE!$C$4:$C$10003))</f>
        <v/>
      </c>
      <c r="D602" t="str">
        <f>IF(A602="", "", INDEX(BASE!$D$4:$D$10003, MATCH(A602, BASE!$A$4:$A$10003, 0)))</f>
        <v/>
      </c>
      <c r="E602" t="str">
        <f>IF(A602="", "", INDEX(BASE!$E$4:$E$10003, MATCH(A602, BASE!$A$4:$A$10003, 0)))</f>
        <v/>
      </c>
    </row>
    <row r="603" spans="1:5">
      <c r="A603" t="str">
        <f>IFERROR(INDEX(BASE!$A$4:$A$10003, MATCH(0, COUNTIF($A$1:A602, BASE!$A$4:$A$10003&amp;""), 0)), "")</f>
        <v/>
      </c>
      <c r="B603" t="str">
        <f>IF(A603="", "", VLOOKUP(A603, BASE!$A$4:$B$10003, 2, FALSE))</f>
        <v/>
      </c>
      <c r="C603" t="str">
        <f>IF(A603="", "", SUMIF(BASE!$A$4:$A$10003, A603, BASE!$C$4:$C$10003))</f>
        <v/>
      </c>
      <c r="D603" t="str">
        <f>IF(A603="", "", INDEX(BASE!$D$4:$D$10003, MATCH(A603, BASE!$A$4:$A$10003, 0)))</f>
        <v/>
      </c>
      <c r="E603" t="str">
        <f>IF(A603="", "", INDEX(BASE!$E$4:$E$10003, MATCH(A603, BASE!$A$4:$A$10003, 0)))</f>
        <v/>
      </c>
    </row>
    <row r="604" spans="1:5">
      <c r="A604" t="str">
        <f>IFERROR(INDEX(BASE!$A$4:$A$10003, MATCH(0, COUNTIF($A$1:A603, BASE!$A$4:$A$10003&amp;""), 0)), "")</f>
        <v/>
      </c>
      <c r="B604" t="str">
        <f>IF(A604="", "", VLOOKUP(A604, BASE!$A$4:$B$10003, 2, FALSE))</f>
        <v/>
      </c>
      <c r="C604" t="str">
        <f>IF(A604="", "", SUMIF(BASE!$A$4:$A$10003, A604, BASE!$C$4:$C$10003))</f>
        <v/>
      </c>
      <c r="D604" t="str">
        <f>IF(A604="", "", INDEX(BASE!$D$4:$D$10003, MATCH(A604, BASE!$A$4:$A$10003, 0)))</f>
        <v/>
      </c>
      <c r="E604" t="str">
        <f>IF(A604="", "", INDEX(BASE!$E$4:$E$10003, MATCH(A604, BASE!$A$4:$A$10003, 0)))</f>
        <v/>
      </c>
    </row>
    <row r="605" spans="1:5">
      <c r="A605" t="str">
        <f>IFERROR(INDEX(BASE!$A$4:$A$10003, MATCH(0, COUNTIF($A$1:A604, BASE!$A$4:$A$10003&amp;""), 0)), "")</f>
        <v/>
      </c>
      <c r="B605" t="str">
        <f>IF(A605="", "", VLOOKUP(A605, BASE!$A$4:$B$10003, 2, FALSE))</f>
        <v/>
      </c>
      <c r="C605" t="str">
        <f>IF(A605="", "", SUMIF(BASE!$A$4:$A$10003, A605, BASE!$C$4:$C$10003))</f>
        <v/>
      </c>
      <c r="D605" t="str">
        <f>IF(A605="", "", INDEX(BASE!$D$4:$D$10003, MATCH(A605, BASE!$A$4:$A$10003, 0)))</f>
        <v/>
      </c>
      <c r="E605" t="str">
        <f>IF(A605="", "", INDEX(BASE!$E$4:$E$10003, MATCH(A605, BASE!$A$4:$A$10003, 0)))</f>
        <v/>
      </c>
    </row>
    <row r="606" spans="1:5">
      <c r="A606" t="str">
        <f>IFERROR(INDEX(BASE!$A$4:$A$10003, MATCH(0, COUNTIF($A$1:A605, BASE!$A$4:$A$10003&amp;""), 0)), "")</f>
        <v/>
      </c>
      <c r="B606" t="str">
        <f>IF(A606="", "", VLOOKUP(A606, BASE!$A$4:$B$10003, 2, FALSE))</f>
        <v/>
      </c>
      <c r="C606" t="str">
        <f>IF(A606="", "", SUMIF(BASE!$A$4:$A$10003, A606, BASE!$C$4:$C$10003))</f>
        <v/>
      </c>
      <c r="D606" t="str">
        <f>IF(A606="", "", INDEX(BASE!$D$4:$D$10003, MATCH(A606, BASE!$A$4:$A$10003, 0)))</f>
        <v/>
      </c>
      <c r="E606" t="str">
        <f>IF(A606="", "", INDEX(BASE!$E$4:$E$10003, MATCH(A606, BASE!$A$4:$A$10003, 0)))</f>
        <v/>
      </c>
    </row>
    <row r="607" spans="1:5">
      <c r="A607" t="str">
        <f>IFERROR(INDEX(BASE!$A$4:$A$10003, MATCH(0, COUNTIF($A$1:A606, BASE!$A$4:$A$10003&amp;""), 0)), "")</f>
        <v/>
      </c>
      <c r="B607" t="str">
        <f>IF(A607="", "", VLOOKUP(A607, BASE!$A$4:$B$10003, 2, FALSE))</f>
        <v/>
      </c>
      <c r="C607" t="str">
        <f>IF(A607="", "", SUMIF(BASE!$A$4:$A$10003, A607, BASE!$C$4:$C$10003))</f>
        <v/>
      </c>
      <c r="D607" t="str">
        <f>IF(A607="", "", INDEX(BASE!$D$4:$D$10003, MATCH(A607, BASE!$A$4:$A$10003, 0)))</f>
        <v/>
      </c>
      <c r="E607" t="str">
        <f>IF(A607="", "", INDEX(BASE!$E$4:$E$10003, MATCH(A607, BASE!$A$4:$A$10003, 0)))</f>
        <v/>
      </c>
    </row>
    <row r="608" spans="1:5">
      <c r="A608" t="str">
        <f>IFERROR(INDEX(BASE!$A$4:$A$10003, MATCH(0, COUNTIF($A$1:A607, BASE!$A$4:$A$10003&amp;""), 0)), "")</f>
        <v/>
      </c>
      <c r="B608" t="str">
        <f>IF(A608="", "", VLOOKUP(A608, BASE!$A$4:$B$10003, 2, FALSE))</f>
        <v/>
      </c>
      <c r="C608" t="str">
        <f>IF(A608="", "", SUMIF(BASE!$A$4:$A$10003, A608, BASE!$C$4:$C$10003))</f>
        <v/>
      </c>
      <c r="D608" t="str">
        <f>IF(A608="", "", INDEX(BASE!$D$4:$D$10003, MATCH(A608, BASE!$A$4:$A$10003, 0)))</f>
        <v/>
      </c>
      <c r="E608" t="str">
        <f>IF(A608="", "", INDEX(BASE!$E$4:$E$10003, MATCH(A608, BASE!$A$4:$A$10003, 0)))</f>
        <v/>
      </c>
    </row>
    <row r="609" spans="1:5">
      <c r="A609" t="str">
        <f>IFERROR(INDEX(BASE!$A$4:$A$10003, MATCH(0, COUNTIF($A$1:A608, BASE!$A$4:$A$10003&amp;""), 0)), "")</f>
        <v/>
      </c>
      <c r="B609" t="str">
        <f>IF(A609="", "", VLOOKUP(A609, BASE!$A$4:$B$10003, 2, FALSE))</f>
        <v/>
      </c>
      <c r="C609" t="str">
        <f>IF(A609="", "", SUMIF(BASE!$A$4:$A$10003, A609, BASE!$C$4:$C$10003))</f>
        <v/>
      </c>
      <c r="D609" t="str">
        <f>IF(A609="", "", INDEX(BASE!$D$4:$D$10003, MATCH(A609, BASE!$A$4:$A$10003, 0)))</f>
        <v/>
      </c>
      <c r="E609" t="str">
        <f>IF(A609="", "", INDEX(BASE!$E$4:$E$10003, MATCH(A609, BASE!$A$4:$A$10003, 0)))</f>
        <v/>
      </c>
    </row>
    <row r="610" spans="1:5">
      <c r="A610" t="str">
        <f>IFERROR(INDEX(BASE!$A$4:$A$10003, MATCH(0, COUNTIF($A$1:A609, BASE!$A$4:$A$10003&amp;""), 0)), "")</f>
        <v/>
      </c>
      <c r="B610" t="str">
        <f>IF(A610="", "", VLOOKUP(A610, BASE!$A$4:$B$10003, 2, FALSE))</f>
        <v/>
      </c>
      <c r="C610" t="str">
        <f>IF(A610="", "", SUMIF(BASE!$A$4:$A$10003, A610, BASE!$C$4:$C$10003))</f>
        <v/>
      </c>
      <c r="D610" t="str">
        <f>IF(A610="", "", INDEX(BASE!$D$4:$D$10003, MATCH(A610, BASE!$A$4:$A$10003, 0)))</f>
        <v/>
      </c>
      <c r="E610" t="str">
        <f>IF(A610="", "", INDEX(BASE!$E$4:$E$10003, MATCH(A610, BASE!$A$4:$A$10003, 0)))</f>
        <v/>
      </c>
    </row>
    <row r="611" spans="1:5">
      <c r="A611" t="str">
        <f>IFERROR(INDEX(BASE!$A$4:$A$10003, MATCH(0, COUNTIF($A$1:A610, BASE!$A$4:$A$10003&amp;""), 0)), "")</f>
        <v/>
      </c>
      <c r="B611" t="str">
        <f>IF(A611="", "", VLOOKUP(A611, BASE!$A$4:$B$10003, 2, FALSE))</f>
        <v/>
      </c>
      <c r="C611" t="str">
        <f>IF(A611="", "", SUMIF(BASE!$A$4:$A$10003, A611, BASE!$C$4:$C$10003))</f>
        <v/>
      </c>
      <c r="D611" t="str">
        <f>IF(A611="", "", INDEX(BASE!$D$4:$D$10003, MATCH(A611, BASE!$A$4:$A$10003, 0)))</f>
        <v/>
      </c>
      <c r="E611" t="str">
        <f>IF(A611="", "", INDEX(BASE!$E$4:$E$10003, MATCH(A611, BASE!$A$4:$A$10003, 0)))</f>
        <v/>
      </c>
    </row>
    <row r="612" spans="1:5">
      <c r="A612" t="str">
        <f>IFERROR(INDEX(BASE!$A$4:$A$10003, MATCH(0, COUNTIF($A$1:A611, BASE!$A$4:$A$10003&amp;""), 0)), "")</f>
        <v/>
      </c>
      <c r="B612" t="str">
        <f>IF(A612="", "", VLOOKUP(A612, BASE!$A$4:$B$10003, 2, FALSE))</f>
        <v/>
      </c>
      <c r="C612" t="str">
        <f>IF(A612="", "", SUMIF(BASE!$A$4:$A$10003, A612, BASE!$C$4:$C$10003))</f>
        <v/>
      </c>
      <c r="D612" t="str">
        <f>IF(A612="", "", INDEX(BASE!$D$4:$D$10003, MATCH(A612, BASE!$A$4:$A$10003, 0)))</f>
        <v/>
      </c>
      <c r="E612" t="str">
        <f>IF(A612="", "", INDEX(BASE!$E$4:$E$10003, MATCH(A612, BASE!$A$4:$A$10003, 0)))</f>
        <v/>
      </c>
    </row>
    <row r="613" spans="1:5">
      <c r="A613" t="str">
        <f>IFERROR(INDEX(BASE!$A$4:$A$10003, MATCH(0, COUNTIF($A$1:A612, BASE!$A$4:$A$10003&amp;""), 0)), "")</f>
        <v/>
      </c>
      <c r="B613" t="str">
        <f>IF(A613="", "", VLOOKUP(A613, BASE!$A$4:$B$10003, 2, FALSE))</f>
        <v/>
      </c>
      <c r="C613" t="str">
        <f>IF(A613="", "", SUMIF(BASE!$A$4:$A$10003, A613, BASE!$C$4:$C$10003))</f>
        <v/>
      </c>
      <c r="D613" t="str">
        <f>IF(A613="", "", INDEX(BASE!$D$4:$D$10003, MATCH(A613, BASE!$A$4:$A$10003, 0)))</f>
        <v/>
      </c>
      <c r="E613" t="str">
        <f>IF(A613="", "", INDEX(BASE!$E$4:$E$10003, MATCH(A613, BASE!$A$4:$A$10003, 0)))</f>
        <v/>
      </c>
    </row>
    <row r="614" spans="1:5">
      <c r="A614" t="str">
        <f>IFERROR(INDEX(BASE!$A$4:$A$10003, MATCH(0, COUNTIF($A$1:A613, BASE!$A$4:$A$10003&amp;""), 0)), "")</f>
        <v/>
      </c>
      <c r="B614" t="str">
        <f>IF(A614="", "", VLOOKUP(A614, BASE!$A$4:$B$10003, 2, FALSE))</f>
        <v/>
      </c>
      <c r="C614" t="str">
        <f>IF(A614="", "", SUMIF(BASE!$A$4:$A$10003, A614, BASE!$C$4:$C$10003))</f>
        <v/>
      </c>
      <c r="D614" t="str">
        <f>IF(A614="", "", INDEX(BASE!$D$4:$D$10003, MATCH(A614, BASE!$A$4:$A$10003, 0)))</f>
        <v/>
      </c>
      <c r="E614" t="str">
        <f>IF(A614="", "", INDEX(BASE!$E$4:$E$10003, MATCH(A614, BASE!$A$4:$A$10003, 0)))</f>
        <v/>
      </c>
    </row>
    <row r="615" spans="1:5">
      <c r="A615" t="str">
        <f>IFERROR(INDEX(BASE!$A$4:$A$10003, MATCH(0, COUNTIF($A$1:A614, BASE!$A$4:$A$10003&amp;""), 0)), "")</f>
        <v/>
      </c>
      <c r="B615" t="str">
        <f>IF(A615="", "", VLOOKUP(A615, BASE!$A$4:$B$10003, 2, FALSE))</f>
        <v/>
      </c>
      <c r="C615" t="str">
        <f>IF(A615="", "", SUMIF(BASE!$A$4:$A$10003, A615, BASE!$C$4:$C$10003))</f>
        <v/>
      </c>
      <c r="D615" t="str">
        <f>IF(A615="", "", INDEX(BASE!$D$4:$D$10003, MATCH(A615, BASE!$A$4:$A$10003, 0)))</f>
        <v/>
      </c>
      <c r="E615" t="str">
        <f>IF(A615="", "", INDEX(BASE!$E$4:$E$10003, MATCH(A615, BASE!$A$4:$A$10003, 0)))</f>
        <v/>
      </c>
    </row>
    <row r="616" spans="1:5">
      <c r="A616" t="str">
        <f>IFERROR(INDEX(BASE!$A$4:$A$10003, MATCH(0, COUNTIF($A$1:A615, BASE!$A$4:$A$10003&amp;""), 0)), "")</f>
        <v/>
      </c>
      <c r="B616" t="str">
        <f>IF(A616="", "", VLOOKUP(A616, BASE!$A$4:$B$10003, 2, FALSE))</f>
        <v/>
      </c>
      <c r="C616" t="str">
        <f>IF(A616="", "", SUMIF(BASE!$A$4:$A$10003, A616, BASE!$C$4:$C$10003))</f>
        <v/>
      </c>
      <c r="D616" t="str">
        <f>IF(A616="", "", INDEX(BASE!$D$4:$D$10003, MATCH(A616, BASE!$A$4:$A$10003, 0)))</f>
        <v/>
      </c>
      <c r="E616" t="str">
        <f>IF(A616="", "", INDEX(BASE!$E$4:$E$10003, MATCH(A616, BASE!$A$4:$A$10003, 0)))</f>
        <v/>
      </c>
    </row>
    <row r="617" spans="1:5">
      <c r="A617" t="str">
        <f>IFERROR(INDEX(BASE!$A$4:$A$10003, MATCH(0, COUNTIF($A$1:A616, BASE!$A$4:$A$10003&amp;""), 0)), "")</f>
        <v/>
      </c>
      <c r="B617" t="str">
        <f>IF(A617="", "", VLOOKUP(A617, BASE!$A$4:$B$10003, 2, FALSE))</f>
        <v/>
      </c>
      <c r="C617" t="str">
        <f>IF(A617="", "", SUMIF(BASE!$A$4:$A$10003, A617, BASE!$C$4:$C$10003))</f>
        <v/>
      </c>
      <c r="D617" t="str">
        <f>IF(A617="", "", INDEX(BASE!$D$4:$D$10003, MATCH(A617, BASE!$A$4:$A$10003, 0)))</f>
        <v/>
      </c>
      <c r="E617" t="str">
        <f>IF(A617="", "", INDEX(BASE!$E$4:$E$10003, MATCH(A617, BASE!$A$4:$A$10003, 0)))</f>
        <v/>
      </c>
    </row>
    <row r="618" spans="1:5">
      <c r="A618" t="str">
        <f>IFERROR(INDEX(BASE!$A$4:$A$10003, MATCH(0, COUNTIF($A$1:A617, BASE!$A$4:$A$10003&amp;""), 0)), "")</f>
        <v/>
      </c>
      <c r="B618" t="str">
        <f>IF(A618="", "", VLOOKUP(A618, BASE!$A$4:$B$10003, 2, FALSE))</f>
        <v/>
      </c>
      <c r="C618" t="str">
        <f>IF(A618="", "", SUMIF(BASE!$A$4:$A$10003, A618, BASE!$C$4:$C$10003))</f>
        <v/>
      </c>
      <c r="D618" t="str">
        <f>IF(A618="", "", INDEX(BASE!$D$4:$D$10003, MATCH(A618, BASE!$A$4:$A$10003, 0)))</f>
        <v/>
      </c>
      <c r="E618" t="str">
        <f>IF(A618="", "", INDEX(BASE!$E$4:$E$10003, MATCH(A618, BASE!$A$4:$A$10003, 0)))</f>
        <v/>
      </c>
    </row>
    <row r="619" spans="1:5">
      <c r="A619" t="str">
        <f>IFERROR(INDEX(BASE!$A$4:$A$10003, MATCH(0, COUNTIF($A$1:A618, BASE!$A$4:$A$10003&amp;""), 0)), "")</f>
        <v/>
      </c>
      <c r="B619" t="str">
        <f>IF(A619="", "", VLOOKUP(A619, BASE!$A$4:$B$10003, 2, FALSE))</f>
        <v/>
      </c>
      <c r="C619" t="str">
        <f>IF(A619="", "", SUMIF(BASE!$A$4:$A$10003, A619, BASE!$C$4:$C$10003))</f>
        <v/>
      </c>
      <c r="D619" t="str">
        <f>IF(A619="", "", INDEX(BASE!$D$4:$D$10003, MATCH(A619, BASE!$A$4:$A$10003, 0)))</f>
        <v/>
      </c>
      <c r="E619" t="str">
        <f>IF(A619="", "", INDEX(BASE!$E$4:$E$10003, MATCH(A619, BASE!$A$4:$A$10003, 0)))</f>
        <v/>
      </c>
    </row>
    <row r="620" spans="1:5">
      <c r="A620" t="str">
        <f>IFERROR(INDEX(BASE!$A$4:$A$10003, MATCH(0, COUNTIF($A$1:A619, BASE!$A$4:$A$10003&amp;""), 0)), "")</f>
        <v/>
      </c>
      <c r="B620" t="str">
        <f>IF(A620="", "", VLOOKUP(A620, BASE!$A$4:$B$10003, 2, FALSE))</f>
        <v/>
      </c>
      <c r="C620" t="str">
        <f>IF(A620="", "", SUMIF(BASE!$A$4:$A$10003, A620, BASE!$C$4:$C$10003))</f>
        <v/>
      </c>
      <c r="D620" t="str">
        <f>IF(A620="", "", INDEX(BASE!$D$4:$D$10003, MATCH(A620, BASE!$A$4:$A$10003, 0)))</f>
        <v/>
      </c>
      <c r="E620" t="str">
        <f>IF(A620="", "", INDEX(BASE!$E$4:$E$10003, MATCH(A620, BASE!$A$4:$A$10003, 0)))</f>
        <v/>
      </c>
    </row>
    <row r="621" spans="1:5">
      <c r="A621" t="str">
        <f>IFERROR(INDEX(BASE!$A$4:$A$10003, MATCH(0, COUNTIF($A$1:A620, BASE!$A$4:$A$10003&amp;""), 0)), "")</f>
        <v/>
      </c>
      <c r="B621" t="str">
        <f>IF(A621="", "", VLOOKUP(A621, BASE!$A$4:$B$10003, 2, FALSE))</f>
        <v/>
      </c>
      <c r="C621" t="str">
        <f>IF(A621="", "", SUMIF(BASE!$A$4:$A$10003, A621, BASE!$C$4:$C$10003))</f>
        <v/>
      </c>
      <c r="D621" t="str">
        <f>IF(A621="", "", INDEX(BASE!$D$4:$D$10003, MATCH(A621, BASE!$A$4:$A$10003, 0)))</f>
        <v/>
      </c>
      <c r="E621" t="str">
        <f>IF(A621="", "", INDEX(BASE!$E$4:$E$10003, MATCH(A621, BASE!$A$4:$A$10003, 0)))</f>
        <v/>
      </c>
    </row>
    <row r="622" spans="1:5">
      <c r="A622" t="str">
        <f>IFERROR(INDEX(BASE!$A$4:$A$10003, MATCH(0, COUNTIF($A$1:A621, BASE!$A$4:$A$10003&amp;""), 0)), "")</f>
        <v/>
      </c>
      <c r="B622" t="str">
        <f>IF(A622="", "", VLOOKUP(A622, BASE!$A$4:$B$10003, 2, FALSE))</f>
        <v/>
      </c>
      <c r="C622" t="str">
        <f>IF(A622="", "", SUMIF(BASE!$A$4:$A$10003, A622, BASE!$C$4:$C$10003))</f>
        <v/>
      </c>
      <c r="D622" t="str">
        <f>IF(A622="", "", INDEX(BASE!$D$4:$D$10003, MATCH(A622, BASE!$A$4:$A$10003, 0)))</f>
        <v/>
      </c>
      <c r="E622" t="str">
        <f>IF(A622="", "", INDEX(BASE!$E$4:$E$10003, MATCH(A622, BASE!$A$4:$A$10003, 0)))</f>
        <v/>
      </c>
    </row>
    <row r="623" spans="1:5">
      <c r="A623" t="str">
        <f>IFERROR(INDEX(BASE!$A$4:$A$10003, MATCH(0, COUNTIF($A$1:A622, BASE!$A$4:$A$10003&amp;""), 0)), "")</f>
        <v/>
      </c>
      <c r="B623" t="str">
        <f>IF(A623="", "", VLOOKUP(A623, BASE!$A$4:$B$10003, 2, FALSE))</f>
        <v/>
      </c>
      <c r="C623" t="str">
        <f>IF(A623="", "", SUMIF(BASE!$A$4:$A$10003, A623, BASE!$C$4:$C$10003))</f>
        <v/>
      </c>
      <c r="D623" t="str">
        <f>IF(A623="", "", INDEX(BASE!$D$4:$D$10003, MATCH(A623, BASE!$A$4:$A$10003, 0)))</f>
        <v/>
      </c>
      <c r="E623" t="str">
        <f>IF(A623="", "", INDEX(BASE!$E$4:$E$10003, MATCH(A623, BASE!$A$4:$A$10003, 0)))</f>
        <v/>
      </c>
    </row>
    <row r="624" spans="1:5">
      <c r="A624" t="str">
        <f>IFERROR(INDEX(BASE!$A$4:$A$10003, MATCH(0, COUNTIF($A$1:A623, BASE!$A$4:$A$10003&amp;""), 0)), "")</f>
        <v/>
      </c>
      <c r="B624" t="str">
        <f>IF(A624="", "", VLOOKUP(A624, BASE!$A$4:$B$10003, 2, FALSE))</f>
        <v/>
      </c>
      <c r="C624" t="str">
        <f>IF(A624="", "", SUMIF(BASE!$A$4:$A$10003, A624, BASE!$C$4:$C$10003))</f>
        <v/>
      </c>
      <c r="D624" t="str">
        <f>IF(A624="", "", INDEX(BASE!$D$4:$D$10003, MATCH(A624, BASE!$A$4:$A$10003, 0)))</f>
        <v/>
      </c>
      <c r="E624" t="str">
        <f>IF(A624="", "", INDEX(BASE!$E$4:$E$10003, MATCH(A624, BASE!$A$4:$A$10003, 0)))</f>
        <v/>
      </c>
    </row>
    <row r="625" spans="1:5">
      <c r="A625" t="str">
        <f>IFERROR(INDEX(BASE!$A$4:$A$10003, MATCH(0, COUNTIF($A$1:A624, BASE!$A$4:$A$10003&amp;""), 0)), "")</f>
        <v/>
      </c>
      <c r="B625" t="str">
        <f>IF(A625="", "", VLOOKUP(A625, BASE!$A$4:$B$10003, 2, FALSE))</f>
        <v/>
      </c>
      <c r="C625" t="str">
        <f>IF(A625="", "", SUMIF(BASE!$A$4:$A$10003, A625, BASE!$C$4:$C$10003))</f>
        <v/>
      </c>
      <c r="D625" t="str">
        <f>IF(A625="", "", INDEX(BASE!$D$4:$D$10003, MATCH(A625, BASE!$A$4:$A$10003, 0)))</f>
        <v/>
      </c>
      <c r="E625" t="str">
        <f>IF(A625="", "", INDEX(BASE!$E$4:$E$10003, MATCH(A625, BASE!$A$4:$A$10003, 0)))</f>
        <v/>
      </c>
    </row>
    <row r="626" spans="1:5">
      <c r="A626" t="str">
        <f>IFERROR(INDEX(BASE!$A$4:$A$10003, MATCH(0, COUNTIF($A$1:A625, BASE!$A$4:$A$10003&amp;""), 0)), "")</f>
        <v/>
      </c>
      <c r="B626" t="str">
        <f>IF(A626="", "", VLOOKUP(A626, BASE!$A$4:$B$10003, 2, FALSE))</f>
        <v/>
      </c>
      <c r="C626" t="str">
        <f>IF(A626="", "", SUMIF(BASE!$A$4:$A$10003, A626, BASE!$C$4:$C$10003))</f>
        <v/>
      </c>
      <c r="D626" t="str">
        <f>IF(A626="", "", INDEX(BASE!$D$4:$D$10003, MATCH(A626, BASE!$A$4:$A$10003, 0)))</f>
        <v/>
      </c>
      <c r="E626" t="str">
        <f>IF(A626="", "", INDEX(BASE!$E$4:$E$10003, MATCH(A626, BASE!$A$4:$A$10003, 0)))</f>
        <v/>
      </c>
    </row>
    <row r="627" spans="1:5">
      <c r="A627" t="str">
        <f>IFERROR(INDEX(BASE!$A$4:$A$10003, MATCH(0, COUNTIF($A$1:A626, BASE!$A$4:$A$10003&amp;""), 0)), "")</f>
        <v/>
      </c>
      <c r="B627" t="str">
        <f>IF(A627="", "", VLOOKUP(A627, BASE!$A$4:$B$10003, 2, FALSE))</f>
        <v/>
      </c>
      <c r="C627" t="str">
        <f>IF(A627="", "", SUMIF(BASE!$A$4:$A$10003, A627, BASE!$C$4:$C$10003))</f>
        <v/>
      </c>
      <c r="D627" t="str">
        <f>IF(A627="", "", INDEX(BASE!$D$4:$D$10003, MATCH(A627, BASE!$A$4:$A$10003, 0)))</f>
        <v/>
      </c>
      <c r="E627" t="str">
        <f>IF(A627="", "", INDEX(BASE!$E$4:$E$10003, MATCH(A627, BASE!$A$4:$A$10003, 0)))</f>
        <v/>
      </c>
    </row>
    <row r="628" spans="1:5">
      <c r="A628" t="str">
        <f>IFERROR(INDEX(BASE!$A$4:$A$10003, MATCH(0, COUNTIF($A$1:A627, BASE!$A$4:$A$10003&amp;""), 0)), "")</f>
        <v/>
      </c>
      <c r="B628" t="str">
        <f>IF(A628="", "", VLOOKUP(A628, BASE!$A$4:$B$10003, 2, FALSE))</f>
        <v/>
      </c>
      <c r="C628" t="str">
        <f>IF(A628="", "", SUMIF(BASE!$A$4:$A$10003, A628, BASE!$C$4:$C$10003))</f>
        <v/>
      </c>
      <c r="D628" t="str">
        <f>IF(A628="", "", INDEX(BASE!$D$4:$D$10003, MATCH(A628, BASE!$A$4:$A$10003, 0)))</f>
        <v/>
      </c>
      <c r="E628" t="str">
        <f>IF(A628="", "", INDEX(BASE!$E$4:$E$10003, MATCH(A628, BASE!$A$4:$A$10003, 0)))</f>
        <v/>
      </c>
    </row>
    <row r="629" spans="1:5">
      <c r="A629" t="str">
        <f>IFERROR(INDEX(BASE!$A$4:$A$10003, MATCH(0, COUNTIF($A$1:A628, BASE!$A$4:$A$10003&amp;""), 0)), "")</f>
        <v/>
      </c>
      <c r="B629" t="str">
        <f>IF(A629="", "", VLOOKUP(A629, BASE!$A$4:$B$10003, 2, FALSE))</f>
        <v/>
      </c>
      <c r="C629" t="str">
        <f>IF(A629="", "", SUMIF(BASE!$A$4:$A$10003, A629, BASE!$C$4:$C$10003))</f>
        <v/>
      </c>
      <c r="D629" t="str">
        <f>IF(A629="", "", INDEX(BASE!$D$4:$D$10003, MATCH(A629, BASE!$A$4:$A$10003, 0)))</f>
        <v/>
      </c>
      <c r="E629" t="str">
        <f>IF(A629="", "", INDEX(BASE!$E$4:$E$10003, MATCH(A629, BASE!$A$4:$A$10003, 0)))</f>
        <v/>
      </c>
    </row>
    <row r="630" spans="1:5">
      <c r="A630" t="str">
        <f>IFERROR(INDEX(BASE!$A$4:$A$10003, MATCH(0, COUNTIF($A$1:A629, BASE!$A$4:$A$10003&amp;""), 0)), "")</f>
        <v/>
      </c>
      <c r="B630" t="str">
        <f>IF(A630="", "", VLOOKUP(A630, BASE!$A$4:$B$10003, 2, FALSE))</f>
        <v/>
      </c>
      <c r="C630" t="str">
        <f>IF(A630="", "", SUMIF(BASE!$A$4:$A$10003, A630, BASE!$C$4:$C$10003))</f>
        <v/>
      </c>
      <c r="D630" t="str">
        <f>IF(A630="", "", INDEX(BASE!$D$4:$D$10003, MATCH(A630, BASE!$A$4:$A$10003, 0)))</f>
        <v/>
      </c>
      <c r="E630" t="str">
        <f>IF(A630="", "", INDEX(BASE!$E$4:$E$10003, MATCH(A630, BASE!$A$4:$A$10003, 0)))</f>
        <v/>
      </c>
    </row>
    <row r="631" spans="1:5">
      <c r="A631" t="str">
        <f>IFERROR(INDEX(BASE!$A$4:$A$10003, MATCH(0, COUNTIF($A$1:A630, BASE!$A$4:$A$10003&amp;""), 0)), "")</f>
        <v/>
      </c>
      <c r="B631" t="str">
        <f>IF(A631="", "", VLOOKUP(A631, BASE!$A$4:$B$10003, 2, FALSE))</f>
        <v/>
      </c>
      <c r="C631" t="str">
        <f>IF(A631="", "", SUMIF(BASE!$A$4:$A$10003, A631, BASE!$C$4:$C$10003))</f>
        <v/>
      </c>
      <c r="D631" t="str">
        <f>IF(A631="", "", INDEX(BASE!$D$4:$D$10003, MATCH(A631, BASE!$A$4:$A$10003, 0)))</f>
        <v/>
      </c>
      <c r="E631" t="str">
        <f>IF(A631="", "", INDEX(BASE!$E$4:$E$10003, MATCH(A631, BASE!$A$4:$A$10003, 0)))</f>
        <v/>
      </c>
    </row>
    <row r="632" spans="1:5">
      <c r="A632" t="str">
        <f>IFERROR(INDEX(BASE!$A$4:$A$10003, MATCH(0, COUNTIF($A$1:A631, BASE!$A$4:$A$10003&amp;""), 0)), "")</f>
        <v/>
      </c>
      <c r="B632" t="str">
        <f>IF(A632="", "", VLOOKUP(A632, BASE!$A$4:$B$10003, 2, FALSE))</f>
        <v/>
      </c>
      <c r="C632" t="str">
        <f>IF(A632="", "", SUMIF(BASE!$A$4:$A$10003, A632, BASE!$C$4:$C$10003))</f>
        <v/>
      </c>
      <c r="D632" t="str">
        <f>IF(A632="", "", INDEX(BASE!$D$4:$D$10003, MATCH(A632, BASE!$A$4:$A$10003, 0)))</f>
        <v/>
      </c>
      <c r="E632" t="str">
        <f>IF(A632="", "", INDEX(BASE!$E$4:$E$10003, MATCH(A632, BASE!$A$4:$A$10003, 0)))</f>
        <v/>
      </c>
    </row>
    <row r="633" spans="1:5">
      <c r="A633" t="str">
        <f>IFERROR(INDEX(BASE!$A$4:$A$10003, MATCH(0, COUNTIF($A$1:A632, BASE!$A$4:$A$10003&amp;""), 0)), "")</f>
        <v/>
      </c>
      <c r="B633" t="str">
        <f>IF(A633="", "", VLOOKUP(A633, BASE!$A$4:$B$10003, 2, FALSE))</f>
        <v/>
      </c>
      <c r="C633" t="str">
        <f>IF(A633="", "", SUMIF(BASE!$A$4:$A$10003, A633, BASE!$C$4:$C$10003))</f>
        <v/>
      </c>
      <c r="D633" t="str">
        <f>IF(A633="", "", INDEX(BASE!$D$4:$D$10003, MATCH(A633, BASE!$A$4:$A$10003, 0)))</f>
        <v/>
      </c>
      <c r="E633" t="str">
        <f>IF(A633="", "", INDEX(BASE!$E$4:$E$10003, MATCH(A633, BASE!$A$4:$A$10003, 0)))</f>
        <v/>
      </c>
    </row>
    <row r="634" spans="1:5">
      <c r="A634" t="str">
        <f>IFERROR(INDEX(BASE!$A$4:$A$10003, MATCH(0, COUNTIF($A$1:A633, BASE!$A$4:$A$10003&amp;""), 0)), "")</f>
        <v/>
      </c>
      <c r="B634" t="str">
        <f>IF(A634="", "", VLOOKUP(A634, BASE!$A$4:$B$10003, 2, FALSE))</f>
        <v/>
      </c>
      <c r="C634" t="str">
        <f>IF(A634="", "", SUMIF(BASE!$A$4:$A$10003, A634, BASE!$C$4:$C$10003))</f>
        <v/>
      </c>
      <c r="D634" t="str">
        <f>IF(A634="", "", INDEX(BASE!$D$4:$D$10003, MATCH(A634, BASE!$A$4:$A$10003, 0)))</f>
        <v/>
      </c>
      <c r="E634" t="str">
        <f>IF(A634="", "", INDEX(BASE!$E$4:$E$10003, MATCH(A634, BASE!$A$4:$A$10003, 0)))</f>
        <v/>
      </c>
    </row>
    <row r="635" spans="1:5">
      <c r="A635" t="str">
        <f>IFERROR(INDEX(BASE!$A$4:$A$10003, MATCH(0, COUNTIF($A$1:A634, BASE!$A$4:$A$10003&amp;""), 0)), "")</f>
        <v/>
      </c>
      <c r="B635" t="str">
        <f>IF(A635="", "", VLOOKUP(A635, BASE!$A$4:$B$10003, 2, FALSE))</f>
        <v/>
      </c>
      <c r="C635" t="str">
        <f>IF(A635="", "", SUMIF(BASE!$A$4:$A$10003, A635, BASE!$C$4:$C$10003))</f>
        <v/>
      </c>
      <c r="D635" t="str">
        <f>IF(A635="", "", INDEX(BASE!$D$4:$D$10003, MATCH(A635, BASE!$A$4:$A$10003, 0)))</f>
        <v/>
      </c>
      <c r="E635" t="str">
        <f>IF(A635="", "", INDEX(BASE!$E$4:$E$10003, MATCH(A635, BASE!$A$4:$A$10003, 0)))</f>
        <v/>
      </c>
    </row>
    <row r="636" spans="1:5">
      <c r="A636" t="str">
        <f>IFERROR(INDEX(BASE!$A$4:$A$10003, MATCH(0, COUNTIF($A$1:A635, BASE!$A$4:$A$10003&amp;""), 0)), "")</f>
        <v/>
      </c>
      <c r="B636" t="str">
        <f>IF(A636="", "", VLOOKUP(A636, BASE!$A$4:$B$10003, 2, FALSE))</f>
        <v/>
      </c>
      <c r="C636" t="str">
        <f>IF(A636="", "", SUMIF(BASE!$A$4:$A$10003, A636, BASE!$C$4:$C$10003))</f>
        <v/>
      </c>
      <c r="D636" t="str">
        <f>IF(A636="", "", INDEX(BASE!$D$4:$D$10003, MATCH(A636, BASE!$A$4:$A$10003, 0)))</f>
        <v/>
      </c>
      <c r="E636" t="str">
        <f>IF(A636="", "", INDEX(BASE!$E$4:$E$10003, MATCH(A636, BASE!$A$4:$A$10003, 0)))</f>
        <v/>
      </c>
    </row>
    <row r="637" spans="1:5">
      <c r="A637" t="str">
        <f>IFERROR(INDEX(BASE!$A$4:$A$10003, MATCH(0, COUNTIF($A$1:A636, BASE!$A$4:$A$10003&amp;""), 0)), "")</f>
        <v/>
      </c>
      <c r="B637" t="str">
        <f>IF(A637="", "", VLOOKUP(A637, BASE!$A$4:$B$10003, 2, FALSE))</f>
        <v/>
      </c>
      <c r="C637" t="str">
        <f>IF(A637="", "", SUMIF(BASE!$A$4:$A$10003, A637, BASE!$C$4:$C$10003))</f>
        <v/>
      </c>
      <c r="D637" t="str">
        <f>IF(A637="", "", INDEX(BASE!$D$4:$D$10003, MATCH(A637, BASE!$A$4:$A$10003, 0)))</f>
        <v/>
      </c>
      <c r="E637" t="str">
        <f>IF(A637="", "", INDEX(BASE!$E$4:$E$10003, MATCH(A637, BASE!$A$4:$A$10003, 0)))</f>
        <v/>
      </c>
    </row>
    <row r="638" spans="1:5">
      <c r="A638" t="str">
        <f>IFERROR(INDEX(BASE!$A$4:$A$10003, MATCH(0, COUNTIF($A$1:A637, BASE!$A$4:$A$10003&amp;""), 0)), "")</f>
        <v/>
      </c>
      <c r="B638" t="str">
        <f>IF(A638="", "", VLOOKUP(A638, BASE!$A$4:$B$10003, 2, FALSE))</f>
        <v/>
      </c>
      <c r="C638" t="str">
        <f>IF(A638="", "", SUMIF(BASE!$A$4:$A$10003, A638, BASE!$C$4:$C$10003))</f>
        <v/>
      </c>
      <c r="D638" t="str">
        <f>IF(A638="", "", INDEX(BASE!$D$4:$D$10003, MATCH(A638, BASE!$A$4:$A$10003, 0)))</f>
        <v/>
      </c>
      <c r="E638" t="str">
        <f>IF(A638="", "", INDEX(BASE!$E$4:$E$10003, MATCH(A638, BASE!$A$4:$A$10003, 0)))</f>
        <v/>
      </c>
    </row>
    <row r="639" spans="1:5">
      <c r="A639" t="str">
        <f>IFERROR(INDEX(BASE!$A$4:$A$10003, MATCH(0, COUNTIF($A$1:A638, BASE!$A$4:$A$10003&amp;""), 0)), "")</f>
        <v/>
      </c>
      <c r="B639" t="str">
        <f>IF(A639="", "", VLOOKUP(A639, BASE!$A$4:$B$10003, 2, FALSE))</f>
        <v/>
      </c>
      <c r="C639" t="str">
        <f>IF(A639="", "", SUMIF(BASE!$A$4:$A$10003, A639, BASE!$C$4:$C$10003))</f>
        <v/>
      </c>
      <c r="D639" t="str">
        <f>IF(A639="", "", INDEX(BASE!$D$4:$D$10003, MATCH(A639, BASE!$A$4:$A$10003, 0)))</f>
        <v/>
      </c>
      <c r="E639" t="str">
        <f>IF(A639="", "", INDEX(BASE!$E$4:$E$10003, MATCH(A639, BASE!$A$4:$A$10003, 0)))</f>
        <v/>
      </c>
    </row>
    <row r="640" spans="1:5">
      <c r="A640" t="str">
        <f>IFERROR(INDEX(BASE!$A$4:$A$10003, MATCH(0, COUNTIF($A$1:A639, BASE!$A$4:$A$10003&amp;""), 0)), "")</f>
        <v/>
      </c>
      <c r="B640" t="str">
        <f>IF(A640="", "", VLOOKUP(A640, BASE!$A$4:$B$10003, 2, FALSE))</f>
        <v/>
      </c>
      <c r="C640" t="str">
        <f>IF(A640="", "", SUMIF(BASE!$A$4:$A$10003, A640, BASE!$C$4:$C$10003))</f>
        <v/>
      </c>
      <c r="D640" t="str">
        <f>IF(A640="", "", INDEX(BASE!$D$4:$D$10003, MATCH(A640, BASE!$A$4:$A$10003, 0)))</f>
        <v/>
      </c>
      <c r="E640" t="str">
        <f>IF(A640="", "", INDEX(BASE!$E$4:$E$10003, MATCH(A640, BASE!$A$4:$A$10003, 0)))</f>
        <v/>
      </c>
    </row>
    <row r="641" spans="1:5">
      <c r="A641" t="str">
        <f>IFERROR(INDEX(BASE!$A$4:$A$10003, MATCH(0, COUNTIF($A$1:A640, BASE!$A$4:$A$10003&amp;""), 0)), "")</f>
        <v/>
      </c>
      <c r="B641" t="str">
        <f>IF(A641="", "", VLOOKUP(A641, BASE!$A$4:$B$10003, 2, FALSE))</f>
        <v/>
      </c>
      <c r="C641" t="str">
        <f>IF(A641="", "", SUMIF(BASE!$A$4:$A$10003, A641, BASE!$C$4:$C$10003))</f>
        <v/>
      </c>
      <c r="D641" t="str">
        <f>IF(A641="", "", INDEX(BASE!$D$4:$D$10003, MATCH(A641, BASE!$A$4:$A$10003, 0)))</f>
        <v/>
      </c>
      <c r="E641" t="str">
        <f>IF(A641="", "", INDEX(BASE!$E$4:$E$10003, MATCH(A641, BASE!$A$4:$A$10003, 0)))</f>
        <v/>
      </c>
    </row>
    <row r="642" spans="1:5">
      <c r="A642" t="str">
        <f>IFERROR(INDEX(BASE!$A$4:$A$10003, MATCH(0, COUNTIF($A$1:A641, BASE!$A$4:$A$10003&amp;""), 0)), "")</f>
        <v/>
      </c>
      <c r="B642" t="str">
        <f>IF(A642="", "", VLOOKUP(A642, BASE!$A$4:$B$10003, 2, FALSE))</f>
        <v/>
      </c>
      <c r="C642" t="str">
        <f>IF(A642="", "", SUMIF(BASE!$A$4:$A$10003, A642, BASE!$C$4:$C$10003))</f>
        <v/>
      </c>
      <c r="D642" t="str">
        <f>IF(A642="", "", INDEX(BASE!$D$4:$D$10003, MATCH(A642, BASE!$A$4:$A$10003, 0)))</f>
        <v/>
      </c>
      <c r="E642" t="str">
        <f>IF(A642="", "", INDEX(BASE!$E$4:$E$10003, MATCH(A642, BASE!$A$4:$A$10003, 0)))</f>
        <v/>
      </c>
    </row>
    <row r="643" spans="1:5">
      <c r="A643" t="str">
        <f>IFERROR(INDEX(BASE!$A$4:$A$10003, MATCH(0, COUNTIF($A$1:A642, BASE!$A$4:$A$10003&amp;""), 0)), "")</f>
        <v/>
      </c>
      <c r="B643" t="str">
        <f>IF(A643="", "", VLOOKUP(A643, BASE!$A$4:$B$10003, 2, FALSE))</f>
        <v/>
      </c>
      <c r="C643" t="str">
        <f>IF(A643="", "", SUMIF(BASE!$A$4:$A$10003, A643, BASE!$C$4:$C$10003))</f>
        <v/>
      </c>
      <c r="D643" t="str">
        <f>IF(A643="", "", INDEX(BASE!$D$4:$D$10003, MATCH(A643, BASE!$A$4:$A$10003, 0)))</f>
        <v/>
      </c>
      <c r="E643" t="str">
        <f>IF(A643="", "", INDEX(BASE!$E$4:$E$10003, MATCH(A643, BASE!$A$4:$A$10003, 0)))</f>
        <v/>
      </c>
    </row>
    <row r="644" spans="1:5">
      <c r="A644" t="str">
        <f>IFERROR(INDEX(BASE!$A$4:$A$10003, MATCH(0, COUNTIF($A$1:A643, BASE!$A$4:$A$10003&amp;""), 0)), "")</f>
        <v/>
      </c>
      <c r="B644" t="str">
        <f>IF(A644="", "", VLOOKUP(A644, BASE!$A$4:$B$10003, 2, FALSE))</f>
        <v/>
      </c>
      <c r="C644" t="str">
        <f>IF(A644="", "", SUMIF(BASE!$A$4:$A$10003, A644, BASE!$C$4:$C$10003))</f>
        <v/>
      </c>
      <c r="D644" t="str">
        <f>IF(A644="", "", INDEX(BASE!$D$4:$D$10003, MATCH(A644, BASE!$A$4:$A$10003, 0)))</f>
        <v/>
      </c>
      <c r="E644" t="str">
        <f>IF(A644="", "", INDEX(BASE!$E$4:$E$10003, MATCH(A644, BASE!$A$4:$A$10003, 0)))</f>
        <v/>
      </c>
    </row>
    <row r="645" spans="1:5">
      <c r="A645" t="str">
        <f>IFERROR(INDEX(BASE!$A$4:$A$10003, MATCH(0, COUNTIF($A$1:A644, BASE!$A$4:$A$10003&amp;""), 0)), "")</f>
        <v/>
      </c>
      <c r="B645" t="str">
        <f>IF(A645="", "", VLOOKUP(A645, BASE!$A$4:$B$10003, 2, FALSE))</f>
        <v/>
      </c>
      <c r="C645" t="str">
        <f>IF(A645="", "", SUMIF(BASE!$A$4:$A$10003, A645, BASE!$C$4:$C$10003))</f>
        <v/>
      </c>
      <c r="D645" t="str">
        <f>IF(A645="", "", INDEX(BASE!$D$4:$D$10003, MATCH(A645, BASE!$A$4:$A$10003, 0)))</f>
        <v/>
      </c>
      <c r="E645" t="str">
        <f>IF(A645="", "", INDEX(BASE!$E$4:$E$10003, MATCH(A645, BASE!$A$4:$A$10003, 0)))</f>
        <v/>
      </c>
    </row>
    <row r="646" spans="1:5">
      <c r="A646" t="str">
        <f>IFERROR(INDEX(BASE!$A$4:$A$10003, MATCH(0, COUNTIF($A$1:A645, BASE!$A$4:$A$10003&amp;""), 0)), "")</f>
        <v/>
      </c>
      <c r="B646" t="str">
        <f>IF(A646="", "", VLOOKUP(A646, BASE!$A$4:$B$10003, 2, FALSE))</f>
        <v/>
      </c>
      <c r="C646" t="str">
        <f>IF(A646="", "", SUMIF(BASE!$A$4:$A$10003, A646, BASE!$C$4:$C$10003))</f>
        <v/>
      </c>
      <c r="D646" t="str">
        <f>IF(A646="", "", INDEX(BASE!$D$4:$D$10003, MATCH(A646, BASE!$A$4:$A$10003, 0)))</f>
        <v/>
      </c>
      <c r="E646" t="str">
        <f>IF(A646="", "", INDEX(BASE!$E$4:$E$10003, MATCH(A646, BASE!$A$4:$A$10003, 0)))</f>
        <v/>
      </c>
    </row>
    <row r="647" spans="1:5">
      <c r="A647" t="str">
        <f>IFERROR(INDEX(BASE!$A$4:$A$10003, MATCH(0, COUNTIF($A$1:A646, BASE!$A$4:$A$10003&amp;""), 0)), "")</f>
        <v/>
      </c>
      <c r="B647" t="str">
        <f>IF(A647="", "", VLOOKUP(A647, BASE!$A$4:$B$10003, 2, FALSE))</f>
        <v/>
      </c>
      <c r="C647" t="str">
        <f>IF(A647="", "", SUMIF(BASE!$A$4:$A$10003, A647, BASE!$C$4:$C$10003))</f>
        <v/>
      </c>
      <c r="D647" t="str">
        <f>IF(A647="", "", INDEX(BASE!$D$4:$D$10003, MATCH(A647, BASE!$A$4:$A$10003, 0)))</f>
        <v/>
      </c>
      <c r="E647" t="str">
        <f>IF(A647="", "", INDEX(BASE!$E$4:$E$10003, MATCH(A647, BASE!$A$4:$A$10003, 0)))</f>
        <v/>
      </c>
    </row>
    <row r="648" spans="1:5">
      <c r="A648" t="str">
        <f>IFERROR(INDEX(BASE!$A$4:$A$10003, MATCH(0, COUNTIF($A$1:A647, BASE!$A$4:$A$10003&amp;""), 0)), "")</f>
        <v/>
      </c>
      <c r="B648" t="str">
        <f>IF(A648="", "", VLOOKUP(A648, BASE!$A$4:$B$10003, 2, FALSE))</f>
        <v/>
      </c>
      <c r="C648" t="str">
        <f>IF(A648="", "", SUMIF(BASE!$A$4:$A$10003, A648, BASE!$C$4:$C$10003))</f>
        <v/>
      </c>
      <c r="D648" t="str">
        <f>IF(A648="", "", INDEX(BASE!$D$4:$D$10003, MATCH(A648, BASE!$A$4:$A$10003, 0)))</f>
        <v/>
      </c>
      <c r="E648" t="str">
        <f>IF(A648="", "", INDEX(BASE!$E$4:$E$10003, MATCH(A648, BASE!$A$4:$A$10003, 0)))</f>
        <v/>
      </c>
    </row>
    <row r="649" spans="1:5">
      <c r="A649" t="str">
        <f>IFERROR(INDEX(BASE!$A$4:$A$10003, MATCH(0, COUNTIF($A$1:A648, BASE!$A$4:$A$10003&amp;""), 0)), "")</f>
        <v/>
      </c>
      <c r="B649" t="str">
        <f>IF(A649="", "", VLOOKUP(A649, BASE!$A$4:$B$10003, 2, FALSE))</f>
        <v/>
      </c>
      <c r="C649" t="str">
        <f>IF(A649="", "", SUMIF(BASE!$A$4:$A$10003, A649, BASE!$C$4:$C$10003))</f>
        <v/>
      </c>
      <c r="D649" t="str">
        <f>IF(A649="", "", INDEX(BASE!$D$4:$D$10003, MATCH(A649, BASE!$A$4:$A$10003, 0)))</f>
        <v/>
      </c>
      <c r="E649" t="str">
        <f>IF(A649="", "", INDEX(BASE!$E$4:$E$10003, MATCH(A649, BASE!$A$4:$A$10003, 0)))</f>
        <v/>
      </c>
    </row>
    <row r="650" spans="1:5">
      <c r="A650" t="str">
        <f>IFERROR(INDEX(BASE!$A$4:$A$10003, MATCH(0, COUNTIF($A$1:A649, BASE!$A$4:$A$10003&amp;""), 0)), "")</f>
        <v/>
      </c>
      <c r="B650" t="str">
        <f>IF(A650="", "", VLOOKUP(A650, BASE!$A$4:$B$10003, 2, FALSE))</f>
        <v/>
      </c>
      <c r="C650" t="str">
        <f>IF(A650="", "", SUMIF(BASE!$A$4:$A$10003, A650, BASE!$C$4:$C$10003))</f>
        <v/>
      </c>
      <c r="D650" t="str">
        <f>IF(A650="", "", INDEX(BASE!$D$4:$D$10003, MATCH(A650, BASE!$A$4:$A$10003, 0)))</f>
        <v/>
      </c>
      <c r="E650" t="str">
        <f>IF(A650="", "", INDEX(BASE!$E$4:$E$10003, MATCH(A650, BASE!$A$4:$A$10003, 0)))</f>
        <v/>
      </c>
    </row>
    <row r="651" spans="1:5">
      <c r="A651" t="str">
        <f>IFERROR(INDEX(BASE!$A$4:$A$10003, MATCH(0, COUNTIF($A$1:A650, BASE!$A$4:$A$10003&amp;""), 0)), "")</f>
        <v/>
      </c>
      <c r="B651" t="str">
        <f>IF(A651="", "", VLOOKUP(A651, BASE!$A$4:$B$10003, 2, FALSE))</f>
        <v/>
      </c>
      <c r="C651" t="str">
        <f>IF(A651="", "", SUMIF(BASE!$A$4:$A$10003, A651, BASE!$C$4:$C$10003))</f>
        <v/>
      </c>
      <c r="D651" t="str">
        <f>IF(A651="", "", INDEX(BASE!$D$4:$D$10003, MATCH(A651, BASE!$A$4:$A$10003, 0)))</f>
        <v/>
      </c>
      <c r="E651" t="str">
        <f>IF(A651="", "", INDEX(BASE!$E$4:$E$10003, MATCH(A651, BASE!$A$4:$A$10003, 0)))</f>
        <v/>
      </c>
    </row>
    <row r="652" spans="1:5">
      <c r="A652" t="str">
        <f>IFERROR(INDEX(BASE!$A$4:$A$10003, MATCH(0, COUNTIF($A$1:A651, BASE!$A$4:$A$10003&amp;""), 0)), "")</f>
        <v/>
      </c>
      <c r="B652" t="str">
        <f>IF(A652="", "", VLOOKUP(A652, BASE!$A$4:$B$10003, 2, FALSE))</f>
        <v/>
      </c>
      <c r="C652" t="str">
        <f>IF(A652="", "", SUMIF(BASE!$A$4:$A$10003, A652, BASE!$C$4:$C$10003))</f>
        <v/>
      </c>
      <c r="D652" t="str">
        <f>IF(A652="", "", INDEX(BASE!$D$4:$D$10003, MATCH(A652, BASE!$A$4:$A$10003, 0)))</f>
        <v/>
      </c>
      <c r="E652" t="str">
        <f>IF(A652="", "", INDEX(BASE!$E$4:$E$10003, MATCH(A652, BASE!$A$4:$A$10003, 0)))</f>
        <v/>
      </c>
    </row>
    <row r="653" spans="1:5">
      <c r="A653" t="str">
        <f>IFERROR(INDEX(BASE!$A$4:$A$10003, MATCH(0, COUNTIF($A$1:A652, BASE!$A$4:$A$10003&amp;""), 0)), "")</f>
        <v/>
      </c>
      <c r="B653" t="str">
        <f>IF(A653="", "", VLOOKUP(A653, BASE!$A$4:$B$10003, 2, FALSE))</f>
        <v/>
      </c>
      <c r="C653" t="str">
        <f>IF(A653="", "", SUMIF(BASE!$A$4:$A$10003, A653, BASE!$C$4:$C$10003))</f>
        <v/>
      </c>
      <c r="D653" t="str">
        <f>IF(A653="", "", INDEX(BASE!$D$4:$D$10003, MATCH(A653, BASE!$A$4:$A$10003, 0)))</f>
        <v/>
      </c>
      <c r="E653" t="str">
        <f>IF(A653="", "", INDEX(BASE!$E$4:$E$10003, MATCH(A653, BASE!$A$4:$A$10003, 0)))</f>
        <v/>
      </c>
    </row>
    <row r="654" spans="1:5">
      <c r="A654" t="str">
        <f>IFERROR(INDEX(BASE!$A$4:$A$10003, MATCH(0, COUNTIF($A$1:A653, BASE!$A$4:$A$10003&amp;""), 0)), "")</f>
        <v/>
      </c>
      <c r="B654" t="str">
        <f>IF(A654="", "", VLOOKUP(A654, BASE!$A$4:$B$10003, 2, FALSE))</f>
        <v/>
      </c>
      <c r="C654" t="str">
        <f>IF(A654="", "", SUMIF(BASE!$A$4:$A$10003, A654, BASE!$C$4:$C$10003))</f>
        <v/>
      </c>
      <c r="D654" t="str">
        <f>IF(A654="", "", INDEX(BASE!$D$4:$D$10003, MATCH(A654, BASE!$A$4:$A$10003, 0)))</f>
        <v/>
      </c>
      <c r="E654" t="str">
        <f>IF(A654="", "", INDEX(BASE!$E$4:$E$10003, MATCH(A654, BASE!$A$4:$A$10003, 0)))</f>
        <v/>
      </c>
    </row>
    <row r="655" spans="1:5">
      <c r="A655" t="str">
        <f>IFERROR(INDEX(BASE!$A$4:$A$10003, MATCH(0, COUNTIF($A$1:A654, BASE!$A$4:$A$10003&amp;""), 0)), "")</f>
        <v/>
      </c>
      <c r="B655" t="str">
        <f>IF(A655="", "", VLOOKUP(A655, BASE!$A$4:$B$10003, 2, FALSE))</f>
        <v/>
      </c>
      <c r="C655" t="str">
        <f>IF(A655="", "", SUMIF(BASE!$A$4:$A$10003, A655, BASE!$C$4:$C$10003))</f>
        <v/>
      </c>
      <c r="D655" t="str">
        <f>IF(A655="", "", INDEX(BASE!$D$4:$D$10003, MATCH(A655, BASE!$A$4:$A$10003, 0)))</f>
        <v/>
      </c>
      <c r="E655" t="str">
        <f>IF(A655="", "", INDEX(BASE!$E$4:$E$10003, MATCH(A655, BASE!$A$4:$A$10003, 0)))</f>
        <v/>
      </c>
    </row>
    <row r="656" spans="1:5">
      <c r="A656" t="str">
        <f>IFERROR(INDEX(BASE!$A$4:$A$10003, MATCH(0, COUNTIF($A$1:A655, BASE!$A$4:$A$10003&amp;""), 0)), "")</f>
        <v/>
      </c>
      <c r="B656" t="str">
        <f>IF(A656="", "", VLOOKUP(A656, BASE!$A$4:$B$10003, 2, FALSE))</f>
        <v/>
      </c>
      <c r="C656" t="str">
        <f>IF(A656="", "", SUMIF(BASE!$A$4:$A$10003, A656, BASE!$C$4:$C$10003))</f>
        <v/>
      </c>
      <c r="D656" t="str">
        <f>IF(A656="", "", INDEX(BASE!$D$4:$D$10003, MATCH(A656, BASE!$A$4:$A$10003, 0)))</f>
        <v/>
      </c>
      <c r="E656" t="str">
        <f>IF(A656="", "", INDEX(BASE!$E$4:$E$10003, MATCH(A656, BASE!$A$4:$A$10003, 0)))</f>
        <v/>
      </c>
    </row>
    <row r="657" spans="1:5">
      <c r="A657" t="str">
        <f>IFERROR(INDEX(BASE!$A$4:$A$10003, MATCH(0, COUNTIF($A$1:A656, BASE!$A$4:$A$10003&amp;""), 0)), "")</f>
        <v/>
      </c>
      <c r="B657" t="str">
        <f>IF(A657="", "", VLOOKUP(A657, BASE!$A$4:$B$10003, 2, FALSE))</f>
        <v/>
      </c>
      <c r="C657" t="str">
        <f>IF(A657="", "", SUMIF(BASE!$A$4:$A$10003, A657, BASE!$C$4:$C$10003))</f>
        <v/>
      </c>
      <c r="D657" t="str">
        <f>IF(A657="", "", INDEX(BASE!$D$4:$D$10003, MATCH(A657, BASE!$A$4:$A$10003, 0)))</f>
        <v/>
      </c>
      <c r="E657" t="str">
        <f>IF(A657="", "", INDEX(BASE!$E$4:$E$10003, MATCH(A657, BASE!$A$4:$A$10003, 0)))</f>
        <v/>
      </c>
    </row>
    <row r="658" spans="1:5">
      <c r="A658" t="str">
        <f>IFERROR(INDEX(BASE!$A$4:$A$10003, MATCH(0, COUNTIF($A$1:A657, BASE!$A$4:$A$10003&amp;""), 0)), "")</f>
        <v/>
      </c>
      <c r="B658" t="str">
        <f>IF(A658="", "", VLOOKUP(A658, BASE!$A$4:$B$10003, 2, FALSE))</f>
        <v/>
      </c>
      <c r="C658" t="str">
        <f>IF(A658="", "", SUMIF(BASE!$A$4:$A$10003, A658, BASE!$C$4:$C$10003))</f>
        <v/>
      </c>
      <c r="D658" t="str">
        <f>IF(A658="", "", INDEX(BASE!$D$4:$D$10003, MATCH(A658, BASE!$A$4:$A$10003, 0)))</f>
        <v/>
      </c>
      <c r="E658" t="str">
        <f>IF(A658="", "", INDEX(BASE!$E$4:$E$10003, MATCH(A658, BASE!$A$4:$A$10003, 0)))</f>
        <v/>
      </c>
    </row>
    <row r="659" spans="1:5">
      <c r="A659" t="str">
        <f>IFERROR(INDEX(BASE!$A$4:$A$10003, MATCH(0, COUNTIF($A$1:A658, BASE!$A$4:$A$10003&amp;""), 0)), "")</f>
        <v/>
      </c>
      <c r="B659" t="str">
        <f>IF(A659="", "", VLOOKUP(A659, BASE!$A$4:$B$10003, 2, FALSE))</f>
        <v/>
      </c>
      <c r="C659" t="str">
        <f>IF(A659="", "", SUMIF(BASE!$A$4:$A$10003, A659, BASE!$C$4:$C$10003))</f>
        <v/>
      </c>
      <c r="D659" t="str">
        <f>IF(A659="", "", INDEX(BASE!$D$4:$D$10003, MATCH(A659, BASE!$A$4:$A$10003, 0)))</f>
        <v/>
      </c>
      <c r="E659" t="str">
        <f>IF(A659="", "", INDEX(BASE!$E$4:$E$10003, MATCH(A659, BASE!$A$4:$A$10003, 0)))</f>
        <v/>
      </c>
    </row>
    <row r="660" spans="1:5">
      <c r="A660" t="str">
        <f>IFERROR(INDEX(BASE!$A$4:$A$10003, MATCH(0, COUNTIF($A$1:A659, BASE!$A$4:$A$10003&amp;""), 0)), "")</f>
        <v/>
      </c>
      <c r="B660" t="str">
        <f>IF(A660="", "", VLOOKUP(A660, BASE!$A$4:$B$10003, 2, FALSE))</f>
        <v/>
      </c>
      <c r="C660" t="str">
        <f>IF(A660="", "", SUMIF(BASE!$A$4:$A$10003, A660, BASE!$C$4:$C$10003))</f>
        <v/>
      </c>
      <c r="D660" t="str">
        <f>IF(A660="", "", INDEX(BASE!$D$4:$D$10003, MATCH(A660, BASE!$A$4:$A$10003, 0)))</f>
        <v/>
      </c>
      <c r="E660" t="str">
        <f>IF(A660="", "", INDEX(BASE!$E$4:$E$10003, MATCH(A660, BASE!$A$4:$A$10003, 0)))</f>
        <v/>
      </c>
    </row>
    <row r="661" spans="1:5">
      <c r="A661" t="str">
        <f>IFERROR(INDEX(BASE!$A$4:$A$10003, MATCH(0, COUNTIF($A$1:A660, BASE!$A$4:$A$10003&amp;""), 0)), "")</f>
        <v/>
      </c>
      <c r="B661" t="str">
        <f>IF(A661="", "", VLOOKUP(A661, BASE!$A$4:$B$10003, 2, FALSE))</f>
        <v/>
      </c>
      <c r="C661" t="str">
        <f>IF(A661="", "", SUMIF(BASE!$A$4:$A$10003, A661, BASE!$C$4:$C$10003))</f>
        <v/>
      </c>
      <c r="D661" t="str">
        <f>IF(A661="", "", INDEX(BASE!$D$4:$D$10003, MATCH(A661, BASE!$A$4:$A$10003, 0)))</f>
        <v/>
      </c>
      <c r="E661" t="str">
        <f>IF(A661="", "", INDEX(BASE!$E$4:$E$10003, MATCH(A661, BASE!$A$4:$A$10003, 0)))</f>
        <v/>
      </c>
    </row>
    <row r="662" spans="1:5">
      <c r="A662" t="str">
        <f>IFERROR(INDEX(BASE!$A$4:$A$10003, MATCH(0, COUNTIF($A$1:A661, BASE!$A$4:$A$10003&amp;""), 0)), "")</f>
        <v/>
      </c>
      <c r="B662" t="str">
        <f>IF(A662="", "", VLOOKUP(A662, BASE!$A$4:$B$10003, 2, FALSE))</f>
        <v/>
      </c>
      <c r="C662" t="str">
        <f>IF(A662="", "", SUMIF(BASE!$A$4:$A$10003, A662, BASE!$C$4:$C$10003))</f>
        <v/>
      </c>
      <c r="D662" t="str">
        <f>IF(A662="", "", INDEX(BASE!$D$4:$D$10003, MATCH(A662, BASE!$A$4:$A$10003, 0)))</f>
        <v/>
      </c>
      <c r="E662" t="str">
        <f>IF(A662="", "", INDEX(BASE!$E$4:$E$10003, MATCH(A662, BASE!$A$4:$A$10003, 0)))</f>
        <v/>
      </c>
    </row>
    <row r="663" spans="1:5">
      <c r="A663" t="str">
        <f>IFERROR(INDEX(BASE!$A$4:$A$10003, MATCH(0, COUNTIF($A$1:A662, BASE!$A$4:$A$10003&amp;""), 0)), "")</f>
        <v/>
      </c>
      <c r="B663" t="str">
        <f>IF(A663="", "", VLOOKUP(A663, BASE!$A$4:$B$10003, 2, FALSE))</f>
        <v/>
      </c>
      <c r="C663" t="str">
        <f>IF(A663="", "", SUMIF(BASE!$A$4:$A$10003, A663, BASE!$C$4:$C$10003))</f>
        <v/>
      </c>
      <c r="D663" t="str">
        <f>IF(A663="", "", INDEX(BASE!$D$4:$D$10003, MATCH(A663, BASE!$A$4:$A$10003, 0)))</f>
        <v/>
      </c>
      <c r="E663" t="str">
        <f>IF(A663="", "", INDEX(BASE!$E$4:$E$10003, MATCH(A663, BASE!$A$4:$A$10003, 0)))</f>
        <v/>
      </c>
    </row>
    <row r="664" spans="1:5">
      <c r="A664" t="str">
        <f>IFERROR(INDEX(BASE!$A$4:$A$10003, MATCH(0, COUNTIF($A$1:A663, BASE!$A$4:$A$10003&amp;""), 0)), "")</f>
        <v/>
      </c>
      <c r="B664" t="str">
        <f>IF(A664="", "", VLOOKUP(A664, BASE!$A$4:$B$10003, 2, FALSE))</f>
        <v/>
      </c>
      <c r="C664" t="str">
        <f>IF(A664="", "", SUMIF(BASE!$A$4:$A$10003, A664, BASE!$C$4:$C$10003))</f>
        <v/>
      </c>
      <c r="D664" t="str">
        <f>IF(A664="", "", INDEX(BASE!$D$4:$D$10003, MATCH(A664, BASE!$A$4:$A$10003, 0)))</f>
        <v/>
      </c>
      <c r="E664" t="str">
        <f>IF(A664="", "", INDEX(BASE!$E$4:$E$10003, MATCH(A664, BASE!$A$4:$A$10003, 0)))</f>
        <v/>
      </c>
    </row>
    <row r="665" spans="1:5">
      <c r="A665" t="str">
        <f>IFERROR(INDEX(BASE!$A$4:$A$10003, MATCH(0, COUNTIF($A$1:A664, BASE!$A$4:$A$10003&amp;""), 0)), "")</f>
        <v/>
      </c>
      <c r="B665" t="str">
        <f>IF(A665="", "", VLOOKUP(A665, BASE!$A$4:$B$10003, 2, FALSE))</f>
        <v/>
      </c>
      <c r="C665" t="str">
        <f>IF(A665="", "", SUMIF(BASE!$A$4:$A$10003, A665, BASE!$C$4:$C$10003))</f>
        <v/>
      </c>
      <c r="D665" t="str">
        <f>IF(A665="", "", INDEX(BASE!$D$4:$D$10003, MATCH(A665, BASE!$A$4:$A$10003, 0)))</f>
        <v/>
      </c>
      <c r="E665" t="str">
        <f>IF(A665="", "", INDEX(BASE!$E$4:$E$10003, MATCH(A665, BASE!$A$4:$A$10003, 0)))</f>
        <v/>
      </c>
    </row>
    <row r="666" spans="1:5">
      <c r="A666" t="str">
        <f>IFERROR(INDEX(BASE!$A$4:$A$10003, MATCH(0, COUNTIF($A$1:A665, BASE!$A$4:$A$10003&amp;""), 0)), "")</f>
        <v/>
      </c>
      <c r="B666" t="str">
        <f>IF(A666="", "", VLOOKUP(A666, BASE!$A$4:$B$10003, 2, FALSE))</f>
        <v/>
      </c>
      <c r="C666" t="str">
        <f>IF(A666="", "", SUMIF(BASE!$A$4:$A$10003, A666, BASE!$C$4:$C$10003))</f>
        <v/>
      </c>
      <c r="D666" t="str">
        <f>IF(A666="", "", INDEX(BASE!$D$4:$D$10003, MATCH(A666, BASE!$A$4:$A$10003, 0)))</f>
        <v/>
      </c>
      <c r="E666" t="str">
        <f>IF(A666="", "", INDEX(BASE!$E$4:$E$10003, MATCH(A666, BASE!$A$4:$A$10003, 0)))</f>
        <v/>
      </c>
    </row>
    <row r="667" spans="1:5">
      <c r="A667" t="str">
        <f>IFERROR(INDEX(BASE!$A$4:$A$10003, MATCH(0, COUNTIF($A$1:A666, BASE!$A$4:$A$10003&amp;""), 0)), "")</f>
        <v/>
      </c>
      <c r="B667" t="str">
        <f>IF(A667="", "", VLOOKUP(A667, BASE!$A$4:$B$10003, 2, FALSE))</f>
        <v/>
      </c>
      <c r="C667" t="str">
        <f>IF(A667="", "", SUMIF(BASE!$A$4:$A$10003, A667, BASE!$C$4:$C$10003))</f>
        <v/>
      </c>
      <c r="D667" t="str">
        <f>IF(A667="", "", INDEX(BASE!$D$4:$D$10003, MATCH(A667, BASE!$A$4:$A$10003, 0)))</f>
        <v/>
      </c>
      <c r="E667" t="str">
        <f>IF(A667="", "", INDEX(BASE!$E$4:$E$10003, MATCH(A667, BASE!$A$4:$A$10003, 0)))</f>
        <v/>
      </c>
    </row>
    <row r="668" spans="1:5">
      <c r="A668" t="str">
        <f>IFERROR(INDEX(BASE!$A$4:$A$10003, MATCH(0, COUNTIF($A$1:A667, BASE!$A$4:$A$10003&amp;""), 0)), "")</f>
        <v/>
      </c>
      <c r="B668" t="str">
        <f>IF(A668="", "", VLOOKUP(A668, BASE!$A$4:$B$10003, 2, FALSE))</f>
        <v/>
      </c>
      <c r="C668" t="str">
        <f>IF(A668="", "", SUMIF(BASE!$A$4:$A$10003, A668, BASE!$C$4:$C$10003))</f>
        <v/>
      </c>
      <c r="D668" t="str">
        <f>IF(A668="", "", INDEX(BASE!$D$4:$D$10003, MATCH(A668, BASE!$A$4:$A$10003, 0)))</f>
        <v/>
      </c>
      <c r="E668" t="str">
        <f>IF(A668="", "", INDEX(BASE!$E$4:$E$10003, MATCH(A668, BASE!$A$4:$A$10003, 0)))</f>
        <v/>
      </c>
    </row>
    <row r="669" spans="1:5">
      <c r="A669" t="str">
        <f>IFERROR(INDEX(BASE!$A$4:$A$10003, MATCH(0, COUNTIF($A$1:A668, BASE!$A$4:$A$10003&amp;""), 0)), "")</f>
        <v/>
      </c>
      <c r="B669" t="str">
        <f>IF(A669="", "", VLOOKUP(A669, BASE!$A$4:$B$10003, 2, FALSE))</f>
        <v/>
      </c>
      <c r="C669" t="str">
        <f>IF(A669="", "", SUMIF(BASE!$A$4:$A$10003, A669, BASE!$C$4:$C$10003))</f>
        <v/>
      </c>
      <c r="D669" t="str">
        <f>IF(A669="", "", INDEX(BASE!$D$4:$D$10003, MATCH(A669, BASE!$A$4:$A$10003, 0)))</f>
        <v/>
      </c>
      <c r="E669" t="str">
        <f>IF(A669="", "", INDEX(BASE!$E$4:$E$10003, MATCH(A669, BASE!$A$4:$A$10003, 0)))</f>
        <v/>
      </c>
    </row>
    <row r="670" spans="1:5">
      <c r="A670" t="str">
        <f>IFERROR(INDEX(BASE!$A$4:$A$10003, MATCH(0, COUNTIF($A$1:A669, BASE!$A$4:$A$10003&amp;""), 0)), "")</f>
        <v/>
      </c>
      <c r="B670" t="str">
        <f>IF(A670="", "", VLOOKUP(A670, BASE!$A$4:$B$10003, 2, FALSE))</f>
        <v/>
      </c>
      <c r="C670" t="str">
        <f>IF(A670="", "", SUMIF(BASE!$A$4:$A$10003, A670, BASE!$C$4:$C$10003))</f>
        <v/>
      </c>
      <c r="D670" t="str">
        <f>IF(A670="", "", INDEX(BASE!$D$4:$D$10003, MATCH(A670, BASE!$A$4:$A$10003, 0)))</f>
        <v/>
      </c>
      <c r="E670" t="str">
        <f>IF(A670="", "", INDEX(BASE!$E$4:$E$10003, MATCH(A670, BASE!$A$4:$A$10003, 0)))</f>
        <v/>
      </c>
    </row>
    <row r="671" spans="1:5">
      <c r="A671" t="str">
        <f>IFERROR(INDEX(BASE!$A$4:$A$10003, MATCH(0, COUNTIF($A$1:A670, BASE!$A$4:$A$10003&amp;""), 0)), "")</f>
        <v/>
      </c>
      <c r="B671" t="str">
        <f>IF(A671="", "", VLOOKUP(A671, BASE!$A$4:$B$10003, 2, FALSE))</f>
        <v/>
      </c>
      <c r="C671" t="str">
        <f>IF(A671="", "", SUMIF(BASE!$A$4:$A$10003, A671, BASE!$C$4:$C$10003))</f>
        <v/>
      </c>
      <c r="D671" t="str">
        <f>IF(A671="", "", INDEX(BASE!$D$4:$D$10003, MATCH(A671, BASE!$A$4:$A$10003, 0)))</f>
        <v/>
      </c>
      <c r="E671" t="str">
        <f>IF(A671="", "", INDEX(BASE!$E$4:$E$10003, MATCH(A671, BASE!$A$4:$A$10003, 0)))</f>
        <v/>
      </c>
    </row>
    <row r="672" spans="1:5">
      <c r="A672" t="str">
        <f>IFERROR(INDEX(BASE!$A$4:$A$10003, MATCH(0, COUNTIF($A$1:A671, BASE!$A$4:$A$10003&amp;""), 0)), "")</f>
        <v/>
      </c>
      <c r="B672" t="str">
        <f>IF(A672="", "", VLOOKUP(A672, BASE!$A$4:$B$10003, 2, FALSE))</f>
        <v/>
      </c>
      <c r="C672" t="str">
        <f>IF(A672="", "", SUMIF(BASE!$A$4:$A$10003, A672, BASE!$C$4:$C$10003))</f>
        <v/>
      </c>
      <c r="D672" t="str">
        <f>IF(A672="", "", INDEX(BASE!$D$4:$D$10003, MATCH(A672, BASE!$A$4:$A$10003, 0)))</f>
        <v/>
      </c>
      <c r="E672" t="str">
        <f>IF(A672="", "", INDEX(BASE!$E$4:$E$10003, MATCH(A672, BASE!$A$4:$A$10003, 0)))</f>
        <v/>
      </c>
    </row>
    <row r="673" spans="1:5">
      <c r="A673" t="str">
        <f>IFERROR(INDEX(BASE!$A$4:$A$10003, MATCH(0, COUNTIF($A$1:A672, BASE!$A$4:$A$10003&amp;""), 0)), "")</f>
        <v/>
      </c>
      <c r="B673" t="str">
        <f>IF(A673="", "", VLOOKUP(A673, BASE!$A$4:$B$10003, 2, FALSE))</f>
        <v/>
      </c>
      <c r="C673" t="str">
        <f>IF(A673="", "", SUMIF(BASE!$A$4:$A$10003, A673, BASE!$C$4:$C$10003))</f>
        <v/>
      </c>
      <c r="D673" t="str">
        <f>IF(A673="", "", INDEX(BASE!$D$4:$D$10003, MATCH(A673, BASE!$A$4:$A$10003, 0)))</f>
        <v/>
      </c>
      <c r="E673" t="str">
        <f>IF(A673="", "", INDEX(BASE!$E$4:$E$10003, MATCH(A673, BASE!$A$4:$A$10003, 0)))</f>
        <v/>
      </c>
    </row>
    <row r="674" spans="1:5">
      <c r="A674" t="str">
        <f>IFERROR(INDEX(BASE!$A$4:$A$10003, MATCH(0, COUNTIF($A$1:A673, BASE!$A$4:$A$10003&amp;""), 0)), "")</f>
        <v/>
      </c>
      <c r="B674" t="str">
        <f>IF(A674="", "", VLOOKUP(A674, BASE!$A$4:$B$10003, 2, FALSE))</f>
        <v/>
      </c>
      <c r="C674" t="str">
        <f>IF(A674="", "", SUMIF(BASE!$A$4:$A$10003, A674, BASE!$C$4:$C$10003))</f>
        <v/>
      </c>
      <c r="D674" t="str">
        <f>IF(A674="", "", INDEX(BASE!$D$4:$D$10003, MATCH(A674, BASE!$A$4:$A$10003, 0)))</f>
        <v/>
      </c>
      <c r="E674" t="str">
        <f>IF(A674="", "", INDEX(BASE!$E$4:$E$10003, MATCH(A674, BASE!$A$4:$A$10003, 0)))</f>
        <v/>
      </c>
    </row>
    <row r="675" spans="1:5">
      <c r="A675" t="str">
        <f>IFERROR(INDEX(BASE!$A$4:$A$10003, MATCH(0, COUNTIF($A$1:A674, BASE!$A$4:$A$10003&amp;""), 0)), "")</f>
        <v/>
      </c>
      <c r="B675" t="str">
        <f>IF(A675="", "", VLOOKUP(A675, BASE!$A$4:$B$10003, 2, FALSE))</f>
        <v/>
      </c>
      <c r="C675" t="str">
        <f>IF(A675="", "", SUMIF(BASE!$A$4:$A$10003, A675, BASE!$C$4:$C$10003))</f>
        <v/>
      </c>
      <c r="D675" t="str">
        <f>IF(A675="", "", INDEX(BASE!$D$4:$D$10003, MATCH(A675, BASE!$A$4:$A$10003, 0)))</f>
        <v/>
      </c>
      <c r="E675" t="str">
        <f>IF(A675="", "", INDEX(BASE!$E$4:$E$10003, MATCH(A675, BASE!$A$4:$A$10003, 0)))</f>
        <v/>
      </c>
    </row>
    <row r="676" spans="1:5">
      <c r="A676" t="str">
        <f>IFERROR(INDEX(BASE!$A$4:$A$10003, MATCH(0, COUNTIF($A$1:A675, BASE!$A$4:$A$10003&amp;""), 0)), "")</f>
        <v/>
      </c>
      <c r="B676" t="str">
        <f>IF(A676="", "", VLOOKUP(A676, BASE!$A$4:$B$10003, 2, FALSE))</f>
        <v/>
      </c>
      <c r="C676" t="str">
        <f>IF(A676="", "", SUMIF(BASE!$A$4:$A$10003, A676, BASE!$C$4:$C$10003))</f>
        <v/>
      </c>
      <c r="D676" t="str">
        <f>IF(A676="", "", INDEX(BASE!$D$4:$D$10003, MATCH(A676, BASE!$A$4:$A$10003, 0)))</f>
        <v/>
      </c>
      <c r="E676" t="str">
        <f>IF(A676="", "", INDEX(BASE!$E$4:$E$10003, MATCH(A676, BASE!$A$4:$A$10003, 0)))</f>
        <v/>
      </c>
    </row>
    <row r="677" spans="1:5">
      <c r="A677" t="str">
        <f>IFERROR(INDEX(BASE!$A$4:$A$10003, MATCH(0, COUNTIF($A$1:A676, BASE!$A$4:$A$10003&amp;""), 0)), "")</f>
        <v/>
      </c>
      <c r="B677" t="str">
        <f>IF(A677="", "", VLOOKUP(A677, BASE!$A$4:$B$10003, 2, FALSE))</f>
        <v/>
      </c>
      <c r="C677" t="str">
        <f>IF(A677="", "", SUMIF(BASE!$A$4:$A$10003, A677, BASE!$C$4:$C$10003))</f>
        <v/>
      </c>
      <c r="D677" t="str">
        <f>IF(A677="", "", INDEX(BASE!$D$4:$D$10003, MATCH(A677, BASE!$A$4:$A$10003, 0)))</f>
        <v/>
      </c>
      <c r="E677" t="str">
        <f>IF(A677="", "", INDEX(BASE!$E$4:$E$10003, MATCH(A677, BASE!$A$4:$A$10003, 0)))</f>
        <v/>
      </c>
    </row>
    <row r="678" spans="1:5">
      <c r="A678" t="str">
        <f>IFERROR(INDEX(BASE!$A$4:$A$10003, MATCH(0, COUNTIF($A$1:A677, BASE!$A$4:$A$10003&amp;""), 0)), "")</f>
        <v/>
      </c>
      <c r="B678" t="str">
        <f>IF(A678="", "", VLOOKUP(A678, BASE!$A$4:$B$10003, 2, FALSE))</f>
        <v/>
      </c>
      <c r="C678" t="str">
        <f>IF(A678="", "", SUMIF(BASE!$A$4:$A$10003, A678, BASE!$C$4:$C$10003))</f>
        <v/>
      </c>
      <c r="D678" t="str">
        <f>IF(A678="", "", INDEX(BASE!$D$4:$D$10003, MATCH(A678, BASE!$A$4:$A$10003, 0)))</f>
        <v/>
      </c>
      <c r="E678" t="str">
        <f>IF(A678="", "", INDEX(BASE!$E$4:$E$10003, MATCH(A678, BASE!$A$4:$A$10003, 0)))</f>
        <v/>
      </c>
    </row>
    <row r="679" spans="1:5">
      <c r="A679" t="str">
        <f>IFERROR(INDEX(BASE!$A$4:$A$10003, MATCH(0, COUNTIF($A$1:A678, BASE!$A$4:$A$10003&amp;""), 0)), "")</f>
        <v/>
      </c>
      <c r="B679" t="str">
        <f>IF(A679="", "", VLOOKUP(A679, BASE!$A$4:$B$10003, 2, FALSE))</f>
        <v/>
      </c>
      <c r="C679" t="str">
        <f>IF(A679="", "", SUMIF(BASE!$A$4:$A$10003, A679, BASE!$C$4:$C$10003))</f>
        <v/>
      </c>
      <c r="D679" t="str">
        <f>IF(A679="", "", INDEX(BASE!$D$4:$D$10003, MATCH(A679, BASE!$A$4:$A$10003, 0)))</f>
        <v/>
      </c>
      <c r="E679" t="str">
        <f>IF(A679="", "", INDEX(BASE!$E$4:$E$10003, MATCH(A679, BASE!$A$4:$A$10003, 0)))</f>
        <v/>
      </c>
    </row>
    <row r="680" spans="1:5">
      <c r="A680" t="str">
        <f>IFERROR(INDEX(BASE!$A$4:$A$10003, MATCH(0, COUNTIF($A$1:A679, BASE!$A$4:$A$10003&amp;""), 0)), "")</f>
        <v/>
      </c>
      <c r="B680" t="str">
        <f>IF(A680="", "", VLOOKUP(A680, BASE!$A$4:$B$10003, 2, FALSE))</f>
        <v/>
      </c>
      <c r="C680" t="str">
        <f>IF(A680="", "", SUMIF(BASE!$A$4:$A$10003, A680, BASE!$C$4:$C$10003))</f>
        <v/>
      </c>
      <c r="D680" t="str">
        <f>IF(A680="", "", INDEX(BASE!$D$4:$D$10003, MATCH(A680, BASE!$A$4:$A$10003, 0)))</f>
        <v/>
      </c>
      <c r="E680" t="str">
        <f>IF(A680="", "", INDEX(BASE!$E$4:$E$10003, MATCH(A680, BASE!$A$4:$A$10003, 0)))</f>
        <v/>
      </c>
    </row>
    <row r="681" spans="1:5">
      <c r="A681" t="str">
        <f>IFERROR(INDEX(BASE!$A$4:$A$10003, MATCH(0, COUNTIF($A$1:A680, BASE!$A$4:$A$10003&amp;""), 0)), "")</f>
        <v/>
      </c>
      <c r="B681" t="str">
        <f>IF(A681="", "", VLOOKUP(A681, BASE!$A$4:$B$10003, 2, FALSE))</f>
        <v/>
      </c>
      <c r="C681" t="str">
        <f>IF(A681="", "", SUMIF(BASE!$A$4:$A$10003, A681, BASE!$C$4:$C$10003))</f>
        <v/>
      </c>
      <c r="D681" t="str">
        <f>IF(A681="", "", INDEX(BASE!$D$4:$D$10003, MATCH(A681, BASE!$A$4:$A$10003, 0)))</f>
        <v/>
      </c>
      <c r="E681" t="str">
        <f>IF(A681="", "", INDEX(BASE!$E$4:$E$10003, MATCH(A681, BASE!$A$4:$A$10003, 0)))</f>
        <v/>
      </c>
    </row>
    <row r="682" spans="1:5">
      <c r="A682" t="str">
        <f>IFERROR(INDEX(BASE!$A$4:$A$10003, MATCH(0, COUNTIF($A$1:A681, BASE!$A$4:$A$10003&amp;""), 0)), "")</f>
        <v/>
      </c>
      <c r="B682" t="str">
        <f>IF(A682="", "", VLOOKUP(A682, BASE!$A$4:$B$10003, 2, FALSE))</f>
        <v/>
      </c>
      <c r="C682" t="str">
        <f>IF(A682="", "", SUMIF(BASE!$A$4:$A$10003, A682, BASE!$C$4:$C$10003))</f>
        <v/>
      </c>
      <c r="D682" t="str">
        <f>IF(A682="", "", INDEX(BASE!$D$4:$D$10003, MATCH(A682, BASE!$A$4:$A$10003, 0)))</f>
        <v/>
      </c>
      <c r="E682" t="str">
        <f>IF(A682="", "", INDEX(BASE!$E$4:$E$10003, MATCH(A682, BASE!$A$4:$A$10003, 0)))</f>
        <v/>
      </c>
    </row>
    <row r="683" spans="1:5">
      <c r="A683" t="str">
        <f>IFERROR(INDEX(BASE!$A$4:$A$10003, MATCH(0, COUNTIF($A$1:A682, BASE!$A$4:$A$10003&amp;""), 0)), "")</f>
        <v/>
      </c>
      <c r="B683" t="str">
        <f>IF(A683="", "", VLOOKUP(A683, BASE!$A$4:$B$10003, 2, FALSE))</f>
        <v/>
      </c>
      <c r="C683" t="str">
        <f>IF(A683="", "", SUMIF(BASE!$A$4:$A$10003, A683, BASE!$C$4:$C$10003))</f>
        <v/>
      </c>
      <c r="D683" t="str">
        <f>IF(A683="", "", INDEX(BASE!$D$4:$D$10003, MATCH(A683, BASE!$A$4:$A$10003, 0)))</f>
        <v/>
      </c>
      <c r="E683" t="str">
        <f>IF(A683="", "", INDEX(BASE!$E$4:$E$10003, MATCH(A683, BASE!$A$4:$A$10003, 0)))</f>
        <v/>
      </c>
    </row>
    <row r="684" spans="1:5">
      <c r="A684" t="str">
        <f>IFERROR(INDEX(BASE!$A$4:$A$10003, MATCH(0, COUNTIF($A$1:A683, BASE!$A$4:$A$10003&amp;""), 0)), "")</f>
        <v/>
      </c>
      <c r="B684" t="str">
        <f>IF(A684="", "", VLOOKUP(A684, BASE!$A$4:$B$10003, 2, FALSE))</f>
        <v/>
      </c>
      <c r="C684" t="str">
        <f>IF(A684="", "", SUMIF(BASE!$A$4:$A$10003, A684, BASE!$C$4:$C$10003))</f>
        <v/>
      </c>
      <c r="D684" t="str">
        <f>IF(A684="", "", INDEX(BASE!$D$4:$D$10003, MATCH(A684, BASE!$A$4:$A$10003, 0)))</f>
        <v/>
      </c>
      <c r="E684" t="str">
        <f>IF(A684="", "", INDEX(BASE!$E$4:$E$10003, MATCH(A684, BASE!$A$4:$A$10003, 0)))</f>
        <v/>
      </c>
    </row>
    <row r="685" spans="1:5">
      <c r="A685" t="str">
        <f>IFERROR(INDEX(BASE!$A$4:$A$10003, MATCH(0, COUNTIF($A$1:A684, BASE!$A$4:$A$10003&amp;""), 0)), "")</f>
        <v/>
      </c>
      <c r="B685" t="str">
        <f>IF(A685="", "", VLOOKUP(A685, BASE!$A$4:$B$10003, 2, FALSE))</f>
        <v/>
      </c>
      <c r="C685" t="str">
        <f>IF(A685="", "", SUMIF(BASE!$A$4:$A$10003, A685, BASE!$C$4:$C$10003))</f>
        <v/>
      </c>
      <c r="D685" t="str">
        <f>IF(A685="", "", INDEX(BASE!$D$4:$D$10003, MATCH(A685, BASE!$A$4:$A$10003, 0)))</f>
        <v/>
      </c>
      <c r="E685" t="str">
        <f>IF(A685="", "", INDEX(BASE!$E$4:$E$10003, MATCH(A685, BASE!$A$4:$A$10003, 0)))</f>
        <v/>
      </c>
    </row>
    <row r="686" spans="1:5">
      <c r="A686" t="str">
        <f>IFERROR(INDEX(BASE!$A$4:$A$10003, MATCH(0, COUNTIF($A$1:A685, BASE!$A$4:$A$10003&amp;""), 0)), "")</f>
        <v/>
      </c>
      <c r="B686" t="str">
        <f>IF(A686="", "", VLOOKUP(A686, BASE!$A$4:$B$10003, 2, FALSE))</f>
        <v/>
      </c>
      <c r="C686" t="str">
        <f>IF(A686="", "", SUMIF(BASE!$A$4:$A$10003, A686, BASE!$C$4:$C$10003))</f>
        <v/>
      </c>
      <c r="D686" t="str">
        <f>IF(A686="", "", INDEX(BASE!$D$4:$D$10003, MATCH(A686, BASE!$A$4:$A$10003, 0)))</f>
        <v/>
      </c>
      <c r="E686" t="str">
        <f>IF(A686="", "", INDEX(BASE!$E$4:$E$10003, MATCH(A686, BASE!$A$4:$A$10003, 0)))</f>
        <v/>
      </c>
    </row>
    <row r="687" spans="1:5">
      <c r="A687" t="str">
        <f>IFERROR(INDEX(BASE!$A$4:$A$10003, MATCH(0, COUNTIF($A$1:A686, BASE!$A$4:$A$10003&amp;""), 0)), "")</f>
        <v/>
      </c>
      <c r="B687" t="str">
        <f>IF(A687="", "", VLOOKUP(A687, BASE!$A$4:$B$10003, 2, FALSE))</f>
        <v/>
      </c>
      <c r="C687" t="str">
        <f>IF(A687="", "", SUMIF(BASE!$A$4:$A$10003, A687, BASE!$C$4:$C$10003))</f>
        <v/>
      </c>
      <c r="D687" t="str">
        <f>IF(A687="", "", INDEX(BASE!$D$4:$D$10003, MATCH(A687, BASE!$A$4:$A$10003, 0)))</f>
        <v/>
      </c>
      <c r="E687" t="str">
        <f>IF(A687="", "", INDEX(BASE!$E$4:$E$10003, MATCH(A687, BASE!$A$4:$A$10003, 0)))</f>
        <v/>
      </c>
    </row>
    <row r="688" spans="1:5">
      <c r="A688" t="str">
        <f>IFERROR(INDEX(BASE!$A$4:$A$10003, MATCH(0, COUNTIF($A$1:A687, BASE!$A$4:$A$10003&amp;""), 0)), "")</f>
        <v/>
      </c>
      <c r="B688" t="str">
        <f>IF(A688="", "", VLOOKUP(A688, BASE!$A$4:$B$10003, 2, FALSE))</f>
        <v/>
      </c>
      <c r="C688" t="str">
        <f>IF(A688="", "", SUMIF(BASE!$A$4:$A$10003, A688, BASE!$C$4:$C$10003))</f>
        <v/>
      </c>
      <c r="D688" t="str">
        <f>IF(A688="", "", INDEX(BASE!$D$4:$D$10003, MATCH(A688, BASE!$A$4:$A$10003, 0)))</f>
        <v/>
      </c>
      <c r="E688" t="str">
        <f>IF(A688="", "", INDEX(BASE!$E$4:$E$10003, MATCH(A688, BASE!$A$4:$A$10003, 0)))</f>
        <v/>
      </c>
    </row>
    <row r="689" spans="1:5">
      <c r="A689" t="str">
        <f>IFERROR(INDEX(BASE!$A$4:$A$10003, MATCH(0, COUNTIF($A$1:A688, BASE!$A$4:$A$10003&amp;""), 0)), "")</f>
        <v/>
      </c>
      <c r="B689" t="str">
        <f>IF(A689="", "", VLOOKUP(A689, BASE!$A$4:$B$10003, 2, FALSE))</f>
        <v/>
      </c>
      <c r="C689" t="str">
        <f>IF(A689="", "", SUMIF(BASE!$A$4:$A$10003, A689, BASE!$C$4:$C$10003))</f>
        <v/>
      </c>
      <c r="D689" t="str">
        <f>IF(A689="", "", INDEX(BASE!$D$4:$D$10003, MATCH(A689, BASE!$A$4:$A$10003, 0)))</f>
        <v/>
      </c>
      <c r="E689" t="str">
        <f>IF(A689="", "", INDEX(BASE!$E$4:$E$10003, MATCH(A689, BASE!$A$4:$A$10003, 0)))</f>
        <v/>
      </c>
    </row>
    <row r="690" spans="1:5">
      <c r="A690" t="str">
        <f>IFERROR(INDEX(BASE!$A$4:$A$10003, MATCH(0, COUNTIF($A$1:A689, BASE!$A$4:$A$10003&amp;""), 0)), "")</f>
        <v/>
      </c>
      <c r="B690" t="str">
        <f>IF(A690="", "", VLOOKUP(A690, BASE!$A$4:$B$10003, 2, FALSE))</f>
        <v/>
      </c>
      <c r="C690" t="str">
        <f>IF(A690="", "", SUMIF(BASE!$A$4:$A$10003, A690, BASE!$C$4:$C$10003))</f>
        <v/>
      </c>
      <c r="D690" t="str">
        <f>IF(A690="", "", INDEX(BASE!$D$4:$D$10003, MATCH(A690, BASE!$A$4:$A$10003, 0)))</f>
        <v/>
      </c>
      <c r="E690" t="str">
        <f>IF(A690="", "", INDEX(BASE!$E$4:$E$10003, MATCH(A690, BASE!$A$4:$A$10003, 0)))</f>
        <v/>
      </c>
    </row>
    <row r="691" spans="1:5">
      <c r="A691" t="str">
        <f>IFERROR(INDEX(BASE!$A$4:$A$10003, MATCH(0, COUNTIF($A$1:A690, BASE!$A$4:$A$10003&amp;""), 0)), "")</f>
        <v/>
      </c>
      <c r="B691" t="str">
        <f>IF(A691="", "", VLOOKUP(A691, BASE!$A$4:$B$10003, 2, FALSE))</f>
        <v/>
      </c>
      <c r="C691" t="str">
        <f>IF(A691="", "", SUMIF(BASE!$A$4:$A$10003, A691, BASE!$C$4:$C$10003))</f>
        <v/>
      </c>
      <c r="D691" t="str">
        <f>IF(A691="", "", INDEX(BASE!$D$4:$D$10003, MATCH(A691, BASE!$A$4:$A$10003, 0)))</f>
        <v/>
      </c>
      <c r="E691" t="str">
        <f>IF(A691="", "", INDEX(BASE!$E$4:$E$10003, MATCH(A691, BASE!$A$4:$A$10003, 0)))</f>
        <v/>
      </c>
    </row>
    <row r="692" spans="1:5">
      <c r="A692" t="str">
        <f>IFERROR(INDEX(BASE!$A$4:$A$10003, MATCH(0, COUNTIF($A$1:A691, BASE!$A$4:$A$10003&amp;""), 0)), "")</f>
        <v/>
      </c>
      <c r="B692" t="str">
        <f>IF(A692="", "", VLOOKUP(A692, BASE!$A$4:$B$10003, 2, FALSE))</f>
        <v/>
      </c>
      <c r="C692" t="str">
        <f>IF(A692="", "", SUMIF(BASE!$A$4:$A$10003, A692, BASE!$C$4:$C$10003))</f>
        <v/>
      </c>
      <c r="D692" t="str">
        <f>IF(A692="", "", INDEX(BASE!$D$4:$D$10003, MATCH(A692, BASE!$A$4:$A$10003, 0)))</f>
        <v/>
      </c>
      <c r="E692" t="str">
        <f>IF(A692="", "", INDEX(BASE!$E$4:$E$10003, MATCH(A692, BASE!$A$4:$A$10003, 0)))</f>
        <v/>
      </c>
    </row>
    <row r="693" spans="1:5">
      <c r="A693" t="str">
        <f>IFERROR(INDEX(BASE!$A$4:$A$10003, MATCH(0, COUNTIF($A$1:A692, BASE!$A$4:$A$10003&amp;""), 0)), "")</f>
        <v/>
      </c>
      <c r="B693" t="str">
        <f>IF(A693="", "", VLOOKUP(A693, BASE!$A$4:$B$10003, 2, FALSE))</f>
        <v/>
      </c>
      <c r="C693" t="str">
        <f>IF(A693="", "", SUMIF(BASE!$A$4:$A$10003, A693, BASE!$C$4:$C$10003))</f>
        <v/>
      </c>
      <c r="D693" t="str">
        <f>IF(A693="", "", INDEX(BASE!$D$4:$D$10003, MATCH(A693, BASE!$A$4:$A$10003, 0)))</f>
        <v/>
      </c>
      <c r="E693" t="str">
        <f>IF(A693="", "", INDEX(BASE!$E$4:$E$10003, MATCH(A693, BASE!$A$4:$A$10003, 0)))</f>
        <v/>
      </c>
    </row>
    <row r="694" spans="1:5">
      <c r="A694" t="str">
        <f>IFERROR(INDEX(BASE!$A$4:$A$10003, MATCH(0, COUNTIF($A$1:A693, BASE!$A$4:$A$10003&amp;""), 0)), "")</f>
        <v/>
      </c>
      <c r="B694" t="str">
        <f>IF(A694="", "", VLOOKUP(A694, BASE!$A$4:$B$10003, 2, FALSE))</f>
        <v/>
      </c>
      <c r="C694" t="str">
        <f>IF(A694="", "", SUMIF(BASE!$A$4:$A$10003, A694, BASE!$C$4:$C$10003))</f>
        <v/>
      </c>
      <c r="D694" t="str">
        <f>IF(A694="", "", INDEX(BASE!$D$4:$D$10003, MATCH(A694, BASE!$A$4:$A$10003, 0)))</f>
        <v/>
      </c>
      <c r="E694" t="str">
        <f>IF(A694="", "", INDEX(BASE!$E$4:$E$10003, MATCH(A694, BASE!$A$4:$A$10003, 0)))</f>
        <v/>
      </c>
    </row>
    <row r="695" spans="1:5">
      <c r="A695" t="str">
        <f>IFERROR(INDEX(BASE!$A$4:$A$10003, MATCH(0, COUNTIF($A$1:A694, BASE!$A$4:$A$10003&amp;""), 0)), "")</f>
        <v/>
      </c>
      <c r="B695" t="str">
        <f>IF(A695="", "", VLOOKUP(A695, BASE!$A$4:$B$10003, 2, FALSE))</f>
        <v/>
      </c>
      <c r="C695" t="str">
        <f>IF(A695="", "", SUMIF(BASE!$A$4:$A$10003, A695, BASE!$C$4:$C$10003))</f>
        <v/>
      </c>
      <c r="D695" t="str">
        <f>IF(A695="", "", INDEX(BASE!$D$4:$D$10003, MATCH(A695, BASE!$A$4:$A$10003, 0)))</f>
        <v/>
      </c>
      <c r="E695" t="str">
        <f>IF(A695="", "", INDEX(BASE!$E$4:$E$10003, MATCH(A695, BASE!$A$4:$A$10003, 0)))</f>
        <v/>
      </c>
    </row>
    <row r="696" spans="1:5">
      <c r="A696" t="str">
        <f>IFERROR(INDEX(BASE!$A$4:$A$10003, MATCH(0, COUNTIF($A$1:A695, BASE!$A$4:$A$10003&amp;""), 0)), "")</f>
        <v/>
      </c>
      <c r="B696" t="str">
        <f>IF(A696="", "", VLOOKUP(A696, BASE!$A$4:$B$10003, 2, FALSE))</f>
        <v/>
      </c>
      <c r="C696" t="str">
        <f>IF(A696="", "", SUMIF(BASE!$A$4:$A$10003, A696, BASE!$C$4:$C$10003))</f>
        <v/>
      </c>
      <c r="D696" t="str">
        <f>IF(A696="", "", INDEX(BASE!$D$4:$D$10003, MATCH(A696, BASE!$A$4:$A$10003, 0)))</f>
        <v/>
      </c>
      <c r="E696" t="str">
        <f>IF(A696="", "", INDEX(BASE!$E$4:$E$10003, MATCH(A696, BASE!$A$4:$A$10003, 0)))</f>
        <v/>
      </c>
    </row>
    <row r="697" spans="1:5">
      <c r="A697" t="str">
        <f>IFERROR(INDEX(BASE!$A$4:$A$10003, MATCH(0, COUNTIF($A$1:A696, BASE!$A$4:$A$10003&amp;""), 0)), "")</f>
        <v/>
      </c>
      <c r="B697" t="str">
        <f>IF(A697="", "", VLOOKUP(A697, BASE!$A$4:$B$10003, 2, FALSE))</f>
        <v/>
      </c>
      <c r="C697" t="str">
        <f>IF(A697="", "", SUMIF(BASE!$A$4:$A$10003, A697, BASE!$C$4:$C$10003))</f>
        <v/>
      </c>
      <c r="D697" t="str">
        <f>IF(A697="", "", INDEX(BASE!$D$4:$D$10003, MATCH(A697, BASE!$A$4:$A$10003, 0)))</f>
        <v/>
      </c>
      <c r="E697" t="str">
        <f>IF(A697="", "", INDEX(BASE!$E$4:$E$10003, MATCH(A697, BASE!$A$4:$A$10003, 0)))</f>
        <v/>
      </c>
    </row>
    <row r="698" spans="1:5">
      <c r="A698" t="str">
        <f>IFERROR(INDEX(BASE!$A$4:$A$10003, MATCH(0, COUNTIF($A$1:A697, BASE!$A$4:$A$10003&amp;""), 0)), "")</f>
        <v/>
      </c>
      <c r="B698" t="str">
        <f>IF(A698="", "", VLOOKUP(A698, BASE!$A$4:$B$10003, 2, FALSE))</f>
        <v/>
      </c>
      <c r="C698" t="str">
        <f>IF(A698="", "", SUMIF(BASE!$A$4:$A$10003, A698, BASE!$C$4:$C$10003))</f>
        <v/>
      </c>
      <c r="D698" t="str">
        <f>IF(A698="", "", INDEX(BASE!$D$4:$D$10003, MATCH(A698, BASE!$A$4:$A$10003, 0)))</f>
        <v/>
      </c>
      <c r="E698" t="str">
        <f>IF(A698="", "", INDEX(BASE!$E$4:$E$10003, MATCH(A698, BASE!$A$4:$A$10003, 0)))</f>
        <v/>
      </c>
    </row>
    <row r="699" spans="1:5">
      <c r="A699" t="str">
        <f>IFERROR(INDEX(BASE!$A$4:$A$10003, MATCH(0, COUNTIF($A$1:A698, BASE!$A$4:$A$10003&amp;""), 0)), "")</f>
        <v/>
      </c>
      <c r="B699" t="str">
        <f>IF(A699="", "", VLOOKUP(A699, BASE!$A$4:$B$10003, 2, FALSE))</f>
        <v/>
      </c>
      <c r="C699" t="str">
        <f>IF(A699="", "", SUMIF(BASE!$A$4:$A$10003, A699, BASE!$C$4:$C$10003))</f>
        <v/>
      </c>
      <c r="D699" t="str">
        <f>IF(A699="", "", INDEX(BASE!$D$4:$D$10003, MATCH(A699, BASE!$A$4:$A$10003, 0)))</f>
        <v/>
      </c>
      <c r="E699" t="str">
        <f>IF(A699="", "", INDEX(BASE!$E$4:$E$10003, MATCH(A699, BASE!$A$4:$A$10003, 0)))</f>
        <v/>
      </c>
    </row>
    <row r="700" spans="1:5">
      <c r="A700" t="str">
        <f>IFERROR(INDEX(BASE!$A$4:$A$10003, MATCH(0, COUNTIF($A$1:A699, BASE!$A$4:$A$10003&amp;""), 0)), "")</f>
        <v/>
      </c>
      <c r="B700" t="str">
        <f>IF(A700="", "", VLOOKUP(A700, BASE!$A$4:$B$10003, 2, FALSE))</f>
        <v/>
      </c>
      <c r="C700" t="str">
        <f>IF(A700="", "", SUMIF(BASE!$A$4:$A$10003, A700, BASE!$C$4:$C$10003))</f>
        <v/>
      </c>
      <c r="D700" t="str">
        <f>IF(A700="", "", INDEX(BASE!$D$4:$D$10003, MATCH(A700, BASE!$A$4:$A$10003, 0)))</f>
        <v/>
      </c>
      <c r="E700" t="str">
        <f>IF(A700="", "", INDEX(BASE!$E$4:$E$10003, MATCH(A700, BASE!$A$4:$A$10003, 0)))</f>
        <v/>
      </c>
    </row>
    <row r="701" spans="1:5">
      <c r="A701" t="str">
        <f>IFERROR(INDEX(BASE!$A$4:$A$10003, MATCH(0, COUNTIF($A$1:A700, BASE!$A$4:$A$10003&amp;""), 0)), "")</f>
        <v/>
      </c>
      <c r="B701" t="str">
        <f>IF(A701="", "", VLOOKUP(A701, BASE!$A$4:$B$10003, 2, FALSE))</f>
        <v/>
      </c>
      <c r="C701" t="str">
        <f>IF(A701="", "", SUMIF(BASE!$A$4:$A$10003, A701, BASE!$C$4:$C$10003))</f>
        <v/>
      </c>
      <c r="D701" t="str">
        <f>IF(A701="", "", INDEX(BASE!$D$4:$D$10003, MATCH(A701, BASE!$A$4:$A$10003, 0)))</f>
        <v/>
      </c>
      <c r="E701" t="str">
        <f>IF(A701="", "", INDEX(BASE!$E$4:$E$10003, MATCH(A701, BASE!$A$4:$A$10003, 0)))</f>
        <v/>
      </c>
    </row>
    <row r="702" spans="1:5">
      <c r="A702" t="str">
        <f>IFERROR(INDEX(BASE!$A$4:$A$10003, MATCH(0, COUNTIF($A$1:A701, BASE!$A$4:$A$10003&amp;""), 0)), "")</f>
        <v/>
      </c>
      <c r="B702" t="str">
        <f>IF(A702="", "", VLOOKUP(A702, BASE!$A$4:$B$10003, 2, FALSE))</f>
        <v/>
      </c>
      <c r="C702" t="str">
        <f>IF(A702="", "", SUMIF(BASE!$A$4:$A$10003, A702, BASE!$C$4:$C$10003))</f>
        <v/>
      </c>
      <c r="D702" t="str">
        <f>IF(A702="", "", INDEX(BASE!$D$4:$D$10003, MATCH(A702, BASE!$A$4:$A$10003, 0)))</f>
        <v/>
      </c>
      <c r="E702" t="str">
        <f>IF(A702="", "", INDEX(BASE!$E$4:$E$10003, MATCH(A702, BASE!$A$4:$A$10003, 0)))</f>
        <v/>
      </c>
    </row>
    <row r="703" spans="1:5">
      <c r="A703" t="str">
        <f>IFERROR(INDEX(BASE!$A$4:$A$10003, MATCH(0, COUNTIF($A$1:A702, BASE!$A$4:$A$10003&amp;""), 0)), "")</f>
        <v/>
      </c>
      <c r="B703" t="str">
        <f>IF(A703="", "", VLOOKUP(A703, BASE!$A$4:$B$10003, 2, FALSE))</f>
        <v/>
      </c>
      <c r="C703" t="str">
        <f>IF(A703="", "", SUMIF(BASE!$A$4:$A$10003, A703, BASE!$C$4:$C$10003))</f>
        <v/>
      </c>
      <c r="D703" t="str">
        <f>IF(A703="", "", INDEX(BASE!$D$4:$D$10003, MATCH(A703, BASE!$A$4:$A$10003, 0)))</f>
        <v/>
      </c>
      <c r="E703" t="str">
        <f>IF(A703="", "", INDEX(BASE!$E$4:$E$10003, MATCH(A703, BASE!$A$4:$A$10003, 0)))</f>
        <v/>
      </c>
    </row>
    <row r="704" spans="1:5">
      <c r="A704" t="str">
        <f>IFERROR(INDEX(BASE!$A$4:$A$10003, MATCH(0, COUNTIF($A$1:A703, BASE!$A$4:$A$10003&amp;""), 0)), "")</f>
        <v/>
      </c>
      <c r="B704" t="str">
        <f>IF(A704="", "", VLOOKUP(A704, BASE!$A$4:$B$10003, 2, FALSE))</f>
        <v/>
      </c>
      <c r="C704" t="str">
        <f>IF(A704="", "", SUMIF(BASE!$A$4:$A$10003, A704, BASE!$C$4:$C$10003))</f>
        <v/>
      </c>
      <c r="D704" t="str">
        <f>IF(A704="", "", INDEX(BASE!$D$4:$D$10003, MATCH(A704, BASE!$A$4:$A$10003, 0)))</f>
        <v/>
      </c>
      <c r="E704" t="str">
        <f>IF(A704="", "", INDEX(BASE!$E$4:$E$10003, MATCH(A704, BASE!$A$4:$A$10003, 0)))</f>
        <v/>
      </c>
    </row>
    <row r="705" spans="1:5">
      <c r="A705" t="str">
        <f>IFERROR(INDEX(BASE!$A$4:$A$10003, MATCH(0, COUNTIF($A$1:A704, BASE!$A$4:$A$10003&amp;""), 0)), "")</f>
        <v/>
      </c>
      <c r="B705" t="str">
        <f>IF(A705="", "", VLOOKUP(A705, BASE!$A$4:$B$10003, 2, FALSE))</f>
        <v/>
      </c>
      <c r="C705" t="str">
        <f>IF(A705="", "", SUMIF(BASE!$A$4:$A$10003, A705, BASE!$C$4:$C$10003))</f>
        <v/>
      </c>
      <c r="D705" t="str">
        <f>IF(A705="", "", INDEX(BASE!$D$4:$D$10003, MATCH(A705, BASE!$A$4:$A$10003, 0)))</f>
        <v/>
      </c>
      <c r="E705" t="str">
        <f>IF(A705="", "", INDEX(BASE!$E$4:$E$10003, MATCH(A705, BASE!$A$4:$A$10003, 0)))</f>
        <v/>
      </c>
    </row>
    <row r="706" spans="1:5">
      <c r="A706" t="str">
        <f>IFERROR(INDEX(BASE!$A$4:$A$10003, MATCH(0, COUNTIF($A$1:A705, BASE!$A$4:$A$10003&amp;""), 0)), "")</f>
        <v/>
      </c>
      <c r="B706" t="str">
        <f>IF(A706="", "", VLOOKUP(A706, BASE!$A$4:$B$10003, 2, FALSE))</f>
        <v/>
      </c>
      <c r="C706" t="str">
        <f>IF(A706="", "", SUMIF(BASE!$A$4:$A$10003, A706, BASE!$C$4:$C$10003))</f>
        <v/>
      </c>
      <c r="D706" t="str">
        <f>IF(A706="", "", INDEX(BASE!$D$4:$D$10003, MATCH(A706, BASE!$A$4:$A$10003, 0)))</f>
        <v/>
      </c>
      <c r="E706" t="str">
        <f>IF(A706="", "", INDEX(BASE!$E$4:$E$10003, MATCH(A706, BASE!$A$4:$A$10003, 0)))</f>
        <v/>
      </c>
    </row>
    <row r="707" spans="1:5">
      <c r="A707" t="str">
        <f>IFERROR(INDEX(BASE!$A$4:$A$10003, MATCH(0, COUNTIF($A$1:A706, BASE!$A$4:$A$10003&amp;""), 0)), "")</f>
        <v/>
      </c>
      <c r="B707" t="str">
        <f>IF(A707="", "", VLOOKUP(A707, BASE!$A$4:$B$10003, 2, FALSE))</f>
        <v/>
      </c>
      <c r="C707" t="str">
        <f>IF(A707="", "", SUMIF(BASE!$A$4:$A$10003, A707, BASE!$C$4:$C$10003))</f>
        <v/>
      </c>
      <c r="D707" t="str">
        <f>IF(A707="", "", INDEX(BASE!$D$4:$D$10003, MATCH(A707, BASE!$A$4:$A$10003, 0)))</f>
        <v/>
      </c>
      <c r="E707" t="str">
        <f>IF(A707="", "", INDEX(BASE!$E$4:$E$10003, MATCH(A707, BASE!$A$4:$A$10003, 0)))</f>
        <v/>
      </c>
    </row>
    <row r="708" spans="1:5">
      <c r="A708" t="str">
        <f>IFERROR(INDEX(BASE!$A$4:$A$10003, MATCH(0, COUNTIF($A$1:A707, BASE!$A$4:$A$10003&amp;""), 0)), "")</f>
        <v/>
      </c>
      <c r="B708" t="str">
        <f>IF(A708="", "", VLOOKUP(A708, BASE!$A$4:$B$10003, 2, FALSE))</f>
        <v/>
      </c>
      <c r="C708" t="str">
        <f>IF(A708="", "", SUMIF(BASE!$A$4:$A$10003, A708, BASE!$C$4:$C$10003))</f>
        <v/>
      </c>
      <c r="D708" t="str">
        <f>IF(A708="", "", INDEX(BASE!$D$4:$D$10003, MATCH(A708, BASE!$A$4:$A$10003, 0)))</f>
        <v/>
      </c>
      <c r="E708" t="str">
        <f>IF(A708="", "", INDEX(BASE!$E$4:$E$10003, MATCH(A708, BASE!$A$4:$A$10003, 0)))</f>
        <v/>
      </c>
    </row>
    <row r="709" spans="1:5">
      <c r="A709" t="str">
        <f>IFERROR(INDEX(BASE!$A$4:$A$10003, MATCH(0, COUNTIF($A$1:A708, BASE!$A$4:$A$10003&amp;""), 0)), "")</f>
        <v/>
      </c>
      <c r="B709" t="str">
        <f>IF(A709="", "", VLOOKUP(A709, BASE!$A$4:$B$10003, 2, FALSE))</f>
        <v/>
      </c>
      <c r="C709" t="str">
        <f>IF(A709="", "", SUMIF(BASE!$A$4:$A$10003, A709, BASE!$C$4:$C$10003))</f>
        <v/>
      </c>
      <c r="D709" t="str">
        <f>IF(A709="", "", INDEX(BASE!$D$4:$D$10003, MATCH(A709, BASE!$A$4:$A$10003, 0)))</f>
        <v/>
      </c>
      <c r="E709" t="str">
        <f>IF(A709="", "", INDEX(BASE!$E$4:$E$10003, MATCH(A709, BASE!$A$4:$A$10003, 0)))</f>
        <v/>
      </c>
    </row>
    <row r="710" spans="1:5">
      <c r="A710" t="str">
        <f>IFERROR(INDEX(BASE!$A$4:$A$10003, MATCH(0, COUNTIF($A$1:A709, BASE!$A$4:$A$10003&amp;""), 0)), "")</f>
        <v/>
      </c>
      <c r="B710" t="str">
        <f>IF(A710="", "", VLOOKUP(A710, BASE!$A$4:$B$10003, 2, FALSE))</f>
        <v/>
      </c>
      <c r="C710" t="str">
        <f>IF(A710="", "", SUMIF(BASE!$A$4:$A$10003, A710, BASE!$C$4:$C$10003))</f>
        <v/>
      </c>
      <c r="D710" t="str">
        <f>IF(A710="", "", INDEX(BASE!$D$4:$D$10003, MATCH(A710, BASE!$A$4:$A$10003, 0)))</f>
        <v/>
      </c>
      <c r="E710" t="str">
        <f>IF(A710="", "", INDEX(BASE!$E$4:$E$10003, MATCH(A710, BASE!$A$4:$A$10003, 0)))</f>
        <v/>
      </c>
    </row>
    <row r="711" spans="1:5">
      <c r="A711" t="str">
        <f>IFERROR(INDEX(BASE!$A$4:$A$10003, MATCH(0, COUNTIF($A$1:A710, BASE!$A$4:$A$10003&amp;""), 0)), "")</f>
        <v/>
      </c>
      <c r="B711" t="str">
        <f>IF(A711="", "", VLOOKUP(A711, BASE!$A$4:$B$10003, 2, FALSE))</f>
        <v/>
      </c>
      <c r="C711" t="str">
        <f>IF(A711="", "", SUMIF(BASE!$A$4:$A$10003, A711, BASE!$C$4:$C$10003))</f>
        <v/>
      </c>
      <c r="D711" t="str">
        <f>IF(A711="", "", INDEX(BASE!$D$4:$D$10003, MATCH(A711, BASE!$A$4:$A$10003, 0)))</f>
        <v/>
      </c>
      <c r="E711" t="str">
        <f>IF(A711="", "", INDEX(BASE!$E$4:$E$10003, MATCH(A711, BASE!$A$4:$A$10003, 0)))</f>
        <v/>
      </c>
    </row>
    <row r="712" spans="1:5">
      <c r="A712" t="str">
        <f>IFERROR(INDEX(BASE!$A$4:$A$10003, MATCH(0, COUNTIF($A$1:A711, BASE!$A$4:$A$10003&amp;""), 0)), "")</f>
        <v/>
      </c>
      <c r="B712" t="str">
        <f>IF(A712="", "", VLOOKUP(A712, BASE!$A$4:$B$10003, 2, FALSE))</f>
        <v/>
      </c>
      <c r="C712" t="str">
        <f>IF(A712="", "", SUMIF(BASE!$A$4:$A$10003, A712, BASE!$C$4:$C$10003))</f>
        <v/>
      </c>
      <c r="D712" t="str">
        <f>IF(A712="", "", INDEX(BASE!$D$4:$D$10003, MATCH(A712, BASE!$A$4:$A$10003, 0)))</f>
        <v/>
      </c>
      <c r="E712" t="str">
        <f>IF(A712="", "", INDEX(BASE!$E$4:$E$10003, MATCH(A712, BASE!$A$4:$A$10003, 0)))</f>
        <v/>
      </c>
    </row>
    <row r="713" spans="1:5">
      <c r="A713" t="str">
        <f>IFERROR(INDEX(BASE!$A$4:$A$10003, MATCH(0, COUNTIF($A$1:A712, BASE!$A$4:$A$10003&amp;""), 0)), "")</f>
        <v/>
      </c>
      <c r="B713" t="str">
        <f>IF(A713="", "", VLOOKUP(A713, BASE!$A$4:$B$10003, 2, FALSE))</f>
        <v/>
      </c>
      <c r="C713" t="str">
        <f>IF(A713="", "", SUMIF(BASE!$A$4:$A$10003, A713, BASE!$C$4:$C$10003))</f>
        <v/>
      </c>
      <c r="D713" t="str">
        <f>IF(A713="", "", INDEX(BASE!$D$4:$D$10003, MATCH(A713, BASE!$A$4:$A$10003, 0)))</f>
        <v/>
      </c>
      <c r="E713" t="str">
        <f>IF(A713="", "", INDEX(BASE!$E$4:$E$10003, MATCH(A713, BASE!$A$4:$A$10003, 0)))</f>
        <v/>
      </c>
    </row>
    <row r="714" spans="1:5">
      <c r="A714" t="str">
        <f>IFERROR(INDEX(BASE!$A$4:$A$10003, MATCH(0, COUNTIF($A$1:A713, BASE!$A$4:$A$10003&amp;""), 0)), "")</f>
        <v/>
      </c>
      <c r="B714" t="str">
        <f>IF(A714="", "", VLOOKUP(A714, BASE!$A$4:$B$10003, 2, FALSE))</f>
        <v/>
      </c>
      <c r="C714" t="str">
        <f>IF(A714="", "", SUMIF(BASE!$A$4:$A$10003, A714, BASE!$C$4:$C$10003))</f>
        <v/>
      </c>
      <c r="D714" t="str">
        <f>IF(A714="", "", INDEX(BASE!$D$4:$D$10003, MATCH(A714, BASE!$A$4:$A$10003, 0)))</f>
        <v/>
      </c>
      <c r="E714" t="str">
        <f>IF(A714="", "", INDEX(BASE!$E$4:$E$10003, MATCH(A714, BASE!$A$4:$A$10003, 0)))</f>
        <v/>
      </c>
    </row>
    <row r="715" spans="1:5">
      <c r="A715" t="str">
        <f>IFERROR(INDEX(BASE!$A$4:$A$10003, MATCH(0, COUNTIF($A$1:A714, BASE!$A$4:$A$10003&amp;""), 0)), "")</f>
        <v/>
      </c>
      <c r="B715" t="str">
        <f>IF(A715="", "", VLOOKUP(A715, BASE!$A$4:$B$10003, 2, FALSE))</f>
        <v/>
      </c>
      <c r="C715" t="str">
        <f>IF(A715="", "", SUMIF(BASE!$A$4:$A$10003, A715, BASE!$C$4:$C$10003))</f>
        <v/>
      </c>
      <c r="D715" t="str">
        <f>IF(A715="", "", INDEX(BASE!$D$4:$D$10003, MATCH(A715, BASE!$A$4:$A$10003, 0)))</f>
        <v/>
      </c>
      <c r="E715" t="str">
        <f>IF(A715="", "", INDEX(BASE!$E$4:$E$10003, MATCH(A715, BASE!$A$4:$A$10003, 0)))</f>
        <v/>
      </c>
    </row>
    <row r="716" spans="1:5">
      <c r="A716" t="str">
        <f>IFERROR(INDEX(BASE!$A$4:$A$10003, MATCH(0, COUNTIF($A$1:A715, BASE!$A$4:$A$10003&amp;""), 0)), "")</f>
        <v/>
      </c>
      <c r="B716" t="str">
        <f>IF(A716="", "", VLOOKUP(A716, BASE!$A$4:$B$10003, 2, FALSE))</f>
        <v/>
      </c>
      <c r="C716" t="str">
        <f>IF(A716="", "", SUMIF(BASE!$A$4:$A$10003, A716, BASE!$C$4:$C$10003))</f>
        <v/>
      </c>
      <c r="D716" t="str">
        <f>IF(A716="", "", INDEX(BASE!$D$4:$D$10003, MATCH(A716, BASE!$A$4:$A$10003, 0)))</f>
        <v/>
      </c>
      <c r="E716" t="str">
        <f>IF(A716="", "", INDEX(BASE!$E$4:$E$10003, MATCH(A716, BASE!$A$4:$A$10003, 0)))</f>
        <v/>
      </c>
    </row>
    <row r="717" spans="1:5">
      <c r="A717" t="str">
        <f>IFERROR(INDEX(BASE!$A$4:$A$10003, MATCH(0, COUNTIF($A$1:A716, BASE!$A$4:$A$10003&amp;""), 0)), "")</f>
        <v/>
      </c>
      <c r="B717" t="str">
        <f>IF(A717="", "", VLOOKUP(A717, BASE!$A$4:$B$10003, 2, FALSE))</f>
        <v/>
      </c>
      <c r="C717" t="str">
        <f>IF(A717="", "", SUMIF(BASE!$A$4:$A$10003, A717, BASE!$C$4:$C$10003))</f>
        <v/>
      </c>
      <c r="D717" t="str">
        <f>IF(A717="", "", INDEX(BASE!$D$4:$D$10003, MATCH(A717, BASE!$A$4:$A$10003, 0)))</f>
        <v/>
      </c>
      <c r="E717" t="str">
        <f>IF(A717="", "", INDEX(BASE!$E$4:$E$10003, MATCH(A717, BASE!$A$4:$A$10003, 0)))</f>
        <v/>
      </c>
    </row>
    <row r="718" spans="1:5">
      <c r="A718" t="str">
        <f>IFERROR(INDEX(BASE!$A$4:$A$10003, MATCH(0, COUNTIF($A$1:A717, BASE!$A$4:$A$10003&amp;""), 0)), "")</f>
        <v/>
      </c>
      <c r="B718" t="str">
        <f>IF(A718="", "", VLOOKUP(A718, BASE!$A$4:$B$10003, 2, FALSE))</f>
        <v/>
      </c>
      <c r="C718" t="str">
        <f>IF(A718="", "", SUMIF(BASE!$A$4:$A$10003, A718, BASE!$C$4:$C$10003))</f>
        <v/>
      </c>
      <c r="D718" t="str">
        <f>IF(A718="", "", INDEX(BASE!$D$4:$D$10003, MATCH(A718, BASE!$A$4:$A$10003, 0)))</f>
        <v/>
      </c>
      <c r="E718" t="str">
        <f>IF(A718="", "", INDEX(BASE!$E$4:$E$10003, MATCH(A718, BASE!$A$4:$A$10003, 0)))</f>
        <v/>
      </c>
    </row>
    <row r="719" spans="1:5">
      <c r="A719" t="str">
        <f>IFERROR(INDEX(BASE!$A$4:$A$10003, MATCH(0, COUNTIF($A$1:A718, BASE!$A$4:$A$10003&amp;""), 0)), "")</f>
        <v/>
      </c>
      <c r="B719" t="str">
        <f>IF(A719="", "", VLOOKUP(A719, BASE!$A$4:$B$10003, 2, FALSE))</f>
        <v/>
      </c>
      <c r="C719" t="str">
        <f>IF(A719="", "", SUMIF(BASE!$A$4:$A$10003, A719, BASE!$C$4:$C$10003))</f>
        <v/>
      </c>
      <c r="D719" t="str">
        <f>IF(A719="", "", INDEX(BASE!$D$4:$D$10003, MATCH(A719, BASE!$A$4:$A$10003, 0)))</f>
        <v/>
      </c>
      <c r="E719" t="str">
        <f>IF(A719="", "", INDEX(BASE!$E$4:$E$10003, MATCH(A719, BASE!$A$4:$A$10003, 0)))</f>
        <v/>
      </c>
    </row>
    <row r="720" spans="1:5">
      <c r="A720" t="str">
        <f>IFERROR(INDEX(BASE!$A$4:$A$10003, MATCH(0, COUNTIF($A$1:A719, BASE!$A$4:$A$10003&amp;""), 0)), "")</f>
        <v/>
      </c>
      <c r="B720" t="str">
        <f>IF(A720="", "", VLOOKUP(A720, BASE!$A$4:$B$10003, 2, FALSE))</f>
        <v/>
      </c>
      <c r="C720" t="str">
        <f>IF(A720="", "", SUMIF(BASE!$A$4:$A$10003, A720, BASE!$C$4:$C$10003))</f>
        <v/>
      </c>
      <c r="D720" t="str">
        <f>IF(A720="", "", INDEX(BASE!$D$4:$D$10003, MATCH(A720, BASE!$A$4:$A$10003, 0)))</f>
        <v/>
      </c>
      <c r="E720" t="str">
        <f>IF(A720="", "", INDEX(BASE!$E$4:$E$10003, MATCH(A720, BASE!$A$4:$A$10003, 0)))</f>
        <v/>
      </c>
    </row>
    <row r="721" spans="1:5">
      <c r="A721" t="str">
        <f>IFERROR(INDEX(BASE!$A$4:$A$10003, MATCH(0, COUNTIF($A$1:A720, BASE!$A$4:$A$10003&amp;""), 0)), "")</f>
        <v/>
      </c>
      <c r="B721" t="str">
        <f>IF(A721="", "", VLOOKUP(A721, BASE!$A$4:$B$10003, 2, FALSE))</f>
        <v/>
      </c>
      <c r="C721" t="str">
        <f>IF(A721="", "", SUMIF(BASE!$A$4:$A$10003, A721, BASE!$C$4:$C$10003))</f>
        <v/>
      </c>
      <c r="D721" t="str">
        <f>IF(A721="", "", INDEX(BASE!$D$4:$D$10003, MATCH(A721, BASE!$A$4:$A$10003, 0)))</f>
        <v/>
      </c>
      <c r="E721" t="str">
        <f>IF(A721="", "", INDEX(BASE!$E$4:$E$10003, MATCH(A721, BASE!$A$4:$A$10003, 0)))</f>
        <v/>
      </c>
    </row>
    <row r="722" spans="1:5">
      <c r="A722" t="str">
        <f>IFERROR(INDEX(BASE!$A$4:$A$10003, MATCH(0, COUNTIF($A$1:A721, BASE!$A$4:$A$10003&amp;""), 0)), "")</f>
        <v/>
      </c>
      <c r="B722" t="str">
        <f>IF(A722="", "", VLOOKUP(A722, BASE!$A$4:$B$10003, 2, FALSE))</f>
        <v/>
      </c>
      <c r="C722" t="str">
        <f>IF(A722="", "", SUMIF(BASE!$A$4:$A$10003, A722, BASE!$C$4:$C$10003))</f>
        <v/>
      </c>
      <c r="D722" t="str">
        <f>IF(A722="", "", INDEX(BASE!$D$4:$D$10003, MATCH(A722, BASE!$A$4:$A$10003, 0)))</f>
        <v/>
      </c>
      <c r="E722" t="str">
        <f>IF(A722="", "", INDEX(BASE!$E$4:$E$10003, MATCH(A722, BASE!$A$4:$A$10003, 0)))</f>
        <v/>
      </c>
    </row>
    <row r="723" spans="1:5">
      <c r="A723" t="str">
        <f>IFERROR(INDEX(BASE!$A$4:$A$10003, MATCH(0, COUNTIF($A$1:A722, BASE!$A$4:$A$10003&amp;""), 0)), "")</f>
        <v/>
      </c>
      <c r="B723" t="str">
        <f>IF(A723="", "", VLOOKUP(A723, BASE!$A$4:$B$10003, 2, FALSE))</f>
        <v/>
      </c>
      <c r="C723" t="str">
        <f>IF(A723="", "", SUMIF(BASE!$A$4:$A$10003, A723, BASE!$C$4:$C$10003))</f>
        <v/>
      </c>
      <c r="D723" t="str">
        <f>IF(A723="", "", INDEX(BASE!$D$4:$D$10003, MATCH(A723, BASE!$A$4:$A$10003, 0)))</f>
        <v/>
      </c>
      <c r="E723" t="str">
        <f>IF(A723="", "", INDEX(BASE!$E$4:$E$10003, MATCH(A723, BASE!$A$4:$A$10003, 0)))</f>
        <v/>
      </c>
    </row>
    <row r="724" spans="1:5">
      <c r="A724" t="str">
        <f>IFERROR(INDEX(BASE!$A$4:$A$10003, MATCH(0, COUNTIF($A$1:A723, BASE!$A$4:$A$10003&amp;""), 0)), "")</f>
        <v/>
      </c>
      <c r="B724" t="str">
        <f>IF(A724="", "", VLOOKUP(A724, BASE!$A$4:$B$10003, 2, FALSE))</f>
        <v/>
      </c>
      <c r="C724" t="str">
        <f>IF(A724="", "", SUMIF(BASE!$A$4:$A$10003, A724, BASE!$C$4:$C$10003))</f>
        <v/>
      </c>
      <c r="D724" t="str">
        <f>IF(A724="", "", INDEX(BASE!$D$4:$D$10003, MATCH(A724, BASE!$A$4:$A$10003, 0)))</f>
        <v/>
      </c>
      <c r="E724" t="str">
        <f>IF(A724="", "", INDEX(BASE!$E$4:$E$10003, MATCH(A724, BASE!$A$4:$A$10003, 0)))</f>
        <v/>
      </c>
    </row>
    <row r="725" spans="1:5">
      <c r="A725" t="str">
        <f>IFERROR(INDEX(BASE!$A$4:$A$10003, MATCH(0, COUNTIF($A$1:A724, BASE!$A$4:$A$10003&amp;""), 0)), "")</f>
        <v/>
      </c>
      <c r="B725" t="str">
        <f>IF(A725="", "", VLOOKUP(A725, BASE!$A$4:$B$10003, 2, FALSE))</f>
        <v/>
      </c>
      <c r="C725" t="str">
        <f>IF(A725="", "", SUMIF(BASE!$A$4:$A$10003, A725, BASE!$C$4:$C$10003))</f>
        <v/>
      </c>
      <c r="D725" t="str">
        <f>IF(A725="", "", INDEX(BASE!$D$4:$D$10003, MATCH(A725, BASE!$A$4:$A$10003, 0)))</f>
        <v/>
      </c>
      <c r="E725" t="str">
        <f>IF(A725="", "", INDEX(BASE!$E$4:$E$10003, MATCH(A725, BASE!$A$4:$A$10003, 0)))</f>
        <v/>
      </c>
    </row>
    <row r="726" spans="1:5">
      <c r="A726" t="str">
        <f>IFERROR(INDEX(BASE!$A$4:$A$10003, MATCH(0, COUNTIF($A$1:A725, BASE!$A$4:$A$10003&amp;""), 0)), "")</f>
        <v/>
      </c>
      <c r="B726" t="str">
        <f>IF(A726="", "", VLOOKUP(A726, BASE!$A$4:$B$10003, 2, FALSE))</f>
        <v/>
      </c>
      <c r="C726" t="str">
        <f>IF(A726="", "", SUMIF(BASE!$A$4:$A$10003, A726, BASE!$C$4:$C$10003))</f>
        <v/>
      </c>
      <c r="D726" t="str">
        <f>IF(A726="", "", INDEX(BASE!$D$4:$D$10003, MATCH(A726, BASE!$A$4:$A$10003, 0)))</f>
        <v/>
      </c>
      <c r="E726" t="str">
        <f>IF(A726="", "", INDEX(BASE!$E$4:$E$10003, MATCH(A726, BASE!$A$4:$A$10003, 0)))</f>
        <v/>
      </c>
    </row>
    <row r="727" spans="1:5">
      <c r="A727" t="str">
        <f>IFERROR(INDEX(BASE!$A$4:$A$10003, MATCH(0, COUNTIF($A$1:A726, BASE!$A$4:$A$10003&amp;""), 0)), "")</f>
        <v/>
      </c>
      <c r="B727" t="str">
        <f>IF(A727="", "", VLOOKUP(A727, BASE!$A$4:$B$10003, 2, FALSE))</f>
        <v/>
      </c>
      <c r="C727" t="str">
        <f>IF(A727="", "", SUMIF(BASE!$A$4:$A$10003, A727, BASE!$C$4:$C$10003))</f>
        <v/>
      </c>
      <c r="D727" t="str">
        <f>IF(A727="", "", INDEX(BASE!$D$4:$D$10003, MATCH(A727, BASE!$A$4:$A$10003, 0)))</f>
        <v/>
      </c>
      <c r="E727" t="str">
        <f>IF(A727="", "", INDEX(BASE!$E$4:$E$10003, MATCH(A727, BASE!$A$4:$A$10003, 0)))</f>
        <v/>
      </c>
    </row>
    <row r="728" spans="1:5">
      <c r="A728" t="str">
        <f>IFERROR(INDEX(BASE!$A$4:$A$10003, MATCH(0, COUNTIF($A$1:A727, BASE!$A$4:$A$10003&amp;""), 0)), "")</f>
        <v/>
      </c>
      <c r="B728" t="str">
        <f>IF(A728="", "", VLOOKUP(A728, BASE!$A$4:$B$10003, 2, FALSE))</f>
        <v/>
      </c>
      <c r="C728" t="str">
        <f>IF(A728="", "", SUMIF(BASE!$A$4:$A$10003, A728, BASE!$C$4:$C$10003))</f>
        <v/>
      </c>
      <c r="D728" t="str">
        <f>IF(A728="", "", INDEX(BASE!$D$4:$D$10003, MATCH(A728, BASE!$A$4:$A$10003, 0)))</f>
        <v/>
      </c>
      <c r="E728" t="str">
        <f>IF(A728="", "", INDEX(BASE!$E$4:$E$10003, MATCH(A728, BASE!$A$4:$A$10003, 0)))</f>
        <v/>
      </c>
    </row>
    <row r="729" spans="1:5">
      <c r="A729" t="str">
        <f>IFERROR(INDEX(BASE!$A$4:$A$10003, MATCH(0, COUNTIF($A$1:A728, BASE!$A$4:$A$10003&amp;""), 0)), "")</f>
        <v/>
      </c>
      <c r="B729" t="str">
        <f>IF(A729="", "", VLOOKUP(A729, BASE!$A$4:$B$10003, 2, FALSE))</f>
        <v/>
      </c>
      <c r="C729" t="str">
        <f>IF(A729="", "", SUMIF(BASE!$A$4:$A$10003, A729, BASE!$C$4:$C$10003))</f>
        <v/>
      </c>
      <c r="D729" t="str">
        <f>IF(A729="", "", INDEX(BASE!$D$4:$D$10003, MATCH(A729, BASE!$A$4:$A$10003, 0)))</f>
        <v/>
      </c>
      <c r="E729" t="str">
        <f>IF(A729="", "", INDEX(BASE!$E$4:$E$10003, MATCH(A729, BASE!$A$4:$A$10003, 0)))</f>
        <v/>
      </c>
    </row>
    <row r="730" spans="1:5">
      <c r="A730" t="str">
        <f>IFERROR(INDEX(BASE!$A$4:$A$10003, MATCH(0, COUNTIF($A$1:A729, BASE!$A$4:$A$10003&amp;""), 0)), "")</f>
        <v/>
      </c>
      <c r="B730" t="str">
        <f>IF(A730="", "", VLOOKUP(A730, BASE!$A$4:$B$10003, 2, FALSE))</f>
        <v/>
      </c>
      <c r="C730" t="str">
        <f>IF(A730="", "", SUMIF(BASE!$A$4:$A$10003, A730, BASE!$C$4:$C$10003))</f>
        <v/>
      </c>
      <c r="D730" t="str">
        <f>IF(A730="", "", INDEX(BASE!$D$4:$D$10003, MATCH(A730, BASE!$A$4:$A$10003, 0)))</f>
        <v/>
      </c>
      <c r="E730" t="str">
        <f>IF(A730="", "", INDEX(BASE!$E$4:$E$10003, MATCH(A730, BASE!$A$4:$A$10003, 0)))</f>
        <v/>
      </c>
    </row>
    <row r="731" spans="1:5">
      <c r="A731" t="str">
        <f>IFERROR(INDEX(BASE!$A$4:$A$10003, MATCH(0, COUNTIF($A$1:A730, BASE!$A$4:$A$10003&amp;""), 0)), "")</f>
        <v/>
      </c>
      <c r="B731" t="str">
        <f>IF(A731="", "", VLOOKUP(A731, BASE!$A$4:$B$10003, 2, FALSE))</f>
        <v/>
      </c>
      <c r="C731" t="str">
        <f>IF(A731="", "", SUMIF(BASE!$A$4:$A$10003, A731, BASE!$C$4:$C$10003))</f>
        <v/>
      </c>
      <c r="D731" t="str">
        <f>IF(A731="", "", INDEX(BASE!$D$4:$D$10003, MATCH(A731, BASE!$A$4:$A$10003, 0)))</f>
        <v/>
      </c>
      <c r="E731" t="str">
        <f>IF(A731="", "", INDEX(BASE!$E$4:$E$10003, MATCH(A731, BASE!$A$4:$A$10003, 0)))</f>
        <v/>
      </c>
    </row>
    <row r="732" spans="1:5">
      <c r="A732" t="str">
        <f>IFERROR(INDEX(BASE!$A$4:$A$10003, MATCH(0, COUNTIF($A$1:A731, BASE!$A$4:$A$10003&amp;""), 0)), "")</f>
        <v/>
      </c>
      <c r="B732" t="str">
        <f>IF(A732="", "", VLOOKUP(A732, BASE!$A$4:$B$10003, 2, FALSE))</f>
        <v/>
      </c>
      <c r="C732" t="str">
        <f>IF(A732="", "", SUMIF(BASE!$A$4:$A$10003, A732, BASE!$C$4:$C$10003))</f>
        <v/>
      </c>
      <c r="D732" t="str">
        <f>IF(A732="", "", INDEX(BASE!$D$4:$D$10003, MATCH(A732, BASE!$A$4:$A$10003, 0)))</f>
        <v/>
      </c>
      <c r="E732" t="str">
        <f>IF(A732="", "", INDEX(BASE!$E$4:$E$10003, MATCH(A732, BASE!$A$4:$A$10003, 0)))</f>
        <v/>
      </c>
    </row>
    <row r="733" spans="1:5">
      <c r="A733" t="str">
        <f>IFERROR(INDEX(BASE!$A$4:$A$10003, MATCH(0, COUNTIF($A$1:A732, BASE!$A$4:$A$10003&amp;""), 0)), "")</f>
        <v/>
      </c>
      <c r="B733" t="str">
        <f>IF(A733="", "", VLOOKUP(A733, BASE!$A$4:$B$10003, 2, FALSE))</f>
        <v/>
      </c>
      <c r="C733" t="str">
        <f>IF(A733="", "", SUMIF(BASE!$A$4:$A$10003, A733, BASE!$C$4:$C$10003))</f>
        <v/>
      </c>
      <c r="D733" t="str">
        <f>IF(A733="", "", INDEX(BASE!$D$4:$D$10003, MATCH(A733, BASE!$A$4:$A$10003, 0)))</f>
        <v/>
      </c>
      <c r="E733" t="str">
        <f>IF(A733="", "", INDEX(BASE!$E$4:$E$10003, MATCH(A733, BASE!$A$4:$A$10003, 0)))</f>
        <v/>
      </c>
    </row>
    <row r="734" spans="1:5">
      <c r="A734" t="str">
        <f>IFERROR(INDEX(BASE!$A$4:$A$10003, MATCH(0, COUNTIF($A$1:A733, BASE!$A$4:$A$10003&amp;""), 0)), "")</f>
        <v/>
      </c>
      <c r="B734" t="str">
        <f>IF(A734="", "", VLOOKUP(A734, BASE!$A$4:$B$10003, 2, FALSE))</f>
        <v/>
      </c>
      <c r="C734" t="str">
        <f>IF(A734="", "", SUMIF(BASE!$A$4:$A$10003, A734, BASE!$C$4:$C$10003))</f>
        <v/>
      </c>
      <c r="D734" t="str">
        <f>IF(A734="", "", INDEX(BASE!$D$4:$D$10003, MATCH(A734, BASE!$A$4:$A$10003, 0)))</f>
        <v/>
      </c>
      <c r="E734" t="str">
        <f>IF(A734="", "", INDEX(BASE!$E$4:$E$10003, MATCH(A734, BASE!$A$4:$A$10003, 0)))</f>
        <v/>
      </c>
    </row>
    <row r="735" spans="1:5">
      <c r="A735" t="str">
        <f>IFERROR(INDEX(BASE!$A$4:$A$10003, MATCH(0, COUNTIF($A$1:A734, BASE!$A$4:$A$10003&amp;""), 0)), "")</f>
        <v/>
      </c>
      <c r="B735" t="str">
        <f>IF(A735="", "", VLOOKUP(A735, BASE!$A$4:$B$10003, 2, FALSE))</f>
        <v/>
      </c>
      <c r="C735" t="str">
        <f>IF(A735="", "", SUMIF(BASE!$A$4:$A$10003, A735, BASE!$C$4:$C$10003))</f>
        <v/>
      </c>
      <c r="D735" t="str">
        <f>IF(A735="", "", INDEX(BASE!$D$4:$D$10003, MATCH(A735, BASE!$A$4:$A$10003, 0)))</f>
        <v/>
      </c>
      <c r="E735" t="str">
        <f>IF(A735="", "", INDEX(BASE!$E$4:$E$10003, MATCH(A735, BASE!$A$4:$A$10003, 0)))</f>
        <v/>
      </c>
    </row>
    <row r="736" spans="1:5">
      <c r="A736" t="str">
        <f>IFERROR(INDEX(BASE!$A$4:$A$10003, MATCH(0, COUNTIF($A$1:A735, BASE!$A$4:$A$10003&amp;""), 0)), "")</f>
        <v/>
      </c>
      <c r="B736" t="str">
        <f>IF(A736="", "", VLOOKUP(A736, BASE!$A$4:$B$10003, 2, FALSE))</f>
        <v/>
      </c>
      <c r="C736" t="str">
        <f>IF(A736="", "", SUMIF(BASE!$A$4:$A$10003, A736, BASE!$C$4:$C$10003))</f>
        <v/>
      </c>
      <c r="D736" t="str">
        <f>IF(A736="", "", INDEX(BASE!$D$4:$D$10003, MATCH(A736, BASE!$A$4:$A$10003, 0)))</f>
        <v/>
      </c>
      <c r="E736" t="str">
        <f>IF(A736="", "", INDEX(BASE!$E$4:$E$10003, MATCH(A736, BASE!$A$4:$A$10003, 0)))</f>
        <v/>
      </c>
    </row>
    <row r="737" spans="1:5">
      <c r="A737" t="str">
        <f>IFERROR(INDEX(BASE!$A$4:$A$10003, MATCH(0, COUNTIF($A$1:A736, BASE!$A$4:$A$10003&amp;""), 0)), "")</f>
        <v/>
      </c>
      <c r="B737" t="str">
        <f>IF(A737="", "", VLOOKUP(A737, BASE!$A$4:$B$10003, 2, FALSE))</f>
        <v/>
      </c>
      <c r="C737" t="str">
        <f>IF(A737="", "", SUMIF(BASE!$A$4:$A$10003, A737, BASE!$C$4:$C$10003))</f>
        <v/>
      </c>
      <c r="D737" t="str">
        <f>IF(A737="", "", INDEX(BASE!$D$4:$D$10003, MATCH(A737, BASE!$A$4:$A$10003, 0)))</f>
        <v/>
      </c>
      <c r="E737" t="str">
        <f>IF(A737="", "", INDEX(BASE!$E$4:$E$10003, MATCH(A737, BASE!$A$4:$A$10003, 0)))</f>
        <v/>
      </c>
    </row>
    <row r="738" spans="1:5">
      <c r="A738" t="str">
        <f>IFERROR(INDEX(BASE!$A$4:$A$10003, MATCH(0, COUNTIF($A$1:A737, BASE!$A$4:$A$10003&amp;""), 0)), "")</f>
        <v/>
      </c>
      <c r="B738" t="str">
        <f>IF(A738="", "", VLOOKUP(A738, BASE!$A$4:$B$10003, 2, FALSE))</f>
        <v/>
      </c>
      <c r="C738" t="str">
        <f>IF(A738="", "", SUMIF(BASE!$A$4:$A$10003, A738, BASE!$C$4:$C$10003))</f>
        <v/>
      </c>
      <c r="D738" t="str">
        <f>IF(A738="", "", INDEX(BASE!$D$4:$D$10003, MATCH(A738, BASE!$A$4:$A$10003, 0)))</f>
        <v/>
      </c>
      <c r="E738" t="str">
        <f>IF(A738="", "", INDEX(BASE!$E$4:$E$10003, MATCH(A738, BASE!$A$4:$A$10003, 0)))</f>
        <v/>
      </c>
    </row>
    <row r="739" spans="1:5">
      <c r="A739" t="str">
        <f>IFERROR(INDEX(BASE!$A$4:$A$10003, MATCH(0, COUNTIF($A$1:A738, BASE!$A$4:$A$10003&amp;""), 0)), "")</f>
        <v/>
      </c>
      <c r="B739" t="str">
        <f>IF(A739="", "", VLOOKUP(A739, BASE!$A$4:$B$10003, 2, FALSE))</f>
        <v/>
      </c>
      <c r="C739" t="str">
        <f>IF(A739="", "", SUMIF(BASE!$A$4:$A$10003, A739, BASE!$C$4:$C$10003))</f>
        <v/>
      </c>
      <c r="D739" t="str">
        <f>IF(A739="", "", INDEX(BASE!$D$4:$D$10003, MATCH(A739, BASE!$A$4:$A$10003, 0)))</f>
        <v/>
      </c>
      <c r="E739" t="str">
        <f>IF(A739="", "", INDEX(BASE!$E$4:$E$10003, MATCH(A739, BASE!$A$4:$A$10003, 0)))</f>
        <v/>
      </c>
    </row>
    <row r="740" spans="1:5">
      <c r="A740" t="str">
        <f>IFERROR(INDEX(BASE!$A$4:$A$10003, MATCH(0, COUNTIF($A$1:A739, BASE!$A$4:$A$10003&amp;""), 0)), "")</f>
        <v/>
      </c>
      <c r="B740" t="str">
        <f>IF(A740="", "", VLOOKUP(A740, BASE!$A$4:$B$10003, 2, FALSE))</f>
        <v/>
      </c>
      <c r="C740" t="str">
        <f>IF(A740="", "", SUMIF(BASE!$A$4:$A$10003, A740, BASE!$C$4:$C$10003))</f>
        <v/>
      </c>
      <c r="D740" t="str">
        <f>IF(A740="", "", INDEX(BASE!$D$4:$D$10003, MATCH(A740, BASE!$A$4:$A$10003, 0)))</f>
        <v/>
      </c>
      <c r="E740" t="str">
        <f>IF(A740="", "", INDEX(BASE!$E$4:$E$10003, MATCH(A740, BASE!$A$4:$A$10003, 0)))</f>
        <v/>
      </c>
    </row>
    <row r="741" spans="1:5">
      <c r="A741" t="str">
        <f>IFERROR(INDEX(BASE!$A$4:$A$10003, MATCH(0, COUNTIF($A$1:A740, BASE!$A$4:$A$10003&amp;""), 0)), "")</f>
        <v/>
      </c>
      <c r="B741" t="str">
        <f>IF(A741="", "", VLOOKUP(A741, BASE!$A$4:$B$10003, 2, FALSE))</f>
        <v/>
      </c>
      <c r="C741" t="str">
        <f>IF(A741="", "", SUMIF(BASE!$A$4:$A$10003, A741, BASE!$C$4:$C$10003))</f>
        <v/>
      </c>
      <c r="D741" t="str">
        <f>IF(A741="", "", INDEX(BASE!$D$4:$D$10003, MATCH(A741, BASE!$A$4:$A$10003, 0)))</f>
        <v/>
      </c>
      <c r="E741" t="str">
        <f>IF(A741="", "", INDEX(BASE!$E$4:$E$10003, MATCH(A741, BASE!$A$4:$A$10003, 0)))</f>
        <v/>
      </c>
    </row>
    <row r="742" spans="1:5">
      <c r="A742" t="str">
        <f>IFERROR(INDEX(BASE!$A$4:$A$10003, MATCH(0, COUNTIF($A$1:A741, BASE!$A$4:$A$10003&amp;""), 0)), "")</f>
        <v/>
      </c>
      <c r="B742" t="str">
        <f>IF(A742="", "", VLOOKUP(A742, BASE!$A$4:$B$10003, 2, FALSE))</f>
        <v/>
      </c>
      <c r="C742" t="str">
        <f>IF(A742="", "", SUMIF(BASE!$A$4:$A$10003, A742, BASE!$C$4:$C$10003))</f>
        <v/>
      </c>
      <c r="D742" t="str">
        <f>IF(A742="", "", INDEX(BASE!$D$4:$D$10003, MATCH(A742, BASE!$A$4:$A$10003, 0)))</f>
        <v/>
      </c>
      <c r="E742" t="str">
        <f>IF(A742="", "", INDEX(BASE!$E$4:$E$10003, MATCH(A742, BASE!$A$4:$A$10003, 0)))</f>
        <v/>
      </c>
    </row>
    <row r="743" spans="1:5">
      <c r="A743" t="str">
        <f>IFERROR(INDEX(BASE!$A$4:$A$10003, MATCH(0, COUNTIF($A$1:A742, BASE!$A$4:$A$10003&amp;""), 0)), "")</f>
        <v/>
      </c>
      <c r="B743" t="str">
        <f>IF(A743="", "", VLOOKUP(A743, BASE!$A$4:$B$10003, 2, FALSE))</f>
        <v/>
      </c>
      <c r="C743" t="str">
        <f>IF(A743="", "", SUMIF(BASE!$A$4:$A$10003, A743, BASE!$C$4:$C$10003))</f>
        <v/>
      </c>
      <c r="D743" t="str">
        <f>IF(A743="", "", INDEX(BASE!$D$4:$D$10003, MATCH(A743, BASE!$A$4:$A$10003, 0)))</f>
        <v/>
      </c>
      <c r="E743" t="str">
        <f>IF(A743="", "", INDEX(BASE!$E$4:$E$10003, MATCH(A743, BASE!$A$4:$A$10003, 0)))</f>
        <v/>
      </c>
    </row>
    <row r="744" spans="1:5">
      <c r="A744" t="str">
        <f>IFERROR(INDEX(BASE!$A$4:$A$10003, MATCH(0, COUNTIF($A$1:A743, BASE!$A$4:$A$10003&amp;""), 0)), "")</f>
        <v/>
      </c>
      <c r="B744" t="str">
        <f>IF(A744="", "", VLOOKUP(A744, BASE!$A$4:$B$10003, 2, FALSE))</f>
        <v/>
      </c>
      <c r="C744" t="str">
        <f>IF(A744="", "", SUMIF(BASE!$A$4:$A$10003, A744, BASE!$C$4:$C$10003))</f>
        <v/>
      </c>
      <c r="D744" t="str">
        <f>IF(A744="", "", INDEX(BASE!$D$4:$D$10003, MATCH(A744, BASE!$A$4:$A$10003, 0)))</f>
        <v/>
      </c>
      <c r="E744" t="str">
        <f>IF(A744="", "", INDEX(BASE!$E$4:$E$10003, MATCH(A744, BASE!$A$4:$A$10003, 0)))</f>
        <v/>
      </c>
    </row>
    <row r="745" spans="1:5">
      <c r="A745" t="str">
        <f>IFERROR(INDEX(BASE!$A$4:$A$10003, MATCH(0, COUNTIF($A$1:A744, BASE!$A$4:$A$10003&amp;""), 0)), "")</f>
        <v/>
      </c>
      <c r="B745" t="str">
        <f>IF(A745="", "", VLOOKUP(A745, BASE!$A$4:$B$10003, 2, FALSE))</f>
        <v/>
      </c>
      <c r="C745" t="str">
        <f>IF(A745="", "", SUMIF(BASE!$A$4:$A$10003, A745, BASE!$C$4:$C$10003))</f>
        <v/>
      </c>
      <c r="D745" t="str">
        <f>IF(A745="", "", INDEX(BASE!$D$4:$D$10003, MATCH(A745, BASE!$A$4:$A$10003, 0)))</f>
        <v/>
      </c>
      <c r="E745" t="str">
        <f>IF(A745="", "", INDEX(BASE!$E$4:$E$10003, MATCH(A745, BASE!$A$4:$A$10003, 0)))</f>
        <v/>
      </c>
    </row>
    <row r="746" spans="1:5">
      <c r="A746" t="str">
        <f>IFERROR(INDEX(BASE!$A$4:$A$10003, MATCH(0, COUNTIF($A$1:A745, BASE!$A$4:$A$10003&amp;""), 0)), "")</f>
        <v/>
      </c>
      <c r="B746" t="str">
        <f>IF(A746="", "", VLOOKUP(A746, BASE!$A$4:$B$10003, 2, FALSE))</f>
        <v/>
      </c>
      <c r="C746" t="str">
        <f>IF(A746="", "", SUMIF(BASE!$A$4:$A$10003, A746, BASE!$C$4:$C$10003))</f>
        <v/>
      </c>
      <c r="D746" t="str">
        <f>IF(A746="", "", INDEX(BASE!$D$4:$D$10003, MATCH(A746, BASE!$A$4:$A$10003, 0)))</f>
        <v/>
      </c>
      <c r="E746" t="str">
        <f>IF(A746="", "", INDEX(BASE!$E$4:$E$10003, MATCH(A746, BASE!$A$4:$A$10003, 0)))</f>
        <v/>
      </c>
    </row>
    <row r="747" spans="1:5">
      <c r="A747" t="str">
        <f>IFERROR(INDEX(BASE!$A$4:$A$10003, MATCH(0, COUNTIF($A$1:A746, BASE!$A$4:$A$10003&amp;""), 0)), "")</f>
        <v/>
      </c>
      <c r="B747" t="str">
        <f>IF(A747="", "", VLOOKUP(A747, BASE!$A$4:$B$10003, 2, FALSE))</f>
        <v/>
      </c>
      <c r="C747" t="str">
        <f>IF(A747="", "", SUMIF(BASE!$A$4:$A$10003, A747, BASE!$C$4:$C$10003))</f>
        <v/>
      </c>
      <c r="D747" t="str">
        <f>IF(A747="", "", INDEX(BASE!$D$4:$D$10003, MATCH(A747, BASE!$A$4:$A$10003, 0)))</f>
        <v/>
      </c>
      <c r="E747" t="str">
        <f>IF(A747="", "", INDEX(BASE!$E$4:$E$10003, MATCH(A747, BASE!$A$4:$A$10003, 0)))</f>
        <v/>
      </c>
    </row>
    <row r="748" spans="1:5">
      <c r="A748" t="str">
        <f>IFERROR(INDEX(BASE!$A$4:$A$10003, MATCH(0, COUNTIF($A$1:A747, BASE!$A$4:$A$10003&amp;""), 0)), "")</f>
        <v/>
      </c>
      <c r="B748" t="str">
        <f>IF(A748="", "", VLOOKUP(A748, BASE!$A$4:$B$10003, 2, FALSE))</f>
        <v/>
      </c>
      <c r="C748" t="str">
        <f>IF(A748="", "", SUMIF(BASE!$A$4:$A$10003, A748, BASE!$C$4:$C$10003))</f>
        <v/>
      </c>
      <c r="D748" t="str">
        <f>IF(A748="", "", INDEX(BASE!$D$4:$D$10003, MATCH(A748, BASE!$A$4:$A$10003, 0)))</f>
        <v/>
      </c>
      <c r="E748" t="str">
        <f>IF(A748="", "", INDEX(BASE!$E$4:$E$10003, MATCH(A748, BASE!$A$4:$A$10003, 0)))</f>
        <v/>
      </c>
    </row>
    <row r="749" spans="1:5">
      <c r="A749" t="str">
        <f>IFERROR(INDEX(BASE!$A$4:$A$10003, MATCH(0, COUNTIF($A$1:A748, BASE!$A$4:$A$10003&amp;""), 0)), "")</f>
        <v/>
      </c>
      <c r="B749" t="str">
        <f>IF(A749="", "", VLOOKUP(A749, BASE!$A$4:$B$10003, 2, FALSE))</f>
        <v/>
      </c>
      <c r="C749" t="str">
        <f>IF(A749="", "", SUMIF(BASE!$A$4:$A$10003, A749, BASE!$C$4:$C$10003))</f>
        <v/>
      </c>
      <c r="D749" t="str">
        <f>IF(A749="", "", INDEX(BASE!$D$4:$D$10003, MATCH(A749, BASE!$A$4:$A$10003, 0)))</f>
        <v/>
      </c>
      <c r="E749" t="str">
        <f>IF(A749="", "", INDEX(BASE!$E$4:$E$10003, MATCH(A749, BASE!$A$4:$A$10003, 0)))</f>
        <v/>
      </c>
    </row>
    <row r="750" spans="1:5">
      <c r="A750" t="str">
        <f>IFERROR(INDEX(BASE!$A$4:$A$10003, MATCH(0, COUNTIF($A$1:A749, BASE!$A$4:$A$10003&amp;""), 0)), "")</f>
        <v/>
      </c>
      <c r="B750" t="str">
        <f>IF(A750="", "", VLOOKUP(A750, BASE!$A$4:$B$10003, 2, FALSE))</f>
        <v/>
      </c>
      <c r="C750" t="str">
        <f>IF(A750="", "", SUMIF(BASE!$A$4:$A$10003, A750, BASE!$C$4:$C$10003))</f>
        <v/>
      </c>
      <c r="D750" t="str">
        <f>IF(A750="", "", INDEX(BASE!$D$4:$D$10003, MATCH(A750, BASE!$A$4:$A$10003, 0)))</f>
        <v/>
      </c>
      <c r="E750" t="str">
        <f>IF(A750="", "", INDEX(BASE!$E$4:$E$10003, MATCH(A750, BASE!$A$4:$A$10003, 0)))</f>
        <v/>
      </c>
    </row>
    <row r="751" spans="1:5">
      <c r="A751" t="str">
        <f>IFERROR(INDEX(BASE!$A$4:$A$10003, MATCH(0, COUNTIF($A$1:A750, BASE!$A$4:$A$10003&amp;""), 0)), "")</f>
        <v/>
      </c>
      <c r="B751" t="str">
        <f>IF(A751="", "", VLOOKUP(A751, BASE!$A$4:$B$10003, 2, FALSE))</f>
        <v/>
      </c>
      <c r="C751" t="str">
        <f>IF(A751="", "", SUMIF(BASE!$A$4:$A$10003, A751, BASE!$C$4:$C$10003))</f>
        <v/>
      </c>
      <c r="D751" t="str">
        <f>IF(A751="", "", INDEX(BASE!$D$4:$D$10003, MATCH(A751, BASE!$A$4:$A$10003, 0)))</f>
        <v/>
      </c>
      <c r="E751" t="str">
        <f>IF(A751="", "", INDEX(BASE!$E$4:$E$10003, MATCH(A751, BASE!$A$4:$A$10003, 0)))</f>
        <v/>
      </c>
    </row>
    <row r="752" spans="1:5">
      <c r="A752" t="str">
        <f>IFERROR(INDEX(BASE!$A$4:$A$10003, MATCH(0, COUNTIF($A$1:A751, BASE!$A$4:$A$10003&amp;""), 0)), "")</f>
        <v/>
      </c>
      <c r="B752" t="str">
        <f>IF(A752="", "", VLOOKUP(A752, BASE!$A$4:$B$10003, 2, FALSE))</f>
        <v/>
      </c>
      <c r="C752" t="str">
        <f>IF(A752="", "", SUMIF(BASE!$A$4:$A$10003, A752, BASE!$C$4:$C$10003))</f>
        <v/>
      </c>
      <c r="D752" t="str">
        <f>IF(A752="", "", INDEX(BASE!$D$4:$D$10003, MATCH(A752, BASE!$A$4:$A$10003, 0)))</f>
        <v/>
      </c>
      <c r="E752" t="str">
        <f>IF(A752="", "", INDEX(BASE!$E$4:$E$10003, MATCH(A752, BASE!$A$4:$A$10003, 0)))</f>
        <v/>
      </c>
    </row>
    <row r="753" spans="1:5">
      <c r="A753" t="str">
        <f>IFERROR(INDEX(BASE!$A$4:$A$10003, MATCH(0, COUNTIF($A$1:A752, BASE!$A$4:$A$10003&amp;""), 0)), "")</f>
        <v/>
      </c>
      <c r="B753" t="str">
        <f>IF(A753="", "", VLOOKUP(A753, BASE!$A$4:$B$10003, 2, FALSE))</f>
        <v/>
      </c>
      <c r="C753" t="str">
        <f>IF(A753="", "", SUMIF(BASE!$A$4:$A$10003, A753, BASE!$C$4:$C$10003))</f>
        <v/>
      </c>
      <c r="D753" t="str">
        <f>IF(A753="", "", INDEX(BASE!$D$4:$D$10003, MATCH(A753, BASE!$A$4:$A$10003, 0)))</f>
        <v/>
      </c>
      <c r="E753" t="str">
        <f>IF(A753="", "", INDEX(BASE!$E$4:$E$10003, MATCH(A753, BASE!$A$4:$A$10003, 0)))</f>
        <v/>
      </c>
    </row>
    <row r="754" spans="1:5">
      <c r="A754" t="str">
        <f>IFERROR(INDEX(BASE!$A$4:$A$10003, MATCH(0, COUNTIF($A$1:A753, BASE!$A$4:$A$10003&amp;""), 0)), "")</f>
        <v/>
      </c>
      <c r="B754" t="str">
        <f>IF(A754="", "", VLOOKUP(A754, BASE!$A$4:$B$10003, 2, FALSE))</f>
        <v/>
      </c>
      <c r="C754" t="str">
        <f>IF(A754="", "", SUMIF(BASE!$A$4:$A$10003, A754, BASE!$C$4:$C$10003))</f>
        <v/>
      </c>
      <c r="D754" t="str">
        <f>IF(A754="", "", INDEX(BASE!$D$4:$D$10003, MATCH(A754, BASE!$A$4:$A$10003, 0)))</f>
        <v/>
      </c>
      <c r="E754" t="str">
        <f>IF(A754="", "", INDEX(BASE!$E$4:$E$10003, MATCH(A754, BASE!$A$4:$A$10003, 0)))</f>
        <v/>
      </c>
    </row>
    <row r="755" spans="1:5">
      <c r="A755" t="str">
        <f>IFERROR(INDEX(BASE!$A$4:$A$10003, MATCH(0, COUNTIF($A$1:A754, BASE!$A$4:$A$10003&amp;""), 0)), "")</f>
        <v/>
      </c>
      <c r="B755" t="str">
        <f>IF(A755="", "", VLOOKUP(A755, BASE!$A$4:$B$10003, 2, FALSE))</f>
        <v/>
      </c>
      <c r="C755" t="str">
        <f>IF(A755="", "", SUMIF(BASE!$A$4:$A$10003, A755, BASE!$C$4:$C$10003))</f>
        <v/>
      </c>
      <c r="D755" t="str">
        <f>IF(A755="", "", INDEX(BASE!$D$4:$D$10003, MATCH(A755, BASE!$A$4:$A$10003, 0)))</f>
        <v/>
      </c>
      <c r="E755" t="str">
        <f>IF(A755="", "", INDEX(BASE!$E$4:$E$10003, MATCH(A755, BASE!$A$4:$A$10003, 0)))</f>
        <v/>
      </c>
    </row>
    <row r="756" spans="1:5">
      <c r="A756" t="str">
        <f>IFERROR(INDEX(BASE!$A$4:$A$10003, MATCH(0, COUNTIF($A$1:A755, BASE!$A$4:$A$10003&amp;""), 0)), "")</f>
        <v/>
      </c>
      <c r="B756" t="str">
        <f>IF(A756="", "", VLOOKUP(A756, BASE!$A$4:$B$10003, 2, FALSE))</f>
        <v/>
      </c>
      <c r="C756" t="str">
        <f>IF(A756="", "", SUMIF(BASE!$A$4:$A$10003, A756, BASE!$C$4:$C$10003))</f>
        <v/>
      </c>
      <c r="D756" t="str">
        <f>IF(A756="", "", INDEX(BASE!$D$4:$D$10003, MATCH(A756, BASE!$A$4:$A$10003, 0)))</f>
        <v/>
      </c>
      <c r="E756" t="str">
        <f>IF(A756="", "", INDEX(BASE!$E$4:$E$10003, MATCH(A756, BASE!$A$4:$A$10003, 0)))</f>
        <v/>
      </c>
    </row>
    <row r="757" spans="1:5">
      <c r="A757" t="str">
        <f>IFERROR(INDEX(BASE!$A$4:$A$10003, MATCH(0, COUNTIF($A$1:A756, BASE!$A$4:$A$10003&amp;""), 0)), "")</f>
        <v/>
      </c>
      <c r="B757" t="str">
        <f>IF(A757="", "", VLOOKUP(A757, BASE!$A$4:$B$10003, 2, FALSE))</f>
        <v/>
      </c>
      <c r="C757" t="str">
        <f>IF(A757="", "", SUMIF(BASE!$A$4:$A$10003, A757, BASE!$C$4:$C$10003))</f>
        <v/>
      </c>
      <c r="D757" t="str">
        <f>IF(A757="", "", INDEX(BASE!$D$4:$D$10003, MATCH(A757, BASE!$A$4:$A$10003, 0)))</f>
        <v/>
      </c>
      <c r="E757" t="str">
        <f>IF(A757="", "", INDEX(BASE!$E$4:$E$10003, MATCH(A757, BASE!$A$4:$A$10003, 0)))</f>
        <v/>
      </c>
    </row>
    <row r="758" spans="1:5">
      <c r="A758" t="str">
        <f>IFERROR(INDEX(BASE!$A$4:$A$10003, MATCH(0, COUNTIF($A$1:A757, BASE!$A$4:$A$10003&amp;""), 0)), "")</f>
        <v/>
      </c>
      <c r="B758" t="str">
        <f>IF(A758="", "", VLOOKUP(A758, BASE!$A$4:$B$10003, 2, FALSE))</f>
        <v/>
      </c>
      <c r="C758" t="str">
        <f>IF(A758="", "", SUMIF(BASE!$A$4:$A$10003, A758, BASE!$C$4:$C$10003))</f>
        <v/>
      </c>
      <c r="D758" t="str">
        <f>IF(A758="", "", INDEX(BASE!$D$4:$D$10003, MATCH(A758, BASE!$A$4:$A$10003, 0)))</f>
        <v/>
      </c>
      <c r="E758" t="str">
        <f>IF(A758="", "", INDEX(BASE!$E$4:$E$10003, MATCH(A758, BASE!$A$4:$A$10003, 0)))</f>
        <v/>
      </c>
    </row>
    <row r="759" spans="1:5">
      <c r="A759" t="str">
        <f>IFERROR(INDEX(BASE!$A$4:$A$10003, MATCH(0, COUNTIF($A$1:A758, BASE!$A$4:$A$10003&amp;""), 0)), "")</f>
        <v/>
      </c>
      <c r="B759" t="str">
        <f>IF(A759="", "", VLOOKUP(A759, BASE!$A$4:$B$10003, 2, FALSE))</f>
        <v/>
      </c>
      <c r="C759" t="str">
        <f>IF(A759="", "", SUMIF(BASE!$A$4:$A$10003, A759, BASE!$C$4:$C$10003))</f>
        <v/>
      </c>
      <c r="D759" t="str">
        <f>IF(A759="", "", INDEX(BASE!$D$4:$D$10003, MATCH(A759, BASE!$A$4:$A$10003, 0)))</f>
        <v/>
      </c>
      <c r="E759" t="str">
        <f>IF(A759="", "", INDEX(BASE!$E$4:$E$10003, MATCH(A759, BASE!$A$4:$A$10003, 0)))</f>
        <v/>
      </c>
    </row>
    <row r="760" spans="1:5">
      <c r="A760" t="str">
        <f>IFERROR(INDEX(BASE!$A$4:$A$10003, MATCH(0, COUNTIF($A$1:A759, BASE!$A$4:$A$10003&amp;""), 0)), "")</f>
        <v/>
      </c>
      <c r="B760" t="str">
        <f>IF(A760="", "", VLOOKUP(A760, BASE!$A$4:$B$10003, 2, FALSE))</f>
        <v/>
      </c>
      <c r="C760" t="str">
        <f>IF(A760="", "", SUMIF(BASE!$A$4:$A$10003, A760, BASE!$C$4:$C$10003))</f>
        <v/>
      </c>
      <c r="D760" t="str">
        <f>IF(A760="", "", INDEX(BASE!$D$4:$D$10003, MATCH(A760, BASE!$A$4:$A$10003, 0)))</f>
        <v/>
      </c>
      <c r="E760" t="str">
        <f>IF(A760="", "", INDEX(BASE!$E$4:$E$10003, MATCH(A760, BASE!$A$4:$A$10003, 0)))</f>
        <v/>
      </c>
    </row>
    <row r="761" spans="1:5">
      <c r="A761" t="str">
        <f>IFERROR(INDEX(BASE!$A$4:$A$10003, MATCH(0, COUNTIF($A$1:A760, BASE!$A$4:$A$10003&amp;""), 0)), "")</f>
        <v/>
      </c>
      <c r="B761" t="str">
        <f>IF(A761="", "", VLOOKUP(A761, BASE!$A$4:$B$10003, 2, FALSE))</f>
        <v/>
      </c>
      <c r="C761" t="str">
        <f>IF(A761="", "", SUMIF(BASE!$A$4:$A$10003, A761, BASE!$C$4:$C$10003))</f>
        <v/>
      </c>
      <c r="D761" t="str">
        <f>IF(A761="", "", INDEX(BASE!$D$4:$D$10003, MATCH(A761, BASE!$A$4:$A$10003, 0)))</f>
        <v/>
      </c>
      <c r="E761" t="str">
        <f>IF(A761="", "", INDEX(BASE!$E$4:$E$10003, MATCH(A761, BASE!$A$4:$A$10003, 0)))</f>
        <v/>
      </c>
    </row>
    <row r="762" spans="1:5">
      <c r="A762" t="str">
        <f>IFERROR(INDEX(BASE!$A$4:$A$10003, MATCH(0, COUNTIF($A$1:A761, BASE!$A$4:$A$10003&amp;""), 0)), "")</f>
        <v/>
      </c>
      <c r="B762" t="str">
        <f>IF(A762="", "", VLOOKUP(A762, BASE!$A$4:$B$10003, 2, FALSE))</f>
        <v/>
      </c>
      <c r="C762" t="str">
        <f>IF(A762="", "", SUMIF(BASE!$A$4:$A$10003, A762, BASE!$C$4:$C$10003))</f>
        <v/>
      </c>
      <c r="D762" t="str">
        <f>IF(A762="", "", INDEX(BASE!$D$4:$D$10003, MATCH(A762, BASE!$A$4:$A$10003, 0)))</f>
        <v/>
      </c>
      <c r="E762" t="str">
        <f>IF(A762="", "", INDEX(BASE!$E$4:$E$10003, MATCH(A762, BASE!$A$4:$A$10003, 0)))</f>
        <v/>
      </c>
    </row>
    <row r="763" spans="1:5">
      <c r="A763" t="str">
        <f>IFERROR(INDEX(BASE!$A$4:$A$10003, MATCH(0, COUNTIF($A$1:A762, BASE!$A$4:$A$10003&amp;""), 0)), "")</f>
        <v/>
      </c>
      <c r="B763" t="str">
        <f>IF(A763="", "", VLOOKUP(A763, BASE!$A$4:$B$10003, 2, FALSE))</f>
        <v/>
      </c>
      <c r="C763" t="str">
        <f>IF(A763="", "", SUMIF(BASE!$A$4:$A$10003, A763, BASE!$C$4:$C$10003))</f>
        <v/>
      </c>
      <c r="D763" t="str">
        <f>IF(A763="", "", INDEX(BASE!$D$4:$D$10003, MATCH(A763, BASE!$A$4:$A$10003, 0)))</f>
        <v/>
      </c>
      <c r="E763" t="str">
        <f>IF(A763="", "", INDEX(BASE!$E$4:$E$10003, MATCH(A763, BASE!$A$4:$A$10003, 0)))</f>
        <v/>
      </c>
    </row>
    <row r="764" spans="1:5">
      <c r="A764" t="str">
        <f>IFERROR(INDEX(BASE!$A$4:$A$10003, MATCH(0, COUNTIF($A$1:A763, BASE!$A$4:$A$10003&amp;""), 0)), "")</f>
        <v/>
      </c>
      <c r="B764" t="str">
        <f>IF(A764="", "", VLOOKUP(A764, BASE!$A$4:$B$10003, 2, FALSE))</f>
        <v/>
      </c>
      <c r="C764" t="str">
        <f>IF(A764="", "", SUMIF(BASE!$A$4:$A$10003, A764, BASE!$C$4:$C$10003))</f>
        <v/>
      </c>
      <c r="D764" t="str">
        <f>IF(A764="", "", INDEX(BASE!$D$4:$D$10003, MATCH(A764, BASE!$A$4:$A$10003, 0)))</f>
        <v/>
      </c>
      <c r="E764" t="str">
        <f>IF(A764="", "", INDEX(BASE!$E$4:$E$10003, MATCH(A764, BASE!$A$4:$A$10003, 0)))</f>
        <v/>
      </c>
    </row>
    <row r="765" spans="1:5">
      <c r="A765" t="str">
        <f>IFERROR(INDEX(BASE!$A$4:$A$10003, MATCH(0, COUNTIF($A$1:A764, BASE!$A$4:$A$10003&amp;""), 0)), "")</f>
        <v/>
      </c>
      <c r="B765" t="str">
        <f>IF(A765="", "", VLOOKUP(A765, BASE!$A$4:$B$10003, 2, FALSE))</f>
        <v/>
      </c>
      <c r="C765" t="str">
        <f>IF(A765="", "", SUMIF(BASE!$A$4:$A$10003, A765, BASE!$C$4:$C$10003))</f>
        <v/>
      </c>
      <c r="D765" t="str">
        <f>IF(A765="", "", INDEX(BASE!$D$4:$D$10003, MATCH(A765, BASE!$A$4:$A$10003, 0)))</f>
        <v/>
      </c>
      <c r="E765" t="str">
        <f>IF(A765="", "", INDEX(BASE!$E$4:$E$10003, MATCH(A765, BASE!$A$4:$A$10003, 0)))</f>
        <v/>
      </c>
    </row>
    <row r="766" spans="1:5">
      <c r="A766" t="str">
        <f>IFERROR(INDEX(BASE!$A$4:$A$10003, MATCH(0, COUNTIF($A$1:A765, BASE!$A$4:$A$10003&amp;""), 0)), "")</f>
        <v/>
      </c>
      <c r="B766" t="str">
        <f>IF(A766="", "", VLOOKUP(A766, BASE!$A$4:$B$10003, 2, FALSE))</f>
        <v/>
      </c>
      <c r="C766" t="str">
        <f>IF(A766="", "", SUMIF(BASE!$A$4:$A$10003, A766, BASE!$C$4:$C$10003))</f>
        <v/>
      </c>
      <c r="D766" t="str">
        <f>IF(A766="", "", INDEX(BASE!$D$4:$D$10003, MATCH(A766, BASE!$A$4:$A$10003, 0)))</f>
        <v/>
      </c>
      <c r="E766" t="str">
        <f>IF(A766="", "", INDEX(BASE!$E$4:$E$10003, MATCH(A766, BASE!$A$4:$A$10003, 0)))</f>
        <v/>
      </c>
    </row>
    <row r="767" spans="1:5">
      <c r="A767" t="str">
        <f>IFERROR(INDEX(BASE!$A$4:$A$10003, MATCH(0, COUNTIF($A$1:A766, BASE!$A$4:$A$10003&amp;""), 0)), "")</f>
        <v/>
      </c>
      <c r="B767" t="str">
        <f>IF(A767="", "", VLOOKUP(A767, BASE!$A$4:$B$10003, 2, FALSE))</f>
        <v/>
      </c>
      <c r="C767" t="str">
        <f>IF(A767="", "", SUMIF(BASE!$A$4:$A$10003, A767, BASE!$C$4:$C$10003))</f>
        <v/>
      </c>
      <c r="D767" t="str">
        <f>IF(A767="", "", INDEX(BASE!$D$4:$D$10003, MATCH(A767, BASE!$A$4:$A$10003, 0)))</f>
        <v/>
      </c>
      <c r="E767" t="str">
        <f>IF(A767="", "", INDEX(BASE!$E$4:$E$10003, MATCH(A767, BASE!$A$4:$A$10003, 0)))</f>
        <v/>
      </c>
    </row>
    <row r="768" spans="1:5">
      <c r="A768" t="str">
        <f>IFERROR(INDEX(BASE!$A$4:$A$10003, MATCH(0, COUNTIF($A$1:A767, BASE!$A$4:$A$10003&amp;""), 0)), "")</f>
        <v/>
      </c>
      <c r="B768" t="str">
        <f>IF(A768="", "", VLOOKUP(A768, BASE!$A$4:$B$10003, 2, FALSE))</f>
        <v/>
      </c>
      <c r="C768" t="str">
        <f>IF(A768="", "", SUMIF(BASE!$A$4:$A$10003, A768, BASE!$C$4:$C$10003))</f>
        <v/>
      </c>
      <c r="D768" t="str">
        <f>IF(A768="", "", INDEX(BASE!$D$4:$D$10003, MATCH(A768, BASE!$A$4:$A$10003, 0)))</f>
        <v/>
      </c>
      <c r="E768" t="str">
        <f>IF(A768="", "", INDEX(BASE!$E$4:$E$10003, MATCH(A768, BASE!$A$4:$A$10003, 0)))</f>
        <v/>
      </c>
    </row>
    <row r="769" spans="1:5">
      <c r="A769" t="str">
        <f>IFERROR(INDEX(BASE!$A$4:$A$10003, MATCH(0, COUNTIF($A$1:A768, BASE!$A$4:$A$10003&amp;""), 0)), "")</f>
        <v/>
      </c>
      <c r="B769" t="str">
        <f>IF(A769="", "", VLOOKUP(A769, BASE!$A$4:$B$10003, 2, FALSE))</f>
        <v/>
      </c>
      <c r="C769" t="str">
        <f>IF(A769="", "", SUMIF(BASE!$A$4:$A$10003, A769, BASE!$C$4:$C$10003))</f>
        <v/>
      </c>
      <c r="D769" t="str">
        <f>IF(A769="", "", INDEX(BASE!$D$4:$D$10003, MATCH(A769, BASE!$A$4:$A$10003, 0)))</f>
        <v/>
      </c>
      <c r="E769" t="str">
        <f>IF(A769="", "", INDEX(BASE!$E$4:$E$10003, MATCH(A769, BASE!$A$4:$A$10003, 0)))</f>
        <v/>
      </c>
    </row>
    <row r="770" spans="1:5">
      <c r="A770" t="str">
        <f>IFERROR(INDEX(BASE!$A$4:$A$10003, MATCH(0, COUNTIF($A$1:A769, BASE!$A$4:$A$10003&amp;""), 0)), "")</f>
        <v/>
      </c>
      <c r="B770" t="str">
        <f>IF(A770="", "", VLOOKUP(A770, BASE!$A$4:$B$10003, 2, FALSE))</f>
        <v/>
      </c>
      <c r="C770" t="str">
        <f>IF(A770="", "", SUMIF(BASE!$A$4:$A$10003, A770, BASE!$C$4:$C$10003))</f>
        <v/>
      </c>
      <c r="D770" t="str">
        <f>IF(A770="", "", INDEX(BASE!$D$4:$D$10003, MATCH(A770, BASE!$A$4:$A$10003, 0)))</f>
        <v/>
      </c>
      <c r="E770" t="str">
        <f>IF(A770="", "", INDEX(BASE!$E$4:$E$10003, MATCH(A770, BASE!$A$4:$A$10003, 0)))</f>
        <v/>
      </c>
    </row>
    <row r="771" spans="1:5">
      <c r="A771" t="str">
        <f>IFERROR(INDEX(BASE!$A$4:$A$10003, MATCH(0, COUNTIF($A$1:A770, BASE!$A$4:$A$10003&amp;""), 0)), "")</f>
        <v/>
      </c>
      <c r="B771" t="str">
        <f>IF(A771="", "", VLOOKUP(A771, BASE!$A$4:$B$10003, 2, FALSE))</f>
        <v/>
      </c>
      <c r="C771" t="str">
        <f>IF(A771="", "", SUMIF(BASE!$A$4:$A$10003, A771, BASE!$C$4:$C$10003))</f>
        <v/>
      </c>
      <c r="D771" t="str">
        <f>IF(A771="", "", INDEX(BASE!$D$4:$D$10003, MATCH(A771, BASE!$A$4:$A$10003, 0)))</f>
        <v/>
      </c>
      <c r="E771" t="str">
        <f>IF(A771="", "", INDEX(BASE!$E$4:$E$10003, MATCH(A771, BASE!$A$4:$A$10003, 0)))</f>
        <v/>
      </c>
    </row>
    <row r="772" spans="1:5">
      <c r="A772" t="str">
        <f>IFERROR(INDEX(BASE!$A$4:$A$10003, MATCH(0, COUNTIF($A$1:A771, BASE!$A$4:$A$10003&amp;""), 0)), "")</f>
        <v/>
      </c>
      <c r="B772" t="str">
        <f>IF(A772="", "", VLOOKUP(A772, BASE!$A$4:$B$10003, 2, FALSE))</f>
        <v/>
      </c>
      <c r="C772" t="str">
        <f>IF(A772="", "", SUMIF(BASE!$A$4:$A$10003, A772, BASE!$C$4:$C$10003))</f>
        <v/>
      </c>
      <c r="D772" t="str">
        <f>IF(A772="", "", INDEX(BASE!$D$4:$D$10003, MATCH(A772, BASE!$A$4:$A$10003, 0)))</f>
        <v/>
      </c>
      <c r="E772" t="str">
        <f>IF(A772="", "", INDEX(BASE!$E$4:$E$10003, MATCH(A772, BASE!$A$4:$A$10003, 0)))</f>
        <v/>
      </c>
    </row>
    <row r="773" spans="1:5">
      <c r="A773" t="str">
        <f>IFERROR(INDEX(BASE!$A$4:$A$10003, MATCH(0, COUNTIF($A$1:A772, BASE!$A$4:$A$10003&amp;""), 0)), "")</f>
        <v/>
      </c>
      <c r="B773" t="str">
        <f>IF(A773="", "", VLOOKUP(A773, BASE!$A$4:$B$10003, 2, FALSE))</f>
        <v/>
      </c>
      <c r="C773" t="str">
        <f>IF(A773="", "", SUMIF(BASE!$A$4:$A$10003, A773, BASE!$C$4:$C$10003))</f>
        <v/>
      </c>
      <c r="D773" t="str">
        <f>IF(A773="", "", INDEX(BASE!$D$4:$D$10003, MATCH(A773, BASE!$A$4:$A$10003, 0)))</f>
        <v/>
      </c>
      <c r="E773" t="str">
        <f>IF(A773="", "", INDEX(BASE!$E$4:$E$10003, MATCH(A773, BASE!$A$4:$A$10003, 0)))</f>
        <v/>
      </c>
    </row>
    <row r="774" spans="1:5">
      <c r="A774" t="str">
        <f>IFERROR(INDEX(BASE!$A$4:$A$10003, MATCH(0, COUNTIF($A$1:A773, BASE!$A$4:$A$10003&amp;""), 0)), "")</f>
        <v/>
      </c>
      <c r="B774" t="str">
        <f>IF(A774="", "", VLOOKUP(A774, BASE!$A$4:$B$10003, 2, FALSE))</f>
        <v/>
      </c>
      <c r="C774" t="str">
        <f>IF(A774="", "", SUMIF(BASE!$A$4:$A$10003, A774, BASE!$C$4:$C$10003))</f>
        <v/>
      </c>
      <c r="D774" t="str">
        <f>IF(A774="", "", INDEX(BASE!$D$4:$D$10003, MATCH(A774, BASE!$A$4:$A$10003, 0)))</f>
        <v/>
      </c>
      <c r="E774" t="str">
        <f>IF(A774="", "", INDEX(BASE!$E$4:$E$10003, MATCH(A774, BASE!$A$4:$A$10003, 0)))</f>
        <v/>
      </c>
    </row>
    <row r="775" spans="1:5">
      <c r="A775" t="str">
        <f>IFERROR(INDEX(BASE!$A$4:$A$10003, MATCH(0, COUNTIF($A$1:A774, BASE!$A$4:$A$10003&amp;""), 0)), "")</f>
        <v/>
      </c>
      <c r="B775" t="str">
        <f>IF(A775="", "", VLOOKUP(A775, BASE!$A$4:$B$10003, 2, FALSE))</f>
        <v/>
      </c>
      <c r="C775" t="str">
        <f>IF(A775="", "", SUMIF(BASE!$A$4:$A$10003, A775, BASE!$C$4:$C$10003))</f>
        <v/>
      </c>
      <c r="D775" t="str">
        <f>IF(A775="", "", INDEX(BASE!$D$4:$D$10003, MATCH(A775, BASE!$A$4:$A$10003, 0)))</f>
        <v/>
      </c>
      <c r="E775" t="str">
        <f>IF(A775="", "", INDEX(BASE!$E$4:$E$10003, MATCH(A775, BASE!$A$4:$A$10003, 0)))</f>
        <v/>
      </c>
    </row>
    <row r="776" spans="1:5">
      <c r="A776" t="str">
        <f>IFERROR(INDEX(BASE!$A$4:$A$10003, MATCH(0, COUNTIF($A$1:A775, BASE!$A$4:$A$10003&amp;""), 0)), "")</f>
        <v/>
      </c>
      <c r="B776" t="str">
        <f>IF(A776="", "", VLOOKUP(A776, BASE!$A$4:$B$10003, 2, FALSE))</f>
        <v/>
      </c>
      <c r="C776" t="str">
        <f>IF(A776="", "", SUMIF(BASE!$A$4:$A$10003, A776, BASE!$C$4:$C$10003))</f>
        <v/>
      </c>
      <c r="D776" t="str">
        <f>IF(A776="", "", INDEX(BASE!$D$4:$D$10003, MATCH(A776, BASE!$A$4:$A$10003, 0)))</f>
        <v/>
      </c>
      <c r="E776" t="str">
        <f>IF(A776="", "", INDEX(BASE!$E$4:$E$10003, MATCH(A776, BASE!$A$4:$A$10003, 0)))</f>
        <v/>
      </c>
    </row>
    <row r="777" spans="1:5">
      <c r="A777" t="str">
        <f>IFERROR(INDEX(BASE!$A$4:$A$10003, MATCH(0, COUNTIF($A$1:A776, BASE!$A$4:$A$10003&amp;""), 0)), "")</f>
        <v/>
      </c>
      <c r="B777" t="str">
        <f>IF(A777="", "", VLOOKUP(A777, BASE!$A$4:$B$10003, 2, FALSE))</f>
        <v/>
      </c>
      <c r="C777" t="str">
        <f>IF(A777="", "", SUMIF(BASE!$A$4:$A$10003, A777, BASE!$C$4:$C$10003))</f>
        <v/>
      </c>
      <c r="D777" t="str">
        <f>IF(A777="", "", INDEX(BASE!$D$4:$D$10003, MATCH(A777, BASE!$A$4:$A$10003, 0)))</f>
        <v/>
      </c>
      <c r="E777" t="str">
        <f>IF(A777="", "", INDEX(BASE!$E$4:$E$10003, MATCH(A777, BASE!$A$4:$A$10003, 0)))</f>
        <v/>
      </c>
    </row>
    <row r="778" spans="1:5">
      <c r="A778" t="str">
        <f>IFERROR(INDEX(BASE!$A$4:$A$10003, MATCH(0, COUNTIF($A$1:A777, BASE!$A$4:$A$10003&amp;""), 0)), "")</f>
        <v/>
      </c>
      <c r="B778" t="str">
        <f>IF(A778="", "", VLOOKUP(A778, BASE!$A$4:$B$10003, 2, FALSE))</f>
        <v/>
      </c>
      <c r="C778" t="str">
        <f>IF(A778="", "", SUMIF(BASE!$A$4:$A$10003, A778, BASE!$C$4:$C$10003))</f>
        <v/>
      </c>
      <c r="D778" t="str">
        <f>IF(A778="", "", INDEX(BASE!$D$4:$D$10003, MATCH(A778, BASE!$A$4:$A$10003, 0)))</f>
        <v/>
      </c>
      <c r="E778" t="str">
        <f>IF(A778="", "", INDEX(BASE!$E$4:$E$10003, MATCH(A778, BASE!$A$4:$A$10003, 0)))</f>
        <v/>
      </c>
    </row>
    <row r="779" spans="1:5">
      <c r="A779" t="str">
        <f>IFERROR(INDEX(BASE!$A$4:$A$10003, MATCH(0, COUNTIF($A$1:A778, BASE!$A$4:$A$10003&amp;""), 0)), "")</f>
        <v/>
      </c>
      <c r="B779" t="str">
        <f>IF(A779="", "", VLOOKUP(A779, BASE!$A$4:$B$10003, 2, FALSE))</f>
        <v/>
      </c>
      <c r="C779" t="str">
        <f>IF(A779="", "", SUMIF(BASE!$A$4:$A$10003, A779, BASE!$C$4:$C$10003))</f>
        <v/>
      </c>
      <c r="D779" t="str">
        <f>IF(A779="", "", INDEX(BASE!$D$4:$D$10003, MATCH(A779, BASE!$A$4:$A$10003, 0)))</f>
        <v/>
      </c>
      <c r="E779" t="str">
        <f>IF(A779="", "", INDEX(BASE!$E$4:$E$10003, MATCH(A779, BASE!$A$4:$A$10003, 0)))</f>
        <v/>
      </c>
    </row>
    <row r="780" spans="1:5">
      <c r="A780" t="str">
        <f>IFERROR(INDEX(BASE!$A$4:$A$10003, MATCH(0, COUNTIF($A$1:A779, BASE!$A$4:$A$10003&amp;""), 0)), "")</f>
        <v/>
      </c>
      <c r="B780" t="str">
        <f>IF(A780="", "", VLOOKUP(A780, BASE!$A$4:$B$10003, 2, FALSE))</f>
        <v/>
      </c>
      <c r="C780" t="str">
        <f>IF(A780="", "", SUMIF(BASE!$A$4:$A$10003, A780, BASE!$C$4:$C$10003))</f>
        <v/>
      </c>
      <c r="D780" t="str">
        <f>IF(A780="", "", INDEX(BASE!$D$4:$D$10003, MATCH(A780, BASE!$A$4:$A$10003, 0)))</f>
        <v/>
      </c>
      <c r="E780" t="str">
        <f>IF(A780="", "", INDEX(BASE!$E$4:$E$10003, MATCH(A780, BASE!$A$4:$A$10003, 0)))</f>
        <v/>
      </c>
    </row>
    <row r="781" spans="1:5">
      <c r="A781" t="str">
        <f>IFERROR(INDEX(BASE!$A$4:$A$10003, MATCH(0, COUNTIF($A$1:A780, BASE!$A$4:$A$10003&amp;""), 0)), "")</f>
        <v/>
      </c>
      <c r="B781" t="str">
        <f>IF(A781="", "", VLOOKUP(A781, BASE!$A$4:$B$10003, 2, FALSE))</f>
        <v/>
      </c>
      <c r="C781" t="str">
        <f>IF(A781="", "", SUMIF(BASE!$A$4:$A$10003, A781, BASE!$C$4:$C$10003))</f>
        <v/>
      </c>
      <c r="D781" t="str">
        <f>IF(A781="", "", INDEX(BASE!$D$4:$D$10003, MATCH(A781, BASE!$A$4:$A$10003, 0)))</f>
        <v/>
      </c>
      <c r="E781" t="str">
        <f>IF(A781="", "", INDEX(BASE!$E$4:$E$10003, MATCH(A781, BASE!$A$4:$A$10003, 0)))</f>
        <v/>
      </c>
    </row>
    <row r="782" spans="1:5">
      <c r="A782" t="str">
        <f>IFERROR(INDEX(BASE!$A$4:$A$10003, MATCH(0, COUNTIF($A$1:A781, BASE!$A$4:$A$10003&amp;""), 0)), "")</f>
        <v/>
      </c>
      <c r="B782" t="str">
        <f>IF(A782="", "", VLOOKUP(A782, BASE!$A$4:$B$10003, 2, FALSE))</f>
        <v/>
      </c>
      <c r="C782" t="str">
        <f>IF(A782="", "", SUMIF(BASE!$A$4:$A$10003, A782, BASE!$C$4:$C$10003))</f>
        <v/>
      </c>
      <c r="D782" t="str">
        <f>IF(A782="", "", INDEX(BASE!$D$4:$D$10003, MATCH(A782, BASE!$A$4:$A$10003, 0)))</f>
        <v/>
      </c>
      <c r="E782" t="str">
        <f>IF(A782="", "", INDEX(BASE!$E$4:$E$10003, MATCH(A782, BASE!$A$4:$A$10003, 0)))</f>
        <v/>
      </c>
    </row>
    <row r="783" spans="1:5">
      <c r="A783" t="str">
        <f>IFERROR(INDEX(BASE!$A$4:$A$10003, MATCH(0, COUNTIF($A$1:A782, BASE!$A$4:$A$10003&amp;""), 0)), "")</f>
        <v/>
      </c>
      <c r="B783" t="str">
        <f>IF(A783="", "", VLOOKUP(A783, BASE!$A$4:$B$10003, 2, FALSE))</f>
        <v/>
      </c>
      <c r="C783" t="str">
        <f>IF(A783="", "", SUMIF(BASE!$A$4:$A$10003, A783, BASE!$C$4:$C$10003))</f>
        <v/>
      </c>
      <c r="D783" t="str">
        <f>IF(A783="", "", INDEX(BASE!$D$4:$D$10003, MATCH(A783, BASE!$A$4:$A$10003, 0)))</f>
        <v/>
      </c>
      <c r="E783" t="str">
        <f>IF(A783="", "", INDEX(BASE!$E$4:$E$10003, MATCH(A783, BASE!$A$4:$A$10003, 0)))</f>
        <v/>
      </c>
    </row>
    <row r="784" spans="1:5">
      <c r="A784" t="str">
        <f>IFERROR(INDEX(BASE!$A$4:$A$10003, MATCH(0, COUNTIF($A$1:A783, BASE!$A$4:$A$10003&amp;""), 0)), "")</f>
        <v/>
      </c>
      <c r="B784" t="str">
        <f>IF(A784="", "", VLOOKUP(A784, BASE!$A$4:$B$10003, 2, FALSE))</f>
        <v/>
      </c>
      <c r="C784" t="str">
        <f>IF(A784="", "", SUMIF(BASE!$A$4:$A$10003, A784, BASE!$C$4:$C$10003))</f>
        <v/>
      </c>
      <c r="D784" t="str">
        <f>IF(A784="", "", INDEX(BASE!$D$4:$D$10003, MATCH(A784, BASE!$A$4:$A$10003, 0)))</f>
        <v/>
      </c>
      <c r="E784" t="str">
        <f>IF(A784="", "", INDEX(BASE!$E$4:$E$10003, MATCH(A784, BASE!$A$4:$A$10003, 0)))</f>
        <v/>
      </c>
    </row>
    <row r="785" spans="1:5">
      <c r="A785" t="str">
        <f>IFERROR(INDEX(BASE!$A$4:$A$10003, MATCH(0, COUNTIF($A$1:A784, BASE!$A$4:$A$10003&amp;""), 0)), "")</f>
        <v/>
      </c>
      <c r="B785" t="str">
        <f>IF(A785="", "", VLOOKUP(A785, BASE!$A$4:$B$10003, 2, FALSE))</f>
        <v/>
      </c>
      <c r="C785" t="str">
        <f>IF(A785="", "", SUMIF(BASE!$A$4:$A$10003, A785, BASE!$C$4:$C$10003))</f>
        <v/>
      </c>
      <c r="D785" t="str">
        <f>IF(A785="", "", INDEX(BASE!$D$4:$D$10003, MATCH(A785, BASE!$A$4:$A$10003, 0)))</f>
        <v/>
      </c>
      <c r="E785" t="str">
        <f>IF(A785="", "", INDEX(BASE!$E$4:$E$10003, MATCH(A785, BASE!$A$4:$A$10003, 0)))</f>
        <v/>
      </c>
    </row>
    <row r="786" spans="1:5">
      <c r="A786" t="str">
        <f>IFERROR(INDEX(BASE!$A$4:$A$10003, MATCH(0, COUNTIF($A$1:A785, BASE!$A$4:$A$10003&amp;""), 0)), "")</f>
        <v/>
      </c>
      <c r="B786" t="str">
        <f>IF(A786="", "", VLOOKUP(A786, BASE!$A$4:$B$10003, 2, FALSE))</f>
        <v/>
      </c>
      <c r="C786" t="str">
        <f>IF(A786="", "", SUMIF(BASE!$A$4:$A$10003, A786, BASE!$C$4:$C$10003))</f>
        <v/>
      </c>
      <c r="D786" t="str">
        <f>IF(A786="", "", INDEX(BASE!$D$4:$D$10003, MATCH(A786, BASE!$A$4:$A$10003, 0)))</f>
        <v/>
      </c>
      <c r="E786" t="str">
        <f>IF(A786="", "", INDEX(BASE!$E$4:$E$10003, MATCH(A786, BASE!$A$4:$A$10003, 0)))</f>
        <v/>
      </c>
    </row>
    <row r="787" spans="1:5">
      <c r="A787" t="str">
        <f>IFERROR(INDEX(BASE!$A$4:$A$10003, MATCH(0, COUNTIF($A$1:A786, BASE!$A$4:$A$10003&amp;""), 0)), "")</f>
        <v/>
      </c>
      <c r="B787" t="str">
        <f>IF(A787="", "", VLOOKUP(A787, BASE!$A$4:$B$10003, 2, FALSE))</f>
        <v/>
      </c>
      <c r="C787" t="str">
        <f>IF(A787="", "", SUMIF(BASE!$A$4:$A$10003, A787, BASE!$C$4:$C$10003))</f>
        <v/>
      </c>
      <c r="D787" t="str">
        <f>IF(A787="", "", INDEX(BASE!$D$4:$D$10003, MATCH(A787, BASE!$A$4:$A$10003, 0)))</f>
        <v/>
      </c>
      <c r="E787" t="str">
        <f>IF(A787="", "", INDEX(BASE!$E$4:$E$10003, MATCH(A787, BASE!$A$4:$A$10003, 0)))</f>
        <v/>
      </c>
    </row>
    <row r="788" spans="1:5">
      <c r="A788" t="str">
        <f>IFERROR(INDEX(BASE!$A$4:$A$10003, MATCH(0, COUNTIF($A$1:A787, BASE!$A$4:$A$10003&amp;""), 0)), "")</f>
        <v/>
      </c>
      <c r="B788" t="str">
        <f>IF(A788="", "", VLOOKUP(A788, BASE!$A$4:$B$10003, 2, FALSE))</f>
        <v/>
      </c>
      <c r="C788" t="str">
        <f>IF(A788="", "", SUMIF(BASE!$A$4:$A$10003, A788, BASE!$C$4:$C$10003))</f>
        <v/>
      </c>
      <c r="D788" t="str">
        <f>IF(A788="", "", INDEX(BASE!$D$4:$D$10003, MATCH(A788, BASE!$A$4:$A$10003, 0)))</f>
        <v/>
      </c>
      <c r="E788" t="str">
        <f>IF(A788="", "", INDEX(BASE!$E$4:$E$10003, MATCH(A788, BASE!$A$4:$A$10003, 0)))</f>
        <v/>
      </c>
    </row>
    <row r="789" spans="1:5">
      <c r="A789" t="str">
        <f>IFERROR(INDEX(BASE!$A$4:$A$10003, MATCH(0, COUNTIF($A$1:A788, BASE!$A$4:$A$10003&amp;""), 0)), "")</f>
        <v/>
      </c>
      <c r="B789" t="str">
        <f>IF(A789="", "", VLOOKUP(A789, BASE!$A$4:$B$10003, 2, FALSE))</f>
        <v/>
      </c>
      <c r="C789" t="str">
        <f>IF(A789="", "", SUMIF(BASE!$A$4:$A$10003, A789, BASE!$C$4:$C$10003))</f>
        <v/>
      </c>
      <c r="D789" t="str">
        <f>IF(A789="", "", INDEX(BASE!$D$4:$D$10003, MATCH(A789, BASE!$A$4:$A$10003, 0)))</f>
        <v/>
      </c>
      <c r="E789" t="str">
        <f>IF(A789="", "", INDEX(BASE!$E$4:$E$10003, MATCH(A789, BASE!$A$4:$A$10003, 0)))</f>
        <v/>
      </c>
    </row>
    <row r="790" spans="1:5">
      <c r="A790" t="str">
        <f>IFERROR(INDEX(BASE!$A$4:$A$10003, MATCH(0, COUNTIF($A$1:A789, BASE!$A$4:$A$10003&amp;""), 0)), "")</f>
        <v/>
      </c>
      <c r="B790" t="str">
        <f>IF(A790="", "", VLOOKUP(A790, BASE!$A$4:$B$10003, 2, FALSE))</f>
        <v/>
      </c>
      <c r="C790" t="str">
        <f>IF(A790="", "", SUMIF(BASE!$A$4:$A$10003, A790, BASE!$C$4:$C$10003))</f>
        <v/>
      </c>
      <c r="D790" t="str">
        <f>IF(A790="", "", INDEX(BASE!$D$4:$D$10003, MATCH(A790, BASE!$A$4:$A$10003, 0)))</f>
        <v/>
      </c>
      <c r="E790" t="str">
        <f>IF(A790="", "", INDEX(BASE!$E$4:$E$10003, MATCH(A790, BASE!$A$4:$A$10003, 0)))</f>
        <v/>
      </c>
    </row>
    <row r="791" spans="1:5">
      <c r="A791" t="str">
        <f>IFERROR(INDEX(BASE!$A$4:$A$10003, MATCH(0, COUNTIF($A$1:A790, BASE!$A$4:$A$10003&amp;""), 0)), "")</f>
        <v/>
      </c>
      <c r="B791" t="str">
        <f>IF(A791="", "", VLOOKUP(A791, BASE!$A$4:$B$10003, 2, FALSE))</f>
        <v/>
      </c>
      <c r="C791" t="str">
        <f>IF(A791="", "", SUMIF(BASE!$A$4:$A$10003, A791, BASE!$C$4:$C$10003))</f>
        <v/>
      </c>
      <c r="D791" t="str">
        <f>IF(A791="", "", INDEX(BASE!$D$4:$D$10003, MATCH(A791, BASE!$A$4:$A$10003, 0)))</f>
        <v/>
      </c>
      <c r="E791" t="str">
        <f>IF(A791="", "", INDEX(BASE!$E$4:$E$10003, MATCH(A791, BASE!$A$4:$A$10003, 0)))</f>
        <v/>
      </c>
    </row>
    <row r="792" spans="1:5">
      <c r="A792" t="str">
        <f>IFERROR(INDEX(BASE!$A$4:$A$10003, MATCH(0, COUNTIF($A$1:A791, BASE!$A$4:$A$10003&amp;""), 0)), "")</f>
        <v/>
      </c>
      <c r="B792" t="str">
        <f>IF(A792="", "", VLOOKUP(A792, BASE!$A$4:$B$10003, 2, FALSE))</f>
        <v/>
      </c>
      <c r="C792" t="str">
        <f>IF(A792="", "", SUMIF(BASE!$A$4:$A$10003, A792, BASE!$C$4:$C$10003))</f>
        <v/>
      </c>
      <c r="D792" t="str">
        <f>IF(A792="", "", INDEX(BASE!$D$4:$D$10003, MATCH(A792, BASE!$A$4:$A$10003, 0)))</f>
        <v/>
      </c>
      <c r="E792" t="str">
        <f>IF(A792="", "", INDEX(BASE!$E$4:$E$10003, MATCH(A792, BASE!$A$4:$A$10003, 0)))</f>
        <v/>
      </c>
    </row>
    <row r="793" spans="1:5">
      <c r="A793" t="str">
        <f>IFERROR(INDEX(BASE!$A$4:$A$10003, MATCH(0, COUNTIF($A$1:A792, BASE!$A$4:$A$10003&amp;""), 0)), "")</f>
        <v/>
      </c>
      <c r="B793" t="str">
        <f>IF(A793="", "", VLOOKUP(A793, BASE!$A$4:$B$10003, 2, FALSE))</f>
        <v/>
      </c>
      <c r="C793" t="str">
        <f>IF(A793="", "", SUMIF(BASE!$A$4:$A$10003, A793, BASE!$C$4:$C$10003))</f>
        <v/>
      </c>
      <c r="D793" t="str">
        <f>IF(A793="", "", INDEX(BASE!$D$4:$D$10003, MATCH(A793, BASE!$A$4:$A$10003, 0)))</f>
        <v/>
      </c>
      <c r="E793" t="str">
        <f>IF(A793="", "", INDEX(BASE!$E$4:$E$10003, MATCH(A793, BASE!$A$4:$A$10003, 0)))</f>
        <v/>
      </c>
    </row>
    <row r="794" spans="1:5">
      <c r="A794" t="str">
        <f>IFERROR(INDEX(BASE!$A$4:$A$10003, MATCH(0, COUNTIF($A$1:A793, BASE!$A$4:$A$10003&amp;""), 0)), "")</f>
        <v/>
      </c>
      <c r="B794" t="str">
        <f>IF(A794="", "", VLOOKUP(A794, BASE!$A$4:$B$10003, 2, FALSE))</f>
        <v/>
      </c>
      <c r="C794" t="str">
        <f>IF(A794="", "", SUMIF(BASE!$A$4:$A$10003, A794, BASE!$C$4:$C$10003))</f>
        <v/>
      </c>
      <c r="D794" t="str">
        <f>IF(A794="", "", INDEX(BASE!$D$4:$D$10003, MATCH(A794, BASE!$A$4:$A$10003, 0)))</f>
        <v/>
      </c>
      <c r="E794" t="str">
        <f>IF(A794="", "", INDEX(BASE!$E$4:$E$10003, MATCH(A794, BASE!$A$4:$A$10003, 0)))</f>
        <v/>
      </c>
    </row>
    <row r="795" spans="1:5">
      <c r="A795" t="str">
        <f>IFERROR(INDEX(BASE!$A$4:$A$10003, MATCH(0, COUNTIF($A$1:A794, BASE!$A$4:$A$10003&amp;""), 0)), "")</f>
        <v/>
      </c>
      <c r="B795" t="str">
        <f>IF(A795="", "", VLOOKUP(A795, BASE!$A$4:$B$10003, 2, FALSE))</f>
        <v/>
      </c>
      <c r="C795" t="str">
        <f>IF(A795="", "", SUMIF(BASE!$A$4:$A$10003, A795, BASE!$C$4:$C$10003))</f>
        <v/>
      </c>
      <c r="D795" t="str">
        <f>IF(A795="", "", INDEX(BASE!$D$4:$D$10003, MATCH(A795, BASE!$A$4:$A$10003, 0)))</f>
        <v/>
      </c>
      <c r="E795" t="str">
        <f>IF(A795="", "", INDEX(BASE!$E$4:$E$10003, MATCH(A795, BASE!$A$4:$A$10003, 0)))</f>
        <v/>
      </c>
    </row>
    <row r="796" spans="1:5">
      <c r="A796" t="str">
        <f>IFERROR(INDEX(BASE!$A$4:$A$10003, MATCH(0, COUNTIF($A$1:A795, BASE!$A$4:$A$10003&amp;""), 0)), "")</f>
        <v/>
      </c>
      <c r="B796" t="str">
        <f>IF(A796="", "", VLOOKUP(A796, BASE!$A$4:$B$10003, 2, FALSE))</f>
        <v/>
      </c>
      <c r="C796" t="str">
        <f>IF(A796="", "", SUMIF(BASE!$A$4:$A$10003, A796, BASE!$C$4:$C$10003))</f>
        <v/>
      </c>
      <c r="D796" t="str">
        <f>IF(A796="", "", INDEX(BASE!$D$4:$D$10003, MATCH(A796, BASE!$A$4:$A$10003, 0)))</f>
        <v/>
      </c>
      <c r="E796" t="str">
        <f>IF(A796="", "", INDEX(BASE!$E$4:$E$10003, MATCH(A796, BASE!$A$4:$A$10003, 0)))</f>
        <v/>
      </c>
    </row>
    <row r="797" spans="1:5">
      <c r="A797" t="str">
        <f>IFERROR(INDEX(BASE!$A$4:$A$10003, MATCH(0, COUNTIF($A$1:A796, BASE!$A$4:$A$10003&amp;""), 0)), "")</f>
        <v/>
      </c>
      <c r="B797" t="str">
        <f>IF(A797="", "", VLOOKUP(A797, BASE!$A$4:$B$10003, 2, FALSE))</f>
        <v/>
      </c>
      <c r="C797" t="str">
        <f>IF(A797="", "", SUMIF(BASE!$A$4:$A$10003, A797, BASE!$C$4:$C$10003))</f>
        <v/>
      </c>
      <c r="D797" t="str">
        <f>IF(A797="", "", INDEX(BASE!$D$4:$D$10003, MATCH(A797, BASE!$A$4:$A$10003, 0)))</f>
        <v/>
      </c>
      <c r="E797" t="str">
        <f>IF(A797="", "", INDEX(BASE!$E$4:$E$10003, MATCH(A797, BASE!$A$4:$A$10003, 0)))</f>
        <v/>
      </c>
    </row>
    <row r="798" spans="1:5">
      <c r="A798" t="str">
        <f>IFERROR(INDEX(BASE!$A$4:$A$10003, MATCH(0, COUNTIF($A$1:A797, BASE!$A$4:$A$10003&amp;""), 0)), "")</f>
        <v/>
      </c>
      <c r="B798" t="str">
        <f>IF(A798="", "", VLOOKUP(A798, BASE!$A$4:$B$10003, 2, FALSE))</f>
        <v/>
      </c>
      <c r="C798" t="str">
        <f>IF(A798="", "", SUMIF(BASE!$A$4:$A$10003, A798, BASE!$C$4:$C$10003))</f>
        <v/>
      </c>
      <c r="D798" t="str">
        <f>IF(A798="", "", INDEX(BASE!$D$4:$D$10003, MATCH(A798, BASE!$A$4:$A$10003, 0)))</f>
        <v/>
      </c>
      <c r="E798" t="str">
        <f>IF(A798="", "", INDEX(BASE!$E$4:$E$10003, MATCH(A798, BASE!$A$4:$A$10003, 0)))</f>
        <v/>
      </c>
    </row>
    <row r="799" spans="1:5">
      <c r="A799" t="str">
        <f>IFERROR(INDEX(BASE!$A$4:$A$10003, MATCH(0, COUNTIF($A$1:A798, BASE!$A$4:$A$10003&amp;""), 0)), "")</f>
        <v/>
      </c>
      <c r="B799" t="str">
        <f>IF(A799="", "", VLOOKUP(A799, BASE!$A$4:$B$10003, 2, FALSE))</f>
        <v/>
      </c>
      <c r="C799" t="str">
        <f>IF(A799="", "", SUMIF(BASE!$A$4:$A$10003, A799, BASE!$C$4:$C$10003))</f>
        <v/>
      </c>
      <c r="D799" t="str">
        <f>IF(A799="", "", INDEX(BASE!$D$4:$D$10003, MATCH(A799, BASE!$A$4:$A$10003, 0)))</f>
        <v/>
      </c>
      <c r="E799" t="str">
        <f>IF(A799="", "", INDEX(BASE!$E$4:$E$10003, MATCH(A799, BASE!$A$4:$A$10003, 0)))</f>
        <v/>
      </c>
    </row>
    <row r="800" spans="1:5">
      <c r="A800" t="str">
        <f>IFERROR(INDEX(BASE!$A$4:$A$10003, MATCH(0, COUNTIF($A$1:A799, BASE!$A$4:$A$10003&amp;""), 0)), "")</f>
        <v/>
      </c>
      <c r="B800" t="str">
        <f>IF(A800="", "", VLOOKUP(A800, BASE!$A$4:$B$10003, 2, FALSE))</f>
        <v/>
      </c>
      <c r="C800" t="str">
        <f>IF(A800="", "", SUMIF(BASE!$A$4:$A$10003, A800, BASE!$C$4:$C$10003))</f>
        <v/>
      </c>
      <c r="D800" t="str">
        <f>IF(A800="", "", INDEX(BASE!$D$4:$D$10003, MATCH(A800, BASE!$A$4:$A$10003, 0)))</f>
        <v/>
      </c>
      <c r="E800" t="str">
        <f>IF(A800="", "", INDEX(BASE!$E$4:$E$10003, MATCH(A800, BASE!$A$4:$A$10003, 0)))</f>
        <v/>
      </c>
    </row>
    <row r="801" spans="1:5">
      <c r="A801" t="str">
        <f>IFERROR(INDEX(BASE!$A$4:$A$10003, MATCH(0, COUNTIF($A$1:A800, BASE!$A$4:$A$10003&amp;""), 0)), "")</f>
        <v/>
      </c>
      <c r="B801" t="str">
        <f>IF(A801="", "", VLOOKUP(A801, BASE!$A$4:$B$10003, 2, FALSE))</f>
        <v/>
      </c>
      <c r="C801" t="str">
        <f>IF(A801="", "", SUMIF(BASE!$A$4:$A$10003, A801, BASE!$C$4:$C$10003))</f>
        <v/>
      </c>
      <c r="D801" t="str">
        <f>IF(A801="", "", INDEX(BASE!$D$4:$D$10003, MATCH(A801, BASE!$A$4:$A$10003, 0)))</f>
        <v/>
      </c>
      <c r="E801" t="str">
        <f>IF(A801="", "", INDEX(BASE!$E$4:$E$10003, MATCH(A801, BASE!$A$4:$A$10003, 0)))</f>
        <v/>
      </c>
    </row>
    <row r="802" spans="1:5">
      <c r="A802" t="str">
        <f>IFERROR(INDEX(BASE!$A$4:$A$10003, MATCH(0, COUNTIF($A$1:A801, BASE!$A$4:$A$10003&amp;""), 0)), "")</f>
        <v/>
      </c>
      <c r="B802" t="str">
        <f>IF(A802="", "", VLOOKUP(A802, BASE!$A$4:$B$10003, 2, FALSE))</f>
        <v/>
      </c>
      <c r="C802" t="str">
        <f>IF(A802="", "", SUMIF(BASE!$A$4:$A$10003, A802, BASE!$C$4:$C$10003))</f>
        <v/>
      </c>
      <c r="D802" t="str">
        <f>IF(A802="", "", INDEX(BASE!$D$4:$D$10003, MATCH(A802, BASE!$A$4:$A$10003, 0)))</f>
        <v/>
      </c>
      <c r="E802" t="str">
        <f>IF(A802="", "", INDEX(BASE!$E$4:$E$10003, MATCH(A802, BASE!$A$4:$A$10003, 0)))</f>
        <v/>
      </c>
    </row>
    <row r="803" spans="1:5">
      <c r="A803" t="str">
        <f>IFERROR(INDEX(BASE!$A$4:$A$10003, MATCH(0, COUNTIF($A$1:A802, BASE!$A$4:$A$10003&amp;""), 0)), "")</f>
        <v/>
      </c>
      <c r="B803" t="str">
        <f>IF(A803="", "", VLOOKUP(A803, BASE!$A$4:$B$10003, 2, FALSE))</f>
        <v/>
      </c>
      <c r="C803" t="str">
        <f>IF(A803="", "", SUMIF(BASE!$A$4:$A$10003, A803, BASE!$C$4:$C$10003))</f>
        <v/>
      </c>
      <c r="D803" t="str">
        <f>IF(A803="", "", INDEX(BASE!$D$4:$D$10003, MATCH(A803, BASE!$A$4:$A$10003, 0)))</f>
        <v/>
      </c>
      <c r="E803" t="str">
        <f>IF(A803="", "", INDEX(BASE!$E$4:$E$10003, MATCH(A803, BASE!$A$4:$A$10003, 0)))</f>
        <v/>
      </c>
    </row>
    <row r="804" spans="1:5">
      <c r="A804" t="str">
        <f>IFERROR(INDEX(BASE!$A$4:$A$10003, MATCH(0, COUNTIF($A$1:A803, BASE!$A$4:$A$10003&amp;""), 0)), "")</f>
        <v/>
      </c>
      <c r="B804" t="str">
        <f>IF(A804="", "", VLOOKUP(A804, BASE!$A$4:$B$10003, 2, FALSE))</f>
        <v/>
      </c>
      <c r="C804" t="str">
        <f>IF(A804="", "", SUMIF(BASE!$A$4:$A$10003, A804, BASE!$C$4:$C$10003))</f>
        <v/>
      </c>
      <c r="D804" t="str">
        <f>IF(A804="", "", INDEX(BASE!$D$4:$D$10003, MATCH(A804, BASE!$A$4:$A$10003, 0)))</f>
        <v/>
      </c>
      <c r="E804" t="str">
        <f>IF(A804="", "", INDEX(BASE!$E$4:$E$10003, MATCH(A804, BASE!$A$4:$A$10003, 0)))</f>
        <v/>
      </c>
    </row>
    <row r="805" spans="1:5">
      <c r="A805" t="str">
        <f>IFERROR(INDEX(BASE!$A$4:$A$10003, MATCH(0, COUNTIF($A$1:A804, BASE!$A$4:$A$10003&amp;""), 0)), "")</f>
        <v/>
      </c>
      <c r="B805" t="str">
        <f>IF(A805="", "", VLOOKUP(A805, BASE!$A$4:$B$10003, 2, FALSE))</f>
        <v/>
      </c>
      <c r="C805" t="str">
        <f>IF(A805="", "", SUMIF(BASE!$A$4:$A$10003, A805, BASE!$C$4:$C$10003))</f>
        <v/>
      </c>
      <c r="D805" t="str">
        <f>IF(A805="", "", INDEX(BASE!$D$4:$D$10003, MATCH(A805, BASE!$A$4:$A$10003, 0)))</f>
        <v/>
      </c>
      <c r="E805" t="str">
        <f>IF(A805="", "", INDEX(BASE!$E$4:$E$10003, MATCH(A805, BASE!$A$4:$A$10003, 0)))</f>
        <v/>
      </c>
    </row>
    <row r="806" spans="1:5">
      <c r="A806" t="str">
        <f>IFERROR(INDEX(BASE!$A$4:$A$10003, MATCH(0, COUNTIF($A$1:A805, BASE!$A$4:$A$10003&amp;""), 0)), "")</f>
        <v/>
      </c>
      <c r="B806" t="str">
        <f>IF(A806="", "", VLOOKUP(A806, BASE!$A$4:$B$10003, 2, FALSE))</f>
        <v/>
      </c>
      <c r="C806" t="str">
        <f>IF(A806="", "", SUMIF(BASE!$A$4:$A$10003, A806, BASE!$C$4:$C$10003))</f>
        <v/>
      </c>
      <c r="D806" t="str">
        <f>IF(A806="", "", INDEX(BASE!$D$4:$D$10003, MATCH(A806, BASE!$A$4:$A$10003, 0)))</f>
        <v/>
      </c>
      <c r="E806" t="str">
        <f>IF(A806="", "", INDEX(BASE!$E$4:$E$10003, MATCH(A806, BASE!$A$4:$A$10003, 0)))</f>
        <v/>
      </c>
    </row>
    <row r="807" spans="1:5">
      <c r="A807" t="str">
        <f>IFERROR(INDEX(BASE!$A$4:$A$10003, MATCH(0, COUNTIF($A$1:A806, BASE!$A$4:$A$10003&amp;""), 0)), "")</f>
        <v/>
      </c>
      <c r="B807" t="str">
        <f>IF(A807="", "", VLOOKUP(A807, BASE!$A$4:$B$10003, 2, FALSE))</f>
        <v/>
      </c>
      <c r="C807" t="str">
        <f>IF(A807="", "", SUMIF(BASE!$A$4:$A$10003, A807, BASE!$C$4:$C$10003))</f>
        <v/>
      </c>
      <c r="D807" t="str">
        <f>IF(A807="", "", INDEX(BASE!$D$4:$D$10003, MATCH(A807, BASE!$A$4:$A$10003, 0)))</f>
        <v/>
      </c>
      <c r="E807" t="str">
        <f>IF(A807="", "", INDEX(BASE!$E$4:$E$10003, MATCH(A807, BASE!$A$4:$A$10003, 0)))</f>
        <v/>
      </c>
    </row>
    <row r="808" spans="1:5">
      <c r="A808" t="str">
        <f>IFERROR(INDEX(BASE!$A$4:$A$10003, MATCH(0, COUNTIF($A$1:A807, BASE!$A$4:$A$10003&amp;""), 0)), "")</f>
        <v/>
      </c>
      <c r="B808" t="str">
        <f>IF(A808="", "", VLOOKUP(A808, BASE!$A$4:$B$10003, 2, FALSE))</f>
        <v/>
      </c>
      <c r="C808" t="str">
        <f>IF(A808="", "", SUMIF(BASE!$A$4:$A$10003, A808, BASE!$C$4:$C$10003))</f>
        <v/>
      </c>
      <c r="D808" t="str">
        <f>IF(A808="", "", INDEX(BASE!$D$4:$D$10003, MATCH(A808, BASE!$A$4:$A$10003, 0)))</f>
        <v/>
      </c>
      <c r="E808" t="str">
        <f>IF(A808="", "", INDEX(BASE!$E$4:$E$10003, MATCH(A808, BASE!$A$4:$A$10003, 0)))</f>
        <v/>
      </c>
    </row>
    <row r="809" spans="1:5">
      <c r="A809" t="str">
        <f>IFERROR(INDEX(BASE!$A$4:$A$10003, MATCH(0, COUNTIF($A$1:A808, BASE!$A$4:$A$10003&amp;""), 0)), "")</f>
        <v/>
      </c>
      <c r="B809" t="str">
        <f>IF(A809="", "", VLOOKUP(A809, BASE!$A$4:$B$10003, 2, FALSE))</f>
        <v/>
      </c>
      <c r="C809" t="str">
        <f>IF(A809="", "", SUMIF(BASE!$A$4:$A$10003, A809, BASE!$C$4:$C$10003))</f>
        <v/>
      </c>
      <c r="D809" t="str">
        <f>IF(A809="", "", INDEX(BASE!$D$4:$D$10003, MATCH(A809, BASE!$A$4:$A$10003, 0)))</f>
        <v/>
      </c>
      <c r="E809" t="str">
        <f>IF(A809="", "", INDEX(BASE!$E$4:$E$10003, MATCH(A809, BASE!$A$4:$A$10003, 0)))</f>
        <v/>
      </c>
    </row>
    <row r="810" spans="1:5">
      <c r="A810" t="str">
        <f>IFERROR(INDEX(BASE!$A$4:$A$10003, MATCH(0, COUNTIF($A$1:A809, BASE!$A$4:$A$10003&amp;""), 0)), "")</f>
        <v/>
      </c>
      <c r="B810" t="str">
        <f>IF(A810="", "", VLOOKUP(A810, BASE!$A$4:$B$10003, 2, FALSE))</f>
        <v/>
      </c>
      <c r="C810" t="str">
        <f>IF(A810="", "", SUMIF(BASE!$A$4:$A$10003, A810, BASE!$C$4:$C$10003))</f>
        <v/>
      </c>
      <c r="D810" t="str">
        <f>IF(A810="", "", INDEX(BASE!$D$4:$D$10003, MATCH(A810, BASE!$A$4:$A$10003, 0)))</f>
        <v/>
      </c>
      <c r="E810" t="str">
        <f>IF(A810="", "", INDEX(BASE!$E$4:$E$10003, MATCH(A810, BASE!$A$4:$A$10003, 0)))</f>
        <v/>
      </c>
    </row>
    <row r="811" spans="1:5">
      <c r="A811" t="str">
        <f>IFERROR(INDEX(BASE!$A$4:$A$10003, MATCH(0, COUNTIF($A$1:A810, BASE!$A$4:$A$10003&amp;""), 0)), "")</f>
        <v/>
      </c>
      <c r="B811" t="str">
        <f>IF(A811="", "", VLOOKUP(A811, BASE!$A$4:$B$10003, 2, FALSE))</f>
        <v/>
      </c>
      <c r="C811" t="str">
        <f>IF(A811="", "", SUMIF(BASE!$A$4:$A$10003, A811, BASE!$C$4:$C$10003))</f>
        <v/>
      </c>
      <c r="D811" t="str">
        <f>IF(A811="", "", INDEX(BASE!$D$4:$D$10003, MATCH(A811, BASE!$A$4:$A$10003, 0)))</f>
        <v/>
      </c>
      <c r="E811" t="str">
        <f>IF(A811="", "", INDEX(BASE!$E$4:$E$10003, MATCH(A811, BASE!$A$4:$A$10003, 0)))</f>
        <v/>
      </c>
    </row>
    <row r="812" spans="1:5">
      <c r="A812" t="str">
        <f>IFERROR(INDEX(BASE!$A$4:$A$10003, MATCH(0, COUNTIF($A$1:A811, BASE!$A$4:$A$10003&amp;""), 0)), "")</f>
        <v/>
      </c>
      <c r="B812" t="str">
        <f>IF(A812="", "", VLOOKUP(A812, BASE!$A$4:$B$10003, 2, FALSE))</f>
        <v/>
      </c>
      <c r="C812" t="str">
        <f>IF(A812="", "", SUMIF(BASE!$A$4:$A$10003, A812, BASE!$C$4:$C$10003))</f>
        <v/>
      </c>
      <c r="D812" t="str">
        <f>IF(A812="", "", INDEX(BASE!$D$4:$D$10003, MATCH(A812, BASE!$A$4:$A$10003, 0)))</f>
        <v/>
      </c>
      <c r="E812" t="str">
        <f>IF(A812="", "", INDEX(BASE!$E$4:$E$10003, MATCH(A812, BASE!$A$4:$A$10003, 0)))</f>
        <v/>
      </c>
    </row>
    <row r="813" spans="1:5">
      <c r="A813" t="str">
        <f>IFERROR(INDEX(BASE!$A$4:$A$10003, MATCH(0, COUNTIF($A$1:A812, BASE!$A$4:$A$10003&amp;""), 0)), "")</f>
        <v/>
      </c>
      <c r="B813" t="str">
        <f>IF(A813="", "", VLOOKUP(A813, BASE!$A$4:$B$10003, 2, FALSE))</f>
        <v/>
      </c>
      <c r="C813" t="str">
        <f>IF(A813="", "", SUMIF(BASE!$A$4:$A$10003, A813, BASE!$C$4:$C$10003))</f>
        <v/>
      </c>
      <c r="D813" t="str">
        <f>IF(A813="", "", INDEX(BASE!$D$4:$D$10003, MATCH(A813, BASE!$A$4:$A$10003, 0)))</f>
        <v/>
      </c>
      <c r="E813" t="str">
        <f>IF(A813="", "", INDEX(BASE!$E$4:$E$10003, MATCH(A813, BASE!$A$4:$A$10003, 0)))</f>
        <v/>
      </c>
    </row>
    <row r="814" spans="1:5">
      <c r="A814" t="str">
        <f>IFERROR(INDEX(BASE!$A$4:$A$10003, MATCH(0, COUNTIF($A$1:A813, BASE!$A$4:$A$10003&amp;""), 0)), "")</f>
        <v/>
      </c>
      <c r="B814" t="str">
        <f>IF(A814="", "", VLOOKUP(A814, BASE!$A$4:$B$10003, 2, FALSE))</f>
        <v/>
      </c>
      <c r="C814" t="str">
        <f>IF(A814="", "", SUMIF(BASE!$A$4:$A$10003, A814, BASE!$C$4:$C$10003))</f>
        <v/>
      </c>
      <c r="D814" t="str">
        <f>IF(A814="", "", INDEX(BASE!$D$4:$D$10003, MATCH(A814, BASE!$A$4:$A$10003, 0)))</f>
        <v/>
      </c>
      <c r="E814" t="str">
        <f>IF(A814="", "", INDEX(BASE!$E$4:$E$10003, MATCH(A814, BASE!$A$4:$A$10003, 0)))</f>
        <v/>
      </c>
    </row>
    <row r="815" spans="1:5">
      <c r="A815" t="str">
        <f>IFERROR(INDEX(BASE!$A$4:$A$10003, MATCH(0, COUNTIF($A$1:A814, BASE!$A$4:$A$10003&amp;""), 0)), "")</f>
        <v/>
      </c>
      <c r="B815" t="str">
        <f>IF(A815="", "", VLOOKUP(A815, BASE!$A$4:$B$10003, 2, FALSE))</f>
        <v/>
      </c>
      <c r="C815" t="str">
        <f>IF(A815="", "", SUMIF(BASE!$A$4:$A$10003, A815, BASE!$C$4:$C$10003))</f>
        <v/>
      </c>
      <c r="D815" t="str">
        <f>IF(A815="", "", INDEX(BASE!$D$4:$D$10003, MATCH(A815, BASE!$A$4:$A$10003, 0)))</f>
        <v/>
      </c>
      <c r="E815" t="str">
        <f>IF(A815="", "", INDEX(BASE!$E$4:$E$10003, MATCH(A815, BASE!$A$4:$A$10003, 0)))</f>
        <v/>
      </c>
    </row>
    <row r="816" spans="1:5">
      <c r="A816" t="str">
        <f>IFERROR(INDEX(BASE!$A$4:$A$10003, MATCH(0, COUNTIF($A$1:A815, BASE!$A$4:$A$10003&amp;""), 0)), "")</f>
        <v/>
      </c>
      <c r="B816" t="str">
        <f>IF(A816="", "", VLOOKUP(A816, BASE!$A$4:$B$10003, 2, FALSE))</f>
        <v/>
      </c>
      <c r="C816" t="str">
        <f>IF(A816="", "", SUMIF(BASE!$A$4:$A$10003, A816, BASE!$C$4:$C$10003))</f>
        <v/>
      </c>
      <c r="D816" t="str">
        <f>IF(A816="", "", INDEX(BASE!$D$4:$D$10003, MATCH(A816, BASE!$A$4:$A$10003, 0)))</f>
        <v/>
      </c>
      <c r="E816" t="str">
        <f>IF(A816="", "", INDEX(BASE!$E$4:$E$10003, MATCH(A816, BASE!$A$4:$A$10003, 0)))</f>
        <v/>
      </c>
    </row>
    <row r="817" spans="1:5">
      <c r="A817" t="str">
        <f>IFERROR(INDEX(BASE!$A$4:$A$10003, MATCH(0, COUNTIF($A$1:A816, BASE!$A$4:$A$10003&amp;""), 0)), "")</f>
        <v/>
      </c>
      <c r="B817" t="str">
        <f>IF(A817="", "", VLOOKUP(A817, BASE!$A$4:$B$10003, 2, FALSE))</f>
        <v/>
      </c>
      <c r="C817" t="str">
        <f>IF(A817="", "", SUMIF(BASE!$A$4:$A$10003, A817, BASE!$C$4:$C$10003))</f>
        <v/>
      </c>
      <c r="D817" t="str">
        <f>IF(A817="", "", INDEX(BASE!$D$4:$D$10003, MATCH(A817, BASE!$A$4:$A$10003, 0)))</f>
        <v/>
      </c>
      <c r="E817" t="str">
        <f>IF(A817="", "", INDEX(BASE!$E$4:$E$10003, MATCH(A817, BASE!$A$4:$A$10003, 0)))</f>
        <v/>
      </c>
    </row>
    <row r="818" spans="1:5">
      <c r="A818" t="str">
        <f>IFERROR(INDEX(BASE!$A$4:$A$10003, MATCH(0, COUNTIF($A$1:A817, BASE!$A$4:$A$10003&amp;""), 0)), "")</f>
        <v/>
      </c>
      <c r="B818" t="str">
        <f>IF(A818="", "", VLOOKUP(A818, BASE!$A$4:$B$10003, 2, FALSE))</f>
        <v/>
      </c>
      <c r="C818" t="str">
        <f>IF(A818="", "", SUMIF(BASE!$A$4:$A$10003, A818, BASE!$C$4:$C$10003))</f>
        <v/>
      </c>
      <c r="D818" t="str">
        <f>IF(A818="", "", INDEX(BASE!$D$4:$D$10003, MATCH(A818, BASE!$A$4:$A$10003, 0)))</f>
        <v/>
      </c>
      <c r="E818" t="str">
        <f>IF(A818="", "", INDEX(BASE!$E$4:$E$10003, MATCH(A818, BASE!$A$4:$A$10003, 0)))</f>
        <v/>
      </c>
    </row>
    <row r="819" spans="1:5">
      <c r="A819" t="str">
        <f>IFERROR(INDEX(BASE!$A$4:$A$10003, MATCH(0, COUNTIF($A$1:A818, BASE!$A$4:$A$10003&amp;""), 0)), "")</f>
        <v/>
      </c>
      <c r="B819" t="str">
        <f>IF(A819="", "", VLOOKUP(A819, BASE!$A$4:$B$10003, 2, FALSE))</f>
        <v/>
      </c>
      <c r="C819" t="str">
        <f>IF(A819="", "", SUMIF(BASE!$A$4:$A$10003, A819, BASE!$C$4:$C$10003))</f>
        <v/>
      </c>
      <c r="D819" t="str">
        <f>IF(A819="", "", INDEX(BASE!$D$4:$D$10003, MATCH(A819, BASE!$A$4:$A$10003, 0)))</f>
        <v/>
      </c>
      <c r="E819" t="str">
        <f>IF(A819="", "", INDEX(BASE!$E$4:$E$10003, MATCH(A819, BASE!$A$4:$A$10003, 0)))</f>
        <v/>
      </c>
    </row>
    <row r="820" spans="1:5">
      <c r="A820" t="str">
        <f>IFERROR(INDEX(BASE!$A$4:$A$10003, MATCH(0, COUNTIF($A$1:A819, BASE!$A$4:$A$10003&amp;""), 0)), "")</f>
        <v/>
      </c>
      <c r="B820" t="str">
        <f>IF(A820="", "", VLOOKUP(A820, BASE!$A$4:$B$10003, 2, FALSE))</f>
        <v/>
      </c>
      <c r="C820" t="str">
        <f>IF(A820="", "", SUMIF(BASE!$A$4:$A$10003, A820, BASE!$C$4:$C$10003))</f>
        <v/>
      </c>
      <c r="D820" t="str">
        <f>IF(A820="", "", INDEX(BASE!$D$4:$D$10003, MATCH(A820, BASE!$A$4:$A$10003, 0)))</f>
        <v/>
      </c>
      <c r="E820" t="str">
        <f>IF(A820="", "", INDEX(BASE!$E$4:$E$10003, MATCH(A820, BASE!$A$4:$A$10003, 0)))</f>
        <v/>
      </c>
    </row>
    <row r="821" spans="1:5">
      <c r="A821" t="str">
        <f>IFERROR(INDEX(BASE!$A$4:$A$10003, MATCH(0, COUNTIF($A$1:A820, BASE!$A$4:$A$10003&amp;""), 0)), "")</f>
        <v/>
      </c>
      <c r="B821" t="str">
        <f>IF(A821="", "", VLOOKUP(A821, BASE!$A$4:$B$10003, 2, FALSE))</f>
        <v/>
      </c>
      <c r="C821" t="str">
        <f>IF(A821="", "", SUMIF(BASE!$A$4:$A$10003, A821, BASE!$C$4:$C$10003))</f>
        <v/>
      </c>
      <c r="D821" t="str">
        <f>IF(A821="", "", INDEX(BASE!$D$4:$D$10003, MATCH(A821, BASE!$A$4:$A$10003, 0)))</f>
        <v/>
      </c>
      <c r="E821" t="str">
        <f>IF(A821="", "", INDEX(BASE!$E$4:$E$10003, MATCH(A821, BASE!$A$4:$A$10003, 0)))</f>
        <v/>
      </c>
    </row>
    <row r="822" spans="1:5">
      <c r="A822" t="str">
        <f>IFERROR(INDEX(BASE!$A$4:$A$10003, MATCH(0, COUNTIF($A$1:A821, BASE!$A$4:$A$10003&amp;""), 0)), "")</f>
        <v/>
      </c>
      <c r="B822" t="str">
        <f>IF(A822="", "", VLOOKUP(A822, BASE!$A$4:$B$10003, 2, FALSE))</f>
        <v/>
      </c>
      <c r="C822" t="str">
        <f>IF(A822="", "", SUMIF(BASE!$A$4:$A$10003, A822, BASE!$C$4:$C$10003))</f>
        <v/>
      </c>
      <c r="D822" t="str">
        <f>IF(A822="", "", INDEX(BASE!$D$4:$D$10003, MATCH(A822, BASE!$A$4:$A$10003, 0)))</f>
        <v/>
      </c>
      <c r="E822" t="str">
        <f>IF(A822="", "", INDEX(BASE!$E$4:$E$10003, MATCH(A822, BASE!$A$4:$A$10003, 0)))</f>
        <v/>
      </c>
    </row>
    <row r="823" spans="1:5">
      <c r="A823" t="str">
        <f>IFERROR(INDEX(BASE!$A$4:$A$10003, MATCH(0, COUNTIF($A$1:A822, BASE!$A$4:$A$10003&amp;""), 0)), "")</f>
        <v/>
      </c>
      <c r="B823" t="str">
        <f>IF(A823="", "", VLOOKUP(A823, BASE!$A$4:$B$10003, 2, FALSE))</f>
        <v/>
      </c>
      <c r="C823" t="str">
        <f>IF(A823="", "", SUMIF(BASE!$A$4:$A$10003, A823, BASE!$C$4:$C$10003))</f>
        <v/>
      </c>
      <c r="D823" t="str">
        <f>IF(A823="", "", INDEX(BASE!$D$4:$D$10003, MATCH(A823, BASE!$A$4:$A$10003, 0)))</f>
        <v/>
      </c>
      <c r="E823" t="str">
        <f>IF(A823="", "", INDEX(BASE!$E$4:$E$10003, MATCH(A823, BASE!$A$4:$A$10003, 0)))</f>
        <v/>
      </c>
    </row>
    <row r="824" spans="1:5">
      <c r="A824" t="str">
        <f>IFERROR(INDEX(BASE!$A$4:$A$10003, MATCH(0, COUNTIF($A$1:A823, BASE!$A$4:$A$10003&amp;""), 0)), "")</f>
        <v/>
      </c>
      <c r="B824" t="str">
        <f>IF(A824="", "", VLOOKUP(A824, BASE!$A$4:$B$10003, 2, FALSE))</f>
        <v/>
      </c>
      <c r="C824" t="str">
        <f>IF(A824="", "", SUMIF(BASE!$A$4:$A$10003, A824, BASE!$C$4:$C$10003))</f>
        <v/>
      </c>
      <c r="D824" t="str">
        <f>IF(A824="", "", INDEX(BASE!$D$4:$D$10003, MATCH(A824, BASE!$A$4:$A$10003, 0)))</f>
        <v/>
      </c>
      <c r="E824" t="str">
        <f>IF(A824="", "", INDEX(BASE!$E$4:$E$10003, MATCH(A824, BASE!$A$4:$A$10003, 0)))</f>
        <v/>
      </c>
    </row>
    <row r="825" spans="1:5">
      <c r="A825" t="str">
        <f>IFERROR(INDEX(BASE!$A$4:$A$10003, MATCH(0, COUNTIF($A$1:A824, BASE!$A$4:$A$10003&amp;""), 0)), "")</f>
        <v/>
      </c>
      <c r="B825" t="str">
        <f>IF(A825="", "", VLOOKUP(A825, BASE!$A$4:$B$10003, 2, FALSE))</f>
        <v/>
      </c>
      <c r="C825" t="str">
        <f>IF(A825="", "", SUMIF(BASE!$A$4:$A$10003, A825, BASE!$C$4:$C$10003))</f>
        <v/>
      </c>
      <c r="D825" t="str">
        <f>IF(A825="", "", INDEX(BASE!$D$4:$D$10003, MATCH(A825, BASE!$A$4:$A$10003, 0)))</f>
        <v/>
      </c>
      <c r="E825" t="str">
        <f>IF(A825="", "", INDEX(BASE!$E$4:$E$10003, MATCH(A825, BASE!$A$4:$A$10003, 0)))</f>
        <v/>
      </c>
    </row>
    <row r="826" spans="1:5">
      <c r="A826" t="str">
        <f>IFERROR(INDEX(BASE!$A$4:$A$10003, MATCH(0, COUNTIF($A$1:A825, BASE!$A$4:$A$10003&amp;""), 0)), "")</f>
        <v/>
      </c>
      <c r="B826" t="str">
        <f>IF(A826="", "", VLOOKUP(A826, BASE!$A$4:$B$10003, 2, FALSE))</f>
        <v/>
      </c>
      <c r="C826" t="str">
        <f>IF(A826="", "", SUMIF(BASE!$A$4:$A$10003, A826, BASE!$C$4:$C$10003))</f>
        <v/>
      </c>
      <c r="D826" t="str">
        <f>IF(A826="", "", INDEX(BASE!$D$4:$D$10003, MATCH(A826, BASE!$A$4:$A$10003, 0)))</f>
        <v/>
      </c>
      <c r="E826" t="str">
        <f>IF(A826="", "", INDEX(BASE!$E$4:$E$10003, MATCH(A826, BASE!$A$4:$A$10003, 0)))</f>
        <v/>
      </c>
    </row>
    <row r="827" spans="1:5">
      <c r="A827" t="str">
        <f>IFERROR(INDEX(BASE!$A$4:$A$10003, MATCH(0, COUNTIF($A$1:A826, BASE!$A$4:$A$10003&amp;""), 0)), "")</f>
        <v/>
      </c>
      <c r="B827" t="str">
        <f>IF(A827="", "", VLOOKUP(A827, BASE!$A$4:$B$10003, 2, FALSE))</f>
        <v/>
      </c>
      <c r="C827" t="str">
        <f>IF(A827="", "", SUMIF(BASE!$A$4:$A$10003, A827, BASE!$C$4:$C$10003))</f>
        <v/>
      </c>
      <c r="D827" t="str">
        <f>IF(A827="", "", INDEX(BASE!$D$4:$D$10003, MATCH(A827, BASE!$A$4:$A$10003, 0)))</f>
        <v/>
      </c>
      <c r="E827" t="str">
        <f>IF(A827="", "", INDEX(BASE!$E$4:$E$10003, MATCH(A827, BASE!$A$4:$A$10003, 0)))</f>
        <v/>
      </c>
    </row>
    <row r="828" spans="1:5">
      <c r="A828" t="str">
        <f>IFERROR(INDEX(BASE!$A$4:$A$10003, MATCH(0, COUNTIF($A$1:A827, BASE!$A$4:$A$10003&amp;""), 0)), "")</f>
        <v/>
      </c>
      <c r="B828" t="str">
        <f>IF(A828="", "", VLOOKUP(A828, BASE!$A$4:$B$10003, 2, FALSE))</f>
        <v/>
      </c>
      <c r="C828" t="str">
        <f>IF(A828="", "", SUMIF(BASE!$A$4:$A$10003, A828, BASE!$C$4:$C$10003))</f>
        <v/>
      </c>
      <c r="D828" t="str">
        <f>IF(A828="", "", INDEX(BASE!$D$4:$D$10003, MATCH(A828, BASE!$A$4:$A$10003, 0)))</f>
        <v/>
      </c>
      <c r="E828" t="str">
        <f>IF(A828="", "", INDEX(BASE!$E$4:$E$10003, MATCH(A828, BASE!$A$4:$A$10003, 0)))</f>
        <v/>
      </c>
    </row>
    <row r="829" spans="1:5">
      <c r="A829" t="str">
        <f>IFERROR(INDEX(BASE!$A$4:$A$10003, MATCH(0, COUNTIF($A$1:A828, BASE!$A$4:$A$10003&amp;""), 0)), "")</f>
        <v/>
      </c>
      <c r="B829" t="str">
        <f>IF(A829="", "", VLOOKUP(A829, BASE!$A$4:$B$10003, 2, FALSE))</f>
        <v/>
      </c>
      <c r="C829" t="str">
        <f>IF(A829="", "", SUMIF(BASE!$A$4:$A$10003, A829, BASE!$C$4:$C$10003))</f>
        <v/>
      </c>
      <c r="D829" t="str">
        <f>IF(A829="", "", INDEX(BASE!$D$4:$D$10003, MATCH(A829, BASE!$A$4:$A$10003, 0)))</f>
        <v/>
      </c>
      <c r="E829" t="str">
        <f>IF(A829="", "", INDEX(BASE!$E$4:$E$10003, MATCH(A829, BASE!$A$4:$A$10003, 0)))</f>
        <v/>
      </c>
    </row>
    <row r="830" spans="1:5">
      <c r="A830" t="str">
        <f>IFERROR(INDEX(BASE!$A$4:$A$10003, MATCH(0, COUNTIF($A$1:A829, BASE!$A$4:$A$10003&amp;""), 0)), "")</f>
        <v/>
      </c>
      <c r="B830" t="str">
        <f>IF(A830="", "", VLOOKUP(A830, BASE!$A$4:$B$10003, 2, FALSE))</f>
        <v/>
      </c>
      <c r="C830" t="str">
        <f>IF(A830="", "", SUMIF(BASE!$A$4:$A$10003, A830, BASE!$C$4:$C$10003))</f>
        <v/>
      </c>
      <c r="D830" t="str">
        <f>IF(A830="", "", INDEX(BASE!$D$4:$D$10003, MATCH(A830, BASE!$A$4:$A$10003, 0)))</f>
        <v/>
      </c>
      <c r="E830" t="str">
        <f>IF(A830="", "", INDEX(BASE!$E$4:$E$10003, MATCH(A830, BASE!$A$4:$A$10003, 0)))</f>
        <v/>
      </c>
    </row>
    <row r="831" spans="1:5">
      <c r="A831" t="str">
        <f>IFERROR(INDEX(BASE!$A$4:$A$10003, MATCH(0, COUNTIF($A$1:A830, BASE!$A$4:$A$10003&amp;""), 0)), "")</f>
        <v/>
      </c>
      <c r="B831" t="str">
        <f>IF(A831="", "", VLOOKUP(A831, BASE!$A$4:$B$10003, 2, FALSE))</f>
        <v/>
      </c>
      <c r="C831" t="str">
        <f>IF(A831="", "", SUMIF(BASE!$A$4:$A$10003, A831, BASE!$C$4:$C$10003))</f>
        <v/>
      </c>
      <c r="D831" t="str">
        <f>IF(A831="", "", INDEX(BASE!$D$4:$D$10003, MATCH(A831, BASE!$A$4:$A$10003, 0)))</f>
        <v/>
      </c>
      <c r="E831" t="str">
        <f>IF(A831="", "", INDEX(BASE!$E$4:$E$10003, MATCH(A831, BASE!$A$4:$A$10003, 0)))</f>
        <v/>
      </c>
    </row>
    <row r="832" spans="1:5">
      <c r="A832" t="str">
        <f>IFERROR(INDEX(BASE!$A$4:$A$10003, MATCH(0, COUNTIF($A$1:A831, BASE!$A$4:$A$10003&amp;""), 0)), "")</f>
        <v/>
      </c>
      <c r="B832" t="str">
        <f>IF(A832="", "", VLOOKUP(A832, BASE!$A$4:$B$10003, 2, FALSE))</f>
        <v/>
      </c>
      <c r="C832" t="str">
        <f>IF(A832="", "", SUMIF(BASE!$A$4:$A$10003, A832, BASE!$C$4:$C$10003))</f>
        <v/>
      </c>
      <c r="D832" t="str">
        <f>IF(A832="", "", INDEX(BASE!$D$4:$D$10003, MATCH(A832, BASE!$A$4:$A$10003, 0)))</f>
        <v/>
      </c>
      <c r="E832" t="str">
        <f>IF(A832="", "", INDEX(BASE!$E$4:$E$10003, MATCH(A832, BASE!$A$4:$A$10003, 0)))</f>
        <v/>
      </c>
    </row>
    <row r="833" spans="1:5">
      <c r="A833" t="str">
        <f>IFERROR(INDEX(BASE!$A$4:$A$10003, MATCH(0, COUNTIF($A$1:A832, BASE!$A$4:$A$10003&amp;""), 0)), "")</f>
        <v/>
      </c>
      <c r="B833" t="str">
        <f>IF(A833="", "", VLOOKUP(A833, BASE!$A$4:$B$10003, 2, FALSE))</f>
        <v/>
      </c>
      <c r="C833" t="str">
        <f>IF(A833="", "", SUMIF(BASE!$A$4:$A$10003, A833, BASE!$C$4:$C$10003))</f>
        <v/>
      </c>
      <c r="D833" t="str">
        <f>IF(A833="", "", INDEX(BASE!$D$4:$D$10003, MATCH(A833, BASE!$A$4:$A$10003, 0)))</f>
        <v/>
      </c>
      <c r="E833" t="str">
        <f>IF(A833="", "", INDEX(BASE!$E$4:$E$10003, MATCH(A833, BASE!$A$4:$A$10003, 0)))</f>
        <v/>
      </c>
    </row>
    <row r="834" spans="1:5">
      <c r="A834" t="str">
        <f>IFERROR(INDEX(BASE!$A$4:$A$10003, MATCH(0, COUNTIF($A$1:A833, BASE!$A$4:$A$10003&amp;""), 0)), "")</f>
        <v/>
      </c>
      <c r="B834" t="str">
        <f>IF(A834="", "", VLOOKUP(A834, BASE!$A$4:$B$10003, 2, FALSE))</f>
        <v/>
      </c>
      <c r="C834" t="str">
        <f>IF(A834="", "", SUMIF(BASE!$A$4:$A$10003, A834, BASE!$C$4:$C$10003))</f>
        <v/>
      </c>
      <c r="D834" t="str">
        <f>IF(A834="", "", INDEX(BASE!$D$4:$D$10003, MATCH(A834, BASE!$A$4:$A$10003, 0)))</f>
        <v/>
      </c>
      <c r="E834" t="str">
        <f>IF(A834="", "", INDEX(BASE!$E$4:$E$10003, MATCH(A834, BASE!$A$4:$A$10003, 0)))</f>
        <v/>
      </c>
    </row>
    <row r="835" spans="1:5">
      <c r="A835" t="str">
        <f>IFERROR(INDEX(BASE!$A$4:$A$10003, MATCH(0, COUNTIF($A$1:A834, BASE!$A$4:$A$10003&amp;""), 0)), "")</f>
        <v/>
      </c>
      <c r="B835" t="str">
        <f>IF(A835="", "", VLOOKUP(A835, BASE!$A$4:$B$10003, 2, FALSE))</f>
        <v/>
      </c>
      <c r="C835" t="str">
        <f>IF(A835="", "", SUMIF(BASE!$A$4:$A$10003, A835, BASE!$C$4:$C$10003))</f>
        <v/>
      </c>
      <c r="D835" t="str">
        <f>IF(A835="", "", INDEX(BASE!$D$4:$D$10003, MATCH(A835, BASE!$A$4:$A$10003, 0)))</f>
        <v/>
      </c>
      <c r="E835" t="str">
        <f>IF(A835="", "", INDEX(BASE!$E$4:$E$10003, MATCH(A835, BASE!$A$4:$A$10003, 0)))</f>
        <v/>
      </c>
    </row>
    <row r="836" spans="1:5">
      <c r="A836" t="str">
        <f>IFERROR(INDEX(BASE!$A$4:$A$10003, MATCH(0, COUNTIF($A$1:A835, BASE!$A$4:$A$10003&amp;""), 0)), "")</f>
        <v/>
      </c>
      <c r="B836" t="str">
        <f>IF(A836="", "", VLOOKUP(A836, BASE!$A$4:$B$10003, 2, FALSE))</f>
        <v/>
      </c>
      <c r="C836" t="str">
        <f>IF(A836="", "", SUMIF(BASE!$A$4:$A$10003, A836, BASE!$C$4:$C$10003))</f>
        <v/>
      </c>
      <c r="D836" t="str">
        <f>IF(A836="", "", INDEX(BASE!$D$4:$D$10003, MATCH(A836, BASE!$A$4:$A$10003, 0)))</f>
        <v/>
      </c>
      <c r="E836" t="str">
        <f>IF(A836="", "", INDEX(BASE!$E$4:$E$10003, MATCH(A836, BASE!$A$4:$A$10003, 0)))</f>
        <v/>
      </c>
    </row>
    <row r="837" spans="1:5">
      <c r="A837" t="str">
        <f>IFERROR(INDEX(BASE!$A$4:$A$10003, MATCH(0, COUNTIF($A$1:A836, BASE!$A$4:$A$10003&amp;""), 0)), "")</f>
        <v/>
      </c>
      <c r="B837" t="str">
        <f>IF(A837="", "", VLOOKUP(A837, BASE!$A$4:$B$10003, 2, FALSE))</f>
        <v/>
      </c>
      <c r="C837" t="str">
        <f>IF(A837="", "", SUMIF(BASE!$A$4:$A$10003, A837, BASE!$C$4:$C$10003))</f>
        <v/>
      </c>
      <c r="D837" t="str">
        <f>IF(A837="", "", INDEX(BASE!$D$4:$D$10003, MATCH(A837, BASE!$A$4:$A$10003, 0)))</f>
        <v/>
      </c>
      <c r="E837" t="str">
        <f>IF(A837="", "", INDEX(BASE!$E$4:$E$10003, MATCH(A837, BASE!$A$4:$A$10003, 0)))</f>
        <v/>
      </c>
    </row>
    <row r="838" spans="1:5">
      <c r="A838" t="str">
        <f>IFERROR(INDEX(BASE!$A$4:$A$10003, MATCH(0, COUNTIF($A$1:A837, BASE!$A$4:$A$10003&amp;""), 0)), "")</f>
        <v/>
      </c>
      <c r="B838" t="str">
        <f>IF(A838="", "", VLOOKUP(A838, BASE!$A$4:$B$10003, 2, FALSE))</f>
        <v/>
      </c>
      <c r="C838" t="str">
        <f>IF(A838="", "", SUMIF(BASE!$A$4:$A$10003, A838, BASE!$C$4:$C$10003))</f>
        <v/>
      </c>
      <c r="D838" t="str">
        <f>IF(A838="", "", INDEX(BASE!$D$4:$D$10003, MATCH(A838, BASE!$A$4:$A$10003, 0)))</f>
        <v/>
      </c>
      <c r="E838" t="str">
        <f>IF(A838="", "", INDEX(BASE!$E$4:$E$10003, MATCH(A838, BASE!$A$4:$A$10003, 0)))</f>
        <v/>
      </c>
    </row>
    <row r="839" spans="1:5">
      <c r="A839" t="str">
        <f>IFERROR(INDEX(BASE!$A$4:$A$10003, MATCH(0, COUNTIF($A$1:A838, BASE!$A$4:$A$10003&amp;""), 0)), "")</f>
        <v/>
      </c>
      <c r="B839" t="str">
        <f>IF(A839="", "", VLOOKUP(A839, BASE!$A$4:$B$10003, 2, FALSE))</f>
        <v/>
      </c>
      <c r="C839" t="str">
        <f>IF(A839="", "", SUMIF(BASE!$A$4:$A$10003, A839, BASE!$C$4:$C$10003))</f>
        <v/>
      </c>
      <c r="D839" t="str">
        <f>IF(A839="", "", INDEX(BASE!$D$4:$D$10003, MATCH(A839, BASE!$A$4:$A$10003, 0)))</f>
        <v/>
      </c>
      <c r="E839" t="str">
        <f>IF(A839="", "", INDEX(BASE!$E$4:$E$10003, MATCH(A839, BASE!$A$4:$A$10003, 0)))</f>
        <v/>
      </c>
    </row>
    <row r="840" spans="1:5">
      <c r="A840" t="str">
        <f>IFERROR(INDEX(BASE!$A$4:$A$10003, MATCH(0, COUNTIF($A$1:A839, BASE!$A$4:$A$10003&amp;""), 0)), "")</f>
        <v/>
      </c>
      <c r="B840" t="str">
        <f>IF(A840="", "", VLOOKUP(A840, BASE!$A$4:$B$10003, 2, FALSE))</f>
        <v/>
      </c>
      <c r="C840" t="str">
        <f>IF(A840="", "", SUMIF(BASE!$A$4:$A$10003, A840, BASE!$C$4:$C$10003))</f>
        <v/>
      </c>
      <c r="D840" t="str">
        <f>IF(A840="", "", INDEX(BASE!$D$4:$D$10003, MATCH(A840, BASE!$A$4:$A$10003, 0)))</f>
        <v/>
      </c>
      <c r="E840" t="str">
        <f>IF(A840="", "", INDEX(BASE!$E$4:$E$10003, MATCH(A840, BASE!$A$4:$A$10003, 0)))</f>
        <v/>
      </c>
    </row>
    <row r="841" spans="1:5">
      <c r="A841" t="str">
        <f>IFERROR(INDEX(BASE!$A$4:$A$10003, MATCH(0, COUNTIF($A$1:A840, BASE!$A$4:$A$10003&amp;""), 0)), "")</f>
        <v/>
      </c>
      <c r="B841" t="str">
        <f>IF(A841="", "", VLOOKUP(A841, BASE!$A$4:$B$10003, 2, FALSE))</f>
        <v/>
      </c>
      <c r="C841" t="str">
        <f>IF(A841="", "", SUMIF(BASE!$A$4:$A$10003, A841, BASE!$C$4:$C$10003))</f>
        <v/>
      </c>
      <c r="D841" t="str">
        <f>IF(A841="", "", INDEX(BASE!$D$4:$D$10003, MATCH(A841, BASE!$A$4:$A$10003, 0)))</f>
        <v/>
      </c>
      <c r="E841" t="str">
        <f>IF(A841="", "", INDEX(BASE!$E$4:$E$10003, MATCH(A841, BASE!$A$4:$A$10003, 0)))</f>
        <v/>
      </c>
    </row>
    <row r="842" spans="1:5">
      <c r="A842" t="str">
        <f>IFERROR(INDEX(BASE!$A$4:$A$10003, MATCH(0, COUNTIF($A$1:A841, BASE!$A$4:$A$10003&amp;""), 0)), "")</f>
        <v/>
      </c>
      <c r="B842" t="str">
        <f>IF(A842="", "", VLOOKUP(A842, BASE!$A$4:$B$10003, 2, FALSE))</f>
        <v/>
      </c>
      <c r="C842" t="str">
        <f>IF(A842="", "", SUMIF(BASE!$A$4:$A$10003, A842, BASE!$C$4:$C$10003))</f>
        <v/>
      </c>
      <c r="D842" t="str">
        <f>IF(A842="", "", INDEX(BASE!$D$4:$D$10003, MATCH(A842, BASE!$A$4:$A$10003, 0)))</f>
        <v/>
      </c>
      <c r="E842" t="str">
        <f>IF(A842="", "", INDEX(BASE!$E$4:$E$10003, MATCH(A842, BASE!$A$4:$A$10003, 0)))</f>
        <v/>
      </c>
    </row>
    <row r="843" spans="1:5">
      <c r="A843" t="str">
        <f>IFERROR(INDEX(BASE!$A$4:$A$10003, MATCH(0, COUNTIF($A$1:A842, BASE!$A$4:$A$10003&amp;""), 0)), "")</f>
        <v/>
      </c>
      <c r="B843" t="str">
        <f>IF(A843="", "", VLOOKUP(A843, BASE!$A$4:$B$10003, 2, FALSE))</f>
        <v/>
      </c>
      <c r="C843" t="str">
        <f>IF(A843="", "", SUMIF(BASE!$A$4:$A$10003, A843, BASE!$C$4:$C$10003))</f>
        <v/>
      </c>
      <c r="D843" t="str">
        <f>IF(A843="", "", INDEX(BASE!$D$4:$D$10003, MATCH(A843, BASE!$A$4:$A$10003, 0)))</f>
        <v/>
      </c>
      <c r="E843" t="str">
        <f>IF(A843="", "", INDEX(BASE!$E$4:$E$10003, MATCH(A843, BASE!$A$4:$A$10003, 0)))</f>
        <v/>
      </c>
    </row>
    <row r="844" spans="1:5">
      <c r="A844" t="str">
        <f>IFERROR(INDEX(BASE!$A$4:$A$10003, MATCH(0, COUNTIF($A$1:A843, BASE!$A$4:$A$10003&amp;""), 0)), "")</f>
        <v/>
      </c>
      <c r="B844" t="str">
        <f>IF(A844="", "", VLOOKUP(A844, BASE!$A$4:$B$10003, 2, FALSE))</f>
        <v/>
      </c>
      <c r="C844" t="str">
        <f>IF(A844="", "", SUMIF(BASE!$A$4:$A$10003, A844, BASE!$C$4:$C$10003))</f>
        <v/>
      </c>
      <c r="D844" t="str">
        <f>IF(A844="", "", INDEX(BASE!$D$4:$D$10003, MATCH(A844, BASE!$A$4:$A$10003, 0)))</f>
        <v/>
      </c>
      <c r="E844" t="str">
        <f>IF(A844="", "", INDEX(BASE!$E$4:$E$10003, MATCH(A844, BASE!$A$4:$A$10003, 0)))</f>
        <v/>
      </c>
    </row>
    <row r="845" spans="1:5">
      <c r="A845" t="str">
        <f>IFERROR(INDEX(BASE!$A$4:$A$10003, MATCH(0, COUNTIF($A$1:A844, BASE!$A$4:$A$10003&amp;""), 0)), "")</f>
        <v/>
      </c>
      <c r="B845" t="str">
        <f>IF(A845="", "", VLOOKUP(A845, BASE!$A$4:$B$10003, 2, FALSE))</f>
        <v/>
      </c>
      <c r="C845" t="str">
        <f>IF(A845="", "", SUMIF(BASE!$A$4:$A$10003, A845, BASE!$C$4:$C$10003))</f>
        <v/>
      </c>
      <c r="D845" t="str">
        <f>IF(A845="", "", INDEX(BASE!$D$4:$D$10003, MATCH(A845, BASE!$A$4:$A$10003, 0)))</f>
        <v/>
      </c>
      <c r="E845" t="str">
        <f>IF(A845="", "", INDEX(BASE!$E$4:$E$10003, MATCH(A845, BASE!$A$4:$A$10003, 0)))</f>
        <v/>
      </c>
    </row>
    <row r="846" spans="1:5">
      <c r="A846" t="str">
        <f>IFERROR(INDEX(BASE!$A$4:$A$10003, MATCH(0, COUNTIF($A$1:A845, BASE!$A$4:$A$10003&amp;""), 0)), "")</f>
        <v/>
      </c>
      <c r="B846" t="str">
        <f>IF(A846="", "", VLOOKUP(A846, BASE!$A$4:$B$10003, 2, FALSE))</f>
        <v/>
      </c>
      <c r="C846" t="str">
        <f>IF(A846="", "", SUMIF(BASE!$A$4:$A$10003, A846, BASE!$C$4:$C$10003))</f>
        <v/>
      </c>
      <c r="D846" t="str">
        <f>IF(A846="", "", INDEX(BASE!$D$4:$D$10003, MATCH(A846, BASE!$A$4:$A$10003, 0)))</f>
        <v/>
      </c>
      <c r="E846" t="str">
        <f>IF(A846="", "", INDEX(BASE!$E$4:$E$10003, MATCH(A846, BASE!$A$4:$A$10003, 0)))</f>
        <v/>
      </c>
    </row>
    <row r="847" spans="1:5">
      <c r="A847" t="str">
        <f>IFERROR(INDEX(BASE!$A$4:$A$10003, MATCH(0, COUNTIF($A$1:A846, BASE!$A$4:$A$10003&amp;""), 0)), "")</f>
        <v/>
      </c>
      <c r="B847" t="str">
        <f>IF(A847="", "", VLOOKUP(A847, BASE!$A$4:$B$10003, 2, FALSE))</f>
        <v/>
      </c>
      <c r="C847" t="str">
        <f>IF(A847="", "", SUMIF(BASE!$A$4:$A$10003, A847, BASE!$C$4:$C$10003))</f>
        <v/>
      </c>
      <c r="D847" t="str">
        <f>IF(A847="", "", INDEX(BASE!$D$4:$D$10003, MATCH(A847, BASE!$A$4:$A$10003, 0)))</f>
        <v/>
      </c>
      <c r="E847" t="str">
        <f>IF(A847="", "", INDEX(BASE!$E$4:$E$10003, MATCH(A847, BASE!$A$4:$A$10003, 0)))</f>
        <v/>
      </c>
    </row>
    <row r="848" spans="1:5">
      <c r="A848" t="str">
        <f>IFERROR(INDEX(BASE!$A$4:$A$10003, MATCH(0, COUNTIF($A$1:A847, BASE!$A$4:$A$10003&amp;""), 0)), "")</f>
        <v/>
      </c>
      <c r="B848" t="str">
        <f>IF(A848="", "", VLOOKUP(A848, BASE!$A$4:$B$10003, 2, FALSE))</f>
        <v/>
      </c>
      <c r="C848" t="str">
        <f>IF(A848="", "", SUMIF(BASE!$A$4:$A$10003, A848, BASE!$C$4:$C$10003))</f>
        <v/>
      </c>
      <c r="D848" t="str">
        <f>IF(A848="", "", INDEX(BASE!$D$4:$D$10003, MATCH(A848, BASE!$A$4:$A$10003, 0)))</f>
        <v/>
      </c>
      <c r="E848" t="str">
        <f>IF(A848="", "", INDEX(BASE!$E$4:$E$10003, MATCH(A848, BASE!$A$4:$A$10003, 0)))</f>
        <v/>
      </c>
    </row>
    <row r="849" spans="1:5">
      <c r="A849" t="str">
        <f>IFERROR(INDEX(BASE!$A$4:$A$10003, MATCH(0, COUNTIF($A$1:A848, BASE!$A$4:$A$10003&amp;""), 0)), "")</f>
        <v/>
      </c>
      <c r="B849" t="str">
        <f>IF(A849="", "", VLOOKUP(A849, BASE!$A$4:$B$10003, 2, FALSE))</f>
        <v/>
      </c>
      <c r="C849" t="str">
        <f>IF(A849="", "", SUMIF(BASE!$A$4:$A$10003, A849, BASE!$C$4:$C$10003))</f>
        <v/>
      </c>
      <c r="D849" t="str">
        <f>IF(A849="", "", INDEX(BASE!$D$4:$D$10003, MATCH(A849, BASE!$A$4:$A$10003, 0)))</f>
        <v/>
      </c>
      <c r="E849" t="str">
        <f>IF(A849="", "", INDEX(BASE!$E$4:$E$10003, MATCH(A849, BASE!$A$4:$A$10003, 0)))</f>
        <v/>
      </c>
    </row>
    <row r="850" spans="1:5">
      <c r="A850" t="str">
        <f>IFERROR(INDEX(BASE!$A$4:$A$10003, MATCH(0, COUNTIF($A$1:A849, BASE!$A$4:$A$10003&amp;""), 0)), "")</f>
        <v/>
      </c>
      <c r="B850" t="str">
        <f>IF(A850="", "", VLOOKUP(A850, BASE!$A$4:$B$10003, 2, FALSE))</f>
        <v/>
      </c>
      <c r="C850" t="str">
        <f>IF(A850="", "", SUMIF(BASE!$A$4:$A$10003, A850, BASE!$C$4:$C$10003))</f>
        <v/>
      </c>
      <c r="D850" t="str">
        <f>IF(A850="", "", INDEX(BASE!$D$4:$D$10003, MATCH(A850, BASE!$A$4:$A$10003, 0)))</f>
        <v/>
      </c>
      <c r="E850" t="str">
        <f>IF(A850="", "", INDEX(BASE!$E$4:$E$10003, MATCH(A850, BASE!$A$4:$A$10003, 0)))</f>
        <v/>
      </c>
    </row>
    <row r="851" spans="1:5">
      <c r="A851" t="str">
        <f>IFERROR(INDEX(BASE!$A$4:$A$10003, MATCH(0, COUNTIF($A$1:A850, BASE!$A$4:$A$10003&amp;""), 0)), "")</f>
        <v/>
      </c>
      <c r="B851" t="str">
        <f>IF(A851="", "", VLOOKUP(A851, BASE!$A$4:$B$10003, 2, FALSE))</f>
        <v/>
      </c>
      <c r="C851" t="str">
        <f>IF(A851="", "", SUMIF(BASE!$A$4:$A$10003, A851, BASE!$C$4:$C$10003))</f>
        <v/>
      </c>
      <c r="D851" t="str">
        <f>IF(A851="", "", INDEX(BASE!$D$4:$D$10003, MATCH(A851, BASE!$A$4:$A$10003, 0)))</f>
        <v/>
      </c>
      <c r="E851" t="str">
        <f>IF(A851="", "", INDEX(BASE!$E$4:$E$10003, MATCH(A851, BASE!$A$4:$A$10003, 0)))</f>
        <v/>
      </c>
    </row>
    <row r="852" spans="1:5">
      <c r="A852" t="str">
        <f>IFERROR(INDEX(BASE!$A$4:$A$10003, MATCH(0, COUNTIF($A$1:A851, BASE!$A$4:$A$10003&amp;""), 0)), "")</f>
        <v/>
      </c>
      <c r="B852" t="str">
        <f>IF(A852="", "", VLOOKUP(A852, BASE!$A$4:$B$10003, 2, FALSE))</f>
        <v/>
      </c>
      <c r="C852" t="str">
        <f>IF(A852="", "", SUMIF(BASE!$A$4:$A$10003, A852, BASE!$C$4:$C$10003))</f>
        <v/>
      </c>
      <c r="D852" t="str">
        <f>IF(A852="", "", INDEX(BASE!$D$4:$D$10003, MATCH(A852, BASE!$A$4:$A$10003, 0)))</f>
        <v/>
      </c>
      <c r="E852" t="str">
        <f>IF(A852="", "", INDEX(BASE!$E$4:$E$10003, MATCH(A852, BASE!$A$4:$A$10003, 0)))</f>
        <v/>
      </c>
    </row>
    <row r="853" spans="1:5">
      <c r="A853" t="str">
        <f>IFERROR(INDEX(BASE!$A$4:$A$10003, MATCH(0, COUNTIF($A$1:A852, BASE!$A$4:$A$10003&amp;""), 0)), "")</f>
        <v/>
      </c>
      <c r="B853" t="str">
        <f>IF(A853="", "", VLOOKUP(A853, BASE!$A$4:$B$10003, 2, FALSE))</f>
        <v/>
      </c>
      <c r="C853" t="str">
        <f>IF(A853="", "", SUMIF(BASE!$A$4:$A$10003, A853, BASE!$C$4:$C$10003))</f>
        <v/>
      </c>
      <c r="D853" t="str">
        <f>IF(A853="", "", INDEX(BASE!$D$4:$D$10003, MATCH(A853, BASE!$A$4:$A$10003, 0)))</f>
        <v/>
      </c>
      <c r="E853" t="str">
        <f>IF(A853="", "", INDEX(BASE!$E$4:$E$10003, MATCH(A853, BASE!$A$4:$A$10003, 0)))</f>
        <v/>
      </c>
    </row>
    <row r="854" spans="1:5">
      <c r="A854" t="str">
        <f>IFERROR(INDEX(BASE!$A$4:$A$10003, MATCH(0, COUNTIF($A$1:A853, BASE!$A$4:$A$10003&amp;""), 0)), "")</f>
        <v/>
      </c>
      <c r="B854" t="str">
        <f>IF(A854="", "", VLOOKUP(A854, BASE!$A$4:$B$10003, 2, FALSE))</f>
        <v/>
      </c>
      <c r="C854" t="str">
        <f>IF(A854="", "", SUMIF(BASE!$A$4:$A$10003, A854, BASE!$C$4:$C$10003))</f>
        <v/>
      </c>
      <c r="D854" t="str">
        <f>IF(A854="", "", INDEX(BASE!$D$4:$D$10003, MATCH(A854, BASE!$A$4:$A$10003, 0)))</f>
        <v/>
      </c>
      <c r="E854" t="str">
        <f>IF(A854="", "", INDEX(BASE!$E$4:$E$10003, MATCH(A854, BASE!$A$4:$A$10003, 0)))</f>
        <v/>
      </c>
    </row>
    <row r="855" spans="1:5">
      <c r="A855" t="str">
        <f>IFERROR(INDEX(BASE!$A$4:$A$10003, MATCH(0, COUNTIF($A$1:A854, BASE!$A$4:$A$10003&amp;""), 0)), "")</f>
        <v/>
      </c>
      <c r="B855" t="str">
        <f>IF(A855="", "", VLOOKUP(A855, BASE!$A$4:$B$10003, 2, FALSE))</f>
        <v/>
      </c>
      <c r="C855" t="str">
        <f>IF(A855="", "", SUMIF(BASE!$A$4:$A$10003, A855, BASE!$C$4:$C$10003))</f>
        <v/>
      </c>
      <c r="D855" t="str">
        <f>IF(A855="", "", INDEX(BASE!$D$4:$D$10003, MATCH(A855, BASE!$A$4:$A$10003, 0)))</f>
        <v/>
      </c>
      <c r="E855" t="str">
        <f>IF(A855="", "", INDEX(BASE!$E$4:$E$10003, MATCH(A855, BASE!$A$4:$A$10003, 0)))</f>
        <v/>
      </c>
    </row>
    <row r="856" spans="1:5">
      <c r="A856" t="str">
        <f>IFERROR(INDEX(BASE!$A$4:$A$10003, MATCH(0, COUNTIF($A$1:A855, BASE!$A$4:$A$10003&amp;""), 0)), "")</f>
        <v/>
      </c>
      <c r="B856" t="str">
        <f>IF(A856="", "", VLOOKUP(A856, BASE!$A$4:$B$10003, 2, FALSE))</f>
        <v/>
      </c>
      <c r="C856" t="str">
        <f>IF(A856="", "", SUMIF(BASE!$A$4:$A$10003, A856, BASE!$C$4:$C$10003))</f>
        <v/>
      </c>
      <c r="D856" t="str">
        <f>IF(A856="", "", INDEX(BASE!$D$4:$D$10003, MATCH(A856, BASE!$A$4:$A$10003, 0)))</f>
        <v/>
      </c>
      <c r="E856" t="str">
        <f>IF(A856="", "", INDEX(BASE!$E$4:$E$10003, MATCH(A856, BASE!$A$4:$A$10003, 0)))</f>
        <v/>
      </c>
    </row>
    <row r="857" spans="1:5">
      <c r="A857" t="str">
        <f>IFERROR(INDEX(BASE!$A$4:$A$10003, MATCH(0, COUNTIF($A$1:A856, BASE!$A$4:$A$10003&amp;""), 0)), "")</f>
        <v/>
      </c>
      <c r="B857" t="str">
        <f>IF(A857="", "", VLOOKUP(A857, BASE!$A$4:$B$10003, 2, FALSE))</f>
        <v/>
      </c>
      <c r="C857" t="str">
        <f>IF(A857="", "", SUMIF(BASE!$A$4:$A$10003, A857, BASE!$C$4:$C$10003))</f>
        <v/>
      </c>
      <c r="D857" t="str">
        <f>IF(A857="", "", INDEX(BASE!$D$4:$D$10003, MATCH(A857, BASE!$A$4:$A$10003, 0)))</f>
        <v/>
      </c>
      <c r="E857" t="str">
        <f>IF(A857="", "", INDEX(BASE!$E$4:$E$10003, MATCH(A857, BASE!$A$4:$A$10003, 0)))</f>
        <v/>
      </c>
    </row>
    <row r="858" spans="1:5">
      <c r="A858" t="str">
        <f>IFERROR(INDEX(BASE!$A$4:$A$10003, MATCH(0, COUNTIF($A$1:A857, BASE!$A$4:$A$10003&amp;""), 0)), "")</f>
        <v/>
      </c>
      <c r="B858" t="str">
        <f>IF(A858="", "", VLOOKUP(A858, BASE!$A$4:$B$10003, 2, FALSE))</f>
        <v/>
      </c>
      <c r="C858" t="str">
        <f>IF(A858="", "", SUMIF(BASE!$A$4:$A$10003, A858, BASE!$C$4:$C$10003))</f>
        <v/>
      </c>
      <c r="D858" t="str">
        <f>IF(A858="", "", INDEX(BASE!$D$4:$D$10003, MATCH(A858, BASE!$A$4:$A$10003, 0)))</f>
        <v/>
      </c>
      <c r="E858" t="str">
        <f>IF(A858="", "", INDEX(BASE!$E$4:$E$10003, MATCH(A858, BASE!$A$4:$A$10003, 0)))</f>
        <v/>
      </c>
    </row>
    <row r="859" spans="1:5">
      <c r="A859" t="str">
        <f>IFERROR(INDEX(BASE!$A$4:$A$10003, MATCH(0, COUNTIF($A$1:A858, BASE!$A$4:$A$10003&amp;""), 0)), "")</f>
        <v/>
      </c>
      <c r="B859" t="str">
        <f>IF(A859="", "", VLOOKUP(A859, BASE!$A$4:$B$10003, 2, FALSE))</f>
        <v/>
      </c>
      <c r="C859" t="str">
        <f>IF(A859="", "", SUMIF(BASE!$A$4:$A$10003, A859, BASE!$C$4:$C$10003))</f>
        <v/>
      </c>
      <c r="D859" t="str">
        <f>IF(A859="", "", INDEX(BASE!$D$4:$D$10003, MATCH(A859, BASE!$A$4:$A$10003, 0)))</f>
        <v/>
      </c>
      <c r="E859" t="str">
        <f>IF(A859="", "", INDEX(BASE!$E$4:$E$10003, MATCH(A859, BASE!$A$4:$A$10003, 0)))</f>
        <v/>
      </c>
    </row>
    <row r="860" spans="1:5">
      <c r="A860" t="str">
        <f>IFERROR(INDEX(BASE!$A$4:$A$10003, MATCH(0, COUNTIF($A$1:A859, BASE!$A$4:$A$10003&amp;""), 0)), "")</f>
        <v/>
      </c>
      <c r="B860" t="str">
        <f>IF(A860="", "", VLOOKUP(A860, BASE!$A$4:$B$10003, 2, FALSE))</f>
        <v/>
      </c>
      <c r="C860" t="str">
        <f>IF(A860="", "", SUMIF(BASE!$A$4:$A$10003, A860, BASE!$C$4:$C$10003))</f>
        <v/>
      </c>
      <c r="D860" t="str">
        <f>IF(A860="", "", INDEX(BASE!$D$4:$D$10003, MATCH(A860, BASE!$A$4:$A$10003, 0)))</f>
        <v/>
      </c>
      <c r="E860" t="str">
        <f>IF(A860="", "", INDEX(BASE!$E$4:$E$10003, MATCH(A860, BASE!$A$4:$A$10003, 0)))</f>
        <v/>
      </c>
    </row>
    <row r="861" spans="1:5">
      <c r="A861" t="str">
        <f>IFERROR(INDEX(BASE!$A$4:$A$10003, MATCH(0, COUNTIF($A$1:A860, BASE!$A$4:$A$10003&amp;""), 0)), "")</f>
        <v/>
      </c>
      <c r="B861" t="str">
        <f>IF(A861="", "", VLOOKUP(A861, BASE!$A$4:$B$10003, 2, FALSE))</f>
        <v/>
      </c>
      <c r="C861" t="str">
        <f>IF(A861="", "", SUMIF(BASE!$A$4:$A$10003, A861, BASE!$C$4:$C$10003))</f>
        <v/>
      </c>
      <c r="D861" t="str">
        <f>IF(A861="", "", INDEX(BASE!$D$4:$D$10003, MATCH(A861, BASE!$A$4:$A$10003, 0)))</f>
        <v/>
      </c>
      <c r="E861" t="str">
        <f>IF(A861="", "", INDEX(BASE!$E$4:$E$10003, MATCH(A861, BASE!$A$4:$A$10003, 0)))</f>
        <v/>
      </c>
    </row>
    <row r="862" spans="1:5">
      <c r="A862" t="str">
        <f>IFERROR(INDEX(BASE!$A$4:$A$10003, MATCH(0, COUNTIF($A$1:A861, BASE!$A$4:$A$10003&amp;""), 0)), "")</f>
        <v/>
      </c>
      <c r="B862" t="str">
        <f>IF(A862="", "", VLOOKUP(A862, BASE!$A$4:$B$10003, 2, FALSE))</f>
        <v/>
      </c>
      <c r="C862" t="str">
        <f>IF(A862="", "", SUMIF(BASE!$A$4:$A$10003, A862, BASE!$C$4:$C$10003))</f>
        <v/>
      </c>
      <c r="D862" t="str">
        <f>IF(A862="", "", INDEX(BASE!$D$4:$D$10003, MATCH(A862, BASE!$A$4:$A$10003, 0)))</f>
        <v/>
      </c>
      <c r="E862" t="str">
        <f>IF(A862="", "", INDEX(BASE!$E$4:$E$10003, MATCH(A862, BASE!$A$4:$A$10003, 0)))</f>
        <v/>
      </c>
    </row>
    <row r="863" spans="1:5">
      <c r="A863" t="str">
        <f>IFERROR(INDEX(BASE!$A$4:$A$10003, MATCH(0, COUNTIF($A$1:A862, BASE!$A$4:$A$10003&amp;""), 0)), "")</f>
        <v/>
      </c>
      <c r="B863" t="str">
        <f>IF(A863="", "", VLOOKUP(A863, BASE!$A$4:$B$10003, 2, FALSE))</f>
        <v/>
      </c>
      <c r="C863" t="str">
        <f>IF(A863="", "", SUMIF(BASE!$A$4:$A$10003, A863, BASE!$C$4:$C$10003))</f>
        <v/>
      </c>
      <c r="D863" t="str">
        <f>IF(A863="", "", INDEX(BASE!$D$4:$D$10003, MATCH(A863, BASE!$A$4:$A$10003, 0)))</f>
        <v/>
      </c>
      <c r="E863" t="str">
        <f>IF(A863="", "", INDEX(BASE!$E$4:$E$10003, MATCH(A863, BASE!$A$4:$A$10003, 0)))</f>
        <v/>
      </c>
    </row>
    <row r="864" spans="1:5">
      <c r="A864" t="str">
        <f>IFERROR(INDEX(BASE!$A$4:$A$10003, MATCH(0, COUNTIF($A$1:A863, BASE!$A$4:$A$10003&amp;""), 0)), "")</f>
        <v/>
      </c>
      <c r="B864" t="str">
        <f>IF(A864="", "", VLOOKUP(A864, BASE!$A$4:$B$10003, 2, FALSE))</f>
        <v/>
      </c>
      <c r="C864" t="str">
        <f>IF(A864="", "", SUMIF(BASE!$A$4:$A$10003, A864, BASE!$C$4:$C$10003))</f>
        <v/>
      </c>
      <c r="D864" t="str">
        <f>IF(A864="", "", INDEX(BASE!$D$4:$D$10003, MATCH(A864, BASE!$A$4:$A$10003, 0)))</f>
        <v/>
      </c>
      <c r="E864" t="str">
        <f>IF(A864="", "", INDEX(BASE!$E$4:$E$10003, MATCH(A864, BASE!$A$4:$A$10003, 0)))</f>
        <v/>
      </c>
    </row>
    <row r="865" spans="1:5">
      <c r="A865" t="str">
        <f>IFERROR(INDEX(BASE!$A$4:$A$10003, MATCH(0, COUNTIF($A$1:A864, BASE!$A$4:$A$10003&amp;""), 0)), "")</f>
        <v/>
      </c>
      <c r="B865" t="str">
        <f>IF(A865="", "", VLOOKUP(A865, BASE!$A$4:$B$10003, 2, FALSE))</f>
        <v/>
      </c>
      <c r="C865" t="str">
        <f>IF(A865="", "", SUMIF(BASE!$A$4:$A$10003, A865, BASE!$C$4:$C$10003))</f>
        <v/>
      </c>
      <c r="D865" t="str">
        <f>IF(A865="", "", INDEX(BASE!$D$4:$D$10003, MATCH(A865, BASE!$A$4:$A$10003, 0)))</f>
        <v/>
      </c>
      <c r="E865" t="str">
        <f>IF(A865="", "", INDEX(BASE!$E$4:$E$10003, MATCH(A865, BASE!$A$4:$A$10003, 0)))</f>
        <v/>
      </c>
    </row>
    <row r="866" spans="1:5">
      <c r="A866" t="str">
        <f>IFERROR(INDEX(BASE!$A$4:$A$10003, MATCH(0, COUNTIF($A$1:A865, BASE!$A$4:$A$10003&amp;""), 0)), "")</f>
        <v/>
      </c>
      <c r="B866" t="str">
        <f>IF(A866="", "", VLOOKUP(A866, BASE!$A$4:$B$10003, 2, FALSE))</f>
        <v/>
      </c>
      <c r="C866" t="str">
        <f>IF(A866="", "", SUMIF(BASE!$A$4:$A$10003, A866, BASE!$C$4:$C$10003))</f>
        <v/>
      </c>
      <c r="D866" t="str">
        <f>IF(A866="", "", INDEX(BASE!$D$4:$D$10003, MATCH(A866, BASE!$A$4:$A$10003, 0)))</f>
        <v/>
      </c>
      <c r="E866" t="str">
        <f>IF(A866="", "", INDEX(BASE!$E$4:$E$10003, MATCH(A866, BASE!$A$4:$A$10003, 0)))</f>
        <v/>
      </c>
    </row>
    <row r="867" spans="1:5">
      <c r="A867" t="str">
        <f>IFERROR(INDEX(BASE!$A$4:$A$10003, MATCH(0, COUNTIF($A$1:A866, BASE!$A$4:$A$10003&amp;""), 0)), "")</f>
        <v/>
      </c>
      <c r="B867" t="str">
        <f>IF(A867="", "", VLOOKUP(A867, BASE!$A$4:$B$10003, 2, FALSE))</f>
        <v/>
      </c>
      <c r="C867" t="str">
        <f>IF(A867="", "", SUMIF(BASE!$A$4:$A$10003, A867, BASE!$C$4:$C$10003))</f>
        <v/>
      </c>
      <c r="D867" t="str">
        <f>IF(A867="", "", INDEX(BASE!$D$4:$D$10003, MATCH(A867, BASE!$A$4:$A$10003, 0)))</f>
        <v/>
      </c>
      <c r="E867" t="str">
        <f>IF(A867="", "", INDEX(BASE!$E$4:$E$10003, MATCH(A867, BASE!$A$4:$A$10003, 0)))</f>
        <v/>
      </c>
    </row>
    <row r="868" spans="1:5">
      <c r="A868" t="str">
        <f>IFERROR(INDEX(BASE!$A$4:$A$10003, MATCH(0, COUNTIF($A$1:A867, BASE!$A$4:$A$10003&amp;""), 0)), "")</f>
        <v/>
      </c>
      <c r="B868" t="str">
        <f>IF(A868="", "", VLOOKUP(A868, BASE!$A$4:$B$10003, 2, FALSE))</f>
        <v/>
      </c>
      <c r="C868" t="str">
        <f>IF(A868="", "", SUMIF(BASE!$A$4:$A$10003, A868, BASE!$C$4:$C$10003))</f>
        <v/>
      </c>
      <c r="D868" t="str">
        <f>IF(A868="", "", INDEX(BASE!$D$4:$D$10003, MATCH(A868, BASE!$A$4:$A$10003, 0)))</f>
        <v/>
      </c>
      <c r="E868" t="str">
        <f>IF(A868="", "", INDEX(BASE!$E$4:$E$10003, MATCH(A868, BASE!$A$4:$A$10003, 0)))</f>
        <v/>
      </c>
    </row>
    <row r="869" spans="1:5">
      <c r="A869" t="str">
        <f>IFERROR(INDEX(BASE!$A$4:$A$10003, MATCH(0, COUNTIF($A$1:A868, BASE!$A$4:$A$10003&amp;""), 0)), "")</f>
        <v/>
      </c>
      <c r="B869" t="str">
        <f>IF(A869="", "", VLOOKUP(A869, BASE!$A$4:$B$10003, 2, FALSE))</f>
        <v/>
      </c>
      <c r="C869" t="str">
        <f>IF(A869="", "", SUMIF(BASE!$A$4:$A$10003, A869, BASE!$C$4:$C$10003))</f>
        <v/>
      </c>
      <c r="D869" t="str">
        <f>IF(A869="", "", INDEX(BASE!$D$4:$D$10003, MATCH(A869, BASE!$A$4:$A$10003, 0)))</f>
        <v/>
      </c>
      <c r="E869" t="str">
        <f>IF(A869="", "", INDEX(BASE!$E$4:$E$10003, MATCH(A869, BASE!$A$4:$A$10003, 0)))</f>
        <v/>
      </c>
    </row>
    <row r="870" spans="1:5">
      <c r="A870" t="str">
        <f>IFERROR(INDEX(BASE!$A$4:$A$10003, MATCH(0, COUNTIF($A$1:A869, BASE!$A$4:$A$10003&amp;""), 0)), "")</f>
        <v/>
      </c>
      <c r="B870" t="str">
        <f>IF(A870="", "", VLOOKUP(A870, BASE!$A$4:$B$10003, 2, FALSE))</f>
        <v/>
      </c>
      <c r="C870" t="str">
        <f>IF(A870="", "", SUMIF(BASE!$A$4:$A$10003, A870, BASE!$C$4:$C$10003))</f>
        <v/>
      </c>
      <c r="D870" t="str">
        <f>IF(A870="", "", INDEX(BASE!$D$4:$D$10003, MATCH(A870, BASE!$A$4:$A$10003, 0)))</f>
        <v/>
      </c>
      <c r="E870" t="str">
        <f>IF(A870="", "", INDEX(BASE!$E$4:$E$10003, MATCH(A870, BASE!$A$4:$A$10003, 0)))</f>
        <v/>
      </c>
    </row>
    <row r="871" spans="1:5">
      <c r="A871" t="str">
        <f>IFERROR(INDEX(BASE!$A$4:$A$10003, MATCH(0, COUNTIF($A$1:A870, BASE!$A$4:$A$10003&amp;""), 0)), "")</f>
        <v/>
      </c>
      <c r="B871" t="str">
        <f>IF(A871="", "", VLOOKUP(A871, BASE!$A$4:$B$10003, 2, FALSE))</f>
        <v/>
      </c>
      <c r="C871" t="str">
        <f>IF(A871="", "", SUMIF(BASE!$A$4:$A$10003, A871, BASE!$C$4:$C$10003))</f>
        <v/>
      </c>
      <c r="D871" t="str">
        <f>IF(A871="", "", INDEX(BASE!$D$4:$D$10003, MATCH(A871, BASE!$A$4:$A$10003, 0)))</f>
        <v/>
      </c>
      <c r="E871" t="str">
        <f>IF(A871="", "", INDEX(BASE!$E$4:$E$10003, MATCH(A871, BASE!$A$4:$A$10003, 0)))</f>
        <v/>
      </c>
    </row>
    <row r="872" spans="1:5">
      <c r="A872" t="str">
        <f>IFERROR(INDEX(BASE!$A$4:$A$10003, MATCH(0, COUNTIF($A$1:A871, BASE!$A$4:$A$10003&amp;""), 0)), "")</f>
        <v/>
      </c>
      <c r="B872" t="str">
        <f>IF(A872="", "", VLOOKUP(A872, BASE!$A$4:$B$10003, 2, FALSE))</f>
        <v/>
      </c>
      <c r="C872" t="str">
        <f>IF(A872="", "", SUMIF(BASE!$A$4:$A$10003, A872, BASE!$C$4:$C$10003))</f>
        <v/>
      </c>
      <c r="D872" t="str">
        <f>IF(A872="", "", INDEX(BASE!$D$4:$D$10003, MATCH(A872, BASE!$A$4:$A$10003, 0)))</f>
        <v/>
      </c>
      <c r="E872" t="str">
        <f>IF(A872="", "", INDEX(BASE!$E$4:$E$10003, MATCH(A872, BASE!$A$4:$A$10003, 0)))</f>
        <v/>
      </c>
    </row>
    <row r="873" spans="1:5">
      <c r="A873" t="str">
        <f>IFERROR(INDEX(BASE!$A$4:$A$10003, MATCH(0, COUNTIF($A$1:A872, BASE!$A$4:$A$10003&amp;""), 0)), "")</f>
        <v/>
      </c>
      <c r="B873" t="str">
        <f>IF(A873="", "", VLOOKUP(A873, BASE!$A$4:$B$10003, 2, FALSE))</f>
        <v/>
      </c>
      <c r="C873" t="str">
        <f>IF(A873="", "", SUMIF(BASE!$A$4:$A$10003, A873, BASE!$C$4:$C$10003))</f>
        <v/>
      </c>
      <c r="D873" t="str">
        <f>IF(A873="", "", INDEX(BASE!$D$4:$D$10003, MATCH(A873, BASE!$A$4:$A$10003, 0)))</f>
        <v/>
      </c>
      <c r="E873" t="str">
        <f>IF(A873="", "", INDEX(BASE!$E$4:$E$10003, MATCH(A873, BASE!$A$4:$A$10003, 0)))</f>
        <v/>
      </c>
    </row>
    <row r="874" spans="1:5">
      <c r="A874" t="str">
        <f>IFERROR(INDEX(BASE!$A$4:$A$10003, MATCH(0, COUNTIF($A$1:A873, BASE!$A$4:$A$10003&amp;""), 0)), "")</f>
        <v/>
      </c>
      <c r="B874" t="str">
        <f>IF(A874="", "", VLOOKUP(A874, BASE!$A$4:$B$10003, 2, FALSE))</f>
        <v/>
      </c>
      <c r="C874" t="str">
        <f>IF(A874="", "", SUMIF(BASE!$A$4:$A$10003, A874, BASE!$C$4:$C$10003))</f>
        <v/>
      </c>
      <c r="D874" t="str">
        <f>IF(A874="", "", INDEX(BASE!$D$4:$D$10003, MATCH(A874, BASE!$A$4:$A$10003, 0)))</f>
        <v/>
      </c>
      <c r="E874" t="str">
        <f>IF(A874="", "", INDEX(BASE!$E$4:$E$10003, MATCH(A874, BASE!$A$4:$A$10003, 0)))</f>
        <v/>
      </c>
    </row>
    <row r="875" spans="1:5">
      <c r="A875" t="str">
        <f>IFERROR(INDEX(BASE!$A$4:$A$10003, MATCH(0, COUNTIF($A$1:A874, BASE!$A$4:$A$10003&amp;""), 0)), "")</f>
        <v/>
      </c>
      <c r="B875" t="str">
        <f>IF(A875="", "", VLOOKUP(A875, BASE!$A$4:$B$10003, 2, FALSE))</f>
        <v/>
      </c>
      <c r="C875" t="str">
        <f>IF(A875="", "", SUMIF(BASE!$A$4:$A$10003, A875, BASE!$C$4:$C$10003))</f>
        <v/>
      </c>
      <c r="D875" t="str">
        <f>IF(A875="", "", INDEX(BASE!$D$4:$D$10003, MATCH(A875, BASE!$A$4:$A$10003, 0)))</f>
        <v/>
      </c>
      <c r="E875" t="str">
        <f>IF(A875="", "", INDEX(BASE!$E$4:$E$10003, MATCH(A875, BASE!$A$4:$A$10003, 0)))</f>
        <v/>
      </c>
    </row>
    <row r="876" spans="1:5">
      <c r="A876" t="str">
        <f>IFERROR(INDEX(BASE!$A$4:$A$10003, MATCH(0, COUNTIF($A$1:A875, BASE!$A$4:$A$10003&amp;""), 0)), "")</f>
        <v/>
      </c>
      <c r="B876" t="str">
        <f>IF(A876="", "", VLOOKUP(A876, BASE!$A$4:$B$10003, 2, FALSE))</f>
        <v/>
      </c>
      <c r="C876" t="str">
        <f>IF(A876="", "", SUMIF(BASE!$A$4:$A$10003, A876, BASE!$C$4:$C$10003))</f>
        <v/>
      </c>
      <c r="D876" t="str">
        <f>IF(A876="", "", INDEX(BASE!$D$4:$D$10003, MATCH(A876, BASE!$A$4:$A$10003, 0)))</f>
        <v/>
      </c>
      <c r="E876" t="str">
        <f>IF(A876="", "", INDEX(BASE!$E$4:$E$10003, MATCH(A876, BASE!$A$4:$A$10003, 0)))</f>
        <v/>
      </c>
    </row>
    <row r="877" spans="1:5">
      <c r="A877" t="str">
        <f>IFERROR(INDEX(BASE!$A$4:$A$10003, MATCH(0, COUNTIF($A$1:A876, BASE!$A$4:$A$10003&amp;""), 0)), "")</f>
        <v/>
      </c>
      <c r="B877" t="str">
        <f>IF(A877="", "", VLOOKUP(A877, BASE!$A$4:$B$10003, 2, FALSE))</f>
        <v/>
      </c>
      <c r="C877" t="str">
        <f>IF(A877="", "", SUMIF(BASE!$A$4:$A$10003, A877, BASE!$C$4:$C$10003))</f>
        <v/>
      </c>
      <c r="D877" t="str">
        <f>IF(A877="", "", INDEX(BASE!$D$4:$D$10003, MATCH(A877, BASE!$A$4:$A$10003, 0)))</f>
        <v/>
      </c>
      <c r="E877" t="str">
        <f>IF(A877="", "", INDEX(BASE!$E$4:$E$10003, MATCH(A877, BASE!$A$4:$A$10003, 0)))</f>
        <v/>
      </c>
    </row>
    <row r="878" spans="1:5">
      <c r="A878" t="str">
        <f>IFERROR(INDEX(BASE!$A$4:$A$10003, MATCH(0, COUNTIF($A$1:A877, BASE!$A$4:$A$10003&amp;""), 0)), "")</f>
        <v/>
      </c>
      <c r="B878" t="str">
        <f>IF(A878="", "", VLOOKUP(A878, BASE!$A$4:$B$10003, 2, FALSE))</f>
        <v/>
      </c>
      <c r="C878" t="str">
        <f>IF(A878="", "", SUMIF(BASE!$A$4:$A$10003, A878, BASE!$C$4:$C$10003))</f>
        <v/>
      </c>
      <c r="D878" t="str">
        <f>IF(A878="", "", INDEX(BASE!$D$4:$D$10003, MATCH(A878, BASE!$A$4:$A$10003, 0)))</f>
        <v/>
      </c>
      <c r="E878" t="str">
        <f>IF(A878="", "", INDEX(BASE!$E$4:$E$10003, MATCH(A878, BASE!$A$4:$A$10003, 0)))</f>
        <v/>
      </c>
    </row>
    <row r="879" spans="1:5">
      <c r="A879" t="str">
        <f>IFERROR(INDEX(BASE!$A$4:$A$10003, MATCH(0, COUNTIF($A$1:A878, BASE!$A$4:$A$10003&amp;""), 0)), "")</f>
        <v/>
      </c>
      <c r="B879" t="str">
        <f>IF(A879="", "", VLOOKUP(A879, BASE!$A$4:$B$10003, 2, FALSE))</f>
        <v/>
      </c>
      <c r="C879" t="str">
        <f>IF(A879="", "", SUMIF(BASE!$A$4:$A$10003, A879, BASE!$C$4:$C$10003))</f>
        <v/>
      </c>
      <c r="D879" t="str">
        <f>IF(A879="", "", INDEX(BASE!$D$4:$D$10003, MATCH(A879, BASE!$A$4:$A$10003, 0)))</f>
        <v/>
      </c>
      <c r="E879" t="str">
        <f>IF(A879="", "", INDEX(BASE!$E$4:$E$10003, MATCH(A879, BASE!$A$4:$A$10003, 0)))</f>
        <v/>
      </c>
    </row>
    <row r="880" spans="1:5">
      <c r="A880" t="str">
        <f>IFERROR(INDEX(BASE!$A$4:$A$10003, MATCH(0, COUNTIF($A$1:A879, BASE!$A$4:$A$10003&amp;""), 0)), "")</f>
        <v/>
      </c>
      <c r="B880" t="str">
        <f>IF(A880="", "", VLOOKUP(A880, BASE!$A$4:$B$10003, 2, FALSE))</f>
        <v/>
      </c>
      <c r="C880" t="str">
        <f>IF(A880="", "", SUMIF(BASE!$A$4:$A$10003, A880, BASE!$C$4:$C$10003))</f>
        <v/>
      </c>
      <c r="D880" t="str">
        <f>IF(A880="", "", INDEX(BASE!$D$4:$D$10003, MATCH(A880, BASE!$A$4:$A$10003, 0)))</f>
        <v/>
      </c>
      <c r="E880" t="str">
        <f>IF(A880="", "", INDEX(BASE!$E$4:$E$10003, MATCH(A880, BASE!$A$4:$A$10003, 0)))</f>
        <v/>
      </c>
    </row>
    <row r="881" spans="1:5">
      <c r="A881" t="str">
        <f>IFERROR(INDEX(BASE!$A$4:$A$10003, MATCH(0, COUNTIF($A$1:A880, BASE!$A$4:$A$10003&amp;""), 0)), "")</f>
        <v/>
      </c>
      <c r="B881" t="str">
        <f>IF(A881="", "", VLOOKUP(A881, BASE!$A$4:$B$10003, 2, FALSE))</f>
        <v/>
      </c>
      <c r="C881" t="str">
        <f>IF(A881="", "", SUMIF(BASE!$A$4:$A$10003, A881, BASE!$C$4:$C$10003))</f>
        <v/>
      </c>
      <c r="D881" t="str">
        <f>IF(A881="", "", INDEX(BASE!$D$4:$D$10003, MATCH(A881, BASE!$A$4:$A$10003, 0)))</f>
        <v/>
      </c>
      <c r="E881" t="str">
        <f>IF(A881="", "", INDEX(BASE!$E$4:$E$10003, MATCH(A881, BASE!$A$4:$A$10003, 0)))</f>
        <v/>
      </c>
    </row>
    <row r="882" spans="1:5">
      <c r="A882" t="str">
        <f>IFERROR(INDEX(BASE!$A$4:$A$10003, MATCH(0, COUNTIF($A$1:A881, BASE!$A$4:$A$10003&amp;""), 0)), "")</f>
        <v/>
      </c>
      <c r="B882" t="str">
        <f>IF(A882="", "", VLOOKUP(A882, BASE!$A$4:$B$10003, 2, FALSE))</f>
        <v/>
      </c>
      <c r="C882" t="str">
        <f>IF(A882="", "", SUMIF(BASE!$A$4:$A$10003, A882, BASE!$C$4:$C$10003))</f>
        <v/>
      </c>
      <c r="D882" t="str">
        <f>IF(A882="", "", INDEX(BASE!$D$4:$D$10003, MATCH(A882, BASE!$A$4:$A$10003, 0)))</f>
        <v/>
      </c>
      <c r="E882" t="str">
        <f>IF(A882="", "", INDEX(BASE!$E$4:$E$10003, MATCH(A882, BASE!$A$4:$A$10003, 0)))</f>
        <v/>
      </c>
    </row>
    <row r="883" spans="1:5">
      <c r="A883" t="str">
        <f>IFERROR(INDEX(BASE!$A$4:$A$10003, MATCH(0, COUNTIF($A$1:A882, BASE!$A$4:$A$10003&amp;""), 0)), "")</f>
        <v/>
      </c>
      <c r="B883" t="str">
        <f>IF(A883="", "", VLOOKUP(A883, BASE!$A$4:$B$10003, 2, FALSE))</f>
        <v/>
      </c>
      <c r="C883" t="str">
        <f>IF(A883="", "", SUMIF(BASE!$A$4:$A$10003, A883, BASE!$C$4:$C$10003))</f>
        <v/>
      </c>
      <c r="D883" t="str">
        <f>IF(A883="", "", INDEX(BASE!$D$4:$D$10003, MATCH(A883, BASE!$A$4:$A$10003, 0)))</f>
        <v/>
      </c>
      <c r="E883" t="str">
        <f>IF(A883="", "", INDEX(BASE!$E$4:$E$10003, MATCH(A883, BASE!$A$4:$A$10003, 0)))</f>
        <v/>
      </c>
    </row>
    <row r="884" spans="1:5">
      <c r="A884" t="str">
        <f>IFERROR(INDEX(BASE!$A$4:$A$10003, MATCH(0, COUNTIF($A$1:A883, BASE!$A$4:$A$10003&amp;""), 0)), "")</f>
        <v/>
      </c>
      <c r="B884" t="str">
        <f>IF(A884="", "", VLOOKUP(A884, BASE!$A$4:$B$10003, 2, FALSE))</f>
        <v/>
      </c>
      <c r="C884" t="str">
        <f>IF(A884="", "", SUMIF(BASE!$A$4:$A$10003, A884, BASE!$C$4:$C$10003))</f>
        <v/>
      </c>
      <c r="D884" t="str">
        <f>IF(A884="", "", INDEX(BASE!$D$4:$D$10003, MATCH(A884, BASE!$A$4:$A$10003, 0)))</f>
        <v/>
      </c>
      <c r="E884" t="str">
        <f>IF(A884="", "", INDEX(BASE!$E$4:$E$10003, MATCH(A884, BASE!$A$4:$A$10003, 0)))</f>
        <v/>
      </c>
    </row>
    <row r="885" spans="1:5">
      <c r="A885" t="str">
        <f>IFERROR(INDEX(BASE!$A$4:$A$10003, MATCH(0, COUNTIF($A$1:A884, BASE!$A$4:$A$10003&amp;""), 0)), "")</f>
        <v/>
      </c>
      <c r="B885" t="str">
        <f>IF(A885="", "", VLOOKUP(A885, BASE!$A$4:$B$10003, 2, FALSE))</f>
        <v/>
      </c>
      <c r="C885" t="str">
        <f>IF(A885="", "", SUMIF(BASE!$A$4:$A$10003, A885, BASE!$C$4:$C$10003))</f>
        <v/>
      </c>
      <c r="D885" t="str">
        <f>IF(A885="", "", INDEX(BASE!$D$4:$D$10003, MATCH(A885, BASE!$A$4:$A$10003, 0)))</f>
        <v/>
      </c>
      <c r="E885" t="str">
        <f>IF(A885="", "", INDEX(BASE!$E$4:$E$10003, MATCH(A885, BASE!$A$4:$A$10003, 0)))</f>
        <v/>
      </c>
    </row>
    <row r="886" spans="1:5">
      <c r="A886" t="str">
        <f>IFERROR(INDEX(BASE!$A$4:$A$10003, MATCH(0, COUNTIF($A$1:A885, BASE!$A$4:$A$10003&amp;""), 0)), "")</f>
        <v/>
      </c>
      <c r="B886" t="str">
        <f>IF(A886="", "", VLOOKUP(A886, BASE!$A$4:$B$10003, 2, FALSE))</f>
        <v/>
      </c>
      <c r="C886" t="str">
        <f>IF(A886="", "", SUMIF(BASE!$A$4:$A$10003, A886, BASE!$C$4:$C$10003))</f>
        <v/>
      </c>
      <c r="D886" t="str">
        <f>IF(A886="", "", INDEX(BASE!$D$4:$D$10003, MATCH(A886, BASE!$A$4:$A$10003, 0)))</f>
        <v/>
      </c>
      <c r="E886" t="str">
        <f>IF(A886="", "", INDEX(BASE!$E$4:$E$10003, MATCH(A886, BASE!$A$4:$A$10003, 0)))</f>
        <v/>
      </c>
    </row>
    <row r="887" spans="1:5">
      <c r="A887" t="str">
        <f>IFERROR(INDEX(BASE!$A$4:$A$10003, MATCH(0, COUNTIF($A$1:A886, BASE!$A$4:$A$10003&amp;""), 0)), "")</f>
        <v/>
      </c>
      <c r="B887" t="str">
        <f>IF(A887="", "", VLOOKUP(A887, BASE!$A$4:$B$10003, 2, FALSE))</f>
        <v/>
      </c>
      <c r="C887" t="str">
        <f>IF(A887="", "", SUMIF(BASE!$A$4:$A$10003, A887, BASE!$C$4:$C$10003))</f>
        <v/>
      </c>
      <c r="D887" t="str">
        <f>IF(A887="", "", INDEX(BASE!$D$4:$D$10003, MATCH(A887, BASE!$A$4:$A$10003, 0)))</f>
        <v/>
      </c>
      <c r="E887" t="str">
        <f>IF(A887="", "", INDEX(BASE!$E$4:$E$10003, MATCH(A887, BASE!$A$4:$A$10003, 0)))</f>
        <v/>
      </c>
    </row>
    <row r="888" spans="1:5">
      <c r="A888" t="str">
        <f>IFERROR(INDEX(BASE!$A$4:$A$10003, MATCH(0, COUNTIF($A$1:A887, BASE!$A$4:$A$10003&amp;""), 0)), "")</f>
        <v/>
      </c>
      <c r="B888" t="str">
        <f>IF(A888="", "", VLOOKUP(A888, BASE!$A$4:$B$10003, 2, FALSE))</f>
        <v/>
      </c>
      <c r="C888" t="str">
        <f>IF(A888="", "", SUMIF(BASE!$A$4:$A$10003, A888, BASE!$C$4:$C$10003))</f>
        <v/>
      </c>
      <c r="D888" t="str">
        <f>IF(A888="", "", INDEX(BASE!$D$4:$D$10003, MATCH(A888, BASE!$A$4:$A$10003, 0)))</f>
        <v/>
      </c>
      <c r="E888" t="str">
        <f>IF(A888="", "", INDEX(BASE!$E$4:$E$10003, MATCH(A888, BASE!$A$4:$A$10003, 0)))</f>
        <v/>
      </c>
    </row>
    <row r="889" spans="1:5">
      <c r="A889" t="str">
        <f>IFERROR(INDEX(BASE!$A$4:$A$10003, MATCH(0, COUNTIF($A$1:A888, BASE!$A$4:$A$10003&amp;""), 0)), "")</f>
        <v/>
      </c>
      <c r="B889" t="str">
        <f>IF(A889="", "", VLOOKUP(A889, BASE!$A$4:$B$10003, 2, FALSE))</f>
        <v/>
      </c>
      <c r="C889" t="str">
        <f>IF(A889="", "", SUMIF(BASE!$A$4:$A$10003, A889, BASE!$C$4:$C$10003))</f>
        <v/>
      </c>
      <c r="D889" t="str">
        <f>IF(A889="", "", INDEX(BASE!$D$4:$D$10003, MATCH(A889, BASE!$A$4:$A$10003, 0)))</f>
        <v/>
      </c>
      <c r="E889" t="str">
        <f>IF(A889="", "", INDEX(BASE!$E$4:$E$10003, MATCH(A889, BASE!$A$4:$A$10003, 0)))</f>
        <v/>
      </c>
    </row>
    <row r="890" spans="1:5">
      <c r="A890" t="str">
        <f>IFERROR(INDEX(BASE!$A$4:$A$10003, MATCH(0, COUNTIF($A$1:A889, BASE!$A$4:$A$10003&amp;""), 0)), "")</f>
        <v/>
      </c>
      <c r="B890" t="str">
        <f>IF(A890="", "", VLOOKUP(A890, BASE!$A$4:$B$10003, 2, FALSE))</f>
        <v/>
      </c>
      <c r="C890" t="str">
        <f>IF(A890="", "", SUMIF(BASE!$A$4:$A$10003, A890, BASE!$C$4:$C$10003))</f>
        <v/>
      </c>
      <c r="D890" t="str">
        <f>IF(A890="", "", INDEX(BASE!$D$4:$D$10003, MATCH(A890, BASE!$A$4:$A$10003, 0)))</f>
        <v/>
      </c>
      <c r="E890" t="str">
        <f>IF(A890="", "", INDEX(BASE!$E$4:$E$10003, MATCH(A890, BASE!$A$4:$A$10003, 0)))</f>
        <v/>
      </c>
    </row>
    <row r="891" spans="1:5">
      <c r="A891" t="str">
        <f>IFERROR(INDEX(BASE!$A$4:$A$10003, MATCH(0, COUNTIF($A$1:A890, BASE!$A$4:$A$10003&amp;""), 0)), "")</f>
        <v/>
      </c>
      <c r="B891" t="str">
        <f>IF(A891="", "", VLOOKUP(A891, BASE!$A$4:$B$10003, 2, FALSE))</f>
        <v/>
      </c>
      <c r="C891" t="str">
        <f>IF(A891="", "", SUMIF(BASE!$A$4:$A$10003, A891, BASE!$C$4:$C$10003))</f>
        <v/>
      </c>
      <c r="D891" t="str">
        <f>IF(A891="", "", INDEX(BASE!$D$4:$D$10003, MATCH(A891, BASE!$A$4:$A$10003, 0)))</f>
        <v/>
      </c>
      <c r="E891" t="str">
        <f>IF(A891="", "", INDEX(BASE!$E$4:$E$10003, MATCH(A891, BASE!$A$4:$A$10003, 0)))</f>
        <v/>
      </c>
    </row>
    <row r="892" spans="1:5">
      <c r="A892" t="str">
        <f>IFERROR(INDEX(BASE!$A$4:$A$10003, MATCH(0, COUNTIF($A$1:A891, BASE!$A$4:$A$10003&amp;""), 0)), "")</f>
        <v/>
      </c>
      <c r="B892" t="str">
        <f>IF(A892="", "", VLOOKUP(A892, BASE!$A$4:$B$10003, 2, FALSE))</f>
        <v/>
      </c>
      <c r="C892" t="str">
        <f>IF(A892="", "", SUMIF(BASE!$A$4:$A$10003, A892, BASE!$C$4:$C$10003))</f>
        <v/>
      </c>
      <c r="D892" t="str">
        <f>IF(A892="", "", INDEX(BASE!$D$4:$D$10003, MATCH(A892, BASE!$A$4:$A$10003, 0)))</f>
        <v/>
      </c>
      <c r="E892" t="str">
        <f>IF(A892="", "", INDEX(BASE!$E$4:$E$10003, MATCH(A892, BASE!$A$4:$A$10003, 0)))</f>
        <v/>
      </c>
    </row>
    <row r="893" spans="1:5">
      <c r="A893" t="str">
        <f>IFERROR(INDEX(BASE!$A$4:$A$10003, MATCH(0, COUNTIF($A$1:A892, BASE!$A$4:$A$10003&amp;""), 0)), "")</f>
        <v/>
      </c>
      <c r="B893" t="str">
        <f>IF(A893="", "", VLOOKUP(A893, BASE!$A$4:$B$10003, 2, FALSE))</f>
        <v/>
      </c>
      <c r="C893" t="str">
        <f>IF(A893="", "", SUMIF(BASE!$A$4:$A$10003, A893, BASE!$C$4:$C$10003))</f>
        <v/>
      </c>
      <c r="D893" t="str">
        <f>IF(A893="", "", INDEX(BASE!$D$4:$D$10003, MATCH(A893, BASE!$A$4:$A$10003, 0)))</f>
        <v/>
      </c>
      <c r="E893" t="str">
        <f>IF(A893="", "", INDEX(BASE!$E$4:$E$10003, MATCH(A893, BASE!$A$4:$A$10003, 0)))</f>
        <v/>
      </c>
    </row>
    <row r="894" spans="1:5">
      <c r="A894" t="str">
        <f>IFERROR(INDEX(BASE!$A$4:$A$10003, MATCH(0, COUNTIF($A$1:A893, BASE!$A$4:$A$10003&amp;""), 0)), "")</f>
        <v/>
      </c>
      <c r="B894" t="str">
        <f>IF(A894="", "", VLOOKUP(A894, BASE!$A$4:$B$10003, 2, FALSE))</f>
        <v/>
      </c>
      <c r="C894" t="str">
        <f>IF(A894="", "", SUMIF(BASE!$A$4:$A$10003, A894, BASE!$C$4:$C$10003))</f>
        <v/>
      </c>
      <c r="D894" t="str">
        <f>IF(A894="", "", INDEX(BASE!$D$4:$D$10003, MATCH(A894, BASE!$A$4:$A$10003, 0)))</f>
        <v/>
      </c>
      <c r="E894" t="str">
        <f>IF(A894="", "", INDEX(BASE!$E$4:$E$10003, MATCH(A894, BASE!$A$4:$A$10003, 0)))</f>
        <v/>
      </c>
    </row>
    <row r="895" spans="1:5">
      <c r="A895" t="str">
        <f>IFERROR(INDEX(BASE!$A$4:$A$10003, MATCH(0, COUNTIF($A$1:A894, BASE!$A$4:$A$10003&amp;""), 0)), "")</f>
        <v/>
      </c>
      <c r="B895" t="str">
        <f>IF(A895="", "", VLOOKUP(A895, BASE!$A$4:$B$10003, 2, FALSE))</f>
        <v/>
      </c>
      <c r="C895" t="str">
        <f>IF(A895="", "", SUMIF(BASE!$A$4:$A$10003, A895, BASE!$C$4:$C$10003))</f>
        <v/>
      </c>
      <c r="D895" t="str">
        <f>IF(A895="", "", INDEX(BASE!$D$4:$D$10003, MATCH(A895, BASE!$A$4:$A$10003, 0)))</f>
        <v/>
      </c>
      <c r="E895" t="str">
        <f>IF(A895="", "", INDEX(BASE!$E$4:$E$10003, MATCH(A895, BASE!$A$4:$A$10003, 0)))</f>
        <v/>
      </c>
    </row>
    <row r="896" spans="1:5">
      <c r="A896" t="str">
        <f>IFERROR(INDEX(BASE!$A$4:$A$10003, MATCH(0, COUNTIF($A$1:A895, BASE!$A$4:$A$10003&amp;""), 0)), "")</f>
        <v/>
      </c>
      <c r="B896" t="str">
        <f>IF(A896="", "", VLOOKUP(A896, BASE!$A$4:$B$10003, 2, FALSE))</f>
        <v/>
      </c>
      <c r="C896" t="str">
        <f>IF(A896="", "", SUMIF(BASE!$A$4:$A$10003, A896, BASE!$C$4:$C$10003))</f>
        <v/>
      </c>
      <c r="D896" t="str">
        <f>IF(A896="", "", INDEX(BASE!$D$4:$D$10003, MATCH(A896, BASE!$A$4:$A$10003, 0)))</f>
        <v/>
      </c>
      <c r="E896" t="str">
        <f>IF(A896="", "", INDEX(BASE!$E$4:$E$10003, MATCH(A896, BASE!$A$4:$A$10003, 0)))</f>
        <v/>
      </c>
    </row>
    <row r="897" spans="1:5">
      <c r="A897" t="str">
        <f>IFERROR(INDEX(BASE!$A$4:$A$10003, MATCH(0, COUNTIF($A$1:A896, BASE!$A$4:$A$10003&amp;""), 0)), "")</f>
        <v/>
      </c>
      <c r="B897" t="str">
        <f>IF(A897="", "", VLOOKUP(A897, BASE!$A$4:$B$10003, 2, FALSE))</f>
        <v/>
      </c>
      <c r="C897" t="str">
        <f>IF(A897="", "", SUMIF(BASE!$A$4:$A$10003, A897, BASE!$C$4:$C$10003))</f>
        <v/>
      </c>
      <c r="D897" t="str">
        <f>IF(A897="", "", INDEX(BASE!$D$4:$D$10003, MATCH(A897, BASE!$A$4:$A$10003, 0)))</f>
        <v/>
      </c>
      <c r="E897" t="str">
        <f>IF(A897="", "", INDEX(BASE!$E$4:$E$10003, MATCH(A897, BASE!$A$4:$A$10003, 0)))</f>
        <v/>
      </c>
    </row>
    <row r="898" spans="1:5">
      <c r="A898" t="str">
        <f>IFERROR(INDEX(BASE!$A$4:$A$10003, MATCH(0, COUNTIF($A$1:A897, BASE!$A$4:$A$10003&amp;""), 0)), "")</f>
        <v/>
      </c>
      <c r="B898" t="str">
        <f>IF(A898="", "", VLOOKUP(A898, BASE!$A$4:$B$10003, 2, FALSE))</f>
        <v/>
      </c>
      <c r="C898" t="str">
        <f>IF(A898="", "", SUMIF(BASE!$A$4:$A$10003, A898, BASE!$C$4:$C$10003))</f>
        <v/>
      </c>
      <c r="D898" t="str">
        <f>IF(A898="", "", INDEX(BASE!$D$4:$D$10003, MATCH(A898, BASE!$A$4:$A$10003, 0)))</f>
        <v/>
      </c>
      <c r="E898" t="str">
        <f>IF(A898="", "", INDEX(BASE!$E$4:$E$10003, MATCH(A898, BASE!$A$4:$A$10003, 0)))</f>
        <v/>
      </c>
    </row>
    <row r="899" spans="1:5">
      <c r="A899" t="str">
        <f>IFERROR(INDEX(BASE!$A$4:$A$10003, MATCH(0, COUNTIF($A$1:A898, BASE!$A$4:$A$10003&amp;""), 0)), "")</f>
        <v/>
      </c>
      <c r="B899" t="str">
        <f>IF(A899="", "", VLOOKUP(A899, BASE!$A$4:$B$10003, 2, FALSE))</f>
        <v/>
      </c>
      <c r="C899" t="str">
        <f>IF(A899="", "", SUMIF(BASE!$A$4:$A$10003, A899, BASE!$C$4:$C$10003))</f>
        <v/>
      </c>
      <c r="D899" t="str">
        <f>IF(A899="", "", INDEX(BASE!$D$4:$D$10003, MATCH(A899, BASE!$A$4:$A$10003, 0)))</f>
        <v/>
      </c>
      <c r="E899" t="str">
        <f>IF(A899="", "", INDEX(BASE!$E$4:$E$10003, MATCH(A899, BASE!$A$4:$A$10003, 0)))</f>
        <v/>
      </c>
    </row>
    <row r="900" spans="1:5">
      <c r="A900" t="str">
        <f>IFERROR(INDEX(BASE!$A$4:$A$10003, MATCH(0, COUNTIF($A$1:A899, BASE!$A$4:$A$10003&amp;""), 0)), "")</f>
        <v/>
      </c>
      <c r="B900" t="str">
        <f>IF(A900="", "", VLOOKUP(A900, BASE!$A$4:$B$10003, 2, FALSE))</f>
        <v/>
      </c>
      <c r="C900" t="str">
        <f>IF(A900="", "", SUMIF(BASE!$A$4:$A$10003, A900, BASE!$C$4:$C$10003))</f>
        <v/>
      </c>
      <c r="D900" t="str">
        <f>IF(A900="", "", INDEX(BASE!$D$4:$D$10003, MATCH(A900, BASE!$A$4:$A$10003, 0)))</f>
        <v/>
      </c>
      <c r="E900" t="str">
        <f>IF(A900="", "", INDEX(BASE!$E$4:$E$10003, MATCH(A900, BASE!$A$4:$A$10003, 0)))</f>
        <v/>
      </c>
    </row>
    <row r="901" spans="1:5">
      <c r="A901" t="str">
        <f>IFERROR(INDEX(BASE!$A$4:$A$10003, MATCH(0, COUNTIF($A$1:A900, BASE!$A$4:$A$10003&amp;""), 0)), "")</f>
        <v/>
      </c>
      <c r="B901" t="str">
        <f>IF(A901="", "", VLOOKUP(A901, BASE!$A$4:$B$10003, 2, FALSE))</f>
        <v/>
      </c>
      <c r="C901" t="str">
        <f>IF(A901="", "", SUMIF(BASE!$A$4:$A$10003, A901, BASE!$C$4:$C$10003))</f>
        <v/>
      </c>
      <c r="D901" t="str">
        <f>IF(A901="", "", INDEX(BASE!$D$4:$D$10003, MATCH(A901, BASE!$A$4:$A$10003, 0)))</f>
        <v/>
      </c>
      <c r="E901" t="str">
        <f>IF(A901="", "", INDEX(BASE!$E$4:$E$10003, MATCH(A901, BASE!$A$4:$A$10003, 0)))</f>
        <v/>
      </c>
    </row>
    <row r="902" spans="1:5">
      <c r="A902" t="str">
        <f>IFERROR(INDEX(BASE!$A$4:$A$10003, MATCH(0, COUNTIF($A$1:A901, BASE!$A$4:$A$10003&amp;""), 0)), "")</f>
        <v/>
      </c>
      <c r="B902" t="str">
        <f>IF(A902="", "", VLOOKUP(A902, BASE!$A$4:$B$10003, 2, FALSE))</f>
        <v/>
      </c>
      <c r="C902" t="str">
        <f>IF(A902="", "", SUMIF(BASE!$A$4:$A$10003, A902, BASE!$C$4:$C$10003))</f>
        <v/>
      </c>
      <c r="D902" t="str">
        <f>IF(A902="", "", INDEX(BASE!$D$4:$D$10003, MATCH(A902, BASE!$A$4:$A$10003, 0)))</f>
        <v/>
      </c>
      <c r="E902" t="str">
        <f>IF(A902="", "", INDEX(BASE!$E$4:$E$10003, MATCH(A902, BASE!$A$4:$A$10003, 0)))</f>
        <v/>
      </c>
    </row>
    <row r="903" spans="1:5">
      <c r="A903" t="str">
        <f>IFERROR(INDEX(BASE!$A$4:$A$10003, MATCH(0, COUNTIF($A$1:A902, BASE!$A$4:$A$10003&amp;""), 0)), "")</f>
        <v/>
      </c>
      <c r="B903" t="str">
        <f>IF(A903="", "", VLOOKUP(A903, BASE!$A$4:$B$10003, 2, FALSE))</f>
        <v/>
      </c>
      <c r="C903" t="str">
        <f>IF(A903="", "", SUMIF(BASE!$A$4:$A$10003, A903, BASE!$C$4:$C$10003))</f>
        <v/>
      </c>
      <c r="D903" t="str">
        <f>IF(A903="", "", INDEX(BASE!$D$4:$D$10003, MATCH(A903, BASE!$A$4:$A$10003, 0)))</f>
        <v/>
      </c>
      <c r="E903" t="str">
        <f>IF(A903="", "", INDEX(BASE!$E$4:$E$10003, MATCH(A903, BASE!$A$4:$A$10003, 0)))</f>
        <v/>
      </c>
    </row>
    <row r="904" spans="1:5">
      <c r="A904" t="str">
        <f>IFERROR(INDEX(BASE!$A$4:$A$10003, MATCH(0, COUNTIF($A$1:A903, BASE!$A$4:$A$10003&amp;""), 0)), "")</f>
        <v/>
      </c>
      <c r="B904" t="str">
        <f>IF(A904="", "", VLOOKUP(A904, BASE!$A$4:$B$10003, 2, FALSE))</f>
        <v/>
      </c>
      <c r="C904" t="str">
        <f>IF(A904="", "", SUMIF(BASE!$A$4:$A$10003, A904, BASE!$C$4:$C$10003))</f>
        <v/>
      </c>
      <c r="D904" t="str">
        <f>IF(A904="", "", INDEX(BASE!$D$4:$D$10003, MATCH(A904, BASE!$A$4:$A$10003, 0)))</f>
        <v/>
      </c>
      <c r="E904" t="str">
        <f>IF(A904="", "", INDEX(BASE!$E$4:$E$10003, MATCH(A904, BASE!$A$4:$A$10003, 0)))</f>
        <v/>
      </c>
    </row>
    <row r="905" spans="1:5">
      <c r="A905" t="str">
        <f>IFERROR(INDEX(BASE!$A$4:$A$10003, MATCH(0, COUNTIF($A$1:A904, BASE!$A$4:$A$10003&amp;""), 0)), "")</f>
        <v/>
      </c>
      <c r="B905" t="str">
        <f>IF(A905="", "", VLOOKUP(A905, BASE!$A$4:$B$10003, 2, FALSE))</f>
        <v/>
      </c>
      <c r="C905" t="str">
        <f>IF(A905="", "", SUMIF(BASE!$A$4:$A$10003, A905, BASE!$C$4:$C$10003))</f>
        <v/>
      </c>
      <c r="D905" t="str">
        <f>IF(A905="", "", INDEX(BASE!$D$4:$D$10003, MATCH(A905, BASE!$A$4:$A$10003, 0)))</f>
        <v/>
      </c>
      <c r="E905" t="str">
        <f>IF(A905="", "", INDEX(BASE!$E$4:$E$10003, MATCH(A905, BASE!$A$4:$A$10003, 0)))</f>
        <v/>
      </c>
    </row>
    <row r="906" spans="1:5">
      <c r="A906" t="str">
        <f>IFERROR(INDEX(BASE!$A$4:$A$10003, MATCH(0, COUNTIF($A$1:A905, BASE!$A$4:$A$10003&amp;""), 0)), "")</f>
        <v/>
      </c>
      <c r="B906" t="str">
        <f>IF(A906="", "", VLOOKUP(A906, BASE!$A$4:$B$10003, 2, FALSE))</f>
        <v/>
      </c>
      <c r="C906" t="str">
        <f>IF(A906="", "", SUMIF(BASE!$A$4:$A$10003, A906, BASE!$C$4:$C$10003))</f>
        <v/>
      </c>
      <c r="D906" t="str">
        <f>IF(A906="", "", INDEX(BASE!$D$4:$D$10003, MATCH(A906, BASE!$A$4:$A$10003, 0)))</f>
        <v/>
      </c>
      <c r="E906" t="str">
        <f>IF(A906="", "", INDEX(BASE!$E$4:$E$10003, MATCH(A906, BASE!$A$4:$A$10003, 0)))</f>
        <v/>
      </c>
    </row>
    <row r="907" spans="1:5">
      <c r="A907" t="str">
        <f>IFERROR(INDEX(BASE!$A$4:$A$10003, MATCH(0, COUNTIF($A$1:A906, BASE!$A$4:$A$10003&amp;""), 0)), "")</f>
        <v/>
      </c>
      <c r="B907" t="str">
        <f>IF(A907="", "", VLOOKUP(A907, BASE!$A$4:$B$10003, 2, FALSE))</f>
        <v/>
      </c>
      <c r="C907" t="str">
        <f>IF(A907="", "", SUMIF(BASE!$A$4:$A$10003, A907, BASE!$C$4:$C$10003))</f>
        <v/>
      </c>
      <c r="D907" t="str">
        <f>IF(A907="", "", INDEX(BASE!$D$4:$D$10003, MATCH(A907, BASE!$A$4:$A$10003, 0)))</f>
        <v/>
      </c>
      <c r="E907" t="str">
        <f>IF(A907="", "", INDEX(BASE!$E$4:$E$10003, MATCH(A907, BASE!$A$4:$A$10003, 0)))</f>
        <v/>
      </c>
    </row>
    <row r="908" spans="1:5">
      <c r="A908" t="str">
        <f>IFERROR(INDEX(BASE!$A$4:$A$10003, MATCH(0, COUNTIF($A$1:A907, BASE!$A$4:$A$10003&amp;""), 0)), "")</f>
        <v/>
      </c>
      <c r="B908" t="str">
        <f>IF(A908="", "", VLOOKUP(A908, BASE!$A$4:$B$10003, 2, FALSE))</f>
        <v/>
      </c>
      <c r="C908" t="str">
        <f>IF(A908="", "", SUMIF(BASE!$A$4:$A$10003, A908, BASE!$C$4:$C$10003))</f>
        <v/>
      </c>
      <c r="D908" t="str">
        <f>IF(A908="", "", INDEX(BASE!$D$4:$D$10003, MATCH(A908, BASE!$A$4:$A$10003, 0)))</f>
        <v/>
      </c>
      <c r="E908" t="str">
        <f>IF(A908="", "", INDEX(BASE!$E$4:$E$10003, MATCH(A908, BASE!$A$4:$A$10003, 0)))</f>
        <v/>
      </c>
    </row>
    <row r="909" spans="1:5">
      <c r="A909" t="str">
        <f>IFERROR(INDEX(BASE!$A$4:$A$10003, MATCH(0, COUNTIF($A$1:A908, BASE!$A$4:$A$10003&amp;""), 0)), "")</f>
        <v/>
      </c>
      <c r="B909" t="str">
        <f>IF(A909="", "", VLOOKUP(A909, BASE!$A$4:$B$10003, 2, FALSE))</f>
        <v/>
      </c>
      <c r="C909" t="str">
        <f>IF(A909="", "", SUMIF(BASE!$A$4:$A$10003, A909, BASE!$C$4:$C$10003))</f>
        <v/>
      </c>
      <c r="D909" t="str">
        <f>IF(A909="", "", INDEX(BASE!$D$4:$D$10003, MATCH(A909, BASE!$A$4:$A$10003, 0)))</f>
        <v/>
      </c>
      <c r="E909" t="str">
        <f>IF(A909="", "", INDEX(BASE!$E$4:$E$10003, MATCH(A909, BASE!$A$4:$A$10003, 0)))</f>
        <v/>
      </c>
    </row>
    <row r="910" spans="1:5">
      <c r="A910" t="str">
        <f>IFERROR(INDEX(BASE!$A$4:$A$10003, MATCH(0, COUNTIF($A$1:A909, BASE!$A$4:$A$10003&amp;""), 0)), "")</f>
        <v/>
      </c>
      <c r="B910" t="str">
        <f>IF(A910="", "", VLOOKUP(A910, BASE!$A$4:$B$10003, 2, FALSE))</f>
        <v/>
      </c>
      <c r="C910" t="str">
        <f>IF(A910="", "", SUMIF(BASE!$A$4:$A$10003, A910, BASE!$C$4:$C$10003))</f>
        <v/>
      </c>
      <c r="D910" t="str">
        <f>IF(A910="", "", INDEX(BASE!$D$4:$D$10003, MATCH(A910, BASE!$A$4:$A$10003, 0)))</f>
        <v/>
      </c>
      <c r="E910" t="str">
        <f>IF(A910="", "", INDEX(BASE!$E$4:$E$10003, MATCH(A910, BASE!$A$4:$A$10003, 0)))</f>
        <v/>
      </c>
    </row>
    <row r="911" spans="1:5">
      <c r="A911" t="str">
        <f>IFERROR(INDEX(BASE!$A$4:$A$10003, MATCH(0, COUNTIF($A$1:A910, BASE!$A$4:$A$10003&amp;""), 0)), "")</f>
        <v/>
      </c>
      <c r="B911" t="str">
        <f>IF(A911="", "", VLOOKUP(A911, BASE!$A$4:$B$10003, 2, FALSE))</f>
        <v/>
      </c>
      <c r="C911" t="str">
        <f>IF(A911="", "", SUMIF(BASE!$A$4:$A$10003, A911, BASE!$C$4:$C$10003))</f>
        <v/>
      </c>
      <c r="D911" t="str">
        <f>IF(A911="", "", INDEX(BASE!$D$4:$D$10003, MATCH(A911, BASE!$A$4:$A$10003, 0)))</f>
        <v/>
      </c>
      <c r="E911" t="str">
        <f>IF(A911="", "", INDEX(BASE!$E$4:$E$10003, MATCH(A911, BASE!$A$4:$A$10003, 0)))</f>
        <v/>
      </c>
    </row>
    <row r="912" spans="1:5">
      <c r="A912" t="str">
        <f>IFERROR(INDEX(BASE!$A$4:$A$10003, MATCH(0, COUNTIF($A$1:A911, BASE!$A$4:$A$10003&amp;""), 0)), "")</f>
        <v/>
      </c>
      <c r="B912" t="str">
        <f>IF(A912="", "", VLOOKUP(A912, BASE!$A$4:$B$10003, 2, FALSE))</f>
        <v/>
      </c>
      <c r="C912" t="str">
        <f>IF(A912="", "", SUMIF(BASE!$A$4:$A$10003, A912, BASE!$C$4:$C$10003))</f>
        <v/>
      </c>
      <c r="D912" t="str">
        <f>IF(A912="", "", INDEX(BASE!$D$4:$D$10003, MATCH(A912, BASE!$A$4:$A$10003, 0)))</f>
        <v/>
      </c>
      <c r="E912" t="str">
        <f>IF(A912="", "", INDEX(BASE!$E$4:$E$10003, MATCH(A912, BASE!$A$4:$A$10003, 0)))</f>
        <v/>
      </c>
    </row>
    <row r="913" spans="1:5">
      <c r="A913" t="str">
        <f>IFERROR(INDEX(BASE!$A$4:$A$10003, MATCH(0, COUNTIF($A$1:A912, BASE!$A$4:$A$10003&amp;""), 0)), "")</f>
        <v/>
      </c>
      <c r="B913" t="str">
        <f>IF(A913="", "", VLOOKUP(A913, BASE!$A$4:$B$10003, 2, FALSE))</f>
        <v/>
      </c>
      <c r="C913" t="str">
        <f>IF(A913="", "", SUMIF(BASE!$A$4:$A$10003, A913, BASE!$C$4:$C$10003))</f>
        <v/>
      </c>
      <c r="D913" t="str">
        <f>IF(A913="", "", INDEX(BASE!$D$4:$D$10003, MATCH(A913, BASE!$A$4:$A$10003, 0)))</f>
        <v/>
      </c>
      <c r="E913" t="str">
        <f>IF(A913="", "", INDEX(BASE!$E$4:$E$10003, MATCH(A913, BASE!$A$4:$A$10003, 0)))</f>
        <v/>
      </c>
    </row>
    <row r="914" spans="1:5">
      <c r="A914" t="str">
        <f>IFERROR(INDEX(BASE!$A$4:$A$10003, MATCH(0, COUNTIF($A$1:A913, BASE!$A$4:$A$10003&amp;""), 0)), "")</f>
        <v/>
      </c>
      <c r="B914" t="str">
        <f>IF(A914="", "", VLOOKUP(A914, BASE!$A$4:$B$10003, 2, FALSE))</f>
        <v/>
      </c>
      <c r="C914" t="str">
        <f>IF(A914="", "", SUMIF(BASE!$A$4:$A$10003, A914, BASE!$C$4:$C$10003))</f>
        <v/>
      </c>
      <c r="D914" t="str">
        <f>IF(A914="", "", INDEX(BASE!$D$4:$D$10003, MATCH(A914, BASE!$A$4:$A$10003, 0)))</f>
        <v/>
      </c>
      <c r="E914" t="str">
        <f>IF(A914="", "", INDEX(BASE!$E$4:$E$10003, MATCH(A914, BASE!$A$4:$A$10003, 0)))</f>
        <v/>
      </c>
    </row>
    <row r="915" spans="1:5">
      <c r="A915" t="str">
        <f>IFERROR(INDEX(BASE!$A$4:$A$10003, MATCH(0, COUNTIF($A$1:A914, BASE!$A$4:$A$10003&amp;""), 0)), "")</f>
        <v/>
      </c>
      <c r="B915" t="str">
        <f>IF(A915="", "", VLOOKUP(A915, BASE!$A$4:$B$10003, 2, FALSE))</f>
        <v/>
      </c>
      <c r="C915" t="str">
        <f>IF(A915="", "", SUMIF(BASE!$A$4:$A$10003, A915, BASE!$C$4:$C$10003))</f>
        <v/>
      </c>
      <c r="D915" t="str">
        <f>IF(A915="", "", INDEX(BASE!$D$4:$D$10003, MATCH(A915, BASE!$A$4:$A$10003, 0)))</f>
        <v/>
      </c>
      <c r="E915" t="str">
        <f>IF(A915="", "", INDEX(BASE!$E$4:$E$10003, MATCH(A915, BASE!$A$4:$A$10003, 0)))</f>
        <v/>
      </c>
    </row>
    <row r="916" spans="1:5">
      <c r="A916" t="str">
        <f>IFERROR(INDEX(BASE!$A$4:$A$10003, MATCH(0, COUNTIF($A$1:A915, BASE!$A$4:$A$10003&amp;""), 0)), "")</f>
        <v/>
      </c>
      <c r="B916" t="str">
        <f>IF(A916="", "", VLOOKUP(A916, BASE!$A$4:$B$10003, 2, FALSE))</f>
        <v/>
      </c>
      <c r="C916" t="str">
        <f>IF(A916="", "", SUMIF(BASE!$A$4:$A$10003, A916, BASE!$C$4:$C$10003))</f>
        <v/>
      </c>
      <c r="D916" t="str">
        <f>IF(A916="", "", INDEX(BASE!$D$4:$D$10003, MATCH(A916, BASE!$A$4:$A$10003, 0)))</f>
        <v/>
      </c>
      <c r="E916" t="str">
        <f>IF(A916="", "", INDEX(BASE!$E$4:$E$10003, MATCH(A916, BASE!$A$4:$A$10003, 0)))</f>
        <v/>
      </c>
    </row>
    <row r="917" spans="1:5">
      <c r="A917" t="str">
        <f>IFERROR(INDEX(BASE!$A$4:$A$10003, MATCH(0, COUNTIF($A$1:A916, BASE!$A$4:$A$10003&amp;""), 0)), "")</f>
        <v/>
      </c>
      <c r="B917" t="str">
        <f>IF(A917="", "", VLOOKUP(A917, BASE!$A$4:$B$10003, 2, FALSE))</f>
        <v/>
      </c>
      <c r="C917" t="str">
        <f>IF(A917="", "", SUMIF(BASE!$A$4:$A$10003, A917, BASE!$C$4:$C$10003))</f>
        <v/>
      </c>
      <c r="D917" t="str">
        <f>IF(A917="", "", INDEX(BASE!$D$4:$D$10003, MATCH(A917, BASE!$A$4:$A$10003, 0)))</f>
        <v/>
      </c>
      <c r="E917" t="str">
        <f>IF(A917="", "", INDEX(BASE!$E$4:$E$10003, MATCH(A917, BASE!$A$4:$A$10003, 0)))</f>
        <v/>
      </c>
    </row>
    <row r="918" spans="1:5">
      <c r="A918" t="str">
        <f>IFERROR(INDEX(BASE!$A$4:$A$10003, MATCH(0, COUNTIF($A$1:A917, BASE!$A$4:$A$10003&amp;""), 0)), "")</f>
        <v/>
      </c>
      <c r="B918" t="str">
        <f>IF(A918="", "", VLOOKUP(A918, BASE!$A$4:$B$10003, 2, FALSE))</f>
        <v/>
      </c>
      <c r="C918" t="str">
        <f>IF(A918="", "", SUMIF(BASE!$A$4:$A$10003, A918, BASE!$C$4:$C$10003))</f>
        <v/>
      </c>
      <c r="D918" t="str">
        <f>IF(A918="", "", INDEX(BASE!$D$4:$D$10003, MATCH(A918, BASE!$A$4:$A$10003, 0)))</f>
        <v/>
      </c>
      <c r="E918" t="str">
        <f>IF(A918="", "", INDEX(BASE!$E$4:$E$10003, MATCH(A918, BASE!$A$4:$A$10003, 0)))</f>
        <v/>
      </c>
    </row>
    <row r="919" spans="1:5">
      <c r="A919" t="str">
        <f>IFERROR(INDEX(BASE!$A$4:$A$10003, MATCH(0, COUNTIF($A$1:A918, BASE!$A$4:$A$10003&amp;""), 0)), "")</f>
        <v/>
      </c>
      <c r="B919" t="str">
        <f>IF(A919="", "", VLOOKUP(A919, BASE!$A$4:$B$10003, 2, FALSE))</f>
        <v/>
      </c>
      <c r="C919" t="str">
        <f>IF(A919="", "", SUMIF(BASE!$A$4:$A$10003, A919, BASE!$C$4:$C$10003))</f>
        <v/>
      </c>
      <c r="D919" t="str">
        <f>IF(A919="", "", INDEX(BASE!$D$4:$D$10003, MATCH(A919, BASE!$A$4:$A$10003, 0)))</f>
        <v/>
      </c>
      <c r="E919" t="str">
        <f>IF(A919="", "", INDEX(BASE!$E$4:$E$10003, MATCH(A919, BASE!$A$4:$A$10003, 0)))</f>
        <v/>
      </c>
    </row>
    <row r="920" spans="1:5">
      <c r="A920" t="str">
        <f>IFERROR(INDEX(BASE!$A$4:$A$10003, MATCH(0, COUNTIF($A$1:A919, BASE!$A$4:$A$10003&amp;""), 0)), "")</f>
        <v/>
      </c>
      <c r="B920" t="str">
        <f>IF(A920="", "", VLOOKUP(A920, BASE!$A$4:$B$10003, 2, FALSE))</f>
        <v/>
      </c>
      <c r="C920" t="str">
        <f>IF(A920="", "", SUMIF(BASE!$A$4:$A$10003, A920, BASE!$C$4:$C$10003))</f>
        <v/>
      </c>
      <c r="D920" t="str">
        <f>IF(A920="", "", INDEX(BASE!$D$4:$D$10003, MATCH(A920, BASE!$A$4:$A$10003, 0)))</f>
        <v/>
      </c>
      <c r="E920" t="str">
        <f>IF(A920="", "", INDEX(BASE!$E$4:$E$10003, MATCH(A920, BASE!$A$4:$A$10003, 0)))</f>
        <v/>
      </c>
    </row>
    <row r="921" spans="1:5">
      <c r="A921" t="str">
        <f>IFERROR(INDEX(BASE!$A$4:$A$10003, MATCH(0, COUNTIF($A$1:A920, BASE!$A$4:$A$10003&amp;""), 0)), "")</f>
        <v/>
      </c>
      <c r="B921" t="str">
        <f>IF(A921="", "", VLOOKUP(A921, BASE!$A$4:$B$10003, 2, FALSE))</f>
        <v/>
      </c>
      <c r="C921" t="str">
        <f>IF(A921="", "", SUMIF(BASE!$A$4:$A$10003, A921, BASE!$C$4:$C$10003))</f>
        <v/>
      </c>
      <c r="D921" t="str">
        <f>IF(A921="", "", INDEX(BASE!$D$4:$D$10003, MATCH(A921, BASE!$A$4:$A$10003, 0)))</f>
        <v/>
      </c>
      <c r="E921" t="str">
        <f>IF(A921="", "", INDEX(BASE!$E$4:$E$10003, MATCH(A921, BASE!$A$4:$A$10003, 0)))</f>
        <v/>
      </c>
    </row>
    <row r="922" spans="1:5">
      <c r="A922" t="str">
        <f>IFERROR(INDEX(BASE!$A$4:$A$10003, MATCH(0, COUNTIF($A$1:A921, BASE!$A$4:$A$10003&amp;""), 0)), "")</f>
        <v/>
      </c>
      <c r="B922" t="str">
        <f>IF(A922="", "", VLOOKUP(A922, BASE!$A$4:$B$10003, 2, FALSE))</f>
        <v/>
      </c>
      <c r="C922" t="str">
        <f>IF(A922="", "", SUMIF(BASE!$A$4:$A$10003, A922, BASE!$C$4:$C$10003))</f>
        <v/>
      </c>
      <c r="D922" t="str">
        <f>IF(A922="", "", INDEX(BASE!$D$4:$D$10003, MATCH(A922, BASE!$A$4:$A$10003, 0)))</f>
        <v/>
      </c>
      <c r="E922" t="str">
        <f>IF(A922="", "", INDEX(BASE!$E$4:$E$10003, MATCH(A922, BASE!$A$4:$A$10003, 0)))</f>
        <v/>
      </c>
    </row>
    <row r="923" spans="1:5">
      <c r="A923" t="str">
        <f>IFERROR(INDEX(BASE!$A$4:$A$10003, MATCH(0, COUNTIF($A$1:A922, BASE!$A$4:$A$10003&amp;""), 0)), "")</f>
        <v/>
      </c>
      <c r="B923" t="str">
        <f>IF(A923="", "", VLOOKUP(A923, BASE!$A$4:$B$10003, 2, FALSE))</f>
        <v/>
      </c>
      <c r="C923" t="str">
        <f>IF(A923="", "", SUMIF(BASE!$A$4:$A$10003, A923, BASE!$C$4:$C$10003))</f>
        <v/>
      </c>
      <c r="D923" t="str">
        <f>IF(A923="", "", INDEX(BASE!$D$4:$D$10003, MATCH(A923, BASE!$A$4:$A$10003, 0)))</f>
        <v/>
      </c>
      <c r="E923" t="str">
        <f>IF(A923="", "", INDEX(BASE!$E$4:$E$10003, MATCH(A923, BASE!$A$4:$A$10003, 0)))</f>
        <v/>
      </c>
    </row>
    <row r="924" spans="1:5">
      <c r="A924" t="str">
        <f>IFERROR(INDEX(BASE!$A$4:$A$10003, MATCH(0, COUNTIF($A$1:A923, BASE!$A$4:$A$10003&amp;""), 0)), "")</f>
        <v/>
      </c>
      <c r="B924" t="str">
        <f>IF(A924="", "", VLOOKUP(A924, BASE!$A$4:$B$10003, 2, FALSE))</f>
        <v/>
      </c>
      <c r="C924" t="str">
        <f>IF(A924="", "", SUMIF(BASE!$A$4:$A$10003, A924, BASE!$C$4:$C$10003))</f>
        <v/>
      </c>
      <c r="D924" t="str">
        <f>IF(A924="", "", INDEX(BASE!$D$4:$D$10003, MATCH(A924, BASE!$A$4:$A$10003, 0)))</f>
        <v/>
      </c>
      <c r="E924" t="str">
        <f>IF(A924="", "", INDEX(BASE!$E$4:$E$10003, MATCH(A924, BASE!$A$4:$A$10003, 0)))</f>
        <v/>
      </c>
    </row>
    <row r="925" spans="1:5">
      <c r="A925" t="str">
        <f>IFERROR(INDEX(BASE!$A$4:$A$10003, MATCH(0, COUNTIF($A$1:A924, BASE!$A$4:$A$10003&amp;""), 0)), "")</f>
        <v/>
      </c>
      <c r="B925" t="str">
        <f>IF(A925="", "", VLOOKUP(A925, BASE!$A$4:$B$10003, 2, FALSE))</f>
        <v/>
      </c>
      <c r="C925" t="str">
        <f>IF(A925="", "", SUMIF(BASE!$A$4:$A$10003, A925, BASE!$C$4:$C$10003))</f>
        <v/>
      </c>
      <c r="D925" t="str">
        <f>IF(A925="", "", INDEX(BASE!$D$4:$D$10003, MATCH(A925, BASE!$A$4:$A$10003, 0)))</f>
        <v/>
      </c>
      <c r="E925" t="str">
        <f>IF(A925="", "", INDEX(BASE!$E$4:$E$10003, MATCH(A925, BASE!$A$4:$A$10003, 0)))</f>
        <v/>
      </c>
    </row>
    <row r="926" spans="1:5">
      <c r="A926" t="str">
        <f>IFERROR(INDEX(BASE!$A$4:$A$10003, MATCH(0, COUNTIF($A$1:A925, BASE!$A$4:$A$10003&amp;""), 0)), "")</f>
        <v/>
      </c>
      <c r="B926" t="str">
        <f>IF(A926="", "", VLOOKUP(A926, BASE!$A$4:$B$10003, 2, FALSE))</f>
        <v/>
      </c>
      <c r="C926" t="str">
        <f>IF(A926="", "", SUMIF(BASE!$A$4:$A$10003, A926, BASE!$C$4:$C$10003))</f>
        <v/>
      </c>
      <c r="D926" t="str">
        <f>IF(A926="", "", INDEX(BASE!$D$4:$D$10003, MATCH(A926, BASE!$A$4:$A$10003, 0)))</f>
        <v/>
      </c>
      <c r="E926" t="str">
        <f>IF(A926="", "", INDEX(BASE!$E$4:$E$10003, MATCH(A926, BASE!$A$4:$A$10003, 0)))</f>
        <v/>
      </c>
    </row>
    <row r="927" spans="1:5">
      <c r="A927" t="str">
        <f>IFERROR(INDEX(BASE!$A$4:$A$10003, MATCH(0, COUNTIF($A$1:A926, BASE!$A$4:$A$10003&amp;""), 0)), "")</f>
        <v/>
      </c>
      <c r="B927" t="str">
        <f>IF(A927="", "", VLOOKUP(A927, BASE!$A$4:$B$10003, 2, FALSE))</f>
        <v/>
      </c>
      <c r="C927" t="str">
        <f>IF(A927="", "", SUMIF(BASE!$A$4:$A$10003, A927, BASE!$C$4:$C$10003))</f>
        <v/>
      </c>
      <c r="D927" t="str">
        <f>IF(A927="", "", INDEX(BASE!$D$4:$D$10003, MATCH(A927, BASE!$A$4:$A$10003, 0)))</f>
        <v/>
      </c>
      <c r="E927" t="str">
        <f>IF(A927="", "", INDEX(BASE!$E$4:$E$10003, MATCH(A927, BASE!$A$4:$A$10003, 0)))</f>
        <v/>
      </c>
    </row>
    <row r="928" spans="1:5">
      <c r="A928" t="str">
        <f>IFERROR(INDEX(BASE!$A$4:$A$10003, MATCH(0, COUNTIF($A$1:A927, BASE!$A$4:$A$10003&amp;""), 0)), "")</f>
        <v/>
      </c>
      <c r="B928" t="str">
        <f>IF(A928="", "", VLOOKUP(A928, BASE!$A$4:$B$10003, 2, FALSE))</f>
        <v/>
      </c>
      <c r="C928" t="str">
        <f>IF(A928="", "", SUMIF(BASE!$A$4:$A$10003, A928, BASE!$C$4:$C$10003))</f>
        <v/>
      </c>
      <c r="D928" t="str">
        <f>IF(A928="", "", INDEX(BASE!$D$4:$D$10003, MATCH(A928, BASE!$A$4:$A$10003, 0)))</f>
        <v/>
      </c>
      <c r="E928" t="str">
        <f>IF(A928="", "", INDEX(BASE!$E$4:$E$10003, MATCH(A928, BASE!$A$4:$A$10003, 0)))</f>
        <v/>
      </c>
    </row>
    <row r="929" spans="1:5">
      <c r="A929" t="str">
        <f>IFERROR(INDEX(BASE!$A$4:$A$10003, MATCH(0, COUNTIF($A$1:A928, BASE!$A$4:$A$10003&amp;""), 0)), "")</f>
        <v/>
      </c>
      <c r="B929" t="str">
        <f>IF(A929="", "", VLOOKUP(A929, BASE!$A$4:$B$10003, 2, FALSE))</f>
        <v/>
      </c>
      <c r="C929" t="str">
        <f>IF(A929="", "", SUMIF(BASE!$A$4:$A$10003, A929, BASE!$C$4:$C$10003))</f>
        <v/>
      </c>
      <c r="D929" t="str">
        <f>IF(A929="", "", INDEX(BASE!$D$4:$D$10003, MATCH(A929, BASE!$A$4:$A$10003, 0)))</f>
        <v/>
      </c>
      <c r="E929" t="str">
        <f>IF(A929="", "", INDEX(BASE!$E$4:$E$10003, MATCH(A929, BASE!$A$4:$A$10003, 0)))</f>
        <v/>
      </c>
    </row>
    <row r="930" spans="1:5">
      <c r="A930" t="str">
        <f>IFERROR(INDEX(BASE!$A$4:$A$10003, MATCH(0, COUNTIF($A$1:A929, BASE!$A$4:$A$10003&amp;""), 0)), "")</f>
        <v/>
      </c>
      <c r="B930" t="str">
        <f>IF(A930="", "", VLOOKUP(A930, BASE!$A$4:$B$10003, 2, FALSE))</f>
        <v/>
      </c>
      <c r="C930" t="str">
        <f>IF(A930="", "", SUMIF(BASE!$A$4:$A$10003, A930, BASE!$C$4:$C$10003))</f>
        <v/>
      </c>
      <c r="D930" t="str">
        <f>IF(A930="", "", INDEX(BASE!$D$4:$D$10003, MATCH(A930, BASE!$A$4:$A$10003, 0)))</f>
        <v/>
      </c>
      <c r="E930" t="str">
        <f>IF(A930="", "", INDEX(BASE!$E$4:$E$10003, MATCH(A930, BASE!$A$4:$A$10003, 0)))</f>
        <v/>
      </c>
    </row>
    <row r="931" spans="1:5">
      <c r="A931" t="str">
        <f>IFERROR(INDEX(BASE!$A$4:$A$10003, MATCH(0, COUNTIF($A$1:A930, BASE!$A$4:$A$10003&amp;""), 0)), "")</f>
        <v/>
      </c>
      <c r="B931" t="str">
        <f>IF(A931="", "", VLOOKUP(A931, BASE!$A$4:$B$10003, 2, FALSE))</f>
        <v/>
      </c>
      <c r="C931" t="str">
        <f>IF(A931="", "", SUMIF(BASE!$A$4:$A$10003, A931, BASE!$C$4:$C$10003))</f>
        <v/>
      </c>
      <c r="D931" t="str">
        <f>IF(A931="", "", INDEX(BASE!$D$4:$D$10003, MATCH(A931, BASE!$A$4:$A$10003, 0)))</f>
        <v/>
      </c>
      <c r="E931" t="str">
        <f>IF(A931="", "", INDEX(BASE!$E$4:$E$10003, MATCH(A931, BASE!$A$4:$A$10003, 0)))</f>
        <v/>
      </c>
    </row>
    <row r="932" spans="1:5">
      <c r="A932" t="str">
        <f>IFERROR(INDEX(BASE!$A$4:$A$10003, MATCH(0, COUNTIF($A$1:A931, BASE!$A$4:$A$10003&amp;""), 0)), "")</f>
        <v/>
      </c>
      <c r="B932" t="str">
        <f>IF(A932="", "", VLOOKUP(A932, BASE!$A$4:$B$10003, 2, FALSE))</f>
        <v/>
      </c>
      <c r="C932" t="str">
        <f>IF(A932="", "", SUMIF(BASE!$A$4:$A$10003, A932, BASE!$C$4:$C$10003))</f>
        <v/>
      </c>
      <c r="D932" t="str">
        <f>IF(A932="", "", INDEX(BASE!$D$4:$D$10003, MATCH(A932, BASE!$A$4:$A$10003, 0)))</f>
        <v/>
      </c>
      <c r="E932" t="str">
        <f>IF(A932="", "", INDEX(BASE!$E$4:$E$10003, MATCH(A932, BASE!$A$4:$A$10003, 0)))</f>
        <v/>
      </c>
    </row>
    <row r="933" spans="1:5">
      <c r="A933" t="str">
        <f>IFERROR(INDEX(BASE!$A$4:$A$10003, MATCH(0, COUNTIF($A$1:A932, BASE!$A$4:$A$10003&amp;""), 0)), "")</f>
        <v/>
      </c>
      <c r="B933" t="str">
        <f>IF(A933="", "", VLOOKUP(A933, BASE!$A$4:$B$10003, 2, FALSE))</f>
        <v/>
      </c>
      <c r="C933" t="str">
        <f>IF(A933="", "", SUMIF(BASE!$A$4:$A$10003, A933, BASE!$C$4:$C$10003))</f>
        <v/>
      </c>
      <c r="D933" t="str">
        <f>IF(A933="", "", INDEX(BASE!$D$4:$D$10003, MATCH(A933, BASE!$A$4:$A$10003, 0)))</f>
        <v/>
      </c>
      <c r="E933" t="str">
        <f>IF(A933="", "", INDEX(BASE!$E$4:$E$10003, MATCH(A933, BASE!$A$4:$A$10003, 0)))</f>
        <v/>
      </c>
    </row>
    <row r="934" spans="1:5">
      <c r="A934" t="str">
        <f>IFERROR(INDEX(BASE!$A$4:$A$10003, MATCH(0, COUNTIF($A$1:A933, BASE!$A$4:$A$10003&amp;""), 0)), "")</f>
        <v/>
      </c>
      <c r="B934" t="str">
        <f>IF(A934="", "", VLOOKUP(A934, BASE!$A$4:$B$10003, 2, FALSE))</f>
        <v/>
      </c>
      <c r="C934" t="str">
        <f>IF(A934="", "", SUMIF(BASE!$A$4:$A$10003, A934, BASE!$C$4:$C$10003))</f>
        <v/>
      </c>
      <c r="D934" t="str">
        <f>IF(A934="", "", INDEX(BASE!$D$4:$D$10003, MATCH(A934, BASE!$A$4:$A$10003, 0)))</f>
        <v/>
      </c>
      <c r="E934" t="str">
        <f>IF(A934="", "", INDEX(BASE!$E$4:$E$10003, MATCH(A934, BASE!$A$4:$A$10003, 0)))</f>
        <v/>
      </c>
    </row>
    <row r="935" spans="1:5">
      <c r="A935" t="str">
        <f>IFERROR(INDEX(BASE!$A$4:$A$10003, MATCH(0, COUNTIF($A$1:A934, BASE!$A$4:$A$10003&amp;""), 0)), "")</f>
        <v/>
      </c>
      <c r="B935" t="str">
        <f>IF(A935="", "", VLOOKUP(A935, BASE!$A$4:$B$10003, 2, FALSE))</f>
        <v/>
      </c>
      <c r="C935" t="str">
        <f>IF(A935="", "", SUMIF(BASE!$A$4:$A$10003, A935, BASE!$C$4:$C$10003))</f>
        <v/>
      </c>
      <c r="D935" t="str">
        <f>IF(A935="", "", INDEX(BASE!$D$4:$D$10003, MATCH(A935, BASE!$A$4:$A$10003, 0)))</f>
        <v/>
      </c>
      <c r="E935" t="str">
        <f>IF(A935="", "", INDEX(BASE!$E$4:$E$10003, MATCH(A935, BASE!$A$4:$A$10003, 0)))</f>
        <v/>
      </c>
    </row>
    <row r="936" spans="1:5">
      <c r="A936" t="str">
        <f>IFERROR(INDEX(BASE!$A$4:$A$10003, MATCH(0, COUNTIF($A$1:A935, BASE!$A$4:$A$10003&amp;""), 0)), "")</f>
        <v/>
      </c>
      <c r="B936" t="str">
        <f>IF(A936="", "", VLOOKUP(A936, BASE!$A$4:$B$10003, 2, FALSE))</f>
        <v/>
      </c>
      <c r="C936" t="str">
        <f>IF(A936="", "", SUMIF(BASE!$A$4:$A$10003, A936, BASE!$C$4:$C$10003))</f>
        <v/>
      </c>
      <c r="D936" t="str">
        <f>IF(A936="", "", INDEX(BASE!$D$4:$D$10003, MATCH(A936, BASE!$A$4:$A$10003, 0)))</f>
        <v/>
      </c>
      <c r="E936" t="str">
        <f>IF(A936="", "", INDEX(BASE!$E$4:$E$10003, MATCH(A936, BASE!$A$4:$A$10003, 0)))</f>
        <v/>
      </c>
    </row>
    <row r="937" spans="1:5">
      <c r="A937" t="str">
        <f>IFERROR(INDEX(BASE!$A$4:$A$10003, MATCH(0, COUNTIF($A$1:A936, BASE!$A$4:$A$10003&amp;""), 0)), "")</f>
        <v/>
      </c>
      <c r="B937" t="str">
        <f>IF(A937="", "", VLOOKUP(A937, BASE!$A$4:$B$10003, 2, FALSE))</f>
        <v/>
      </c>
      <c r="C937" t="str">
        <f>IF(A937="", "", SUMIF(BASE!$A$4:$A$10003, A937, BASE!$C$4:$C$10003))</f>
        <v/>
      </c>
      <c r="D937" t="str">
        <f>IF(A937="", "", INDEX(BASE!$D$4:$D$10003, MATCH(A937, BASE!$A$4:$A$10003, 0)))</f>
        <v/>
      </c>
      <c r="E937" t="str">
        <f>IF(A937="", "", INDEX(BASE!$E$4:$E$10003, MATCH(A937, BASE!$A$4:$A$10003, 0)))</f>
        <v/>
      </c>
    </row>
    <row r="938" spans="1:5">
      <c r="A938" t="str">
        <f>IFERROR(INDEX(BASE!$A$4:$A$10003, MATCH(0, COUNTIF($A$1:A937, BASE!$A$4:$A$10003&amp;""), 0)), "")</f>
        <v/>
      </c>
      <c r="B938" t="str">
        <f>IF(A938="", "", VLOOKUP(A938, BASE!$A$4:$B$10003, 2, FALSE))</f>
        <v/>
      </c>
      <c r="C938" t="str">
        <f>IF(A938="", "", SUMIF(BASE!$A$4:$A$10003, A938, BASE!$C$4:$C$10003))</f>
        <v/>
      </c>
      <c r="D938" t="str">
        <f>IF(A938="", "", INDEX(BASE!$D$4:$D$10003, MATCH(A938, BASE!$A$4:$A$10003, 0)))</f>
        <v/>
      </c>
      <c r="E938" t="str">
        <f>IF(A938="", "", INDEX(BASE!$E$4:$E$10003, MATCH(A938, BASE!$A$4:$A$10003, 0)))</f>
        <v/>
      </c>
    </row>
    <row r="939" spans="1:5">
      <c r="A939" t="str">
        <f>IFERROR(INDEX(BASE!$A$4:$A$10003, MATCH(0, COUNTIF($A$1:A938, BASE!$A$4:$A$10003&amp;""), 0)), "")</f>
        <v/>
      </c>
      <c r="B939" t="str">
        <f>IF(A939="", "", VLOOKUP(A939, BASE!$A$4:$B$10003, 2, FALSE))</f>
        <v/>
      </c>
      <c r="C939" t="str">
        <f>IF(A939="", "", SUMIF(BASE!$A$4:$A$10003, A939, BASE!$C$4:$C$10003))</f>
        <v/>
      </c>
      <c r="D939" t="str">
        <f>IF(A939="", "", INDEX(BASE!$D$4:$D$10003, MATCH(A939, BASE!$A$4:$A$10003, 0)))</f>
        <v/>
      </c>
      <c r="E939" t="str">
        <f>IF(A939="", "", INDEX(BASE!$E$4:$E$10003, MATCH(A939, BASE!$A$4:$A$10003, 0)))</f>
        <v/>
      </c>
    </row>
    <row r="940" spans="1:5">
      <c r="A940" t="str">
        <f>IFERROR(INDEX(BASE!$A$4:$A$10003, MATCH(0, COUNTIF($A$1:A939, BASE!$A$4:$A$10003&amp;""), 0)), "")</f>
        <v/>
      </c>
      <c r="B940" t="str">
        <f>IF(A940="", "", VLOOKUP(A940, BASE!$A$4:$B$10003, 2, FALSE))</f>
        <v/>
      </c>
      <c r="C940" t="str">
        <f>IF(A940="", "", SUMIF(BASE!$A$4:$A$10003, A940, BASE!$C$4:$C$10003))</f>
        <v/>
      </c>
      <c r="D940" t="str">
        <f>IF(A940="", "", INDEX(BASE!$D$4:$D$10003, MATCH(A940, BASE!$A$4:$A$10003, 0)))</f>
        <v/>
      </c>
      <c r="E940" t="str">
        <f>IF(A940="", "", INDEX(BASE!$E$4:$E$10003, MATCH(A940, BASE!$A$4:$A$10003, 0)))</f>
        <v/>
      </c>
    </row>
    <row r="941" spans="1:5">
      <c r="A941" t="str">
        <f>IFERROR(INDEX(BASE!$A$4:$A$10003, MATCH(0, COUNTIF($A$1:A940, BASE!$A$4:$A$10003&amp;""), 0)), "")</f>
        <v/>
      </c>
      <c r="B941" t="str">
        <f>IF(A941="", "", VLOOKUP(A941, BASE!$A$4:$B$10003, 2, FALSE))</f>
        <v/>
      </c>
      <c r="C941" t="str">
        <f>IF(A941="", "", SUMIF(BASE!$A$4:$A$10003, A941, BASE!$C$4:$C$10003))</f>
        <v/>
      </c>
      <c r="D941" t="str">
        <f>IF(A941="", "", INDEX(BASE!$D$4:$D$10003, MATCH(A941, BASE!$A$4:$A$10003, 0)))</f>
        <v/>
      </c>
      <c r="E941" t="str">
        <f>IF(A941="", "", INDEX(BASE!$E$4:$E$10003, MATCH(A941, BASE!$A$4:$A$10003, 0)))</f>
        <v/>
      </c>
    </row>
    <row r="942" spans="1:5">
      <c r="A942" t="str">
        <f>IFERROR(INDEX(BASE!$A$4:$A$10003, MATCH(0, COUNTIF($A$1:A941, BASE!$A$4:$A$10003&amp;""), 0)), "")</f>
        <v/>
      </c>
      <c r="B942" t="str">
        <f>IF(A942="", "", VLOOKUP(A942, BASE!$A$4:$B$10003, 2, FALSE))</f>
        <v/>
      </c>
      <c r="C942" t="str">
        <f>IF(A942="", "", SUMIF(BASE!$A$4:$A$10003, A942, BASE!$C$4:$C$10003))</f>
        <v/>
      </c>
      <c r="D942" t="str">
        <f>IF(A942="", "", INDEX(BASE!$D$4:$D$10003, MATCH(A942, BASE!$A$4:$A$10003, 0)))</f>
        <v/>
      </c>
      <c r="E942" t="str">
        <f>IF(A942="", "", INDEX(BASE!$E$4:$E$10003, MATCH(A942, BASE!$A$4:$A$10003, 0)))</f>
        <v/>
      </c>
    </row>
    <row r="943" spans="1:5">
      <c r="A943" t="str">
        <f>IFERROR(INDEX(BASE!$A$4:$A$10003, MATCH(0, COUNTIF($A$1:A942, BASE!$A$4:$A$10003&amp;""), 0)), "")</f>
        <v/>
      </c>
      <c r="B943" t="str">
        <f>IF(A943="", "", VLOOKUP(A943, BASE!$A$4:$B$10003, 2, FALSE))</f>
        <v/>
      </c>
      <c r="C943" t="str">
        <f>IF(A943="", "", SUMIF(BASE!$A$4:$A$10003, A943, BASE!$C$4:$C$10003))</f>
        <v/>
      </c>
      <c r="D943" t="str">
        <f>IF(A943="", "", INDEX(BASE!$D$4:$D$10003, MATCH(A943, BASE!$A$4:$A$10003, 0)))</f>
        <v/>
      </c>
      <c r="E943" t="str">
        <f>IF(A943="", "", INDEX(BASE!$E$4:$E$10003, MATCH(A943, BASE!$A$4:$A$10003, 0)))</f>
        <v/>
      </c>
    </row>
    <row r="944" spans="1:5">
      <c r="A944" t="str">
        <f>IFERROR(INDEX(BASE!$A$4:$A$10003, MATCH(0, COUNTIF($A$1:A943, BASE!$A$4:$A$10003&amp;""), 0)), "")</f>
        <v/>
      </c>
      <c r="B944" t="str">
        <f>IF(A944="", "", VLOOKUP(A944, BASE!$A$4:$B$10003, 2, FALSE))</f>
        <v/>
      </c>
      <c r="C944" t="str">
        <f>IF(A944="", "", SUMIF(BASE!$A$4:$A$10003, A944, BASE!$C$4:$C$10003))</f>
        <v/>
      </c>
      <c r="D944" t="str">
        <f>IF(A944="", "", INDEX(BASE!$D$4:$D$10003, MATCH(A944, BASE!$A$4:$A$10003, 0)))</f>
        <v/>
      </c>
      <c r="E944" t="str">
        <f>IF(A944="", "", INDEX(BASE!$E$4:$E$10003, MATCH(A944, BASE!$A$4:$A$10003, 0)))</f>
        <v/>
      </c>
    </row>
    <row r="945" spans="1:5">
      <c r="A945" t="str">
        <f>IFERROR(INDEX(BASE!$A$4:$A$10003, MATCH(0, COUNTIF($A$1:A944, BASE!$A$4:$A$10003&amp;""), 0)), "")</f>
        <v/>
      </c>
      <c r="B945" t="str">
        <f>IF(A945="", "", VLOOKUP(A945, BASE!$A$4:$B$10003, 2, FALSE))</f>
        <v/>
      </c>
      <c r="C945" t="str">
        <f>IF(A945="", "", SUMIF(BASE!$A$4:$A$10003, A945, BASE!$C$4:$C$10003))</f>
        <v/>
      </c>
      <c r="D945" t="str">
        <f>IF(A945="", "", INDEX(BASE!$D$4:$D$10003, MATCH(A945, BASE!$A$4:$A$10003, 0)))</f>
        <v/>
      </c>
      <c r="E945" t="str">
        <f>IF(A945="", "", INDEX(BASE!$E$4:$E$10003, MATCH(A945, BASE!$A$4:$A$10003, 0)))</f>
        <v/>
      </c>
    </row>
    <row r="946" spans="1:5">
      <c r="A946" t="str">
        <f>IFERROR(INDEX(BASE!$A$4:$A$10003, MATCH(0, COUNTIF($A$1:A945, BASE!$A$4:$A$10003&amp;""), 0)), "")</f>
        <v/>
      </c>
      <c r="B946" t="str">
        <f>IF(A946="", "", VLOOKUP(A946, BASE!$A$4:$B$10003, 2, FALSE))</f>
        <v/>
      </c>
      <c r="C946" t="str">
        <f>IF(A946="", "", SUMIF(BASE!$A$4:$A$10003, A946, BASE!$C$4:$C$10003))</f>
        <v/>
      </c>
      <c r="D946" t="str">
        <f>IF(A946="", "", INDEX(BASE!$D$4:$D$10003, MATCH(A946, BASE!$A$4:$A$10003, 0)))</f>
        <v/>
      </c>
      <c r="E946" t="str">
        <f>IF(A946="", "", INDEX(BASE!$E$4:$E$10003, MATCH(A946, BASE!$A$4:$A$10003, 0)))</f>
        <v/>
      </c>
    </row>
    <row r="947" spans="1:5">
      <c r="A947" t="str">
        <f>IFERROR(INDEX(BASE!$A$4:$A$10003, MATCH(0, COUNTIF($A$1:A946, BASE!$A$4:$A$10003&amp;""), 0)), "")</f>
        <v/>
      </c>
      <c r="B947" t="str">
        <f>IF(A947="", "", VLOOKUP(A947, BASE!$A$4:$B$10003, 2, FALSE))</f>
        <v/>
      </c>
      <c r="C947" t="str">
        <f>IF(A947="", "", SUMIF(BASE!$A$4:$A$10003, A947, BASE!$C$4:$C$10003))</f>
        <v/>
      </c>
      <c r="D947" t="str">
        <f>IF(A947="", "", INDEX(BASE!$D$4:$D$10003, MATCH(A947, BASE!$A$4:$A$10003, 0)))</f>
        <v/>
      </c>
      <c r="E947" t="str">
        <f>IF(A947="", "", INDEX(BASE!$E$4:$E$10003, MATCH(A947, BASE!$A$4:$A$10003, 0)))</f>
        <v/>
      </c>
    </row>
    <row r="948" spans="1:5">
      <c r="A948" t="str">
        <f>IFERROR(INDEX(BASE!$A$4:$A$10003, MATCH(0, COUNTIF($A$1:A947, BASE!$A$4:$A$10003&amp;""), 0)), "")</f>
        <v/>
      </c>
      <c r="B948" t="str">
        <f>IF(A948="", "", VLOOKUP(A948, BASE!$A$4:$B$10003, 2, FALSE))</f>
        <v/>
      </c>
      <c r="C948" t="str">
        <f>IF(A948="", "", SUMIF(BASE!$A$4:$A$10003, A948, BASE!$C$4:$C$10003))</f>
        <v/>
      </c>
      <c r="D948" t="str">
        <f>IF(A948="", "", INDEX(BASE!$D$4:$D$10003, MATCH(A948, BASE!$A$4:$A$10003, 0)))</f>
        <v/>
      </c>
      <c r="E948" t="str">
        <f>IF(A948="", "", INDEX(BASE!$E$4:$E$10003, MATCH(A948, BASE!$A$4:$A$10003, 0)))</f>
        <v/>
      </c>
    </row>
    <row r="949" spans="1:5">
      <c r="A949" t="str">
        <f>IFERROR(INDEX(BASE!$A$4:$A$10003, MATCH(0, COUNTIF($A$1:A948, BASE!$A$4:$A$10003&amp;""), 0)), "")</f>
        <v/>
      </c>
      <c r="B949" t="str">
        <f>IF(A949="", "", VLOOKUP(A949, BASE!$A$4:$B$10003, 2, FALSE))</f>
        <v/>
      </c>
      <c r="C949" t="str">
        <f>IF(A949="", "", SUMIF(BASE!$A$4:$A$10003, A949, BASE!$C$4:$C$10003))</f>
        <v/>
      </c>
      <c r="D949" t="str">
        <f>IF(A949="", "", INDEX(BASE!$D$4:$D$10003, MATCH(A949, BASE!$A$4:$A$10003, 0)))</f>
        <v/>
      </c>
      <c r="E949" t="str">
        <f>IF(A949="", "", INDEX(BASE!$E$4:$E$10003, MATCH(A949, BASE!$A$4:$A$10003, 0)))</f>
        <v/>
      </c>
    </row>
    <row r="950" spans="1:5">
      <c r="A950" t="str">
        <f>IFERROR(INDEX(BASE!$A$4:$A$10003, MATCH(0, COUNTIF($A$1:A949, BASE!$A$4:$A$10003&amp;""), 0)), "")</f>
        <v/>
      </c>
      <c r="B950" t="str">
        <f>IF(A950="", "", VLOOKUP(A950, BASE!$A$4:$B$10003, 2, FALSE))</f>
        <v/>
      </c>
      <c r="C950" t="str">
        <f>IF(A950="", "", SUMIF(BASE!$A$4:$A$10003, A950, BASE!$C$4:$C$10003))</f>
        <v/>
      </c>
      <c r="D950" t="str">
        <f>IF(A950="", "", INDEX(BASE!$D$4:$D$10003, MATCH(A950, BASE!$A$4:$A$10003, 0)))</f>
        <v/>
      </c>
      <c r="E950" t="str">
        <f>IF(A950="", "", INDEX(BASE!$E$4:$E$10003, MATCH(A950, BASE!$A$4:$A$10003, 0)))</f>
        <v/>
      </c>
    </row>
    <row r="951" spans="1:5">
      <c r="A951" t="str">
        <f>IFERROR(INDEX(BASE!$A$4:$A$10003, MATCH(0, COUNTIF($A$1:A950, BASE!$A$4:$A$10003&amp;""), 0)), "")</f>
        <v/>
      </c>
      <c r="B951" t="str">
        <f>IF(A951="", "", VLOOKUP(A951, BASE!$A$4:$B$10003, 2, FALSE))</f>
        <v/>
      </c>
      <c r="C951" t="str">
        <f>IF(A951="", "", SUMIF(BASE!$A$4:$A$10003, A951, BASE!$C$4:$C$10003))</f>
        <v/>
      </c>
      <c r="D951" t="str">
        <f>IF(A951="", "", INDEX(BASE!$D$4:$D$10003, MATCH(A951, BASE!$A$4:$A$10003, 0)))</f>
        <v/>
      </c>
      <c r="E951" t="str">
        <f>IF(A951="", "", INDEX(BASE!$E$4:$E$10003, MATCH(A951, BASE!$A$4:$A$10003, 0)))</f>
        <v/>
      </c>
    </row>
    <row r="952" spans="1:5">
      <c r="A952" t="str">
        <f>IFERROR(INDEX(BASE!$A$4:$A$10003, MATCH(0, COUNTIF($A$1:A951, BASE!$A$4:$A$10003&amp;""), 0)), "")</f>
        <v/>
      </c>
      <c r="B952" t="str">
        <f>IF(A952="", "", VLOOKUP(A952, BASE!$A$4:$B$10003, 2, FALSE))</f>
        <v/>
      </c>
      <c r="C952" t="str">
        <f>IF(A952="", "", SUMIF(BASE!$A$4:$A$10003, A952, BASE!$C$4:$C$10003))</f>
        <v/>
      </c>
      <c r="D952" t="str">
        <f>IF(A952="", "", INDEX(BASE!$D$4:$D$10003, MATCH(A952, BASE!$A$4:$A$10003, 0)))</f>
        <v/>
      </c>
      <c r="E952" t="str">
        <f>IF(A952="", "", INDEX(BASE!$E$4:$E$10003, MATCH(A952, BASE!$A$4:$A$10003, 0)))</f>
        <v/>
      </c>
    </row>
    <row r="953" spans="1:5">
      <c r="A953" t="str">
        <f>IFERROR(INDEX(BASE!$A$4:$A$10003, MATCH(0, COUNTIF($A$1:A952, BASE!$A$4:$A$10003&amp;""), 0)), "")</f>
        <v/>
      </c>
      <c r="B953" t="str">
        <f>IF(A953="", "", VLOOKUP(A953, BASE!$A$4:$B$10003, 2, FALSE))</f>
        <v/>
      </c>
      <c r="C953" t="str">
        <f>IF(A953="", "", SUMIF(BASE!$A$4:$A$10003, A953, BASE!$C$4:$C$10003))</f>
        <v/>
      </c>
      <c r="D953" t="str">
        <f>IF(A953="", "", INDEX(BASE!$D$4:$D$10003, MATCH(A953, BASE!$A$4:$A$10003, 0)))</f>
        <v/>
      </c>
      <c r="E953" t="str">
        <f>IF(A953="", "", INDEX(BASE!$E$4:$E$10003, MATCH(A953, BASE!$A$4:$A$10003, 0)))</f>
        <v/>
      </c>
    </row>
    <row r="954" spans="1:5">
      <c r="A954" t="str">
        <f>IFERROR(INDEX(BASE!$A$4:$A$10003, MATCH(0, COUNTIF($A$1:A953, BASE!$A$4:$A$10003&amp;""), 0)), "")</f>
        <v/>
      </c>
      <c r="B954" t="str">
        <f>IF(A954="", "", VLOOKUP(A954, BASE!$A$4:$B$10003, 2, FALSE))</f>
        <v/>
      </c>
      <c r="C954" t="str">
        <f>IF(A954="", "", SUMIF(BASE!$A$4:$A$10003, A954, BASE!$C$4:$C$10003))</f>
        <v/>
      </c>
      <c r="D954" t="str">
        <f>IF(A954="", "", INDEX(BASE!$D$4:$D$10003, MATCH(A954, BASE!$A$4:$A$10003, 0)))</f>
        <v/>
      </c>
      <c r="E954" t="str">
        <f>IF(A954="", "", INDEX(BASE!$E$4:$E$10003, MATCH(A954, BASE!$A$4:$A$10003, 0)))</f>
        <v/>
      </c>
    </row>
    <row r="955" spans="1:5">
      <c r="A955" t="str">
        <f>IFERROR(INDEX(BASE!$A$4:$A$10003, MATCH(0, COUNTIF($A$1:A954, BASE!$A$4:$A$10003&amp;""), 0)), "")</f>
        <v/>
      </c>
      <c r="B955" t="str">
        <f>IF(A955="", "", VLOOKUP(A955, BASE!$A$4:$B$10003, 2, FALSE))</f>
        <v/>
      </c>
      <c r="C955" t="str">
        <f>IF(A955="", "", SUMIF(BASE!$A$4:$A$10003, A955, BASE!$C$4:$C$10003))</f>
        <v/>
      </c>
      <c r="D955" t="str">
        <f>IF(A955="", "", INDEX(BASE!$D$4:$D$10003, MATCH(A955, BASE!$A$4:$A$10003, 0)))</f>
        <v/>
      </c>
      <c r="E955" t="str">
        <f>IF(A955="", "", INDEX(BASE!$E$4:$E$10003, MATCH(A955, BASE!$A$4:$A$10003, 0)))</f>
        <v/>
      </c>
    </row>
    <row r="956" spans="1:5">
      <c r="A956" t="str">
        <f>IFERROR(INDEX(BASE!$A$4:$A$10003, MATCH(0, COUNTIF($A$1:A955, BASE!$A$4:$A$10003&amp;""), 0)), "")</f>
        <v/>
      </c>
      <c r="B956" t="str">
        <f>IF(A956="", "", VLOOKUP(A956, BASE!$A$4:$B$10003, 2, FALSE))</f>
        <v/>
      </c>
      <c r="C956" t="str">
        <f>IF(A956="", "", SUMIF(BASE!$A$4:$A$10003, A956, BASE!$C$4:$C$10003))</f>
        <v/>
      </c>
      <c r="D956" t="str">
        <f>IF(A956="", "", INDEX(BASE!$D$4:$D$10003, MATCH(A956, BASE!$A$4:$A$10003, 0)))</f>
        <v/>
      </c>
      <c r="E956" t="str">
        <f>IF(A956="", "", INDEX(BASE!$E$4:$E$10003, MATCH(A956, BASE!$A$4:$A$10003, 0)))</f>
        <v/>
      </c>
    </row>
    <row r="957" spans="1:5">
      <c r="A957" t="str">
        <f>IFERROR(INDEX(BASE!$A$4:$A$10003, MATCH(0, COUNTIF($A$1:A956, BASE!$A$4:$A$10003&amp;""), 0)), "")</f>
        <v/>
      </c>
      <c r="B957" t="str">
        <f>IF(A957="", "", VLOOKUP(A957, BASE!$A$4:$B$10003, 2, FALSE))</f>
        <v/>
      </c>
      <c r="C957" t="str">
        <f>IF(A957="", "", SUMIF(BASE!$A$4:$A$10003, A957, BASE!$C$4:$C$10003))</f>
        <v/>
      </c>
      <c r="D957" t="str">
        <f>IF(A957="", "", INDEX(BASE!$D$4:$D$10003, MATCH(A957, BASE!$A$4:$A$10003, 0)))</f>
        <v/>
      </c>
      <c r="E957" t="str">
        <f>IF(A957="", "", INDEX(BASE!$E$4:$E$10003, MATCH(A957, BASE!$A$4:$A$10003, 0)))</f>
        <v/>
      </c>
    </row>
    <row r="958" spans="1:5">
      <c r="A958" t="str">
        <f>IFERROR(INDEX(BASE!$A$4:$A$10003, MATCH(0, COUNTIF($A$1:A957, BASE!$A$4:$A$10003&amp;""), 0)), "")</f>
        <v/>
      </c>
      <c r="B958" t="str">
        <f>IF(A958="", "", VLOOKUP(A958, BASE!$A$4:$B$10003, 2, FALSE))</f>
        <v/>
      </c>
      <c r="C958" t="str">
        <f>IF(A958="", "", SUMIF(BASE!$A$4:$A$10003, A958, BASE!$C$4:$C$10003))</f>
        <v/>
      </c>
      <c r="D958" t="str">
        <f>IF(A958="", "", INDEX(BASE!$D$4:$D$10003, MATCH(A958, BASE!$A$4:$A$10003, 0)))</f>
        <v/>
      </c>
      <c r="E958" t="str">
        <f>IF(A958="", "", INDEX(BASE!$E$4:$E$10003, MATCH(A958, BASE!$A$4:$A$10003, 0)))</f>
        <v/>
      </c>
    </row>
    <row r="959" spans="1:5">
      <c r="A959" t="str">
        <f>IFERROR(INDEX(BASE!$A$4:$A$10003, MATCH(0, COUNTIF($A$1:A958, BASE!$A$4:$A$10003&amp;""), 0)), "")</f>
        <v/>
      </c>
      <c r="B959" t="str">
        <f>IF(A959="", "", VLOOKUP(A959, BASE!$A$4:$B$10003, 2, FALSE))</f>
        <v/>
      </c>
      <c r="C959" t="str">
        <f>IF(A959="", "", SUMIF(BASE!$A$4:$A$10003, A959, BASE!$C$4:$C$10003))</f>
        <v/>
      </c>
      <c r="D959" t="str">
        <f>IF(A959="", "", INDEX(BASE!$D$4:$D$10003, MATCH(A959, BASE!$A$4:$A$10003, 0)))</f>
        <v/>
      </c>
      <c r="E959" t="str">
        <f>IF(A959="", "", INDEX(BASE!$E$4:$E$10003, MATCH(A959, BASE!$A$4:$A$10003, 0)))</f>
        <v/>
      </c>
    </row>
    <row r="960" spans="1:5">
      <c r="A960" t="str">
        <f>IFERROR(INDEX(BASE!$A$4:$A$10003, MATCH(0, COUNTIF($A$1:A959, BASE!$A$4:$A$10003&amp;""), 0)), "")</f>
        <v/>
      </c>
      <c r="B960" t="str">
        <f>IF(A960="", "", VLOOKUP(A960, BASE!$A$4:$B$10003, 2, FALSE))</f>
        <v/>
      </c>
      <c r="C960" t="str">
        <f>IF(A960="", "", SUMIF(BASE!$A$4:$A$10003, A960, BASE!$C$4:$C$10003))</f>
        <v/>
      </c>
      <c r="D960" t="str">
        <f>IF(A960="", "", INDEX(BASE!$D$4:$D$10003, MATCH(A960, BASE!$A$4:$A$10003, 0)))</f>
        <v/>
      </c>
      <c r="E960" t="str">
        <f>IF(A960="", "", INDEX(BASE!$E$4:$E$10003, MATCH(A960, BASE!$A$4:$A$10003, 0)))</f>
        <v/>
      </c>
    </row>
    <row r="961" spans="1:5">
      <c r="A961" t="str">
        <f>IFERROR(INDEX(BASE!$A$4:$A$10003, MATCH(0, COUNTIF($A$1:A960, BASE!$A$4:$A$10003&amp;""), 0)), "")</f>
        <v/>
      </c>
      <c r="B961" t="str">
        <f>IF(A961="", "", VLOOKUP(A961, BASE!$A$4:$B$10003, 2, FALSE))</f>
        <v/>
      </c>
      <c r="C961" t="str">
        <f>IF(A961="", "", SUMIF(BASE!$A$4:$A$10003, A961, BASE!$C$4:$C$10003))</f>
        <v/>
      </c>
      <c r="D961" t="str">
        <f>IF(A961="", "", INDEX(BASE!$D$4:$D$10003, MATCH(A961, BASE!$A$4:$A$10003, 0)))</f>
        <v/>
      </c>
      <c r="E961" t="str">
        <f>IF(A961="", "", INDEX(BASE!$E$4:$E$10003, MATCH(A961, BASE!$A$4:$A$10003, 0)))</f>
        <v/>
      </c>
    </row>
    <row r="962" spans="1:5">
      <c r="A962" t="str">
        <f>IFERROR(INDEX(BASE!$A$4:$A$10003, MATCH(0, COUNTIF($A$1:A961, BASE!$A$4:$A$10003&amp;""), 0)), "")</f>
        <v/>
      </c>
      <c r="B962" t="str">
        <f>IF(A962="", "", VLOOKUP(A962, BASE!$A$4:$B$10003, 2, FALSE))</f>
        <v/>
      </c>
      <c r="C962" t="str">
        <f>IF(A962="", "", SUMIF(BASE!$A$4:$A$10003, A962, BASE!$C$4:$C$10003))</f>
        <v/>
      </c>
      <c r="D962" t="str">
        <f>IF(A962="", "", INDEX(BASE!$D$4:$D$10003, MATCH(A962, BASE!$A$4:$A$10003, 0)))</f>
        <v/>
      </c>
      <c r="E962" t="str">
        <f>IF(A962="", "", INDEX(BASE!$E$4:$E$10003, MATCH(A962, BASE!$A$4:$A$10003, 0)))</f>
        <v/>
      </c>
    </row>
    <row r="963" spans="1:5">
      <c r="A963" t="str">
        <f>IFERROR(INDEX(BASE!$A$4:$A$10003, MATCH(0, COUNTIF($A$1:A962, BASE!$A$4:$A$10003&amp;""), 0)), "")</f>
        <v/>
      </c>
      <c r="B963" t="str">
        <f>IF(A963="", "", VLOOKUP(A963, BASE!$A$4:$B$10003, 2, FALSE))</f>
        <v/>
      </c>
      <c r="C963" t="str">
        <f>IF(A963="", "", SUMIF(BASE!$A$4:$A$10003, A963, BASE!$C$4:$C$10003))</f>
        <v/>
      </c>
      <c r="D963" t="str">
        <f>IF(A963="", "", INDEX(BASE!$D$4:$D$10003, MATCH(A963, BASE!$A$4:$A$10003, 0)))</f>
        <v/>
      </c>
      <c r="E963" t="str">
        <f>IF(A963="", "", INDEX(BASE!$E$4:$E$10003, MATCH(A963, BASE!$A$4:$A$10003, 0)))</f>
        <v/>
      </c>
    </row>
    <row r="964" spans="1:5">
      <c r="A964" t="str">
        <f>IFERROR(INDEX(BASE!$A$4:$A$10003, MATCH(0, COUNTIF($A$1:A963, BASE!$A$4:$A$10003&amp;""), 0)), "")</f>
        <v/>
      </c>
      <c r="B964" t="str">
        <f>IF(A964="", "", VLOOKUP(A964, BASE!$A$4:$B$10003, 2, FALSE))</f>
        <v/>
      </c>
      <c r="C964" t="str">
        <f>IF(A964="", "", SUMIF(BASE!$A$4:$A$10003, A964, BASE!$C$4:$C$10003))</f>
        <v/>
      </c>
      <c r="D964" t="str">
        <f>IF(A964="", "", INDEX(BASE!$D$4:$D$10003, MATCH(A964, BASE!$A$4:$A$10003, 0)))</f>
        <v/>
      </c>
      <c r="E964" t="str">
        <f>IF(A964="", "", INDEX(BASE!$E$4:$E$10003, MATCH(A964, BASE!$A$4:$A$10003, 0)))</f>
        <v/>
      </c>
    </row>
    <row r="965" spans="1:5">
      <c r="A965" t="str">
        <f>IFERROR(INDEX(BASE!$A$4:$A$10003, MATCH(0, COUNTIF($A$1:A964, BASE!$A$4:$A$10003&amp;""), 0)), "")</f>
        <v/>
      </c>
      <c r="B965" t="str">
        <f>IF(A965="", "", VLOOKUP(A965, BASE!$A$4:$B$10003, 2, FALSE))</f>
        <v/>
      </c>
      <c r="C965" t="str">
        <f>IF(A965="", "", SUMIF(BASE!$A$4:$A$10003, A965, BASE!$C$4:$C$10003))</f>
        <v/>
      </c>
      <c r="D965" t="str">
        <f>IF(A965="", "", INDEX(BASE!$D$4:$D$10003, MATCH(A965, BASE!$A$4:$A$10003, 0)))</f>
        <v/>
      </c>
      <c r="E965" t="str">
        <f>IF(A965="", "", INDEX(BASE!$E$4:$E$10003, MATCH(A965, BASE!$A$4:$A$10003, 0)))</f>
        <v/>
      </c>
    </row>
    <row r="966" spans="1:5">
      <c r="A966" t="str">
        <f>IFERROR(INDEX(BASE!$A$4:$A$10003, MATCH(0, COUNTIF($A$1:A965, BASE!$A$4:$A$10003&amp;""), 0)), "")</f>
        <v/>
      </c>
      <c r="B966" t="str">
        <f>IF(A966="", "", VLOOKUP(A966, BASE!$A$4:$B$10003, 2, FALSE))</f>
        <v/>
      </c>
      <c r="C966" t="str">
        <f>IF(A966="", "", SUMIF(BASE!$A$4:$A$10003, A966, BASE!$C$4:$C$10003))</f>
        <v/>
      </c>
      <c r="D966" t="str">
        <f>IF(A966="", "", INDEX(BASE!$D$4:$D$10003, MATCH(A966, BASE!$A$4:$A$10003, 0)))</f>
        <v/>
      </c>
      <c r="E966" t="str">
        <f>IF(A966="", "", INDEX(BASE!$E$4:$E$10003, MATCH(A966, BASE!$A$4:$A$10003, 0)))</f>
        <v/>
      </c>
    </row>
    <row r="967" spans="1:5">
      <c r="A967" t="str">
        <f>IFERROR(INDEX(BASE!$A$4:$A$10003, MATCH(0, COUNTIF($A$1:A966, BASE!$A$4:$A$10003&amp;""), 0)), "")</f>
        <v/>
      </c>
      <c r="B967" t="str">
        <f>IF(A967="", "", VLOOKUP(A967, BASE!$A$4:$B$10003, 2, FALSE))</f>
        <v/>
      </c>
      <c r="C967" t="str">
        <f>IF(A967="", "", SUMIF(BASE!$A$4:$A$10003, A967, BASE!$C$4:$C$10003))</f>
        <v/>
      </c>
      <c r="D967" t="str">
        <f>IF(A967="", "", INDEX(BASE!$D$4:$D$10003, MATCH(A967, BASE!$A$4:$A$10003, 0)))</f>
        <v/>
      </c>
      <c r="E967" t="str">
        <f>IF(A967="", "", INDEX(BASE!$E$4:$E$10003, MATCH(A967, BASE!$A$4:$A$10003, 0)))</f>
        <v/>
      </c>
    </row>
    <row r="968" spans="1:5">
      <c r="A968" t="str">
        <f>IFERROR(INDEX(BASE!$A$4:$A$10003, MATCH(0, COUNTIF($A$1:A967, BASE!$A$4:$A$10003&amp;""), 0)), "")</f>
        <v/>
      </c>
      <c r="B968" t="str">
        <f>IF(A968="", "", VLOOKUP(A968, BASE!$A$4:$B$10003, 2, FALSE))</f>
        <v/>
      </c>
      <c r="C968" t="str">
        <f>IF(A968="", "", SUMIF(BASE!$A$4:$A$10003, A968, BASE!$C$4:$C$10003))</f>
        <v/>
      </c>
      <c r="D968" t="str">
        <f>IF(A968="", "", INDEX(BASE!$D$4:$D$10003, MATCH(A968, BASE!$A$4:$A$10003, 0)))</f>
        <v/>
      </c>
      <c r="E968" t="str">
        <f>IF(A968="", "", INDEX(BASE!$E$4:$E$10003, MATCH(A968, BASE!$A$4:$A$10003, 0)))</f>
        <v/>
      </c>
    </row>
    <row r="969" spans="1:5">
      <c r="A969" t="str">
        <f>IFERROR(INDEX(BASE!$A$4:$A$10003, MATCH(0, COUNTIF($A$1:A968, BASE!$A$4:$A$10003&amp;""), 0)), "")</f>
        <v/>
      </c>
      <c r="B969" t="str">
        <f>IF(A969="", "", VLOOKUP(A969, BASE!$A$4:$B$10003, 2, FALSE))</f>
        <v/>
      </c>
      <c r="C969" t="str">
        <f>IF(A969="", "", SUMIF(BASE!$A$4:$A$10003, A969, BASE!$C$4:$C$10003))</f>
        <v/>
      </c>
      <c r="D969" t="str">
        <f>IF(A969="", "", INDEX(BASE!$D$4:$D$10003, MATCH(A969, BASE!$A$4:$A$10003, 0)))</f>
        <v/>
      </c>
      <c r="E969" t="str">
        <f>IF(A969="", "", INDEX(BASE!$E$4:$E$10003, MATCH(A969, BASE!$A$4:$A$10003, 0)))</f>
        <v/>
      </c>
    </row>
    <row r="970" spans="1:5">
      <c r="A970" t="str">
        <f>IFERROR(INDEX(BASE!$A$4:$A$10003, MATCH(0, COUNTIF($A$1:A969, BASE!$A$4:$A$10003&amp;""), 0)), "")</f>
        <v/>
      </c>
      <c r="B970" t="str">
        <f>IF(A970="", "", VLOOKUP(A970, BASE!$A$4:$B$10003, 2, FALSE))</f>
        <v/>
      </c>
      <c r="C970" t="str">
        <f>IF(A970="", "", SUMIF(BASE!$A$4:$A$10003, A970, BASE!$C$4:$C$10003))</f>
        <v/>
      </c>
      <c r="D970" t="str">
        <f>IF(A970="", "", INDEX(BASE!$D$4:$D$10003, MATCH(A970, BASE!$A$4:$A$10003, 0)))</f>
        <v/>
      </c>
      <c r="E970" t="str">
        <f>IF(A970="", "", INDEX(BASE!$E$4:$E$10003, MATCH(A970, BASE!$A$4:$A$10003, 0)))</f>
        <v/>
      </c>
    </row>
    <row r="971" spans="1:5">
      <c r="A971" t="str">
        <f>IFERROR(INDEX(BASE!$A$4:$A$10003, MATCH(0, COUNTIF($A$1:A970, BASE!$A$4:$A$10003&amp;""), 0)), "")</f>
        <v/>
      </c>
      <c r="B971" t="str">
        <f>IF(A971="", "", VLOOKUP(A971, BASE!$A$4:$B$10003, 2, FALSE))</f>
        <v/>
      </c>
      <c r="C971" t="str">
        <f>IF(A971="", "", SUMIF(BASE!$A$4:$A$10003, A971, BASE!$C$4:$C$10003))</f>
        <v/>
      </c>
      <c r="D971" t="str">
        <f>IF(A971="", "", INDEX(BASE!$D$4:$D$10003, MATCH(A971, BASE!$A$4:$A$10003, 0)))</f>
        <v/>
      </c>
      <c r="E971" t="str">
        <f>IF(A971="", "", INDEX(BASE!$E$4:$E$10003, MATCH(A971, BASE!$A$4:$A$10003, 0)))</f>
        <v/>
      </c>
    </row>
    <row r="972" spans="1:5">
      <c r="A972" t="str">
        <f>IFERROR(INDEX(BASE!$A$4:$A$10003, MATCH(0, COUNTIF($A$1:A971, BASE!$A$4:$A$10003&amp;""), 0)), "")</f>
        <v/>
      </c>
      <c r="B972" t="str">
        <f>IF(A972="", "", VLOOKUP(A972, BASE!$A$4:$B$10003, 2, FALSE))</f>
        <v/>
      </c>
      <c r="C972" t="str">
        <f>IF(A972="", "", SUMIF(BASE!$A$4:$A$10003, A972, BASE!$C$4:$C$10003))</f>
        <v/>
      </c>
      <c r="D972" t="str">
        <f>IF(A972="", "", INDEX(BASE!$D$4:$D$10003, MATCH(A972, BASE!$A$4:$A$10003, 0)))</f>
        <v/>
      </c>
      <c r="E972" t="str">
        <f>IF(A972="", "", INDEX(BASE!$E$4:$E$10003, MATCH(A972, BASE!$A$4:$A$10003, 0)))</f>
        <v/>
      </c>
    </row>
    <row r="973" spans="1:5">
      <c r="A973" t="str">
        <f>IFERROR(INDEX(BASE!$A$4:$A$10003, MATCH(0, COUNTIF($A$1:A972, BASE!$A$4:$A$10003&amp;""), 0)), "")</f>
        <v/>
      </c>
      <c r="B973" t="str">
        <f>IF(A973="", "", VLOOKUP(A973, BASE!$A$4:$B$10003, 2, FALSE))</f>
        <v/>
      </c>
      <c r="C973" t="str">
        <f>IF(A973="", "", SUMIF(BASE!$A$4:$A$10003, A973, BASE!$C$4:$C$10003))</f>
        <v/>
      </c>
      <c r="D973" t="str">
        <f>IF(A973="", "", INDEX(BASE!$D$4:$D$10003, MATCH(A973, BASE!$A$4:$A$10003, 0)))</f>
        <v/>
      </c>
      <c r="E973" t="str">
        <f>IF(A973="", "", INDEX(BASE!$E$4:$E$10003, MATCH(A973, BASE!$A$4:$A$10003, 0)))</f>
        <v/>
      </c>
    </row>
    <row r="974" spans="1:5">
      <c r="A974" t="str">
        <f>IFERROR(INDEX(BASE!$A$4:$A$10003, MATCH(0, COUNTIF($A$1:A973, BASE!$A$4:$A$10003&amp;""), 0)), "")</f>
        <v/>
      </c>
      <c r="B974" t="str">
        <f>IF(A974="", "", VLOOKUP(A974, BASE!$A$4:$B$10003, 2, FALSE))</f>
        <v/>
      </c>
      <c r="C974" t="str">
        <f>IF(A974="", "", SUMIF(BASE!$A$4:$A$10003, A974, BASE!$C$4:$C$10003))</f>
        <v/>
      </c>
      <c r="D974" t="str">
        <f>IF(A974="", "", INDEX(BASE!$D$4:$D$10003, MATCH(A974, BASE!$A$4:$A$10003, 0)))</f>
        <v/>
      </c>
      <c r="E974" t="str">
        <f>IF(A974="", "", INDEX(BASE!$E$4:$E$10003, MATCH(A974, BASE!$A$4:$A$10003, 0)))</f>
        <v/>
      </c>
    </row>
    <row r="975" spans="1:5">
      <c r="A975" t="str">
        <f>IFERROR(INDEX(BASE!$A$4:$A$10003, MATCH(0, COUNTIF($A$1:A974, BASE!$A$4:$A$10003&amp;""), 0)), "")</f>
        <v/>
      </c>
      <c r="B975" t="str">
        <f>IF(A975="", "", VLOOKUP(A975, BASE!$A$4:$B$10003, 2, FALSE))</f>
        <v/>
      </c>
      <c r="C975" t="str">
        <f>IF(A975="", "", SUMIF(BASE!$A$4:$A$10003, A975, BASE!$C$4:$C$10003))</f>
        <v/>
      </c>
      <c r="D975" t="str">
        <f>IF(A975="", "", INDEX(BASE!$D$4:$D$10003, MATCH(A975, BASE!$A$4:$A$10003, 0)))</f>
        <v/>
      </c>
      <c r="E975" t="str">
        <f>IF(A975="", "", INDEX(BASE!$E$4:$E$10003, MATCH(A975, BASE!$A$4:$A$10003, 0)))</f>
        <v/>
      </c>
    </row>
    <row r="976" spans="1:5">
      <c r="A976" t="str">
        <f>IFERROR(INDEX(BASE!$A$4:$A$10003, MATCH(0, COUNTIF($A$1:A975, BASE!$A$4:$A$10003&amp;""), 0)), "")</f>
        <v/>
      </c>
      <c r="B976" t="str">
        <f>IF(A976="", "", VLOOKUP(A976, BASE!$A$4:$B$10003, 2, FALSE))</f>
        <v/>
      </c>
      <c r="C976" t="str">
        <f>IF(A976="", "", SUMIF(BASE!$A$4:$A$10003, A976, BASE!$C$4:$C$10003))</f>
        <v/>
      </c>
      <c r="D976" t="str">
        <f>IF(A976="", "", INDEX(BASE!$D$4:$D$10003, MATCH(A976, BASE!$A$4:$A$10003, 0)))</f>
        <v/>
      </c>
      <c r="E976" t="str">
        <f>IF(A976="", "", INDEX(BASE!$E$4:$E$10003, MATCH(A976, BASE!$A$4:$A$10003, 0)))</f>
        <v/>
      </c>
    </row>
    <row r="977" spans="1:5">
      <c r="A977" t="str">
        <f>IFERROR(INDEX(BASE!$A$4:$A$10003, MATCH(0, COUNTIF($A$1:A976, BASE!$A$4:$A$10003&amp;""), 0)), "")</f>
        <v/>
      </c>
      <c r="B977" t="str">
        <f>IF(A977="", "", VLOOKUP(A977, BASE!$A$4:$B$10003, 2, FALSE))</f>
        <v/>
      </c>
      <c r="C977" t="str">
        <f>IF(A977="", "", SUMIF(BASE!$A$4:$A$10003, A977, BASE!$C$4:$C$10003))</f>
        <v/>
      </c>
      <c r="D977" t="str">
        <f>IF(A977="", "", INDEX(BASE!$D$4:$D$10003, MATCH(A977, BASE!$A$4:$A$10003, 0)))</f>
        <v/>
      </c>
      <c r="E977" t="str">
        <f>IF(A977="", "", INDEX(BASE!$E$4:$E$10003, MATCH(A977, BASE!$A$4:$A$10003, 0)))</f>
        <v/>
      </c>
    </row>
    <row r="978" spans="1:5">
      <c r="A978" t="str">
        <f>IFERROR(INDEX(BASE!$A$4:$A$10003, MATCH(0, COUNTIF($A$1:A977, BASE!$A$4:$A$10003&amp;""), 0)), "")</f>
        <v/>
      </c>
      <c r="B978" t="str">
        <f>IF(A978="", "", VLOOKUP(A978, BASE!$A$4:$B$10003, 2, FALSE))</f>
        <v/>
      </c>
      <c r="C978" t="str">
        <f>IF(A978="", "", SUMIF(BASE!$A$4:$A$10003, A978, BASE!$C$4:$C$10003))</f>
        <v/>
      </c>
      <c r="D978" t="str">
        <f>IF(A978="", "", INDEX(BASE!$D$4:$D$10003, MATCH(A978, BASE!$A$4:$A$10003, 0)))</f>
        <v/>
      </c>
      <c r="E978" t="str">
        <f>IF(A978="", "", INDEX(BASE!$E$4:$E$10003, MATCH(A978, BASE!$A$4:$A$10003, 0)))</f>
        <v/>
      </c>
    </row>
    <row r="979" spans="1:5">
      <c r="A979" t="str">
        <f>IFERROR(INDEX(BASE!$A$4:$A$10003, MATCH(0, COUNTIF($A$1:A978, BASE!$A$4:$A$10003&amp;""), 0)), "")</f>
        <v/>
      </c>
      <c r="B979" t="str">
        <f>IF(A979="", "", VLOOKUP(A979, BASE!$A$4:$B$10003, 2, FALSE))</f>
        <v/>
      </c>
      <c r="C979" t="str">
        <f>IF(A979="", "", SUMIF(BASE!$A$4:$A$10003, A979, BASE!$C$4:$C$10003))</f>
        <v/>
      </c>
      <c r="D979" t="str">
        <f>IF(A979="", "", INDEX(BASE!$D$4:$D$10003, MATCH(A979, BASE!$A$4:$A$10003, 0)))</f>
        <v/>
      </c>
      <c r="E979" t="str">
        <f>IF(A979="", "", INDEX(BASE!$E$4:$E$10003, MATCH(A979, BASE!$A$4:$A$10003, 0)))</f>
        <v/>
      </c>
    </row>
    <row r="980" spans="1:5">
      <c r="A980" t="str">
        <f>IFERROR(INDEX(BASE!$A$4:$A$10003, MATCH(0, COUNTIF($A$1:A979, BASE!$A$4:$A$10003&amp;""), 0)), "")</f>
        <v/>
      </c>
      <c r="B980" t="str">
        <f>IF(A980="", "", VLOOKUP(A980, BASE!$A$4:$B$10003, 2, FALSE))</f>
        <v/>
      </c>
      <c r="C980" t="str">
        <f>IF(A980="", "", SUMIF(BASE!$A$4:$A$10003, A980, BASE!$C$4:$C$10003))</f>
        <v/>
      </c>
      <c r="D980" t="str">
        <f>IF(A980="", "", INDEX(BASE!$D$4:$D$10003, MATCH(A980, BASE!$A$4:$A$10003, 0)))</f>
        <v/>
      </c>
      <c r="E980" t="str">
        <f>IF(A980="", "", INDEX(BASE!$E$4:$E$10003, MATCH(A980, BASE!$A$4:$A$10003, 0)))</f>
        <v/>
      </c>
    </row>
    <row r="981" spans="1:5">
      <c r="A981" t="str">
        <f>IFERROR(INDEX(BASE!$A$4:$A$10003, MATCH(0, COUNTIF($A$1:A980, BASE!$A$4:$A$10003&amp;""), 0)), "")</f>
        <v/>
      </c>
      <c r="B981" t="str">
        <f>IF(A981="", "", VLOOKUP(A981, BASE!$A$4:$B$10003, 2, FALSE))</f>
        <v/>
      </c>
      <c r="C981" t="str">
        <f>IF(A981="", "", SUMIF(BASE!$A$4:$A$10003, A981, BASE!$C$4:$C$10003))</f>
        <v/>
      </c>
      <c r="D981" t="str">
        <f>IF(A981="", "", INDEX(BASE!$D$4:$D$10003, MATCH(A981, BASE!$A$4:$A$10003, 0)))</f>
        <v/>
      </c>
      <c r="E981" t="str">
        <f>IF(A981="", "", INDEX(BASE!$E$4:$E$10003, MATCH(A981, BASE!$A$4:$A$10003, 0)))</f>
        <v/>
      </c>
    </row>
    <row r="982" spans="1:5">
      <c r="A982" t="str">
        <f>IFERROR(INDEX(BASE!$A$4:$A$10003, MATCH(0, COUNTIF($A$1:A981, BASE!$A$4:$A$10003&amp;""), 0)), "")</f>
        <v/>
      </c>
      <c r="B982" t="str">
        <f>IF(A982="", "", VLOOKUP(A982, BASE!$A$4:$B$10003, 2, FALSE))</f>
        <v/>
      </c>
      <c r="C982" t="str">
        <f>IF(A982="", "", SUMIF(BASE!$A$4:$A$10003, A982, BASE!$C$4:$C$10003))</f>
        <v/>
      </c>
      <c r="D982" t="str">
        <f>IF(A982="", "", INDEX(BASE!$D$4:$D$10003, MATCH(A982, BASE!$A$4:$A$10003, 0)))</f>
        <v/>
      </c>
      <c r="E982" t="str">
        <f>IF(A982="", "", INDEX(BASE!$E$4:$E$10003, MATCH(A982, BASE!$A$4:$A$10003, 0)))</f>
        <v/>
      </c>
    </row>
    <row r="983" spans="1:5">
      <c r="A983" t="str">
        <f>IFERROR(INDEX(BASE!$A$4:$A$10003, MATCH(0, COUNTIF($A$1:A982, BASE!$A$4:$A$10003&amp;""), 0)), "")</f>
        <v/>
      </c>
      <c r="B983" t="str">
        <f>IF(A983="", "", VLOOKUP(A983, BASE!$A$4:$B$10003, 2, FALSE))</f>
        <v/>
      </c>
      <c r="C983" t="str">
        <f>IF(A983="", "", SUMIF(BASE!$A$4:$A$10003, A983, BASE!$C$4:$C$10003))</f>
        <v/>
      </c>
      <c r="D983" t="str">
        <f>IF(A983="", "", INDEX(BASE!$D$4:$D$10003, MATCH(A983, BASE!$A$4:$A$10003, 0)))</f>
        <v/>
      </c>
      <c r="E983" t="str">
        <f>IF(A983="", "", INDEX(BASE!$E$4:$E$10003, MATCH(A983, BASE!$A$4:$A$10003, 0)))</f>
        <v/>
      </c>
    </row>
    <row r="984" spans="1:5">
      <c r="A984" t="str">
        <f>IFERROR(INDEX(BASE!$A$4:$A$10003, MATCH(0, COUNTIF($A$1:A983, BASE!$A$4:$A$10003&amp;""), 0)), "")</f>
        <v/>
      </c>
      <c r="B984" t="str">
        <f>IF(A984="", "", VLOOKUP(A984, BASE!$A$4:$B$10003, 2, FALSE))</f>
        <v/>
      </c>
      <c r="C984" t="str">
        <f>IF(A984="", "", SUMIF(BASE!$A$4:$A$10003, A984, BASE!$C$4:$C$10003))</f>
        <v/>
      </c>
      <c r="D984" t="str">
        <f>IF(A984="", "", INDEX(BASE!$D$4:$D$10003, MATCH(A984, BASE!$A$4:$A$10003, 0)))</f>
        <v/>
      </c>
      <c r="E984" t="str">
        <f>IF(A984="", "", INDEX(BASE!$E$4:$E$10003, MATCH(A984, BASE!$A$4:$A$10003, 0)))</f>
        <v/>
      </c>
    </row>
    <row r="985" spans="1:5">
      <c r="A985" t="str">
        <f>IFERROR(INDEX(BASE!$A$4:$A$10003, MATCH(0, COUNTIF($A$1:A984, BASE!$A$4:$A$10003&amp;""), 0)), "")</f>
        <v/>
      </c>
      <c r="B985" t="str">
        <f>IF(A985="", "", VLOOKUP(A985, BASE!$A$4:$B$10003, 2, FALSE))</f>
        <v/>
      </c>
      <c r="C985" t="str">
        <f>IF(A985="", "", SUMIF(BASE!$A$4:$A$10003, A985, BASE!$C$4:$C$10003))</f>
        <v/>
      </c>
      <c r="D985" t="str">
        <f>IF(A985="", "", INDEX(BASE!$D$4:$D$10003, MATCH(A985, BASE!$A$4:$A$10003, 0)))</f>
        <v/>
      </c>
      <c r="E985" t="str">
        <f>IF(A985="", "", INDEX(BASE!$E$4:$E$10003, MATCH(A985, BASE!$A$4:$A$10003, 0)))</f>
        <v/>
      </c>
    </row>
    <row r="986" spans="1:5">
      <c r="A986" t="str">
        <f>IFERROR(INDEX(BASE!$A$4:$A$10003, MATCH(0, COUNTIF($A$1:A985, BASE!$A$4:$A$10003&amp;""), 0)), "")</f>
        <v/>
      </c>
      <c r="B986" t="str">
        <f>IF(A986="", "", VLOOKUP(A986, BASE!$A$4:$B$10003, 2, FALSE))</f>
        <v/>
      </c>
      <c r="C986" t="str">
        <f>IF(A986="", "", SUMIF(BASE!$A$4:$A$10003, A986, BASE!$C$4:$C$10003))</f>
        <v/>
      </c>
      <c r="D986" t="str">
        <f>IF(A986="", "", INDEX(BASE!$D$4:$D$10003, MATCH(A986, BASE!$A$4:$A$10003, 0)))</f>
        <v/>
      </c>
      <c r="E986" t="str">
        <f>IF(A986="", "", INDEX(BASE!$E$4:$E$10003, MATCH(A986, BASE!$A$4:$A$10003, 0)))</f>
        <v/>
      </c>
    </row>
    <row r="987" spans="1:5">
      <c r="A987" t="str">
        <f>IFERROR(INDEX(BASE!$A$4:$A$10003, MATCH(0, COUNTIF($A$1:A986, BASE!$A$4:$A$10003&amp;""), 0)), "")</f>
        <v/>
      </c>
      <c r="B987" t="str">
        <f>IF(A987="", "", VLOOKUP(A987, BASE!$A$4:$B$10003, 2, FALSE))</f>
        <v/>
      </c>
      <c r="C987" t="str">
        <f>IF(A987="", "", SUMIF(BASE!$A$4:$A$10003, A987, BASE!$C$4:$C$10003))</f>
        <v/>
      </c>
      <c r="D987" t="str">
        <f>IF(A987="", "", INDEX(BASE!$D$4:$D$10003, MATCH(A987, BASE!$A$4:$A$10003, 0)))</f>
        <v/>
      </c>
      <c r="E987" t="str">
        <f>IF(A987="", "", INDEX(BASE!$E$4:$E$10003, MATCH(A987, BASE!$A$4:$A$10003, 0)))</f>
        <v/>
      </c>
    </row>
    <row r="988" spans="1:5">
      <c r="A988" t="str">
        <f>IFERROR(INDEX(BASE!$A$4:$A$10003, MATCH(0, COUNTIF($A$1:A987, BASE!$A$4:$A$10003&amp;""), 0)), "")</f>
        <v/>
      </c>
      <c r="B988" t="str">
        <f>IF(A988="", "", VLOOKUP(A988, BASE!$A$4:$B$10003, 2, FALSE))</f>
        <v/>
      </c>
      <c r="C988" t="str">
        <f>IF(A988="", "", SUMIF(BASE!$A$4:$A$10003, A988, BASE!$C$4:$C$10003))</f>
        <v/>
      </c>
      <c r="D988" t="str">
        <f>IF(A988="", "", INDEX(BASE!$D$4:$D$10003, MATCH(A988, BASE!$A$4:$A$10003, 0)))</f>
        <v/>
      </c>
      <c r="E988" t="str">
        <f>IF(A988="", "", INDEX(BASE!$E$4:$E$10003, MATCH(A988, BASE!$A$4:$A$10003, 0)))</f>
        <v/>
      </c>
    </row>
    <row r="989" spans="1:5">
      <c r="A989" t="str">
        <f>IFERROR(INDEX(BASE!$A$4:$A$10003, MATCH(0, COUNTIF($A$1:A988, BASE!$A$4:$A$10003&amp;""), 0)), "")</f>
        <v/>
      </c>
      <c r="B989" t="str">
        <f>IF(A989="", "", VLOOKUP(A989, BASE!$A$4:$B$10003, 2, FALSE))</f>
        <v/>
      </c>
      <c r="C989" t="str">
        <f>IF(A989="", "", SUMIF(BASE!$A$4:$A$10003, A989, BASE!$C$4:$C$10003))</f>
        <v/>
      </c>
      <c r="D989" t="str">
        <f>IF(A989="", "", INDEX(BASE!$D$4:$D$10003, MATCH(A989, BASE!$A$4:$A$10003, 0)))</f>
        <v/>
      </c>
      <c r="E989" t="str">
        <f>IF(A989="", "", INDEX(BASE!$E$4:$E$10003, MATCH(A989, BASE!$A$4:$A$10003, 0)))</f>
        <v/>
      </c>
    </row>
    <row r="990" spans="1:5">
      <c r="A990" t="str">
        <f>IFERROR(INDEX(BASE!$A$4:$A$10003, MATCH(0, COUNTIF($A$1:A989, BASE!$A$4:$A$10003&amp;""), 0)), "")</f>
        <v/>
      </c>
      <c r="B990" t="str">
        <f>IF(A990="", "", VLOOKUP(A990, BASE!$A$4:$B$10003, 2, FALSE))</f>
        <v/>
      </c>
      <c r="C990" t="str">
        <f>IF(A990="", "", SUMIF(BASE!$A$4:$A$10003, A990, BASE!$C$4:$C$10003))</f>
        <v/>
      </c>
      <c r="D990" t="str">
        <f>IF(A990="", "", INDEX(BASE!$D$4:$D$10003, MATCH(A990, BASE!$A$4:$A$10003, 0)))</f>
        <v/>
      </c>
      <c r="E990" t="str">
        <f>IF(A990="", "", INDEX(BASE!$E$4:$E$10003, MATCH(A990, BASE!$A$4:$A$10003, 0)))</f>
        <v/>
      </c>
    </row>
    <row r="991" spans="1:5">
      <c r="A991" t="str">
        <f>IFERROR(INDEX(BASE!$A$4:$A$10003, MATCH(0, COUNTIF($A$1:A990, BASE!$A$4:$A$10003&amp;""), 0)), "")</f>
        <v/>
      </c>
      <c r="B991" t="str">
        <f>IF(A991="", "", VLOOKUP(A991, BASE!$A$4:$B$10003, 2, FALSE))</f>
        <v/>
      </c>
      <c r="C991" t="str">
        <f>IF(A991="", "", SUMIF(BASE!$A$4:$A$10003, A991, BASE!$C$4:$C$10003))</f>
        <v/>
      </c>
      <c r="D991" t="str">
        <f>IF(A991="", "", INDEX(BASE!$D$4:$D$10003, MATCH(A991, BASE!$A$4:$A$10003, 0)))</f>
        <v/>
      </c>
      <c r="E991" t="str">
        <f>IF(A991="", "", INDEX(BASE!$E$4:$E$10003, MATCH(A991, BASE!$A$4:$A$10003, 0)))</f>
        <v/>
      </c>
    </row>
    <row r="992" spans="1:5">
      <c r="A992" t="str">
        <f>IFERROR(INDEX(BASE!$A$4:$A$10003, MATCH(0, COUNTIF($A$1:A991, BASE!$A$4:$A$10003&amp;""), 0)), "")</f>
        <v/>
      </c>
      <c r="B992" t="str">
        <f>IF(A992="", "", VLOOKUP(A992, BASE!$A$4:$B$10003, 2, FALSE))</f>
        <v/>
      </c>
      <c r="C992" t="str">
        <f>IF(A992="", "", SUMIF(BASE!$A$4:$A$10003, A992, BASE!$C$4:$C$10003))</f>
        <v/>
      </c>
      <c r="D992" t="str">
        <f>IF(A992="", "", INDEX(BASE!$D$4:$D$10003, MATCH(A992, BASE!$A$4:$A$10003, 0)))</f>
        <v/>
      </c>
      <c r="E992" t="str">
        <f>IF(A992="", "", INDEX(BASE!$E$4:$E$10003, MATCH(A992, BASE!$A$4:$A$10003, 0)))</f>
        <v/>
      </c>
    </row>
    <row r="993" spans="1:5">
      <c r="A993" t="str">
        <f>IFERROR(INDEX(BASE!$A$4:$A$10003, MATCH(0, COUNTIF($A$1:A992, BASE!$A$4:$A$10003&amp;""), 0)), "")</f>
        <v/>
      </c>
      <c r="B993" t="str">
        <f>IF(A993="", "", VLOOKUP(A993, BASE!$A$4:$B$10003, 2, FALSE))</f>
        <v/>
      </c>
      <c r="C993" t="str">
        <f>IF(A993="", "", SUMIF(BASE!$A$4:$A$10003, A993, BASE!$C$4:$C$10003))</f>
        <v/>
      </c>
      <c r="D993" t="str">
        <f>IF(A993="", "", INDEX(BASE!$D$4:$D$10003, MATCH(A993, BASE!$A$4:$A$10003, 0)))</f>
        <v/>
      </c>
      <c r="E993" t="str">
        <f>IF(A993="", "", INDEX(BASE!$E$4:$E$10003, MATCH(A993, BASE!$A$4:$A$10003, 0)))</f>
        <v/>
      </c>
    </row>
    <row r="994" spans="1:5">
      <c r="A994" t="str">
        <f>IFERROR(INDEX(BASE!$A$4:$A$10003, MATCH(0, COUNTIF($A$1:A993, BASE!$A$4:$A$10003&amp;""), 0)), "")</f>
        <v/>
      </c>
      <c r="B994" t="str">
        <f>IF(A994="", "", VLOOKUP(A994, BASE!$A$4:$B$10003, 2, FALSE))</f>
        <v/>
      </c>
      <c r="C994" t="str">
        <f>IF(A994="", "", SUMIF(BASE!$A$4:$A$10003, A994, BASE!$C$4:$C$10003))</f>
        <v/>
      </c>
      <c r="D994" t="str">
        <f>IF(A994="", "", INDEX(BASE!$D$4:$D$10003, MATCH(A994, BASE!$A$4:$A$10003, 0)))</f>
        <v/>
      </c>
      <c r="E994" t="str">
        <f>IF(A994="", "", INDEX(BASE!$E$4:$E$10003, MATCH(A994, BASE!$A$4:$A$10003, 0)))</f>
        <v/>
      </c>
    </row>
    <row r="995" spans="1:5">
      <c r="A995" t="str">
        <f>IFERROR(INDEX(BASE!$A$4:$A$10003, MATCH(0, COUNTIF($A$1:A994, BASE!$A$4:$A$10003&amp;""), 0)), "")</f>
        <v/>
      </c>
      <c r="B995" t="str">
        <f>IF(A995="", "", VLOOKUP(A995, BASE!$A$4:$B$10003, 2, FALSE))</f>
        <v/>
      </c>
      <c r="C995" t="str">
        <f>IF(A995="", "", SUMIF(BASE!$A$4:$A$10003, A995, BASE!$C$4:$C$10003))</f>
        <v/>
      </c>
      <c r="D995" t="str">
        <f>IF(A995="", "", INDEX(BASE!$D$4:$D$10003, MATCH(A995, BASE!$A$4:$A$10003, 0)))</f>
        <v/>
      </c>
      <c r="E995" t="str">
        <f>IF(A995="", "", INDEX(BASE!$E$4:$E$10003, MATCH(A995, BASE!$A$4:$A$10003, 0)))</f>
        <v/>
      </c>
    </row>
    <row r="996" spans="1:5">
      <c r="A996" t="str">
        <f>IFERROR(INDEX(BASE!$A$4:$A$10003, MATCH(0, COUNTIF($A$1:A995, BASE!$A$4:$A$10003&amp;""), 0)), "")</f>
        <v/>
      </c>
      <c r="B996" t="str">
        <f>IF(A996="", "", VLOOKUP(A996, BASE!$A$4:$B$10003, 2, FALSE))</f>
        <v/>
      </c>
      <c r="C996" t="str">
        <f>IF(A996="", "", SUMIF(BASE!$A$4:$A$10003, A996, BASE!$C$4:$C$10003))</f>
        <v/>
      </c>
      <c r="D996" t="str">
        <f>IF(A996="", "", INDEX(BASE!$D$4:$D$10003, MATCH(A996, BASE!$A$4:$A$10003, 0)))</f>
        <v/>
      </c>
      <c r="E996" t="str">
        <f>IF(A996="", "", INDEX(BASE!$E$4:$E$10003, MATCH(A996, BASE!$A$4:$A$10003, 0)))</f>
        <v/>
      </c>
    </row>
    <row r="997" spans="1:5">
      <c r="A997" t="str">
        <f>IFERROR(INDEX(BASE!$A$4:$A$10003, MATCH(0, COUNTIF($A$1:A996, BASE!$A$4:$A$10003&amp;""), 0)), "")</f>
        <v/>
      </c>
      <c r="B997" t="str">
        <f>IF(A997="", "", VLOOKUP(A997, BASE!$A$4:$B$10003, 2, FALSE))</f>
        <v/>
      </c>
      <c r="C997" t="str">
        <f>IF(A997="", "", SUMIF(BASE!$A$4:$A$10003, A997, BASE!$C$4:$C$10003))</f>
        <v/>
      </c>
      <c r="D997" t="str">
        <f>IF(A997="", "", INDEX(BASE!$D$4:$D$10003, MATCH(A997, BASE!$A$4:$A$10003, 0)))</f>
        <v/>
      </c>
      <c r="E997" t="str">
        <f>IF(A997="", "", INDEX(BASE!$E$4:$E$10003, MATCH(A997, BASE!$A$4:$A$10003, 0)))</f>
        <v/>
      </c>
    </row>
    <row r="998" spans="1:5">
      <c r="A998" t="str">
        <f>IFERROR(INDEX(BASE!$A$4:$A$10003, MATCH(0, COUNTIF($A$1:A997, BASE!$A$4:$A$10003&amp;""), 0)), "")</f>
        <v/>
      </c>
      <c r="B998" t="str">
        <f>IF(A998="", "", VLOOKUP(A998, BASE!$A$4:$B$10003, 2, FALSE))</f>
        <v/>
      </c>
      <c r="C998" t="str">
        <f>IF(A998="", "", SUMIF(BASE!$A$4:$A$10003, A998, BASE!$C$4:$C$10003))</f>
        <v/>
      </c>
      <c r="D998" t="str">
        <f>IF(A998="", "", INDEX(BASE!$D$4:$D$10003, MATCH(A998, BASE!$A$4:$A$10003, 0)))</f>
        <v/>
      </c>
      <c r="E998" t="str">
        <f>IF(A998="", "", INDEX(BASE!$E$4:$E$10003, MATCH(A998, BASE!$A$4:$A$10003, 0)))</f>
        <v/>
      </c>
    </row>
    <row r="999" spans="1:5">
      <c r="A999" t="str">
        <f>IFERROR(INDEX(BASE!$A$4:$A$10003, MATCH(0, COUNTIF($A$1:A998, BASE!$A$4:$A$10003&amp;""), 0)), "")</f>
        <v/>
      </c>
      <c r="B999" t="str">
        <f>IF(A999="", "", VLOOKUP(A999, BASE!$A$4:$B$10003, 2, FALSE))</f>
        <v/>
      </c>
      <c r="C999" t="str">
        <f>IF(A999="", "", SUMIF(BASE!$A$4:$A$10003, A999, BASE!$C$4:$C$10003))</f>
        <v/>
      </c>
      <c r="D999" t="str">
        <f>IF(A999="", "", INDEX(BASE!$D$4:$D$10003, MATCH(A999, BASE!$A$4:$A$10003, 0)))</f>
        <v/>
      </c>
      <c r="E999" t="str">
        <f>IF(A999="", "", INDEX(BASE!$E$4:$E$10003, MATCH(A999, BASE!$A$4:$A$10003, 0)))</f>
        <v/>
      </c>
    </row>
    <row r="1000" spans="1:5">
      <c r="A1000" t="str">
        <f>IFERROR(INDEX(BASE!$A$4:$A$10003, MATCH(0, COUNTIF($A$1:A999, BASE!$A$4:$A$10003&amp;""), 0)), "")</f>
        <v/>
      </c>
      <c r="B1000" t="str">
        <f>IF(A1000="", "", VLOOKUP(A1000, BASE!$A$4:$B$10003, 2, FALSE))</f>
        <v/>
      </c>
      <c r="C1000" t="str">
        <f>IF(A1000="", "", SUMIF(BASE!$A$4:$A$10003, A1000, BASE!$C$4:$C$10003))</f>
        <v/>
      </c>
      <c r="D1000" t="str">
        <f>IF(A1000="", "", INDEX(BASE!$D$4:$D$10003, MATCH(A1000, BASE!$A$4:$A$10003, 0)))</f>
        <v/>
      </c>
      <c r="E1000" t="str">
        <f>IF(A1000="", "", INDEX(BASE!$E$4:$E$10003, MATCH(A1000, BASE!$A$4:$A$10003, 0)))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1" topLeftCell="A2" activePane="bottomLeft" state="frozen"/>
      <selection pane="bottomLeft" activeCell="D39" sqref="D39"/>
    </sheetView>
  </sheetViews>
  <sheetFormatPr defaultRowHeight="15"/>
  <cols>
    <col min="1" max="1" width="20" customWidth="1"/>
    <col min="2" max="2" width="40" customWidth="1"/>
    <col min="3" max="3" width="15" customWidth="1"/>
    <col min="4" max="5" width="20" customWidth="1"/>
    <col min="6" max="6" width="15" customWidth="1"/>
  </cols>
  <sheetData>
    <row r="1" spans="1:6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</row>
    <row r="2" spans="1:6">
      <c r="A2" t="str">
        <f>IFERROR(INDEX(BASE!$A$4:$A$10003, SMALL(IF(BASE!$F$4:$F$10003="CARREGADO", ROW(BASE!$A$4:$A$10003)-ROW(BASE!$A$4)+1), ROW(A1))), "")</f>
        <v/>
      </c>
      <c r="B2" t="str">
        <f>IF(A2="", "", VLOOKUP(A2, BASE!$A$4:$B$10003, 2, FALSE))</f>
        <v/>
      </c>
      <c r="C2" t="str">
        <f>IF(A2="", "", VLOOKUP(A2, BASE!$A$4:$C$10003, 3, FALSE))</f>
        <v/>
      </c>
      <c r="D2" t="str">
        <f>IF(A2="", "", VLOOKUP(A2, BASE!$A$4:$D$10003, 4, FALSE))</f>
        <v/>
      </c>
      <c r="E2" t="str">
        <f>IF(A2="", "", VLOOKUP(A2, BASE!$A$4:$E$10003, 5, FALSE))</f>
        <v/>
      </c>
      <c r="F2" t="str">
        <f t="shared" ref="F2:F65" si="0">IF(A2="", "", "CARREGADO")</f>
        <v/>
      </c>
    </row>
    <row r="3" spans="1:6">
      <c r="A3" t="str">
        <f>IFERROR(INDEX(BASE!$A$4:$A$10003, SMALL(IF(BASE!$F$4:$F$10003="CARREGADO", ROW(BASE!$A$4:$A$10003)-ROW(BASE!$A$4)+1), ROW(A2))), "")</f>
        <v/>
      </c>
      <c r="B3" t="str">
        <f>IF(A3="", "", VLOOKUP(A3, BASE!$A$4:$B$10003, 2, FALSE))</f>
        <v/>
      </c>
      <c r="C3" t="str">
        <f>IF(A3="", "", VLOOKUP(A3, BASE!$A$4:$C$10003, 3, FALSE))</f>
        <v/>
      </c>
      <c r="D3" t="str">
        <f>IF(A3="", "", VLOOKUP(A3, BASE!$A$4:$D$10003, 4, FALSE))</f>
        <v/>
      </c>
      <c r="E3" t="str">
        <f>IF(A3="", "", VLOOKUP(A3, BASE!$A$4:$E$10003, 5, FALSE))</f>
        <v/>
      </c>
      <c r="F3" t="str">
        <f t="shared" si="0"/>
        <v/>
      </c>
    </row>
    <row r="4" spans="1:6">
      <c r="A4" t="str">
        <f>IFERROR(INDEX(BASE!$A$4:$A$10003, SMALL(IF(BASE!$F$4:$F$10003="CARREGADO", ROW(BASE!$A$4:$A$10003)-ROW(BASE!$A$4)+1), ROW(A3))), "")</f>
        <v/>
      </c>
      <c r="B4" t="str">
        <f>IF(A4="", "", VLOOKUP(A4, BASE!$A$4:$B$10003, 2, FALSE))</f>
        <v/>
      </c>
      <c r="C4" t="str">
        <f>IF(A4="", "", VLOOKUP(A4, BASE!$A$4:$C$10003, 3, FALSE))</f>
        <v/>
      </c>
      <c r="D4" t="str">
        <f>IF(A4="", "", VLOOKUP(A4, BASE!$A$4:$D$10003, 4, FALSE))</f>
        <v/>
      </c>
      <c r="E4" t="str">
        <f>IF(A4="", "", VLOOKUP(A4, BASE!$A$4:$E$10003, 5, FALSE))</f>
        <v/>
      </c>
      <c r="F4" t="str">
        <f t="shared" si="0"/>
        <v/>
      </c>
    </row>
    <row r="5" spans="1:6">
      <c r="A5" t="str">
        <f>IFERROR(INDEX(BASE!$A$4:$A$10003, SMALL(IF(BASE!$F$4:$F$10003="CARREGADO", ROW(BASE!$A$4:$A$10003)-ROW(BASE!$A$4)+1), ROW(A4))), "")</f>
        <v/>
      </c>
      <c r="B5" t="str">
        <f>IF(A5="", "", VLOOKUP(A5, BASE!$A$4:$B$10003, 2, FALSE))</f>
        <v/>
      </c>
      <c r="C5" t="str">
        <f>IF(A5="", "", VLOOKUP(A5, BASE!$A$4:$C$10003, 3, FALSE))</f>
        <v/>
      </c>
      <c r="D5" t="str">
        <f>IF(A5="", "", VLOOKUP(A5, BASE!$A$4:$D$10003, 4, FALSE))</f>
        <v/>
      </c>
      <c r="E5" t="str">
        <f>IF(A5="", "", VLOOKUP(A5, BASE!$A$4:$E$10003, 5, FALSE))</f>
        <v/>
      </c>
      <c r="F5" t="str">
        <f t="shared" si="0"/>
        <v/>
      </c>
    </row>
    <row r="6" spans="1:6">
      <c r="A6" t="str">
        <f>IFERROR(INDEX(BASE!$A$4:$A$10003, SMALL(IF(BASE!$F$4:$F$10003="CARREGADO", ROW(BASE!$A$4:$A$10003)-ROW(BASE!$A$4)+1), ROW(A5))), "")</f>
        <v/>
      </c>
      <c r="B6" t="str">
        <f>IF(A6="", "", VLOOKUP(A6, BASE!$A$4:$B$10003, 2, FALSE))</f>
        <v/>
      </c>
      <c r="C6" t="str">
        <f>IF(A6="", "", VLOOKUP(A6, BASE!$A$4:$C$10003, 3, FALSE))</f>
        <v/>
      </c>
      <c r="D6" t="str">
        <f>IF(A6="", "", VLOOKUP(A6, BASE!$A$4:$D$10003, 4, FALSE))</f>
        <v/>
      </c>
      <c r="E6" t="str">
        <f>IF(A6="", "", VLOOKUP(A6, BASE!$A$4:$E$10003, 5, FALSE))</f>
        <v/>
      </c>
      <c r="F6" t="str">
        <f t="shared" si="0"/>
        <v/>
      </c>
    </row>
    <row r="7" spans="1:6">
      <c r="A7" t="str">
        <f>IFERROR(INDEX(BASE!$A$4:$A$10003, SMALL(IF(BASE!$F$4:$F$10003="CARREGADO", ROW(BASE!$A$4:$A$10003)-ROW(BASE!$A$4)+1), ROW(A6))), "")</f>
        <v/>
      </c>
      <c r="B7" t="str">
        <f>IF(A7="", "", VLOOKUP(A7, BASE!$A$4:$B$10003, 2, FALSE))</f>
        <v/>
      </c>
      <c r="C7" t="str">
        <f>IF(A7="", "", VLOOKUP(A7, BASE!$A$4:$C$10003, 3, FALSE))</f>
        <v/>
      </c>
      <c r="D7" t="str">
        <f>IF(A7="", "", VLOOKUP(A7, BASE!$A$4:$D$10003, 4, FALSE))</f>
        <v/>
      </c>
      <c r="E7" t="str">
        <f>IF(A7="", "", VLOOKUP(A7, BASE!$A$4:$E$10003, 5, FALSE))</f>
        <v/>
      </c>
      <c r="F7" t="str">
        <f t="shared" si="0"/>
        <v/>
      </c>
    </row>
    <row r="8" spans="1:6">
      <c r="A8" t="str">
        <f>IFERROR(INDEX(BASE!$A$4:$A$10003, SMALL(IF(BASE!$F$4:$F$10003="CARREGADO", ROW(BASE!$A$4:$A$10003)-ROW(BASE!$A$4)+1), ROW(A7))), "")</f>
        <v/>
      </c>
      <c r="B8" t="str">
        <f>IF(A8="", "", VLOOKUP(A8, BASE!$A$4:$B$10003, 2, FALSE))</f>
        <v/>
      </c>
      <c r="C8" t="str">
        <f>IF(A8="", "", VLOOKUP(A8, BASE!$A$4:$C$10003, 3, FALSE))</f>
        <v/>
      </c>
      <c r="D8" t="str">
        <f>IF(A8="", "", VLOOKUP(A8, BASE!$A$4:$D$10003, 4, FALSE))</f>
        <v/>
      </c>
      <c r="E8" t="str">
        <f>IF(A8="", "", VLOOKUP(A8, BASE!$A$4:$E$10003, 5, FALSE))</f>
        <v/>
      </c>
      <c r="F8" t="str">
        <f t="shared" si="0"/>
        <v/>
      </c>
    </row>
    <row r="9" spans="1:6">
      <c r="A9" t="str">
        <f>IFERROR(INDEX(BASE!$A$4:$A$10003, SMALL(IF(BASE!$F$4:$F$10003="CARREGADO", ROW(BASE!$A$4:$A$10003)-ROW(BASE!$A$4)+1), ROW(A8))), "")</f>
        <v/>
      </c>
      <c r="B9" t="str">
        <f>IF(A9="", "", VLOOKUP(A9, BASE!$A$4:$B$10003, 2, FALSE))</f>
        <v/>
      </c>
      <c r="C9" t="str">
        <f>IF(A9="", "", VLOOKUP(A9, BASE!$A$4:$C$10003, 3, FALSE))</f>
        <v/>
      </c>
      <c r="D9" t="str">
        <f>IF(A9="", "", VLOOKUP(A9, BASE!$A$4:$D$10003, 4, FALSE))</f>
        <v/>
      </c>
      <c r="E9" t="str">
        <f>IF(A9="", "", VLOOKUP(A9, BASE!$A$4:$E$10003, 5, FALSE))</f>
        <v/>
      </c>
      <c r="F9" t="str">
        <f t="shared" si="0"/>
        <v/>
      </c>
    </row>
    <row r="10" spans="1:6">
      <c r="A10" t="str">
        <f>IFERROR(INDEX(BASE!$A$4:$A$10003, SMALL(IF(BASE!$F$4:$F$10003="CARREGADO", ROW(BASE!$A$4:$A$10003)-ROW(BASE!$A$4)+1), ROW(A9))), "")</f>
        <v/>
      </c>
      <c r="B10" t="str">
        <f>IF(A10="", "", VLOOKUP(A10, BASE!$A$4:$B$10003, 2, FALSE))</f>
        <v/>
      </c>
      <c r="C10" t="str">
        <f>IF(A10="", "", VLOOKUP(A10, BASE!$A$4:$C$10003, 3, FALSE))</f>
        <v/>
      </c>
      <c r="D10" t="str">
        <f>IF(A10="", "", VLOOKUP(A10, BASE!$A$4:$D$10003, 4, FALSE))</f>
        <v/>
      </c>
      <c r="E10" t="str">
        <f>IF(A10="", "", VLOOKUP(A10, BASE!$A$4:$E$10003, 5, FALSE))</f>
        <v/>
      </c>
      <c r="F10" t="str">
        <f t="shared" si="0"/>
        <v/>
      </c>
    </row>
    <row r="11" spans="1:6">
      <c r="A11" t="str">
        <f>IFERROR(INDEX(BASE!$A$4:$A$10003, SMALL(IF(BASE!$F$4:$F$10003="CARREGADO", ROW(BASE!$A$4:$A$10003)-ROW(BASE!$A$4)+1), ROW(A10))), "")</f>
        <v/>
      </c>
      <c r="B11" t="str">
        <f>IF(A11="", "", VLOOKUP(A11, BASE!$A$4:$B$10003, 2, FALSE))</f>
        <v/>
      </c>
      <c r="C11" t="str">
        <f>IF(A11="", "", VLOOKUP(A11, BASE!$A$4:$C$10003, 3, FALSE))</f>
        <v/>
      </c>
      <c r="D11" t="str">
        <f>IF(A11="", "", VLOOKUP(A11, BASE!$A$4:$D$10003, 4, FALSE))</f>
        <v/>
      </c>
      <c r="E11" t="str">
        <f>IF(A11="", "", VLOOKUP(A11, BASE!$A$4:$E$10003, 5, FALSE))</f>
        <v/>
      </c>
      <c r="F11" t="str">
        <f t="shared" si="0"/>
        <v/>
      </c>
    </row>
    <row r="12" spans="1:6">
      <c r="A12" t="str">
        <f>IFERROR(INDEX(BASE!$A$4:$A$10003, SMALL(IF(BASE!$F$4:$F$10003="CARREGADO", ROW(BASE!$A$4:$A$10003)-ROW(BASE!$A$4)+1), ROW(A11))), "")</f>
        <v/>
      </c>
      <c r="B12" t="str">
        <f>IF(A12="", "", VLOOKUP(A12, BASE!$A$4:$B$10003, 2, FALSE))</f>
        <v/>
      </c>
      <c r="C12" t="str">
        <f>IF(A12="", "", VLOOKUP(A12, BASE!$A$4:$C$10003, 3, FALSE))</f>
        <v/>
      </c>
      <c r="D12" t="str">
        <f>IF(A12="", "", VLOOKUP(A12, BASE!$A$4:$D$10003, 4, FALSE))</f>
        <v/>
      </c>
      <c r="E12" t="str">
        <f>IF(A12="", "", VLOOKUP(A12, BASE!$A$4:$E$10003, 5, FALSE))</f>
        <v/>
      </c>
      <c r="F12" t="str">
        <f t="shared" si="0"/>
        <v/>
      </c>
    </row>
    <row r="13" spans="1:6">
      <c r="A13" t="str">
        <f>IFERROR(INDEX(BASE!$A$4:$A$10003, SMALL(IF(BASE!$F$4:$F$10003="CARREGADO", ROW(BASE!$A$4:$A$10003)-ROW(BASE!$A$4)+1), ROW(A12))), "")</f>
        <v/>
      </c>
      <c r="B13" t="str">
        <f>IF(A13="", "", VLOOKUP(A13, BASE!$A$4:$B$10003, 2, FALSE))</f>
        <v/>
      </c>
      <c r="C13" t="str">
        <f>IF(A13="", "", VLOOKUP(A13, BASE!$A$4:$C$10003, 3, FALSE))</f>
        <v/>
      </c>
      <c r="D13" t="str">
        <f>IF(A13="", "", VLOOKUP(A13, BASE!$A$4:$D$10003, 4, FALSE))</f>
        <v/>
      </c>
      <c r="E13" t="str">
        <f>IF(A13="", "", VLOOKUP(A13, BASE!$A$4:$E$10003, 5, FALSE))</f>
        <v/>
      </c>
      <c r="F13" t="str">
        <f t="shared" si="0"/>
        <v/>
      </c>
    </row>
    <row r="14" spans="1:6">
      <c r="A14" t="str">
        <f>IFERROR(INDEX(BASE!$A$4:$A$10003, SMALL(IF(BASE!$F$4:$F$10003="CARREGADO", ROW(BASE!$A$4:$A$10003)-ROW(BASE!$A$4)+1), ROW(A13))), "")</f>
        <v/>
      </c>
      <c r="B14" t="str">
        <f>IF(A14="", "", VLOOKUP(A14, BASE!$A$4:$B$10003, 2, FALSE))</f>
        <v/>
      </c>
      <c r="C14" t="str">
        <f>IF(A14="", "", VLOOKUP(A14, BASE!$A$4:$C$10003, 3, FALSE))</f>
        <v/>
      </c>
      <c r="D14" t="str">
        <f>IF(A14="", "", VLOOKUP(A14, BASE!$A$4:$D$10003, 4, FALSE))</f>
        <v/>
      </c>
      <c r="E14" t="str">
        <f>IF(A14="", "", VLOOKUP(A14, BASE!$A$4:$E$10003, 5, FALSE))</f>
        <v/>
      </c>
      <c r="F14" t="str">
        <f t="shared" si="0"/>
        <v/>
      </c>
    </row>
    <row r="15" spans="1:6">
      <c r="A15" t="str">
        <f>IFERROR(INDEX(BASE!$A$4:$A$10003, SMALL(IF(BASE!$F$4:$F$10003="CARREGADO", ROW(BASE!$A$4:$A$10003)-ROW(BASE!$A$4)+1), ROW(A14))), "")</f>
        <v/>
      </c>
      <c r="B15" t="str">
        <f>IF(A15="", "", VLOOKUP(A15, BASE!$A$4:$B$10003, 2, FALSE))</f>
        <v/>
      </c>
      <c r="C15" t="str">
        <f>IF(A15="", "", VLOOKUP(A15, BASE!$A$4:$C$10003, 3, FALSE))</f>
        <v/>
      </c>
      <c r="D15" t="str">
        <f>IF(A15="", "", VLOOKUP(A15, BASE!$A$4:$D$10003, 4, FALSE))</f>
        <v/>
      </c>
      <c r="E15" t="str">
        <f>IF(A15="", "", VLOOKUP(A15, BASE!$A$4:$E$10003, 5, FALSE))</f>
        <v/>
      </c>
      <c r="F15" t="str">
        <f t="shared" si="0"/>
        <v/>
      </c>
    </row>
    <row r="16" spans="1:6">
      <c r="A16" t="str">
        <f>IFERROR(INDEX(BASE!$A$4:$A$10003, SMALL(IF(BASE!$F$4:$F$10003="CARREGADO", ROW(BASE!$A$4:$A$10003)-ROW(BASE!$A$4)+1), ROW(A15))), "")</f>
        <v/>
      </c>
      <c r="B16" t="str">
        <f>IF(A16="", "", VLOOKUP(A16, BASE!$A$4:$B$10003, 2, FALSE))</f>
        <v/>
      </c>
      <c r="C16" t="str">
        <f>IF(A16="", "", VLOOKUP(A16, BASE!$A$4:$C$10003, 3, FALSE))</f>
        <v/>
      </c>
      <c r="D16" t="str">
        <f>IF(A16="", "", VLOOKUP(A16, BASE!$A$4:$D$10003, 4, FALSE))</f>
        <v/>
      </c>
      <c r="E16" t="str">
        <f>IF(A16="", "", VLOOKUP(A16, BASE!$A$4:$E$10003, 5, FALSE))</f>
        <v/>
      </c>
      <c r="F16" t="str">
        <f t="shared" si="0"/>
        <v/>
      </c>
    </row>
    <row r="17" spans="1:6">
      <c r="A17" t="str">
        <f>IFERROR(INDEX(BASE!$A$4:$A$10003, SMALL(IF(BASE!$F$4:$F$10003="CARREGADO", ROW(BASE!$A$4:$A$10003)-ROW(BASE!$A$4)+1), ROW(A16))), "")</f>
        <v/>
      </c>
      <c r="B17" t="str">
        <f>IF(A17="", "", VLOOKUP(A17, BASE!$A$4:$B$10003, 2, FALSE))</f>
        <v/>
      </c>
      <c r="C17" t="str">
        <f>IF(A17="", "", VLOOKUP(A17, BASE!$A$4:$C$10003, 3, FALSE))</f>
        <v/>
      </c>
      <c r="D17" t="str">
        <f>IF(A17="", "", VLOOKUP(A17, BASE!$A$4:$D$10003, 4, FALSE))</f>
        <v/>
      </c>
      <c r="E17" t="str">
        <f>IF(A17="", "", VLOOKUP(A17, BASE!$A$4:$E$10003, 5, FALSE))</f>
        <v/>
      </c>
      <c r="F17" t="str">
        <f t="shared" si="0"/>
        <v/>
      </c>
    </row>
    <row r="18" spans="1:6">
      <c r="A18" t="str">
        <f>IFERROR(INDEX(BASE!$A$4:$A$10003, SMALL(IF(BASE!$F$4:$F$10003="CARREGADO", ROW(BASE!$A$4:$A$10003)-ROW(BASE!$A$4)+1), ROW(A17))), "")</f>
        <v/>
      </c>
      <c r="B18" t="str">
        <f>IF(A18="", "", VLOOKUP(A18, BASE!$A$4:$B$10003, 2, FALSE))</f>
        <v/>
      </c>
      <c r="C18" t="str">
        <f>IF(A18="", "", VLOOKUP(A18, BASE!$A$4:$C$10003, 3, FALSE))</f>
        <v/>
      </c>
      <c r="D18" t="str">
        <f>IF(A18="", "", VLOOKUP(A18, BASE!$A$4:$D$10003, 4, FALSE))</f>
        <v/>
      </c>
      <c r="E18" t="str">
        <f>IF(A18="", "", VLOOKUP(A18, BASE!$A$4:$E$10003, 5, FALSE))</f>
        <v/>
      </c>
      <c r="F18" t="str">
        <f t="shared" si="0"/>
        <v/>
      </c>
    </row>
    <row r="19" spans="1:6">
      <c r="A19" t="str">
        <f>IFERROR(INDEX(BASE!$A$4:$A$10003, SMALL(IF(BASE!$F$4:$F$10003="CARREGADO", ROW(BASE!$A$4:$A$10003)-ROW(BASE!$A$4)+1), ROW(A18))), "")</f>
        <v/>
      </c>
      <c r="B19" t="str">
        <f>IF(A19="", "", VLOOKUP(A19, BASE!$A$4:$B$10003, 2, FALSE))</f>
        <v/>
      </c>
      <c r="C19" t="str">
        <f>IF(A19="", "", VLOOKUP(A19, BASE!$A$4:$C$10003, 3, FALSE))</f>
        <v/>
      </c>
      <c r="D19" t="str">
        <f>IF(A19="", "", VLOOKUP(A19, BASE!$A$4:$D$10003, 4, FALSE))</f>
        <v/>
      </c>
      <c r="E19" t="str">
        <f>IF(A19="", "", VLOOKUP(A19, BASE!$A$4:$E$10003, 5, FALSE))</f>
        <v/>
      </c>
      <c r="F19" t="str">
        <f t="shared" si="0"/>
        <v/>
      </c>
    </row>
    <row r="20" spans="1:6">
      <c r="A20" t="str">
        <f>IFERROR(INDEX(BASE!$A$4:$A$10003, SMALL(IF(BASE!$F$4:$F$10003="CARREGADO", ROW(BASE!$A$4:$A$10003)-ROW(BASE!$A$4)+1), ROW(A19))), "")</f>
        <v/>
      </c>
      <c r="B20" t="str">
        <f>IF(A20="", "", VLOOKUP(A20, BASE!$A$4:$B$10003, 2, FALSE))</f>
        <v/>
      </c>
      <c r="C20" t="str">
        <f>IF(A20="", "", VLOOKUP(A20, BASE!$A$4:$C$10003, 3, FALSE))</f>
        <v/>
      </c>
      <c r="D20" t="str">
        <f>IF(A20="", "", VLOOKUP(A20, BASE!$A$4:$D$10003, 4, FALSE))</f>
        <v/>
      </c>
      <c r="E20" t="str">
        <f>IF(A20="", "", VLOOKUP(A20, BASE!$A$4:$E$10003, 5, FALSE))</f>
        <v/>
      </c>
      <c r="F20" t="str">
        <f t="shared" si="0"/>
        <v/>
      </c>
    </row>
    <row r="21" spans="1:6">
      <c r="A21" t="str">
        <f>IFERROR(INDEX(BASE!$A$4:$A$10003, SMALL(IF(BASE!$F$4:$F$10003="CARREGADO", ROW(BASE!$A$4:$A$10003)-ROW(BASE!$A$4)+1), ROW(A20))), "")</f>
        <v/>
      </c>
      <c r="B21" t="str">
        <f>IF(A21="", "", VLOOKUP(A21, BASE!$A$4:$B$10003, 2, FALSE))</f>
        <v/>
      </c>
      <c r="C21" t="str">
        <f>IF(A21="", "", VLOOKUP(A21, BASE!$A$4:$C$10003, 3, FALSE))</f>
        <v/>
      </c>
      <c r="D21" t="str">
        <f>IF(A21="", "", VLOOKUP(A21, BASE!$A$4:$D$10003, 4, FALSE))</f>
        <v/>
      </c>
      <c r="E21" t="str">
        <f>IF(A21="", "", VLOOKUP(A21, BASE!$A$4:$E$10003, 5, FALSE))</f>
        <v/>
      </c>
      <c r="F21" t="str">
        <f t="shared" si="0"/>
        <v/>
      </c>
    </row>
    <row r="22" spans="1:6">
      <c r="A22" t="str">
        <f>IFERROR(INDEX(BASE!$A$4:$A$10003, SMALL(IF(BASE!$F$4:$F$10003="CARREGADO", ROW(BASE!$A$4:$A$10003)-ROW(BASE!$A$4)+1), ROW(A21))), "")</f>
        <v/>
      </c>
      <c r="B22" t="str">
        <f>IF(A22="", "", VLOOKUP(A22, BASE!$A$4:$B$10003, 2, FALSE))</f>
        <v/>
      </c>
      <c r="C22" t="str">
        <f>IF(A22="", "", VLOOKUP(A22, BASE!$A$4:$C$10003, 3, FALSE))</f>
        <v/>
      </c>
      <c r="D22" t="str">
        <f>IF(A22="", "", VLOOKUP(A22, BASE!$A$4:$D$10003, 4, FALSE))</f>
        <v/>
      </c>
      <c r="E22" t="str">
        <f>IF(A22="", "", VLOOKUP(A22, BASE!$A$4:$E$10003, 5, FALSE))</f>
        <v/>
      </c>
      <c r="F22" t="str">
        <f t="shared" si="0"/>
        <v/>
      </c>
    </row>
    <row r="23" spans="1:6">
      <c r="A23" t="str">
        <f>IFERROR(INDEX(BASE!$A$4:$A$10003, SMALL(IF(BASE!$F$4:$F$10003="CARREGADO", ROW(BASE!$A$4:$A$10003)-ROW(BASE!$A$4)+1), ROW(A22))), "")</f>
        <v/>
      </c>
      <c r="B23" t="str">
        <f>IF(A23="", "", VLOOKUP(A23, BASE!$A$4:$B$10003, 2, FALSE))</f>
        <v/>
      </c>
      <c r="C23" t="str">
        <f>IF(A23="", "", VLOOKUP(A23, BASE!$A$4:$C$10003, 3, FALSE))</f>
        <v/>
      </c>
      <c r="D23" t="str">
        <f>IF(A23="", "", VLOOKUP(A23, BASE!$A$4:$D$10003, 4, FALSE))</f>
        <v/>
      </c>
      <c r="E23" t="str">
        <f>IF(A23="", "", VLOOKUP(A23, BASE!$A$4:$E$10003, 5, FALSE))</f>
        <v/>
      </c>
      <c r="F23" t="str">
        <f t="shared" si="0"/>
        <v/>
      </c>
    </row>
    <row r="24" spans="1:6">
      <c r="A24" t="str">
        <f>IFERROR(INDEX(BASE!$A$4:$A$10003, SMALL(IF(BASE!$F$4:$F$10003="CARREGADO", ROW(BASE!$A$4:$A$10003)-ROW(BASE!$A$4)+1), ROW(A23))), "")</f>
        <v/>
      </c>
      <c r="B24" t="str">
        <f>IF(A24="", "", VLOOKUP(A24, BASE!$A$4:$B$10003, 2, FALSE))</f>
        <v/>
      </c>
      <c r="C24" t="str">
        <f>IF(A24="", "", VLOOKUP(A24, BASE!$A$4:$C$10003, 3, FALSE))</f>
        <v/>
      </c>
      <c r="D24" t="str">
        <f>IF(A24="", "", VLOOKUP(A24, BASE!$A$4:$D$10003, 4, FALSE))</f>
        <v/>
      </c>
      <c r="E24" t="str">
        <f>IF(A24="", "", VLOOKUP(A24, BASE!$A$4:$E$10003, 5, FALSE))</f>
        <v/>
      </c>
      <c r="F24" t="str">
        <f t="shared" si="0"/>
        <v/>
      </c>
    </row>
    <row r="25" spans="1:6">
      <c r="A25" t="str">
        <f>IFERROR(INDEX(BASE!$A$4:$A$10003, SMALL(IF(BASE!$F$4:$F$10003="CARREGADO", ROW(BASE!$A$4:$A$10003)-ROW(BASE!$A$4)+1), ROW(A24))), "")</f>
        <v/>
      </c>
      <c r="B25" t="str">
        <f>IF(A25="", "", VLOOKUP(A25, BASE!$A$4:$B$10003, 2, FALSE))</f>
        <v/>
      </c>
      <c r="C25" t="str">
        <f>IF(A25="", "", VLOOKUP(A25, BASE!$A$4:$C$10003, 3, FALSE))</f>
        <v/>
      </c>
      <c r="D25" t="str">
        <f>IF(A25="", "", VLOOKUP(A25, BASE!$A$4:$D$10003, 4, FALSE))</f>
        <v/>
      </c>
      <c r="E25" t="str">
        <f>IF(A25="", "", VLOOKUP(A25, BASE!$A$4:$E$10003, 5, FALSE))</f>
        <v/>
      </c>
      <c r="F25" t="str">
        <f t="shared" si="0"/>
        <v/>
      </c>
    </row>
    <row r="26" spans="1:6">
      <c r="A26" t="str">
        <f>IFERROR(INDEX(BASE!$A$4:$A$10003, SMALL(IF(BASE!$F$4:$F$10003="CARREGADO", ROW(BASE!$A$4:$A$10003)-ROW(BASE!$A$4)+1), ROW(A25))), "")</f>
        <v/>
      </c>
      <c r="B26" t="str">
        <f>IF(A26="", "", VLOOKUP(A26, BASE!$A$4:$B$10003, 2, FALSE))</f>
        <v/>
      </c>
      <c r="C26" t="str">
        <f>IF(A26="", "", VLOOKUP(A26, BASE!$A$4:$C$10003, 3, FALSE))</f>
        <v/>
      </c>
      <c r="D26" t="str">
        <f>IF(A26="", "", VLOOKUP(A26, BASE!$A$4:$D$10003, 4, FALSE))</f>
        <v/>
      </c>
      <c r="E26" t="str">
        <f>IF(A26="", "", VLOOKUP(A26, BASE!$A$4:$E$10003, 5, FALSE))</f>
        <v/>
      </c>
      <c r="F26" t="str">
        <f t="shared" si="0"/>
        <v/>
      </c>
    </row>
    <row r="27" spans="1:6">
      <c r="A27" t="str">
        <f>IFERROR(INDEX(BASE!$A$4:$A$10003, SMALL(IF(BASE!$F$4:$F$10003="CARREGADO", ROW(BASE!$A$4:$A$10003)-ROW(BASE!$A$4)+1), ROW(A26))), "")</f>
        <v/>
      </c>
      <c r="B27" t="str">
        <f>IF(A27="", "", VLOOKUP(A27, BASE!$A$4:$B$10003, 2, FALSE))</f>
        <v/>
      </c>
      <c r="C27" t="str">
        <f>IF(A27="", "", VLOOKUP(A27, BASE!$A$4:$C$10003, 3, FALSE))</f>
        <v/>
      </c>
      <c r="D27" t="str">
        <f>IF(A27="", "", VLOOKUP(A27, BASE!$A$4:$D$10003, 4, FALSE))</f>
        <v/>
      </c>
      <c r="E27" t="str">
        <f>IF(A27="", "", VLOOKUP(A27, BASE!$A$4:$E$10003, 5, FALSE))</f>
        <v/>
      </c>
      <c r="F27" t="str">
        <f t="shared" si="0"/>
        <v/>
      </c>
    </row>
    <row r="28" spans="1:6">
      <c r="A28" t="str">
        <f>IFERROR(INDEX(BASE!$A$4:$A$10003, SMALL(IF(BASE!$F$4:$F$10003="CARREGADO", ROW(BASE!$A$4:$A$10003)-ROW(BASE!$A$4)+1), ROW(A27))), "")</f>
        <v/>
      </c>
      <c r="B28" t="str">
        <f>IF(A28="", "", VLOOKUP(A28, BASE!$A$4:$B$10003, 2, FALSE))</f>
        <v/>
      </c>
      <c r="C28" t="str">
        <f>IF(A28="", "", VLOOKUP(A28, BASE!$A$4:$C$10003, 3, FALSE))</f>
        <v/>
      </c>
      <c r="D28" t="str">
        <f>IF(A28="", "", VLOOKUP(A28, BASE!$A$4:$D$10003, 4, FALSE))</f>
        <v/>
      </c>
      <c r="E28" t="str">
        <f>IF(A28="", "", VLOOKUP(A28, BASE!$A$4:$E$10003, 5, FALSE))</f>
        <v/>
      </c>
      <c r="F28" t="str">
        <f t="shared" si="0"/>
        <v/>
      </c>
    </row>
    <row r="29" spans="1:6">
      <c r="A29" t="str">
        <f>IFERROR(INDEX(BASE!$A$4:$A$10003, SMALL(IF(BASE!$F$4:$F$10003="CARREGADO", ROW(BASE!$A$4:$A$10003)-ROW(BASE!$A$4)+1), ROW(A28))), "")</f>
        <v/>
      </c>
      <c r="B29" t="str">
        <f>IF(A29="", "", VLOOKUP(A29, BASE!$A$4:$B$10003, 2, FALSE))</f>
        <v/>
      </c>
      <c r="C29" t="str">
        <f>IF(A29="", "", VLOOKUP(A29, BASE!$A$4:$C$10003, 3, FALSE))</f>
        <v/>
      </c>
      <c r="D29" t="str">
        <f>IF(A29="", "", VLOOKUP(A29, BASE!$A$4:$D$10003, 4, FALSE))</f>
        <v/>
      </c>
      <c r="E29" t="str">
        <f>IF(A29="", "", VLOOKUP(A29, BASE!$A$4:$E$10003, 5, FALSE))</f>
        <v/>
      </c>
      <c r="F29" t="str">
        <f t="shared" si="0"/>
        <v/>
      </c>
    </row>
    <row r="30" spans="1:6">
      <c r="A30" t="str">
        <f>IFERROR(INDEX(BASE!$A$4:$A$10003, SMALL(IF(BASE!$F$4:$F$10003="CARREGADO", ROW(BASE!$A$4:$A$10003)-ROW(BASE!$A$4)+1), ROW(A29))), "")</f>
        <v/>
      </c>
      <c r="B30" t="str">
        <f>IF(A30="", "", VLOOKUP(A30, BASE!$A$4:$B$10003, 2, FALSE))</f>
        <v/>
      </c>
      <c r="C30" t="str">
        <f>IF(A30="", "", VLOOKUP(A30, BASE!$A$4:$C$10003, 3, FALSE))</f>
        <v/>
      </c>
      <c r="D30" t="str">
        <f>IF(A30="", "", VLOOKUP(A30, BASE!$A$4:$D$10003, 4, FALSE))</f>
        <v/>
      </c>
      <c r="E30" t="str">
        <f>IF(A30="", "", VLOOKUP(A30, BASE!$A$4:$E$10003, 5, FALSE))</f>
        <v/>
      </c>
      <c r="F30" t="str">
        <f t="shared" si="0"/>
        <v/>
      </c>
    </row>
    <row r="31" spans="1:6">
      <c r="A31" t="str">
        <f>IFERROR(INDEX(BASE!$A$4:$A$10003, SMALL(IF(BASE!$F$4:$F$10003="CARREGADO", ROW(BASE!$A$4:$A$10003)-ROW(BASE!$A$4)+1), ROW(A30))), "")</f>
        <v/>
      </c>
      <c r="B31" t="str">
        <f>IF(A31="", "", VLOOKUP(A31, BASE!$A$4:$B$10003, 2, FALSE))</f>
        <v/>
      </c>
      <c r="C31" t="str">
        <f>IF(A31="", "", VLOOKUP(A31, BASE!$A$4:$C$10003, 3, FALSE))</f>
        <v/>
      </c>
      <c r="D31" t="str">
        <f>IF(A31="", "", VLOOKUP(A31, BASE!$A$4:$D$10003, 4, FALSE))</f>
        <v/>
      </c>
      <c r="E31" t="str">
        <f>IF(A31="", "", VLOOKUP(A31, BASE!$A$4:$E$10003, 5, FALSE))</f>
        <v/>
      </c>
      <c r="F31" t="str">
        <f t="shared" si="0"/>
        <v/>
      </c>
    </row>
    <row r="32" spans="1:6">
      <c r="A32" t="str">
        <f>IFERROR(INDEX(BASE!$A$4:$A$10003, SMALL(IF(BASE!$F$4:$F$10003="CARREGADO", ROW(BASE!$A$4:$A$10003)-ROW(BASE!$A$4)+1), ROW(A31))), "")</f>
        <v/>
      </c>
      <c r="B32" t="str">
        <f>IF(A32="", "", VLOOKUP(A32, BASE!$A$4:$B$10003, 2, FALSE))</f>
        <v/>
      </c>
      <c r="C32" t="str">
        <f>IF(A32="", "", VLOOKUP(A32, BASE!$A$4:$C$10003, 3, FALSE))</f>
        <v/>
      </c>
      <c r="D32" t="str">
        <f>IF(A32="", "", VLOOKUP(A32, BASE!$A$4:$D$10003, 4, FALSE))</f>
        <v/>
      </c>
      <c r="E32" t="str">
        <f>IF(A32="", "", VLOOKUP(A32, BASE!$A$4:$E$10003, 5, FALSE))</f>
        <v/>
      </c>
      <c r="F32" t="str">
        <f t="shared" si="0"/>
        <v/>
      </c>
    </row>
    <row r="33" spans="1:6">
      <c r="A33" t="str">
        <f>IFERROR(INDEX(BASE!$A$4:$A$10003, SMALL(IF(BASE!$F$4:$F$10003="CARREGADO", ROW(BASE!$A$4:$A$10003)-ROW(BASE!$A$4)+1), ROW(A32))), "")</f>
        <v/>
      </c>
      <c r="B33" t="str">
        <f>IF(A33="", "", VLOOKUP(A33, BASE!$A$4:$B$10003, 2, FALSE))</f>
        <v/>
      </c>
      <c r="C33" t="str">
        <f>IF(A33="", "", VLOOKUP(A33, BASE!$A$4:$C$10003, 3, FALSE))</f>
        <v/>
      </c>
      <c r="D33" t="str">
        <f>IF(A33="", "", VLOOKUP(A33, BASE!$A$4:$D$10003, 4, FALSE))</f>
        <v/>
      </c>
      <c r="E33" t="str">
        <f>IF(A33="", "", VLOOKUP(A33, BASE!$A$4:$E$10003, 5, FALSE))</f>
        <v/>
      </c>
      <c r="F33" t="str">
        <f t="shared" si="0"/>
        <v/>
      </c>
    </row>
    <row r="34" spans="1:6">
      <c r="A34" t="str">
        <f>IFERROR(INDEX(BASE!$A$4:$A$10003, SMALL(IF(BASE!$F$4:$F$10003="CARREGADO", ROW(BASE!$A$4:$A$10003)-ROW(BASE!$A$4)+1), ROW(A33))), "")</f>
        <v/>
      </c>
      <c r="B34" t="str">
        <f>IF(A34="", "", VLOOKUP(A34, BASE!$A$4:$B$10003, 2, FALSE))</f>
        <v/>
      </c>
      <c r="C34" t="str">
        <f>IF(A34="", "", VLOOKUP(A34, BASE!$A$4:$C$10003, 3, FALSE))</f>
        <v/>
      </c>
      <c r="D34" t="str">
        <f>IF(A34="", "", VLOOKUP(A34, BASE!$A$4:$D$10003, 4, FALSE))</f>
        <v/>
      </c>
      <c r="E34" t="str">
        <f>IF(A34="", "", VLOOKUP(A34, BASE!$A$4:$E$10003, 5, FALSE))</f>
        <v/>
      </c>
      <c r="F34" t="str">
        <f t="shared" si="0"/>
        <v/>
      </c>
    </row>
    <row r="35" spans="1:6">
      <c r="A35" t="str">
        <f>IFERROR(INDEX(BASE!$A$4:$A$10003, SMALL(IF(BASE!$F$4:$F$10003="CARREGADO", ROW(BASE!$A$4:$A$10003)-ROW(BASE!$A$4)+1), ROW(A34))), "")</f>
        <v/>
      </c>
      <c r="B35" t="str">
        <f>IF(A35="", "", VLOOKUP(A35, BASE!$A$4:$B$10003, 2, FALSE))</f>
        <v/>
      </c>
      <c r="C35" t="str">
        <f>IF(A35="", "", VLOOKUP(A35, BASE!$A$4:$C$10003, 3, FALSE))</f>
        <v/>
      </c>
      <c r="D35" t="str">
        <f>IF(A35="", "", VLOOKUP(A35, BASE!$A$4:$D$10003, 4, FALSE))</f>
        <v/>
      </c>
      <c r="E35" t="str">
        <f>IF(A35="", "", VLOOKUP(A35, BASE!$A$4:$E$10003, 5, FALSE))</f>
        <v/>
      </c>
      <c r="F35" t="str">
        <f t="shared" si="0"/>
        <v/>
      </c>
    </row>
    <row r="36" spans="1:6">
      <c r="A36" t="str">
        <f>IFERROR(INDEX(BASE!$A$4:$A$10003, SMALL(IF(BASE!$F$4:$F$10003="CARREGADO", ROW(BASE!$A$4:$A$10003)-ROW(BASE!$A$4)+1), ROW(A35))), "")</f>
        <v/>
      </c>
      <c r="B36" t="str">
        <f>IF(A36="", "", VLOOKUP(A36, BASE!$A$4:$B$10003, 2, FALSE))</f>
        <v/>
      </c>
      <c r="C36" t="str">
        <f>IF(A36="", "", VLOOKUP(A36, BASE!$A$4:$C$10003, 3, FALSE))</f>
        <v/>
      </c>
      <c r="D36" t="str">
        <f>IF(A36="", "", VLOOKUP(A36, BASE!$A$4:$D$10003, 4, FALSE))</f>
        <v/>
      </c>
      <c r="E36" t="str">
        <f>IF(A36="", "", VLOOKUP(A36, BASE!$A$4:$E$10003, 5, FALSE))</f>
        <v/>
      </c>
      <c r="F36" t="str">
        <f t="shared" si="0"/>
        <v/>
      </c>
    </row>
    <row r="37" spans="1:6">
      <c r="A37" t="str">
        <f>IFERROR(INDEX(BASE!$A$4:$A$10003, SMALL(IF(BASE!$F$4:$F$10003="CARREGADO", ROW(BASE!$A$4:$A$10003)-ROW(BASE!$A$4)+1), ROW(A36))), "")</f>
        <v/>
      </c>
      <c r="B37" t="str">
        <f>IF(A37="", "", VLOOKUP(A37, BASE!$A$4:$B$10003, 2, FALSE))</f>
        <v/>
      </c>
      <c r="C37" t="str">
        <f>IF(A37="", "", VLOOKUP(A37, BASE!$A$4:$C$10003, 3, FALSE))</f>
        <v/>
      </c>
      <c r="D37" t="str">
        <f>IF(A37="", "", VLOOKUP(A37, BASE!$A$4:$D$10003, 4, FALSE))</f>
        <v/>
      </c>
      <c r="E37" t="str">
        <f>IF(A37="", "", VLOOKUP(A37, BASE!$A$4:$E$10003, 5, FALSE))</f>
        <v/>
      </c>
      <c r="F37" t="str">
        <f t="shared" si="0"/>
        <v/>
      </c>
    </row>
    <row r="38" spans="1:6">
      <c r="A38" t="str">
        <f>IFERROR(INDEX(BASE!$A$4:$A$10003, SMALL(IF(BASE!$F$4:$F$10003="CARREGADO", ROW(BASE!$A$4:$A$10003)-ROW(BASE!$A$4)+1), ROW(A37))), "")</f>
        <v/>
      </c>
      <c r="B38" t="str">
        <f>IF(A38="", "", VLOOKUP(A38, BASE!$A$4:$B$10003, 2, FALSE))</f>
        <v/>
      </c>
      <c r="C38" t="str">
        <f>IF(A38="", "", VLOOKUP(A38, BASE!$A$4:$C$10003, 3, FALSE))</f>
        <v/>
      </c>
      <c r="D38" t="str">
        <f>IF(A38="", "", VLOOKUP(A38, BASE!$A$4:$D$10003, 4, FALSE))</f>
        <v/>
      </c>
      <c r="E38" t="str">
        <f>IF(A38="", "", VLOOKUP(A38, BASE!$A$4:$E$10003, 5, FALSE))</f>
        <v/>
      </c>
      <c r="F38" t="str">
        <f t="shared" si="0"/>
        <v/>
      </c>
    </row>
    <row r="39" spans="1:6">
      <c r="A39" t="str">
        <f>IFERROR(INDEX(BASE!$A$4:$A$10003, SMALL(IF(BASE!$F$4:$F$10003="CARREGADO", ROW(BASE!$A$4:$A$10003)-ROW(BASE!$A$4)+1), ROW(A38))), "")</f>
        <v/>
      </c>
      <c r="B39" t="str">
        <f>IF(A39="", "", VLOOKUP(A39, BASE!$A$4:$B$10003, 2, FALSE))</f>
        <v/>
      </c>
      <c r="C39" t="str">
        <f>IF(A39="", "", VLOOKUP(A39, BASE!$A$4:$C$10003, 3, FALSE))</f>
        <v/>
      </c>
      <c r="D39" t="str">
        <f>IF(A39="", "", VLOOKUP(A39, BASE!$A$4:$D$10003, 4, FALSE))</f>
        <v/>
      </c>
      <c r="E39" t="str">
        <f>IF(A39="", "", VLOOKUP(A39, BASE!$A$4:$E$10003, 5, FALSE))</f>
        <v/>
      </c>
      <c r="F39" t="str">
        <f t="shared" si="0"/>
        <v/>
      </c>
    </row>
    <row r="40" spans="1:6">
      <c r="A40" t="str">
        <f>IFERROR(INDEX(BASE!$A$4:$A$10003, SMALL(IF(BASE!$F$4:$F$10003="CARREGADO", ROW(BASE!$A$4:$A$10003)-ROW(BASE!$A$4)+1), ROW(A39))), "")</f>
        <v/>
      </c>
      <c r="B40" t="str">
        <f>IF(A40="", "", VLOOKUP(A40, BASE!$A$4:$B$10003, 2, FALSE))</f>
        <v/>
      </c>
      <c r="C40" t="str">
        <f>IF(A40="", "", VLOOKUP(A40, BASE!$A$4:$C$10003, 3, FALSE))</f>
        <v/>
      </c>
      <c r="D40" t="str">
        <f>IF(A40="", "", VLOOKUP(A40, BASE!$A$4:$D$10003, 4, FALSE))</f>
        <v/>
      </c>
      <c r="E40" t="str">
        <f>IF(A40="", "", VLOOKUP(A40, BASE!$A$4:$E$10003, 5, FALSE))</f>
        <v/>
      </c>
      <c r="F40" t="str">
        <f t="shared" si="0"/>
        <v/>
      </c>
    </row>
    <row r="41" spans="1:6">
      <c r="A41" t="str">
        <f>IFERROR(INDEX(BASE!$A$4:$A$10003, SMALL(IF(BASE!$F$4:$F$10003="CARREGADO", ROW(BASE!$A$4:$A$10003)-ROW(BASE!$A$4)+1), ROW(A40))), "")</f>
        <v/>
      </c>
      <c r="B41" t="str">
        <f>IF(A41="", "", VLOOKUP(A41, BASE!$A$4:$B$10003, 2, FALSE))</f>
        <v/>
      </c>
      <c r="C41" t="str">
        <f>IF(A41="", "", VLOOKUP(A41, BASE!$A$4:$C$10003, 3, FALSE))</f>
        <v/>
      </c>
      <c r="D41" t="str">
        <f>IF(A41="", "", VLOOKUP(A41, BASE!$A$4:$D$10003, 4, FALSE))</f>
        <v/>
      </c>
      <c r="E41" t="str">
        <f>IF(A41="", "", VLOOKUP(A41, BASE!$A$4:$E$10003, 5, FALSE))</f>
        <v/>
      </c>
      <c r="F41" t="str">
        <f t="shared" si="0"/>
        <v/>
      </c>
    </row>
    <row r="42" spans="1:6">
      <c r="A42" t="str">
        <f>IFERROR(INDEX(BASE!$A$4:$A$10003, SMALL(IF(BASE!$F$4:$F$10003="CARREGADO", ROW(BASE!$A$4:$A$10003)-ROW(BASE!$A$4)+1), ROW(A41))), "")</f>
        <v/>
      </c>
      <c r="B42" t="str">
        <f>IF(A42="", "", VLOOKUP(A42, BASE!$A$4:$B$10003, 2, FALSE))</f>
        <v/>
      </c>
      <c r="C42" t="str">
        <f>IF(A42="", "", VLOOKUP(A42, BASE!$A$4:$C$10003, 3, FALSE))</f>
        <v/>
      </c>
      <c r="D42" t="str">
        <f>IF(A42="", "", VLOOKUP(A42, BASE!$A$4:$D$10003, 4, FALSE))</f>
        <v/>
      </c>
      <c r="E42" t="str">
        <f>IF(A42="", "", VLOOKUP(A42, BASE!$A$4:$E$10003, 5, FALSE))</f>
        <v/>
      </c>
      <c r="F42" t="str">
        <f t="shared" si="0"/>
        <v/>
      </c>
    </row>
    <row r="43" spans="1:6">
      <c r="A43" t="str">
        <f>IFERROR(INDEX(BASE!$A$4:$A$10003, SMALL(IF(BASE!$F$4:$F$10003="CARREGADO", ROW(BASE!$A$4:$A$10003)-ROW(BASE!$A$4)+1), ROW(A42))), "")</f>
        <v/>
      </c>
      <c r="B43" t="str">
        <f>IF(A43="", "", VLOOKUP(A43, BASE!$A$4:$B$10003, 2, FALSE))</f>
        <v/>
      </c>
      <c r="C43" t="str">
        <f>IF(A43="", "", VLOOKUP(A43, BASE!$A$4:$C$10003, 3, FALSE))</f>
        <v/>
      </c>
      <c r="D43" t="str">
        <f>IF(A43="", "", VLOOKUP(A43, BASE!$A$4:$D$10003, 4, FALSE))</f>
        <v/>
      </c>
      <c r="E43" t="str">
        <f>IF(A43="", "", VLOOKUP(A43, BASE!$A$4:$E$10003, 5, FALSE))</f>
        <v/>
      </c>
      <c r="F43" t="str">
        <f t="shared" si="0"/>
        <v/>
      </c>
    </row>
    <row r="44" spans="1:6">
      <c r="A44" t="str">
        <f>IFERROR(INDEX(BASE!$A$4:$A$10003, SMALL(IF(BASE!$F$4:$F$10003="CARREGADO", ROW(BASE!$A$4:$A$10003)-ROW(BASE!$A$4)+1), ROW(A43))), "")</f>
        <v/>
      </c>
      <c r="B44" t="str">
        <f>IF(A44="", "", VLOOKUP(A44, BASE!$A$4:$B$10003, 2, FALSE))</f>
        <v/>
      </c>
      <c r="C44" t="str">
        <f>IF(A44="", "", VLOOKUP(A44, BASE!$A$4:$C$10003, 3, FALSE))</f>
        <v/>
      </c>
      <c r="D44" t="str">
        <f>IF(A44="", "", VLOOKUP(A44, BASE!$A$4:$D$10003, 4, FALSE))</f>
        <v/>
      </c>
      <c r="E44" t="str">
        <f>IF(A44="", "", VLOOKUP(A44, BASE!$A$4:$E$10003, 5, FALSE))</f>
        <v/>
      </c>
      <c r="F44" t="str">
        <f t="shared" si="0"/>
        <v/>
      </c>
    </row>
    <row r="45" spans="1:6">
      <c r="A45" t="str">
        <f>IFERROR(INDEX(BASE!$A$4:$A$10003, SMALL(IF(BASE!$F$4:$F$10003="CARREGADO", ROW(BASE!$A$4:$A$10003)-ROW(BASE!$A$4)+1), ROW(A44))), "")</f>
        <v/>
      </c>
      <c r="B45" t="str">
        <f>IF(A45="", "", VLOOKUP(A45, BASE!$A$4:$B$10003, 2, FALSE))</f>
        <v/>
      </c>
      <c r="C45" t="str">
        <f>IF(A45="", "", VLOOKUP(A45, BASE!$A$4:$C$10003, 3, FALSE))</f>
        <v/>
      </c>
      <c r="D45" t="str">
        <f>IF(A45="", "", VLOOKUP(A45, BASE!$A$4:$D$10003, 4, FALSE))</f>
        <v/>
      </c>
      <c r="E45" t="str">
        <f>IF(A45="", "", VLOOKUP(A45, BASE!$A$4:$E$10003, 5, FALSE))</f>
        <v/>
      </c>
      <c r="F45" t="str">
        <f t="shared" si="0"/>
        <v/>
      </c>
    </row>
    <row r="46" spans="1:6">
      <c r="A46" t="str">
        <f>IFERROR(INDEX(BASE!$A$4:$A$10003, SMALL(IF(BASE!$F$4:$F$10003="CARREGADO", ROW(BASE!$A$4:$A$10003)-ROW(BASE!$A$4)+1), ROW(A45))), "")</f>
        <v/>
      </c>
      <c r="B46" t="str">
        <f>IF(A46="", "", VLOOKUP(A46, BASE!$A$4:$B$10003, 2, FALSE))</f>
        <v/>
      </c>
      <c r="C46" t="str">
        <f>IF(A46="", "", VLOOKUP(A46, BASE!$A$4:$C$10003, 3, FALSE))</f>
        <v/>
      </c>
      <c r="D46" t="str">
        <f>IF(A46="", "", VLOOKUP(A46, BASE!$A$4:$D$10003, 4, FALSE))</f>
        <v/>
      </c>
      <c r="E46" t="str">
        <f>IF(A46="", "", VLOOKUP(A46, BASE!$A$4:$E$10003, 5, FALSE))</f>
        <v/>
      </c>
      <c r="F46" t="str">
        <f t="shared" si="0"/>
        <v/>
      </c>
    </row>
    <row r="47" spans="1:6">
      <c r="A47" t="str">
        <f>IFERROR(INDEX(BASE!$A$4:$A$10003, SMALL(IF(BASE!$F$4:$F$10003="CARREGADO", ROW(BASE!$A$4:$A$10003)-ROW(BASE!$A$4)+1), ROW(A46))), "")</f>
        <v/>
      </c>
      <c r="B47" t="str">
        <f>IF(A47="", "", VLOOKUP(A47, BASE!$A$4:$B$10003, 2, FALSE))</f>
        <v/>
      </c>
      <c r="C47" t="str">
        <f>IF(A47="", "", VLOOKUP(A47, BASE!$A$4:$C$10003, 3, FALSE))</f>
        <v/>
      </c>
      <c r="D47" t="str">
        <f>IF(A47="", "", VLOOKUP(A47, BASE!$A$4:$D$10003, 4, FALSE))</f>
        <v/>
      </c>
      <c r="E47" t="str">
        <f>IF(A47="", "", VLOOKUP(A47, BASE!$A$4:$E$10003, 5, FALSE))</f>
        <v/>
      </c>
      <c r="F47" t="str">
        <f t="shared" si="0"/>
        <v/>
      </c>
    </row>
    <row r="48" spans="1:6">
      <c r="A48" t="str">
        <f>IFERROR(INDEX(BASE!$A$4:$A$10003, SMALL(IF(BASE!$F$4:$F$10003="CARREGADO", ROW(BASE!$A$4:$A$10003)-ROW(BASE!$A$4)+1), ROW(A47))), "")</f>
        <v/>
      </c>
      <c r="B48" t="str">
        <f>IF(A48="", "", VLOOKUP(A48, BASE!$A$4:$B$10003, 2, FALSE))</f>
        <v/>
      </c>
      <c r="C48" t="str">
        <f>IF(A48="", "", VLOOKUP(A48, BASE!$A$4:$C$10003, 3, FALSE))</f>
        <v/>
      </c>
      <c r="D48" t="str">
        <f>IF(A48="", "", VLOOKUP(A48, BASE!$A$4:$D$10003, 4, FALSE))</f>
        <v/>
      </c>
      <c r="E48" t="str">
        <f>IF(A48="", "", VLOOKUP(A48, BASE!$A$4:$E$10003, 5, FALSE))</f>
        <v/>
      </c>
      <c r="F48" t="str">
        <f t="shared" si="0"/>
        <v/>
      </c>
    </row>
    <row r="49" spans="1:6">
      <c r="A49" t="str">
        <f>IFERROR(INDEX(BASE!$A$4:$A$10003, SMALL(IF(BASE!$F$4:$F$10003="CARREGADO", ROW(BASE!$A$4:$A$10003)-ROW(BASE!$A$4)+1), ROW(A48))), "")</f>
        <v/>
      </c>
      <c r="B49" t="str">
        <f>IF(A49="", "", VLOOKUP(A49, BASE!$A$4:$B$10003, 2, FALSE))</f>
        <v/>
      </c>
      <c r="C49" t="str">
        <f>IF(A49="", "", VLOOKUP(A49, BASE!$A$4:$C$10003, 3, FALSE))</f>
        <v/>
      </c>
      <c r="D49" t="str">
        <f>IF(A49="", "", VLOOKUP(A49, BASE!$A$4:$D$10003, 4, FALSE))</f>
        <v/>
      </c>
      <c r="E49" t="str">
        <f>IF(A49="", "", VLOOKUP(A49, BASE!$A$4:$E$10003, 5, FALSE))</f>
        <v/>
      </c>
      <c r="F49" t="str">
        <f t="shared" si="0"/>
        <v/>
      </c>
    </row>
    <row r="50" spans="1:6">
      <c r="A50" t="str">
        <f>IFERROR(INDEX(BASE!$A$4:$A$10003, SMALL(IF(BASE!$F$4:$F$10003="CARREGADO", ROW(BASE!$A$4:$A$10003)-ROW(BASE!$A$4)+1), ROW(A49))), "")</f>
        <v/>
      </c>
      <c r="B50" t="str">
        <f>IF(A50="", "", VLOOKUP(A50, BASE!$A$4:$B$10003, 2, FALSE))</f>
        <v/>
      </c>
      <c r="C50" t="str">
        <f>IF(A50="", "", VLOOKUP(A50, BASE!$A$4:$C$10003, 3, FALSE))</f>
        <v/>
      </c>
      <c r="D50" t="str">
        <f>IF(A50="", "", VLOOKUP(A50, BASE!$A$4:$D$10003, 4, FALSE))</f>
        <v/>
      </c>
      <c r="E50" t="str">
        <f>IF(A50="", "", VLOOKUP(A50, BASE!$A$4:$E$10003, 5, FALSE))</f>
        <v/>
      </c>
      <c r="F50" t="str">
        <f t="shared" si="0"/>
        <v/>
      </c>
    </row>
    <row r="51" spans="1:6">
      <c r="A51" t="str">
        <f>IFERROR(INDEX(BASE!$A$4:$A$10003, SMALL(IF(BASE!$F$4:$F$10003="CARREGADO", ROW(BASE!$A$4:$A$10003)-ROW(BASE!$A$4)+1), ROW(A50))), "")</f>
        <v/>
      </c>
      <c r="B51" t="str">
        <f>IF(A51="", "", VLOOKUP(A51, BASE!$A$4:$B$10003, 2, FALSE))</f>
        <v/>
      </c>
      <c r="C51" t="str">
        <f>IF(A51="", "", VLOOKUP(A51, BASE!$A$4:$C$10003, 3, FALSE))</f>
        <v/>
      </c>
      <c r="D51" t="str">
        <f>IF(A51="", "", VLOOKUP(A51, BASE!$A$4:$D$10003, 4, FALSE))</f>
        <v/>
      </c>
      <c r="E51" t="str">
        <f>IF(A51="", "", VLOOKUP(A51, BASE!$A$4:$E$10003, 5, FALSE))</f>
        <v/>
      </c>
      <c r="F51" t="str">
        <f t="shared" si="0"/>
        <v/>
      </c>
    </row>
    <row r="52" spans="1:6">
      <c r="A52" t="str">
        <f>IFERROR(INDEX(BASE!$A$4:$A$10003, SMALL(IF(BASE!$F$4:$F$10003="CARREGADO", ROW(BASE!$A$4:$A$10003)-ROW(BASE!$A$4)+1), ROW(A51))), "")</f>
        <v/>
      </c>
      <c r="B52" t="str">
        <f>IF(A52="", "", VLOOKUP(A52, BASE!$A$4:$B$10003, 2, FALSE))</f>
        <v/>
      </c>
      <c r="C52" t="str">
        <f>IF(A52="", "", VLOOKUP(A52, BASE!$A$4:$C$10003, 3, FALSE))</f>
        <v/>
      </c>
      <c r="D52" t="str">
        <f>IF(A52="", "", VLOOKUP(A52, BASE!$A$4:$D$10003, 4, FALSE))</f>
        <v/>
      </c>
      <c r="E52" t="str">
        <f>IF(A52="", "", VLOOKUP(A52, BASE!$A$4:$E$10003, 5, FALSE))</f>
        <v/>
      </c>
      <c r="F52" t="str">
        <f t="shared" si="0"/>
        <v/>
      </c>
    </row>
    <row r="53" spans="1:6">
      <c r="A53" t="str">
        <f>IFERROR(INDEX(BASE!$A$4:$A$10003, SMALL(IF(BASE!$F$4:$F$10003="CARREGADO", ROW(BASE!$A$4:$A$10003)-ROW(BASE!$A$4)+1), ROW(A52))), "")</f>
        <v/>
      </c>
      <c r="B53" t="str">
        <f>IF(A53="", "", VLOOKUP(A53, BASE!$A$4:$B$10003, 2, FALSE))</f>
        <v/>
      </c>
      <c r="C53" t="str">
        <f>IF(A53="", "", VLOOKUP(A53, BASE!$A$4:$C$10003, 3, FALSE))</f>
        <v/>
      </c>
      <c r="D53" t="str">
        <f>IF(A53="", "", VLOOKUP(A53, BASE!$A$4:$D$10003, 4, FALSE))</f>
        <v/>
      </c>
      <c r="E53" t="str">
        <f>IF(A53="", "", VLOOKUP(A53, BASE!$A$4:$E$10003, 5, FALSE))</f>
        <v/>
      </c>
      <c r="F53" t="str">
        <f t="shared" si="0"/>
        <v/>
      </c>
    </row>
    <row r="54" spans="1:6">
      <c r="A54" t="str">
        <f>IFERROR(INDEX(BASE!$A$4:$A$10003, SMALL(IF(BASE!$F$4:$F$10003="CARREGADO", ROW(BASE!$A$4:$A$10003)-ROW(BASE!$A$4)+1), ROW(A53))), "")</f>
        <v/>
      </c>
      <c r="B54" t="str">
        <f>IF(A54="", "", VLOOKUP(A54, BASE!$A$4:$B$10003, 2, FALSE))</f>
        <v/>
      </c>
      <c r="C54" t="str">
        <f>IF(A54="", "", VLOOKUP(A54, BASE!$A$4:$C$10003, 3, FALSE))</f>
        <v/>
      </c>
      <c r="D54" t="str">
        <f>IF(A54="", "", VLOOKUP(A54, BASE!$A$4:$D$10003, 4, FALSE))</f>
        <v/>
      </c>
      <c r="E54" t="str">
        <f>IF(A54="", "", VLOOKUP(A54, BASE!$A$4:$E$10003, 5, FALSE))</f>
        <v/>
      </c>
      <c r="F54" t="str">
        <f t="shared" si="0"/>
        <v/>
      </c>
    </row>
    <row r="55" spans="1:6">
      <c r="A55" t="str">
        <f>IFERROR(INDEX(BASE!$A$4:$A$10003, SMALL(IF(BASE!$F$4:$F$10003="CARREGADO", ROW(BASE!$A$4:$A$10003)-ROW(BASE!$A$4)+1), ROW(A54))), "")</f>
        <v/>
      </c>
      <c r="B55" t="str">
        <f>IF(A55="", "", VLOOKUP(A55, BASE!$A$4:$B$10003, 2, FALSE))</f>
        <v/>
      </c>
      <c r="C55" t="str">
        <f>IF(A55="", "", VLOOKUP(A55, BASE!$A$4:$C$10003, 3, FALSE))</f>
        <v/>
      </c>
      <c r="D55" t="str">
        <f>IF(A55="", "", VLOOKUP(A55, BASE!$A$4:$D$10003, 4, FALSE))</f>
        <v/>
      </c>
      <c r="E55" t="str">
        <f>IF(A55="", "", VLOOKUP(A55, BASE!$A$4:$E$10003, 5, FALSE))</f>
        <v/>
      </c>
      <c r="F55" t="str">
        <f t="shared" si="0"/>
        <v/>
      </c>
    </row>
    <row r="56" spans="1:6">
      <c r="A56" t="str">
        <f>IFERROR(INDEX(BASE!$A$4:$A$10003, SMALL(IF(BASE!$F$4:$F$10003="CARREGADO", ROW(BASE!$A$4:$A$10003)-ROW(BASE!$A$4)+1), ROW(A55))), "")</f>
        <v/>
      </c>
      <c r="B56" t="str">
        <f>IF(A56="", "", VLOOKUP(A56, BASE!$A$4:$B$10003, 2, FALSE))</f>
        <v/>
      </c>
      <c r="C56" t="str">
        <f>IF(A56="", "", VLOOKUP(A56, BASE!$A$4:$C$10003, 3, FALSE))</f>
        <v/>
      </c>
      <c r="D56" t="str">
        <f>IF(A56="", "", VLOOKUP(A56, BASE!$A$4:$D$10003, 4, FALSE))</f>
        <v/>
      </c>
      <c r="E56" t="str">
        <f>IF(A56="", "", VLOOKUP(A56, BASE!$A$4:$E$10003, 5, FALSE))</f>
        <v/>
      </c>
      <c r="F56" t="str">
        <f t="shared" si="0"/>
        <v/>
      </c>
    </row>
    <row r="57" spans="1:6">
      <c r="A57" t="str">
        <f>IFERROR(INDEX(BASE!$A$4:$A$10003, SMALL(IF(BASE!$F$4:$F$10003="CARREGADO", ROW(BASE!$A$4:$A$10003)-ROW(BASE!$A$4)+1), ROW(A56))), "")</f>
        <v/>
      </c>
      <c r="B57" t="str">
        <f>IF(A57="", "", VLOOKUP(A57, BASE!$A$4:$B$10003, 2, FALSE))</f>
        <v/>
      </c>
      <c r="C57" t="str">
        <f>IF(A57="", "", VLOOKUP(A57, BASE!$A$4:$C$10003, 3, FALSE))</f>
        <v/>
      </c>
      <c r="D57" t="str">
        <f>IF(A57="", "", VLOOKUP(A57, BASE!$A$4:$D$10003, 4, FALSE))</f>
        <v/>
      </c>
      <c r="E57" t="str">
        <f>IF(A57="", "", VLOOKUP(A57, BASE!$A$4:$E$10003, 5, FALSE))</f>
        <v/>
      </c>
      <c r="F57" t="str">
        <f t="shared" si="0"/>
        <v/>
      </c>
    </row>
    <row r="58" spans="1:6">
      <c r="A58" t="str">
        <f>IFERROR(INDEX(BASE!$A$4:$A$10003, SMALL(IF(BASE!$F$4:$F$10003="CARREGADO", ROW(BASE!$A$4:$A$10003)-ROW(BASE!$A$4)+1), ROW(A57))), "")</f>
        <v/>
      </c>
      <c r="B58" t="str">
        <f>IF(A58="", "", VLOOKUP(A58, BASE!$A$4:$B$10003, 2, FALSE))</f>
        <v/>
      </c>
      <c r="C58" t="str">
        <f>IF(A58="", "", VLOOKUP(A58, BASE!$A$4:$C$10003, 3, FALSE))</f>
        <v/>
      </c>
      <c r="D58" t="str">
        <f>IF(A58="", "", VLOOKUP(A58, BASE!$A$4:$D$10003, 4, FALSE))</f>
        <v/>
      </c>
      <c r="E58" t="str">
        <f>IF(A58="", "", VLOOKUP(A58, BASE!$A$4:$E$10003, 5, FALSE))</f>
        <v/>
      </c>
      <c r="F58" t="str">
        <f t="shared" si="0"/>
        <v/>
      </c>
    </row>
    <row r="59" spans="1:6">
      <c r="A59" t="str">
        <f>IFERROR(INDEX(BASE!$A$4:$A$10003, SMALL(IF(BASE!$F$4:$F$10003="CARREGADO", ROW(BASE!$A$4:$A$10003)-ROW(BASE!$A$4)+1), ROW(A58))), "")</f>
        <v/>
      </c>
      <c r="B59" t="str">
        <f>IF(A59="", "", VLOOKUP(A59, BASE!$A$4:$B$10003, 2, FALSE))</f>
        <v/>
      </c>
      <c r="C59" t="str">
        <f>IF(A59="", "", VLOOKUP(A59, BASE!$A$4:$C$10003, 3, FALSE))</f>
        <v/>
      </c>
      <c r="D59" t="str">
        <f>IF(A59="", "", VLOOKUP(A59, BASE!$A$4:$D$10003, 4, FALSE))</f>
        <v/>
      </c>
      <c r="E59" t="str">
        <f>IF(A59="", "", VLOOKUP(A59, BASE!$A$4:$E$10003, 5, FALSE))</f>
        <v/>
      </c>
      <c r="F59" t="str">
        <f t="shared" si="0"/>
        <v/>
      </c>
    </row>
    <row r="60" spans="1:6">
      <c r="A60" t="str">
        <f>IFERROR(INDEX(BASE!$A$4:$A$10003, SMALL(IF(BASE!$F$4:$F$10003="CARREGADO", ROW(BASE!$A$4:$A$10003)-ROW(BASE!$A$4)+1), ROW(A59))), "")</f>
        <v/>
      </c>
      <c r="B60" t="str">
        <f>IF(A60="", "", VLOOKUP(A60, BASE!$A$4:$B$10003, 2, FALSE))</f>
        <v/>
      </c>
      <c r="C60" t="str">
        <f>IF(A60="", "", VLOOKUP(A60, BASE!$A$4:$C$10003, 3, FALSE))</f>
        <v/>
      </c>
      <c r="D60" t="str">
        <f>IF(A60="", "", VLOOKUP(A60, BASE!$A$4:$D$10003, 4, FALSE))</f>
        <v/>
      </c>
      <c r="E60" t="str">
        <f>IF(A60="", "", VLOOKUP(A60, BASE!$A$4:$E$10003, 5, FALSE))</f>
        <v/>
      </c>
      <c r="F60" t="str">
        <f t="shared" si="0"/>
        <v/>
      </c>
    </row>
    <row r="61" spans="1:6">
      <c r="A61" t="str">
        <f>IFERROR(INDEX(BASE!$A$4:$A$10003, SMALL(IF(BASE!$F$4:$F$10003="CARREGADO", ROW(BASE!$A$4:$A$10003)-ROW(BASE!$A$4)+1), ROW(A60))), "")</f>
        <v/>
      </c>
      <c r="B61" t="str">
        <f>IF(A61="", "", VLOOKUP(A61, BASE!$A$4:$B$10003, 2, FALSE))</f>
        <v/>
      </c>
      <c r="C61" t="str">
        <f>IF(A61="", "", VLOOKUP(A61, BASE!$A$4:$C$10003, 3, FALSE))</f>
        <v/>
      </c>
      <c r="D61" t="str">
        <f>IF(A61="", "", VLOOKUP(A61, BASE!$A$4:$D$10003, 4, FALSE))</f>
        <v/>
      </c>
      <c r="E61" t="str">
        <f>IF(A61="", "", VLOOKUP(A61, BASE!$A$4:$E$10003, 5, FALSE))</f>
        <v/>
      </c>
      <c r="F61" t="str">
        <f t="shared" si="0"/>
        <v/>
      </c>
    </row>
    <row r="62" spans="1:6">
      <c r="A62" t="str">
        <f>IFERROR(INDEX(BASE!$A$4:$A$10003, SMALL(IF(BASE!$F$4:$F$10003="CARREGADO", ROW(BASE!$A$4:$A$10003)-ROW(BASE!$A$4)+1), ROW(A61))), "")</f>
        <v/>
      </c>
      <c r="B62" t="str">
        <f>IF(A62="", "", VLOOKUP(A62, BASE!$A$4:$B$10003, 2, FALSE))</f>
        <v/>
      </c>
      <c r="C62" t="str">
        <f>IF(A62="", "", VLOOKUP(A62, BASE!$A$4:$C$10003, 3, FALSE))</f>
        <v/>
      </c>
      <c r="D62" t="str">
        <f>IF(A62="", "", VLOOKUP(A62, BASE!$A$4:$D$10003, 4, FALSE))</f>
        <v/>
      </c>
      <c r="E62" t="str">
        <f>IF(A62="", "", VLOOKUP(A62, BASE!$A$4:$E$10003, 5, FALSE))</f>
        <v/>
      </c>
      <c r="F62" t="str">
        <f t="shared" si="0"/>
        <v/>
      </c>
    </row>
    <row r="63" spans="1:6">
      <c r="A63" t="str">
        <f>IFERROR(INDEX(BASE!$A$4:$A$10003, SMALL(IF(BASE!$F$4:$F$10003="CARREGADO", ROW(BASE!$A$4:$A$10003)-ROW(BASE!$A$4)+1), ROW(A62))), "")</f>
        <v/>
      </c>
      <c r="B63" t="str">
        <f>IF(A63="", "", VLOOKUP(A63, BASE!$A$4:$B$10003, 2, FALSE))</f>
        <v/>
      </c>
      <c r="C63" t="str">
        <f>IF(A63="", "", VLOOKUP(A63, BASE!$A$4:$C$10003, 3, FALSE))</f>
        <v/>
      </c>
      <c r="D63" t="str">
        <f>IF(A63="", "", VLOOKUP(A63, BASE!$A$4:$D$10003, 4, FALSE))</f>
        <v/>
      </c>
      <c r="E63" t="str">
        <f>IF(A63="", "", VLOOKUP(A63, BASE!$A$4:$E$10003, 5, FALSE))</f>
        <v/>
      </c>
      <c r="F63" t="str">
        <f t="shared" si="0"/>
        <v/>
      </c>
    </row>
    <row r="64" spans="1:6">
      <c r="A64" t="str">
        <f>IFERROR(INDEX(BASE!$A$4:$A$10003, SMALL(IF(BASE!$F$4:$F$10003="CARREGADO", ROW(BASE!$A$4:$A$10003)-ROW(BASE!$A$4)+1), ROW(A63))), "")</f>
        <v/>
      </c>
      <c r="B64" t="str">
        <f>IF(A64="", "", VLOOKUP(A64, BASE!$A$4:$B$10003, 2, FALSE))</f>
        <v/>
      </c>
      <c r="C64" t="str">
        <f>IF(A64="", "", VLOOKUP(A64, BASE!$A$4:$C$10003, 3, FALSE))</f>
        <v/>
      </c>
      <c r="D64" t="str">
        <f>IF(A64="", "", VLOOKUP(A64, BASE!$A$4:$D$10003, 4, FALSE))</f>
        <v/>
      </c>
      <c r="E64" t="str">
        <f>IF(A64="", "", VLOOKUP(A64, BASE!$A$4:$E$10003, 5, FALSE))</f>
        <v/>
      </c>
      <c r="F64" t="str">
        <f t="shared" si="0"/>
        <v/>
      </c>
    </row>
    <row r="65" spans="1:6">
      <c r="A65" t="str">
        <f>IFERROR(INDEX(BASE!$A$4:$A$10003, SMALL(IF(BASE!$F$4:$F$10003="CARREGADO", ROW(BASE!$A$4:$A$10003)-ROW(BASE!$A$4)+1), ROW(A64))), "")</f>
        <v/>
      </c>
      <c r="B65" t="str">
        <f>IF(A65="", "", VLOOKUP(A65, BASE!$A$4:$B$10003, 2, FALSE))</f>
        <v/>
      </c>
      <c r="C65" t="str">
        <f>IF(A65="", "", VLOOKUP(A65, BASE!$A$4:$C$10003, 3, FALSE))</f>
        <v/>
      </c>
      <c r="D65" t="str">
        <f>IF(A65="", "", VLOOKUP(A65, BASE!$A$4:$D$10003, 4, FALSE))</f>
        <v/>
      </c>
      <c r="E65" t="str">
        <f>IF(A65="", "", VLOOKUP(A65, BASE!$A$4:$E$10003, 5, FALSE))</f>
        <v/>
      </c>
      <c r="F65" t="str">
        <f t="shared" si="0"/>
        <v/>
      </c>
    </row>
    <row r="66" spans="1:6">
      <c r="A66" t="str">
        <f>IFERROR(INDEX(BASE!$A$4:$A$10003, SMALL(IF(BASE!$F$4:$F$10003="CARREGADO", ROW(BASE!$A$4:$A$10003)-ROW(BASE!$A$4)+1), ROW(A65))), "")</f>
        <v/>
      </c>
      <c r="B66" t="str">
        <f>IF(A66="", "", VLOOKUP(A66, BASE!$A$4:$B$10003, 2, FALSE))</f>
        <v/>
      </c>
      <c r="C66" t="str">
        <f>IF(A66="", "", VLOOKUP(A66, BASE!$A$4:$C$10003, 3, FALSE))</f>
        <v/>
      </c>
      <c r="D66" t="str">
        <f>IF(A66="", "", VLOOKUP(A66, BASE!$A$4:$D$10003, 4, FALSE))</f>
        <v/>
      </c>
      <c r="E66" t="str">
        <f>IF(A66="", "", VLOOKUP(A66, BASE!$A$4:$E$10003, 5, FALSE))</f>
        <v/>
      </c>
      <c r="F66" t="str">
        <f t="shared" ref="F66:F129" si="1">IF(A66="", "", "CARREGADO")</f>
        <v/>
      </c>
    </row>
    <row r="67" spans="1:6">
      <c r="A67" t="str">
        <f>IFERROR(INDEX(BASE!$A$4:$A$10003, SMALL(IF(BASE!$F$4:$F$10003="CARREGADO", ROW(BASE!$A$4:$A$10003)-ROW(BASE!$A$4)+1), ROW(A66))), "")</f>
        <v/>
      </c>
      <c r="B67" t="str">
        <f>IF(A67="", "", VLOOKUP(A67, BASE!$A$4:$B$10003, 2, FALSE))</f>
        <v/>
      </c>
      <c r="C67" t="str">
        <f>IF(A67="", "", VLOOKUP(A67, BASE!$A$4:$C$10003, 3, FALSE))</f>
        <v/>
      </c>
      <c r="D67" t="str">
        <f>IF(A67="", "", VLOOKUP(A67, BASE!$A$4:$D$10003, 4, FALSE))</f>
        <v/>
      </c>
      <c r="E67" t="str">
        <f>IF(A67="", "", VLOOKUP(A67, BASE!$A$4:$E$10003, 5, FALSE))</f>
        <v/>
      </c>
      <c r="F67" t="str">
        <f t="shared" si="1"/>
        <v/>
      </c>
    </row>
    <row r="68" spans="1:6">
      <c r="A68" t="str">
        <f>IFERROR(INDEX(BASE!$A$4:$A$10003, SMALL(IF(BASE!$F$4:$F$10003="CARREGADO", ROW(BASE!$A$4:$A$10003)-ROW(BASE!$A$4)+1), ROW(A67))), "")</f>
        <v/>
      </c>
      <c r="B68" t="str">
        <f>IF(A68="", "", VLOOKUP(A68, BASE!$A$4:$B$10003, 2, FALSE))</f>
        <v/>
      </c>
      <c r="C68" t="str">
        <f>IF(A68="", "", VLOOKUP(A68, BASE!$A$4:$C$10003, 3, FALSE))</f>
        <v/>
      </c>
      <c r="D68" t="str">
        <f>IF(A68="", "", VLOOKUP(A68, BASE!$A$4:$D$10003, 4, FALSE))</f>
        <v/>
      </c>
      <c r="E68" t="str">
        <f>IF(A68="", "", VLOOKUP(A68, BASE!$A$4:$E$10003, 5, FALSE))</f>
        <v/>
      </c>
      <c r="F68" t="str">
        <f t="shared" si="1"/>
        <v/>
      </c>
    </row>
    <row r="69" spans="1:6">
      <c r="A69" t="str">
        <f>IFERROR(INDEX(BASE!$A$4:$A$10003, SMALL(IF(BASE!$F$4:$F$10003="CARREGADO", ROW(BASE!$A$4:$A$10003)-ROW(BASE!$A$4)+1), ROW(A68))), "")</f>
        <v/>
      </c>
      <c r="B69" t="str">
        <f>IF(A69="", "", VLOOKUP(A69, BASE!$A$4:$B$10003, 2, FALSE))</f>
        <v/>
      </c>
      <c r="C69" t="str">
        <f>IF(A69="", "", VLOOKUP(A69, BASE!$A$4:$C$10003, 3, FALSE))</f>
        <v/>
      </c>
      <c r="D69" t="str">
        <f>IF(A69="", "", VLOOKUP(A69, BASE!$A$4:$D$10003, 4, FALSE))</f>
        <v/>
      </c>
      <c r="E69" t="str">
        <f>IF(A69="", "", VLOOKUP(A69, BASE!$A$4:$E$10003, 5, FALSE))</f>
        <v/>
      </c>
      <c r="F69" t="str">
        <f t="shared" si="1"/>
        <v/>
      </c>
    </row>
    <row r="70" spans="1:6">
      <c r="A70" t="str">
        <f>IFERROR(INDEX(BASE!$A$4:$A$10003, SMALL(IF(BASE!$F$4:$F$10003="CARREGADO", ROW(BASE!$A$4:$A$10003)-ROW(BASE!$A$4)+1), ROW(A69))), "")</f>
        <v/>
      </c>
      <c r="B70" t="str">
        <f>IF(A70="", "", VLOOKUP(A70, BASE!$A$4:$B$10003, 2, FALSE))</f>
        <v/>
      </c>
      <c r="C70" t="str">
        <f>IF(A70="", "", VLOOKUP(A70, BASE!$A$4:$C$10003, 3, FALSE))</f>
        <v/>
      </c>
      <c r="D70" t="str">
        <f>IF(A70="", "", VLOOKUP(A70, BASE!$A$4:$D$10003, 4, FALSE))</f>
        <v/>
      </c>
      <c r="E70" t="str">
        <f>IF(A70="", "", VLOOKUP(A70, BASE!$A$4:$E$10003, 5, FALSE))</f>
        <v/>
      </c>
      <c r="F70" t="str">
        <f t="shared" si="1"/>
        <v/>
      </c>
    </row>
    <row r="71" spans="1:6">
      <c r="A71" t="str">
        <f>IFERROR(INDEX(BASE!$A$4:$A$10003, SMALL(IF(BASE!$F$4:$F$10003="CARREGADO", ROW(BASE!$A$4:$A$10003)-ROW(BASE!$A$4)+1), ROW(A70))), "")</f>
        <v/>
      </c>
      <c r="B71" t="str">
        <f>IF(A71="", "", VLOOKUP(A71, BASE!$A$4:$B$10003, 2, FALSE))</f>
        <v/>
      </c>
      <c r="C71" t="str">
        <f>IF(A71="", "", VLOOKUP(A71, BASE!$A$4:$C$10003, 3, FALSE))</f>
        <v/>
      </c>
      <c r="D71" t="str">
        <f>IF(A71="", "", VLOOKUP(A71, BASE!$A$4:$D$10003, 4, FALSE))</f>
        <v/>
      </c>
      <c r="E71" t="str">
        <f>IF(A71="", "", VLOOKUP(A71, BASE!$A$4:$E$10003, 5, FALSE))</f>
        <v/>
      </c>
      <c r="F71" t="str">
        <f t="shared" si="1"/>
        <v/>
      </c>
    </row>
    <row r="72" spans="1:6">
      <c r="A72" t="str">
        <f>IFERROR(INDEX(BASE!$A$4:$A$10003, SMALL(IF(BASE!$F$4:$F$10003="CARREGADO", ROW(BASE!$A$4:$A$10003)-ROW(BASE!$A$4)+1), ROW(A71))), "")</f>
        <v/>
      </c>
      <c r="B72" t="str">
        <f>IF(A72="", "", VLOOKUP(A72, BASE!$A$4:$B$10003, 2, FALSE))</f>
        <v/>
      </c>
      <c r="C72" t="str">
        <f>IF(A72="", "", VLOOKUP(A72, BASE!$A$4:$C$10003, 3, FALSE))</f>
        <v/>
      </c>
      <c r="D72" t="str">
        <f>IF(A72="", "", VLOOKUP(A72, BASE!$A$4:$D$10003, 4, FALSE))</f>
        <v/>
      </c>
      <c r="E72" t="str">
        <f>IF(A72="", "", VLOOKUP(A72, BASE!$A$4:$E$10003, 5, FALSE))</f>
        <v/>
      </c>
      <c r="F72" t="str">
        <f t="shared" si="1"/>
        <v/>
      </c>
    </row>
    <row r="73" spans="1:6">
      <c r="A73" t="str">
        <f>IFERROR(INDEX(BASE!$A$4:$A$10003, SMALL(IF(BASE!$F$4:$F$10003="CARREGADO", ROW(BASE!$A$4:$A$10003)-ROW(BASE!$A$4)+1), ROW(A72))), "")</f>
        <v/>
      </c>
      <c r="B73" t="str">
        <f>IF(A73="", "", VLOOKUP(A73, BASE!$A$4:$B$10003, 2, FALSE))</f>
        <v/>
      </c>
      <c r="C73" t="str">
        <f>IF(A73="", "", VLOOKUP(A73, BASE!$A$4:$C$10003, 3, FALSE))</f>
        <v/>
      </c>
      <c r="D73" t="str">
        <f>IF(A73="", "", VLOOKUP(A73, BASE!$A$4:$D$10003, 4, FALSE))</f>
        <v/>
      </c>
      <c r="E73" t="str">
        <f>IF(A73="", "", VLOOKUP(A73, BASE!$A$4:$E$10003, 5, FALSE))</f>
        <v/>
      </c>
      <c r="F73" t="str">
        <f t="shared" si="1"/>
        <v/>
      </c>
    </row>
    <row r="74" spans="1:6">
      <c r="A74" t="str">
        <f>IFERROR(INDEX(BASE!$A$4:$A$10003, SMALL(IF(BASE!$F$4:$F$10003="CARREGADO", ROW(BASE!$A$4:$A$10003)-ROW(BASE!$A$4)+1), ROW(A73))), "")</f>
        <v/>
      </c>
      <c r="B74" t="str">
        <f>IF(A74="", "", VLOOKUP(A74, BASE!$A$4:$B$10003, 2, FALSE))</f>
        <v/>
      </c>
      <c r="C74" t="str">
        <f>IF(A74="", "", VLOOKUP(A74, BASE!$A$4:$C$10003, 3, FALSE))</f>
        <v/>
      </c>
      <c r="D74" t="str">
        <f>IF(A74="", "", VLOOKUP(A74, BASE!$A$4:$D$10003, 4, FALSE))</f>
        <v/>
      </c>
      <c r="E74" t="str">
        <f>IF(A74="", "", VLOOKUP(A74, BASE!$A$4:$E$10003, 5, FALSE))</f>
        <v/>
      </c>
      <c r="F74" t="str">
        <f t="shared" si="1"/>
        <v/>
      </c>
    </row>
    <row r="75" spans="1:6">
      <c r="A75" t="str">
        <f>IFERROR(INDEX(BASE!$A$4:$A$10003, SMALL(IF(BASE!$F$4:$F$10003="CARREGADO", ROW(BASE!$A$4:$A$10003)-ROW(BASE!$A$4)+1), ROW(A74))), "")</f>
        <v/>
      </c>
      <c r="B75" t="str">
        <f>IF(A75="", "", VLOOKUP(A75, BASE!$A$4:$B$10003, 2, FALSE))</f>
        <v/>
      </c>
      <c r="C75" t="str">
        <f>IF(A75="", "", VLOOKUP(A75, BASE!$A$4:$C$10003, 3, FALSE))</f>
        <v/>
      </c>
      <c r="D75" t="str">
        <f>IF(A75="", "", VLOOKUP(A75, BASE!$A$4:$D$10003, 4, FALSE))</f>
        <v/>
      </c>
      <c r="E75" t="str">
        <f>IF(A75="", "", VLOOKUP(A75, BASE!$A$4:$E$10003, 5, FALSE))</f>
        <v/>
      </c>
      <c r="F75" t="str">
        <f t="shared" si="1"/>
        <v/>
      </c>
    </row>
    <row r="76" spans="1:6">
      <c r="A76" t="str">
        <f>IFERROR(INDEX(BASE!$A$4:$A$10003, SMALL(IF(BASE!$F$4:$F$10003="CARREGADO", ROW(BASE!$A$4:$A$10003)-ROW(BASE!$A$4)+1), ROW(A75))), "")</f>
        <v/>
      </c>
      <c r="B76" t="str">
        <f>IF(A76="", "", VLOOKUP(A76, BASE!$A$4:$B$10003, 2, FALSE))</f>
        <v/>
      </c>
      <c r="C76" t="str">
        <f>IF(A76="", "", VLOOKUP(A76, BASE!$A$4:$C$10003, 3, FALSE))</f>
        <v/>
      </c>
      <c r="D76" t="str">
        <f>IF(A76="", "", VLOOKUP(A76, BASE!$A$4:$D$10003, 4, FALSE))</f>
        <v/>
      </c>
      <c r="E76" t="str">
        <f>IF(A76="", "", VLOOKUP(A76, BASE!$A$4:$E$10003, 5, FALSE))</f>
        <v/>
      </c>
      <c r="F76" t="str">
        <f t="shared" si="1"/>
        <v/>
      </c>
    </row>
    <row r="77" spans="1:6">
      <c r="A77" t="str">
        <f>IFERROR(INDEX(BASE!$A$4:$A$10003, SMALL(IF(BASE!$F$4:$F$10003="CARREGADO", ROW(BASE!$A$4:$A$10003)-ROW(BASE!$A$4)+1), ROW(A76))), "")</f>
        <v/>
      </c>
      <c r="B77" t="str">
        <f>IF(A77="", "", VLOOKUP(A77, BASE!$A$4:$B$10003, 2, FALSE))</f>
        <v/>
      </c>
      <c r="C77" t="str">
        <f>IF(A77="", "", VLOOKUP(A77, BASE!$A$4:$C$10003, 3, FALSE))</f>
        <v/>
      </c>
      <c r="D77" t="str">
        <f>IF(A77="", "", VLOOKUP(A77, BASE!$A$4:$D$10003, 4, FALSE))</f>
        <v/>
      </c>
      <c r="E77" t="str">
        <f>IF(A77="", "", VLOOKUP(A77, BASE!$A$4:$E$10003, 5, FALSE))</f>
        <v/>
      </c>
      <c r="F77" t="str">
        <f t="shared" si="1"/>
        <v/>
      </c>
    </row>
    <row r="78" spans="1:6">
      <c r="A78" t="str">
        <f>IFERROR(INDEX(BASE!$A$4:$A$10003, SMALL(IF(BASE!$F$4:$F$10003="CARREGADO", ROW(BASE!$A$4:$A$10003)-ROW(BASE!$A$4)+1), ROW(A77))), "")</f>
        <v/>
      </c>
      <c r="B78" t="str">
        <f>IF(A78="", "", VLOOKUP(A78, BASE!$A$4:$B$10003, 2, FALSE))</f>
        <v/>
      </c>
      <c r="C78" t="str">
        <f>IF(A78="", "", VLOOKUP(A78, BASE!$A$4:$C$10003, 3, FALSE))</f>
        <v/>
      </c>
      <c r="D78" t="str">
        <f>IF(A78="", "", VLOOKUP(A78, BASE!$A$4:$D$10003, 4, FALSE))</f>
        <v/>
      </c>
      <c r="E78" t="str">
        <f>IF(A78="", "", VLOOKUP(A78, BASE!$A$4:$E$10003, 5, FALSE))</f>
        <v/>
      </c>
      <c r="F78" t="str">
        <f t="shared" si="1"/>
        <v/>
      </c>
    </row>
    <row r="79" spans="1:6">
      <c r="A79" t="str">
        <f>IFERROR(INDEX(BASE!$A$4:$A$10003, SMALL(IF(BASE!$F$4:$F$10003="CARREGADO", ROW(BASE!$A$4:$A$10003)-ROW(BASE!$A$4)+1), ROW(A78))), "")</f>
        <v/>
      </c>
      <c r="B79" t="str">
        <f>IF(A79="", "", VLOOKUP(A79, BASE!$A$4:$B$10003, 2, FALSE))</f>
        <v/>
      </c>
      <c r="C79" t="str">
        <f>IF(A79="", "", VLOOKUP(A79, BASE!$A$4:$C$10003, 3, FALSE))</f>
        <v/>
      </c>
      <c r="D79" t="str">
        <f>IF(A79="", "", VLOOKUP(A79, BASE!$A$4:$D$10003, 4, FALSE))</f>
        <v/>
      </c>
      <c r="E79" t="str">
        <f>IF(A79="", "", VLOOKUP(A79, BASE!$A$4:$E$10003, 5, FALSE))</f>
        <v/>
      </c>
      <c r="F79" t="str">
        <f t="shared" si="1"/>
        <v/>
      </c>
    </row>
    <row r="80" spans="1:6">
      <c r="A80" t="str">
        <f>IFERROR(INDEX(BASE!$A$4:$A$10003, SMALL(IF(BASE!$F$4:$F$10003="CARREGADO", ROW(BASE!$A$4:$A$10003)-ROW(BASE!$A$4)+1), ROW(A79))), "")</f>
        <v/>
      </c>
      <c r="B80" t="str">
        <f>IF(A80="", "", VLOOKUP(A80, BASE!$A$4:$B$10003, 2, FALSE))</f>
        <v/>
      </c>
      <c r="C80" t="str">
        <f>IF(A80="", "", VLOOKUP(A80, BASE!$A$4:$C$10003, 3, FALSE))</f>
        <v/>
      </c>
      <c r="D80" t="str">
        <f>IF(A80="", "", VLOOKUP(A80, BASE!$A$4:$D$10003, 4, FALSE))</f>
        <v/>
      </c>
      <c r="E80" t="str">
        <f>IF(A80="", "", VLOOKUP(A80, BASE!$A$4:$E$10003, 5, FALSE))</f>
        <v/>
      </c>
      <c r="F80" t="str">
        <f t="shared" si="1"/>
        <v/>
      </c>
    </row>
    <row r="81" spans="1:6">
      <c r="A81" t="str">
        <f>IFERROR(INDEX(BASE!$A$4:$A$10003, SMALL(IF(BASE!$F$4:$F$10003="CARREGADO", ROW(BASE!$A$4:$A$10003)-ROW(BASE!$A$4)+1), ROW(A80))), "")</f>
        <v/>
      </c>
      <c r="B81" t="str">
        <f>IF(A81="", "", VLOOKUP(A81, BASE!$A$4:$B$10003, 2, FALSE))</f>
        <v/>
      </c>
      <c r="C81" t="str">
        <f>IF(A81="", "", VLOOKUP(A81, BASE!$A$4:$C$10003, 3, FALSE))</f>
        <v/>
      </c>
      <c r="D81" t="str">
        <f>IF(A81="", "", VLOOKUP(A81, BASE!$A$4:$D$10003, 4, FALSE))</f>
        <v/>
      </c>
      <c r="E81" t="str">
        <f>IF(A81="", "", VLOOKUP(A81, BASE!$A$4:$E$10003, 5, FALSE))</f>
        <v/>
      </c>
      <c r="F81" t="str">
        <f t="shared" si="1"/>
        <v/>
      </c>
    </row>
    <row r="82" spans="1:6">
      <c r="A82" t="str">
        <f>IFERROR(INDEX(BASE!$A$4:$A$10003, SMALL(IF(BASE!$F$4:$F$10003="CARREGADO", ROW(BASE!$A$4:$A$10003)-ROW(BASE!$A$4)+1), ROW(A81))), "")</f>
        <v/>
      </c>
      <c r="B82" t="str">
        <f>IF(A82="", "", VLOOKUP(A82, BASE!$A$4:$B$10003, 2, FALSE))</f>
        <v/>
      </c>
      <c r="C82" t="str">
        <f>IF(A82="", "", VLOOKUP(A82, BASE!$A$4:$C$10003, 3, FALSE))</f>
        <v/>
      </c>
      <c r="D82" t="str">
        <f>IF(A82="", "", VLOOKUP(A82, BASE!$A$4:$D$10003, 4, FALSE))</f>
        <v/>
      </c>
      <c r="E82" t="str">
        <f>IF(A82="", "", VLOOKUP(A82, BASE!$A$4:$E$10003, 5, FALSE))</f>
        <v/>
      </c>
      <c r="F82" t="str">
        <f t="shared" si="1"/>
        <v/>
      </c>
    </row>
    <row r="83" spans="1:6">
      <c r="A83" t="str">
        <f>IFERROR(INDEX(BASE!$A$4:$A$10003, SMALL(IF(BASE!$F$4:$F$10003="CARREGADO", ROW(BASE!$A$4:$A$10003)-ROW(BASE!$A$4)+1), ROW(A82))), "")</f>
        <v/>
      </c>
      <c r="B83" t="str">
        <f>IF(A83="", "", VLOOKUP(A83, BASE!$A$4:$B$10003, 2, FALSE))</f>
        <v/>
      </c>
      <c r="C83" t="str">
        <f>IF(A83="", "", VLOOKUP(A83, BASE!$A$4:$C$10003, 3, FALSE))</f>
        <v/>
      </c>
      <c r="D83" t="str">
        <f>IF(A83="", "", VLOOKUP(A83, BASE!$A$4:$D$10003, 4, FALSE))</f>
        <v/>
      </c>
      <c r="E83" t="str">
        <f>IF(A83="", "", VLOOKUP(A83, BASE!$A$4:$E$10003, 5, FALSE))</f>
        <v/>
      </c>
      <c r="F83" t="str">
        <f t="shared" si="1"/>
        <v/>
      </c>
    </row>
    <row r="84" spans="1:6">
      <c r="A84" t="str">
        <f>IFERROR(INDEX(BASE!$A$4:$A$10003, SMALL(IF(BASE!$F$4:$F$10003="CARREGADO", ROW(BASE!$A$4:$A$10003)-ROW(BASE!$A$4)+1), ROW(A83))), "")</f>
        <v/>
      </c>
      <c r="B84" t="str">
        <f>IF(A84="", "", VLOOKUP(A84, BASE!$A$4:$B$10003, 2, FALSE))</f>
        <v/>
      </c>
      <c r="C84" t="str">
        <f>IF(A84="", "", VLOOKUP(A84, BASE!$A$4:$C$10003, 3, FALSE))</f>
        <v/>
      </c>
      <c r="D84" t="str">
        <f>IF(A84="", "", VLOOKUP(A84, BASE!$A$4:$D$10003, 4, FALSE))</f>
        <v/>
      </c>
      <c r="E84" t="str">
        <f>IF(A84="", "", VLOOKUP(A84, BASE!$A$4:$E$10003, 5, FALSE))</f>
        <v/>
      </c>
      <c r="F84" t="str">
        <f t="shared" si="1"/>
        <v/>
      </c>
    </row>
    <row r="85" spans="1:6">
      <c r="A85" t="str">
        <f>IFERROR(INDEX(BASE!$A$4:$A$10003, SMALL(IF(BASE!$F$4:$F$10003="CARREGADO", ROW(BASE!$A$4:$A$10003)-ROW(BASE!$A$4)+1), ROW(A84))), "")</f>
        <v/>
      </c>
      <c r="B85" t="str">
        <f>IF(A85="", "", VLOOKUP(A85, BASE!$A$4:$B$10003, 2, FALSE))</f>
        <v/>
      </c>
      <c r="C85" t="str">
        <f>IF(A85="", "", VLOOKUP(A85, BASE!$A$4:$C$10003, 3, FALSE))</f>
        <v/>
      </c>
      <c r="D85" t="str">
        <f>IF(A85="", "", VLOOKUP(A85, BASE!$A$4:$D$10003, 4, FALSE))</f>
        <v/>
      </c>
      <c r="E85" t="str">
        <f>IF(A85="", "", VLOOKUP(A85, BASE!$A$4:$E$10003, 5, FALSE))</f>
        <v/>
      </c>
      <c r="F85" t="str">
        <f t="shared" si="1"/>
        <v/>
      </c>
    </row>
    <row r="86" spans="1:6">
      <c r="A86" t="str">
        <f>IFERROR(INDEX(BASE!$A$4:$A$10003, SMALL(IF(BASE!$F$4:$F$10003="CARREGADO", ROW(BASE!$A$4:$A$10003)-ROW(BASE!$A$4)+1), ROW(A85))), "")</f>
        <v/>
      </c>
      <c r="B86" t="str">
        <f>IF(A86="", "", VLOOKUP(A86, BASE!$A$4:$B$10003, 2, FALSE))</f>
        <v/>
      </c>
      <c r="C86" t="str">
        <f>IF(A86="", "", VLOOKUP(A86, BASE!$A$4:$C$10003, 3, FALSE))</f>
        <v/>
      </c>
      <c r="D86" t="str">
        <f>IF(A86="", "", VLOOKUP(A86, BASE!$A$4:$D$10003, 4, FALSE))</f>
        <v/>
      </c>
      <c r="E86" t="str">
        <f>IF(A86="", "", VLOOKUP(A86, BASE!$A$4:$E$10003, 5, FALSE))</f>
        <v/>
      </c>
      <c r="F86" t="str">
        <f t="shared" si="1"/>
        <v/>
      </c>
    </row>
    <row r="87" spans="1:6">
      <c r="A87" t="str">
        <f>IFERROR(INDEX(BASE!$A$4:$A$10003, SMALL(IF(BASE!$F$4:$F$10003="CARREGADO", ROW(BASE!$A$4:$A$10003)-ROW(BASE!$A$4)+1), ROW(A86))), "")</f>
        <v/>
      </c>
      <c r="B87" t="str">
        <f>IF(A87="", "", VLOOKUP(A87, BASE!$A$4:$B$10003, 2, FALSE))</f>
        <v/>
      </c>
      <c r="C87" t="str">
        <f>IF(A87="", "", VLOOKUP(A87, BASE!$A$4:$C$10003, 3, FALSE))</f>
        <v/>
      </c>
      <c r="D87" t="str">
        <f>IF(A87="", "", VLOOKUP(A87, BASE!$A$4:$D$10003, 4, FALSE))</f>
        <v/>
      </c>
      <c r="E87" t="str">
        <f>IF(A87="", "", VLOOKUP(A87, BASE!$A$4:$E$10003, 5, FALSE))</f>
        <v/>
      </c>
      <c r="F87" t="str">
        <f t="shared" si="1"/>
        <v/>
      </c>
    </row>
    <row r="88" spans="1:6">
      <c r="A88" t="str">
        <f>IFERROR(INDEX(BASE!$A$4:$A$10003, SMALL(IF(BASE!$F$4:$F$10003="CARREGADO", ROW(BASE!$A$4:$A$10003)-ROW(BASE!$A$4)+1), ROW(A87))), "")</f>
        <v/>
      </c>
      <c r="B88" t="str">
        <f>IF(A88="", "", VLOOKUP(A88, BASE!$A$4:$B$10003, 2, FALSE))</f>
        <v/>
      </c>
      <c r="C88" t="str">
        <f>IF(A88="", "", VLOOKUP(A88, BASE!$A$4:$C$10003, 3, FALSE))</f>
        <v/>
      </c>
      <c r="D88" t="str">
        <f>IF(A88="", "", VLOOKUP(A88, BASE!$A$4:$D$10003, 4, FALSE))</f>
        <v/>
      </c>
      <c r="E88" t="str">
        <f>IF(A88="", "", VLOOKUP(A88, BASE!$A$4:$E$10003, 5, FALSE))</f>
        <v/>
      </c>
      <c r="F88" t="str">
        <f t="shared" si="1"/>
        <v/>
      </c>
    </row>
    <row r="89" spans="1:6">
      <c r="A89" t="str">
        <f>IFERROR(INDEX(BASE!$A$4:$A$10003, SMALL(IF(BASE!$F$4:$F$10003="CARREGADO", ROW(BASE!$A$4:$A$10003)-ROW(BASE!$A$4)+1), ROW(A88))), "")</f>
        <v/>
      </c>
      <c r="B89" t="str">
        <f>IF(A89="", "", VLOOKUP(A89, BASE!$A$4:$B$10003, 2, FALSE))</f>
        <v/>
      </c>
      <c r="C89" t="str">
        <f>IF(A89="", "", VLOOKUP(A89, BASE!$A$4:$C$10003, 3, FALSE))</f>
        <v/>
      </c>
      <c r="D89" t="str">
        <f>IF(A89="", "", VLOOKUP(A89, BASE!$A$4:$D$10003, 4, FALSE))</f>
        <v/>
      </c>
      <c r="E89" t="str">
        <f>IF(A89="", "", VLOOKUP(A89, BASE!$A$4:$E$10003, 5, FALSE))</f>
        <v/>
      </c>
      <c r="F89" t="str">
        <f t="shared" si="1"/>
        <v/>
      </c>
    </row>
    <row r="90" spans="1:6">
      <c r="A90" t="str">
        <f>IFERROR(INDEX(BASE!$A$4:$A$10003, SMALL(IF(BASE!$F$4:$F$10003="CARREGADO", ROW(BASE!$A$4:$A$10003)-ROW(BASE!$A$4)+1), ROW(A89))), "")</f>
        <v/>
      </c>
      <c r="B90" t="str">
        <f>IF(A90="", "", VLOOKUP(A90, BASE!$A$4:$B$10003, 2, FALSE))</f>
        <v/>
      </c>
      <c r="C90" t="str">
        <f>IF(A90="", "", VLOOKUP(A90, BASE!$A$4:$C$10003, 3, FALSE))</f>
        <v/>
      </c>
      <c r="D90" t="str">
        <f>IF(A90="", "", VLOOKUP(A90, BASE!$A$4:$D$10003, 4, FALSE))</f>
        <v/>
      </c>
      <c r="E90" t="str">
        <f>IF(A90="", "", VLOOKUP(A90, BASE!$A$4:$E$10003, 5, FALSE))</f>
        <v/>
      </c>
      <c r="F90" t="str">
        <f t="shared" si="1"/>
        <v/>
      </c>
    </row>
    <row r="91" spans="1:6">
      <c r="A91" t="str">
        <f>IFERROR(INDEX(BASE!$A$4:$A$10003, SMALL(IF(BASE!$F$4:$F$10003="CARREGADO", ROW(BASE!$A$4:$A$10003)-ROW(BASE!$A$4)+1), ROW(A90))), "")</f>
        <v/>
      </c>
      <c r="B91" t="str">
        <f>IF(A91="", "", VLOOKUP(A91, BASE!$A$4:$B$10003, 2, FALSE))</f>
        <v/>
      </c>
      <c r="C91" t="str">
        <f>IF(A91="", "", VLOOKUP(A91, BASE!$A$4:$C$10003, 3, FALSE))</f>
        <v/>
      </c>
      <c r="D91" t="str">
        <f>IF(A91="", "", VLOOKUP(A91, BASE!$A$4:$D$10003, 4, FALSE))</f>
        <v/>
      </c>
      <c r="E91" t="str">
        <f>IF(A91="", "", VLOOKUP(A91, BASE!$A$4:$E$10003, 5, FALSE))</f>
        <v/>
      </c>
      <c r="F91" t="str">
        <f t="shared" si="1"/>
        <v/>
      </c>
    </row>
    <row r="92" spans="1:6">
      <c r="A92" t="str">
        <f>IFERROR(INDEX(BASE!$A$4:$A$10003, SMALL(IF(BASE!$F$4:$F$10003="CARREGADO", ROW(BASE!$A$4:$A$10003)-ROW(BASE!$A$4)+1), ROW(A91))), "")</f>
        <v/>
      </c>
      <c r="B92" t="str">
        <f>IF(A92="", "", VLOOKUP(A92, BASE!$A$4:$B$10003, 2, FALSE))</f>
        <v/>
      </c>
      <c r="C92" t="str">
        <f>IF(A92="", "", VLOOKUP(A92, BASE!$A$4:$C$10003, 3, FALSE))</f>
        <v/>
      </c>
      <c r="D92" t="str">
        <f>IF(A92="", "", VLOOKUP(A92, BASE!$A$4:$D$10003, 4, FALSE))</f>
        <v/>
      </c>
      <c r="E92" t="str">
        <f>IF(A92="", "", VLOOKUP(A92, BASE!$A$4:$E$10003, 5, FALSE))</f>
        <v/>
      </c>
      <c r="F92" t="str">
        <f t="shared" si="1"/>
        <v/>
      </c>
    </row>
    <row r="93" spans="1:6">
      <c r="A93" t="str">
        <f>IFERROR(INDEX(BASE!$A$4:$A$10003, SMALL(IF(BASE!$F$4:$F$10003="CARREGADO", ROW(BASE!$A$4:$A$10003)-ROW(BASE!$A$4)+1), ROW(A92))), "")</f>
        <v/>
      </c>
      <c r="B93" t="str">
        <f>IF(A93="", "", VLOOKUP(A93, BASE!$A$4:$B$10003, 2, FALSE))</f>
        <v/>
      </c>
      <c r="C93" t="str">
        <f>IF(A93="", "", VLOOKUP(A93, BASE!$A$4:$C$10003, 3, FALSE))</f>
        <v/>
      </c>
      <c r="D93" t="str">
        <f>IF(A93="", "", VLOOKUP(A93, BASE!$A$4:$D$10003, 4, FALSE))</f>
        <v/>
      </c>
      <c r="E93" t="str">
        <f>IF(A93="", "", VLOOKUP(A93, BASE!$A$4:$E$10003, 5, FALSE))</f>
        <v/>
      </c>
      <c r="F93" t="str">
        <f t="shared" si="1"/>
        <v/>
      </c>
    </row>
    <row r="94" spans="1:6">
      <c r="A94" t="str">
        <f>IFERROR(INDEX(BASE!$A$4:$A$10003, SMALL(IF(BASE!$F$4:$F$10003="CARREGADO", ROW(BASE!$A$4:$A$10003)-ROW(BASE!$A$4)+1), ROW(A93))), "")</f>
        <v/>
      </c>
      <c r="B94" t="str">
        <f>IF(A94="", "", VLOOKUP(A94, BASE!$A$4:$B$10003, 2, FALSE))</f>
        <v/>
      </c>
      <c r="C94" t="str">
        <f>IF(A94="", "", VLOOKUP(A94, BASE!$A$4:$C$10003, 3, FALSE))</f>
        <v/>
      </c>
      <c r="D94" t="str">
        <f>IF(A94="", "", VLOOKUP(A94, BASE!$A$4:$D$10003, 4, FALSE))</f>
        <v/>
      </c>
      <c r="E94" t="str">
        <f>IF(A94="", "", VLOOKUP(A94, BASE!$A$4:$E$10003, 5, FALSE))</f>
        <v/>
      </c>
      <c r="F94" t="str">
        <f t="shared" si="1"/>
        <v/>
      </c>
    </row>
    <row r="95" spans="1:6">
      <c r="A95" t="str">
        <f>IFERROR(INDEX(BASE!$A$4:$A$10003, SMALL(IF(BASE!$F$4:$F$10003="CARREGADO", ROW(BASE!$A$4:$A$10003)-ROW(BASE!$A$4)+1), ROW(A94))), "")</f>
        <v/>
      </c>
      <c r="B95" t="str">
        <f>IF(A95="", "", VLOOKUP(A95, BASE!$A$4:$B$10003, 2, FALSE))</f>
        <v/>
      </c>
      <c r="C95" t="str">
        <f>IF(A95="", "", VLOOKUP(A95, BASE!$A$4:$C$10003, 3, FALSE))</f>
        <v/>
      </c>
      <c r="D95" t="str">
        <f>IF(A95="", "", VLOOKUP(A95, BASE!$A$4:$D$10003, 4, FALSE))</f>
        <v/>
      </c>
      <c r="E95" t="str">
        <f>IF(A95="", "", VLOOKUP(A95, BASE!$A$4:$E$10003, 5, FALSE))</f>
        <v/>
      </c>
      <c r="F95" t="str">
        <f t="shared" si="1"/>
        <v/>
      </c>
    </row>
    <row r="96" spans="1:6">
      <c r="A96" t="str">
        <f>IFERROR(INDEX(BASE!$A$4:$A$10003, SMALL(IF(BASE!$F$4:$F$10003="CARREGADO", ROW(BASE!$A$4:$A$10003)-ROW(BASE!$A$4)+1), ROW(A95))), "")</f>
        <v/>
      </c>
      <c r="B96" t="str">
        <f>IF(A96="", "", VLOOKUP(A96, BASE!$A$4:$B$10003, 2, FALSE))</f>
        <v/>
      </c>
      <c r="C96" t="str">
        <f>IF(A96="", "", VLOOKUP(A96, BASE!$A$4:$C$10003, 3, FALSE))</f>
        <v/>
      </c>
      <c r="D96" t="str">
        <f>IF(A96="", "", VLOOKUP(A96, BASE!$A$4:$D$10003, 4, FALSE))</f>
        <v/>
      </c>
      <c r="E96" t="str">
        <f>IF(A96="", "", VLOOKUP(A96, BASE!$A$4:$E$10003, 5, FALSE))</f>
        <v/>
      </c>
      <c r="F96" t="str">
        <f t="shared" si="1"/>
        <v/>
      </c>
    </row>
    <row r="97" spans="1:6">
      <c r="A97" t="str">
        <f>IFERROR(INDEX(BASE!$A$4:$A$10003, SMALL(IF(BASE!$F$4:$F$10003="CARREGADO", ROW(BASE!$A$4:$A$10003)-ROW(BASE!$A$4)+1), ROW(A96))), "")</f>
        <v/>
      </c>
      <c r="B97" t="str">
        <f>IF(A97="", "", VLOOKUP(A97, BASE!$A$4:$B$10003, 2, FALSE))</f>
        <v/>
      </c>
      <c r="C97" t="str">
        <f>IF(A97="", "", VLOOKUP(A97, BASE!$A$4:$C$10003, 3, FALSE))</f>
        <v/>
      </c>
      <c r="D97" t="str">
        <f>IF(A97="", "", VLOOKUP(A97, BASE!$A$4:$D$10003, 4, FALSE))</f>
        <v/>
      </c>
      <c r="E97" t="str">
        <f>IF(A97="", "", VLOOKUP(A97, BASE!$A$4:$E$10003, 5, FALSE))</f>
        <v/>
      </c>
      <c r="F97" t="str">
        <f t="shared" si="1"/>
        <v/>
      </c>
    </row>
    <row r="98" spans="1:6">
      <c r="A98" t="str">
        <f>IFERROR(INDEX(BASE!$A$4:$A$10003, SMALL(IF(BASE!$F$4:$F$10003="CARREGADO", ROW(BASE!$A$4:$A$10003)-ROW(BASE!$A$4)+1), ROW(A97))), "")</f>
        <v/>
      </c>
      <c r="B98" t="str">
        <f>IF(A98="", "", VLOOKUP(A98, BASE!$A$4:$B$10003, 2, FALSE))</f>
        <v/>
      </c>
      <c r="C98" t="str">
        <f>IF(A98="", "", VLOOKUP(A98, BASE!$A$4:$C$10003, 3, FALSE))</f>
        <v/>
      </c>
      <c r="D98" t="str">
        <f>IF(A98="", "", VLOOKUP(A98, BASE!$A$4:$D$10003, 4, FALSE))</f>
        <v/>
      </c>
      <c r="E98" t="str">
        <f>IF(A98="", "", VLOOKUP(A98, BASE!$A$4:$E$10003, 5, FALSE))</f>
        <v/>
      </c>
      <c r="F98" t="str">
        <f t="shared" si="1"/>
        <v/>
      </c>
    </row>
    <row r="99" spans="1:6">
      <c r="A99" t="str">
        <f>IFERROR(INDEX(BASE!$A$4:$A$10003, SMALL(IF(BASE!$F$4:$F$10003="CARREGADO", ROW(BASE!$A$4:$A$10003)-ROW(BASE!$A$4)+1), ROW(A98))), "")</f>
        <v/>
      </c>
      <c r="B99" t="str">
        <f>IF(A99="", "", VLOOKUP(A99, BASE!$A$4:$B$10003, 2, FALSE))</f>
        <v/>
      </c>
      <c r="C99" t="str">
        <f>IF(A99="", "", VLOOKUP(A99, BASE!$A$4:$C$10003, 3, FALSE))</f>
        <v/>
      </c>
      <c r="D99" t="str">
        <f>IF(A99="", "", VLOOKUP(A99, BASE!$A$4:$D$10003, 4, FALSE))</f>
        <v/>
      </c>
      <c r="E99" t="str">
        <f>IF(A99="", "", VLOOKUP(A99, BASE!$A$4:$E$10003, 5, FALSE))</f>
        <v/>
      </c>
      <c r="F99" t="str">
        <f t="shared" si="1"/>
        <v/>
      </c>
    </row>
    <row r="100" spans="1:6">
      <c r="A100" t="str">
        <f>IFERROR(INDEX(BASE!$A$4:$A$10003, SMALL(IF(BASE!$F$4:$F$10003="CARREGADO", ROW(BASE!$A$4:$A$10003)-ROW(BASE!$A$4)+1), ROW(A99))), "")</f>
        <v/>
      </c>
      <c r="B100" t="str">
        <f>IF(A100="", "", VLOOKUP(A100, BASE!$A$4:$B$10003, 2, FALSE))</f>
        <v/>
      </c>
      <c r="C100" t="str">
        <f>IF(A100="", "", VLOOKUP(A100, BASE!$A$4:$C$10003, 3, FALSE))</f>
        <v/>
      </c>
      <c r="D100" t="str">
        <f>IF(A100="", "", VLOOKUP(A100, BASE!$A$4:$D$10003, 4, FALSE))</f>
        <v/>
      </c>
      <c r="E100" t="str">
        <f>IF(A100="", "", VLOOKUP(A100, BASE!$A$4:$E$10003, 5, FALSE))</f>
        <v/>
      </c>
      <c r="F100" t="str">
        <f t="shared" si="1"/>
        <v/>
      </c>
    </row>
    <row r="101" spans="1:6">
      <c r="A101" t="str">
        <f>IFERROR(INDEX(BASE!$A$4:$A$10003, SMALL(IF(BASE!$F$4:$F$10003="CARREGADO", ROW(BASE!$A$4:$A$10003)-ROW(BASE!$A$4)+1), ROW(A100))), "")</f>
        <v/>
      </c>
      <c r="B101" t="str">
        <f>IF(A101="", "", VLOOKUP(A101, BASE!$A$4:$B$10003, 2, FALSE))</f>
        <v/>
      </c>
      <c r="C101" t="str">
        <f>IF(A101="", "", VLOOKUP(A101, BASE!$A$4:$C$10003, 3, FALSE))</f>
        <v/>
      </c>
      <c r="D101" t="str">
        <f>IF(A101="", "", VLOOKUP(A101, BASE!$A$4:$D$10003, 4, FALSE))</f>
        <v/>
      </c>
      <c r="E101" t="str">
        <f>IF(A101="", "", VLOOKUP(A101, BASE!$A$4:$E$10003, 5, FALSE))</f>
        <v/>
      </c>
      <c r="F101" t="str">
        <f t="shared" si="1"/>
        <v/>
      </c>
    </row>
    <row r="102" spans="1:6">
      <c r="A102" t="str">
        <f>IFERROR(INDEX(BASE!$A$4:$A$10003, SMALL(IF(BASE!$F$4:$F$10003="CARREGADO", ROW(BASE!$A$4:$A$10003)-ROW(BASE!$A$4)+1), ROW(A101))), "")</f>
        <v/>
      </c>
      <c r="B102" t="str">
        <f>IF(A102="", "", VLOOKUP(A102, BASE!$A$4:$B$10003, 2, FALSE))</f>
        <v/>
      </c>
      <c r="C102" t="str">
        <f>IF(A102="", "", VLOOKUP(A102, BASE!$A$4:$C$10003, 3, FALSE))</f>
        <v/>
      </c>
      <c r="D102" t="str">
        <f>IF(A102="", "", VLOOKUP(A102, BASE!$A$4:$D$10003, 4, FALSE))</f>
        <v/>
      </c>
      <c r="E102" t="str">
        <f>IF(A102="", "", VLOOKUP(A102, BASE!$A$4:$E$10003, 5, FALSE))</f>
        <v/>
      </c>
      <c r="F102" t="str">
        <f t="shared" si="1"/>
        <v/>
      </c>
    </row>
    <row r="103" spans="1:6">
      <c r="A103" t="str">
        <f>IFERROR(INDEX(BASE!$A$4:$A$10003, SMALL(IF(BASE!$F$4:$F$10003="CARREGADO", ROW(BASE!$A$4:$A$10003)-ROW(BASE!$A$4)+1), ROW(A102))), "")</f>
        <v/>
      </c>
      <c r="B103" t="str">
        <f>IF(A103="", "", VLOOKUP(A103, BASE!$A$4:$B$10003, 2, FALSE))</f>
        <v/>
      </c>
      <c r="C103" t="str">
        <f>IF(A103="", "", VLOOKUP(A103, BASE!$A$4:$C$10003, 3, FALSE))</f>
        <v/>
      </c>
      <c r="D103" t="str">
        <f>IF(A103="", "", VLOOKUP(A103, BASE!$A$4:$D$10003, 4, FALSE))</f>
        <v/>
      </c>
      <c r="E103" t="str">
        <f>IF(A103="", "", VLOOKUP(A103, BASE!$A$4:$E$10003, 5, FALSE))</f>
        <v/>
      </c>
      <c r="F103" t="str">
        <f t="shared" si="1"/>
        <v/>
      </c>
    </row>
    <row r="104" spans="1:6">
      <c r="A104" t="str">
        <f>IFERROR(INDEX(BASE!$A$4:$A$10003, SMALL(IF(BASE!$F$4:$F$10003="CARREGADO", ROW(BASE!$A$4:$A$10003)-ROW(BASE!$A$4)+1), ROW(A103))), "")</f>
        <v/>
      </c>
      <c r="B104" t="str">
        <f>IF(A104="", "", VLOOKUP(A104, BASE!$A$4:$B$10003, 2, FALSE))</f>
        <v/>
      </c>
      <c r="C104" t="str">
        <f>IF(A104="", "", VLOOKUP(A104, BASE!$A$4:$C$10003, 3, FALSE))</f>
        <v/>
      </c>
      <c r="D104" t="str">
        <f>IF(A104="", "", VLOOKUP(A104, BASE!$A$4:$D$10003, 4, FALSE))</f>
        <v/>
      </c>
      <c r="E104" t="str">
        <f>IF(A104="", "", VLOOKUP(A104, BASE!$A$4:$E$10003, 5, FALSE))</f>
        <v/>
      </c>
      <c r="F104" t="str">
        <f t="shared" si="1"/>
        <v/>
      </c>
    </row>
    <row r="105" spans="1:6">
      <c r="A105" t="str">
        <f>IFERROR(INDEX(BASE!$A$4:$A$10003, SMALL(IF(BASE!$F$4:$F$10003="CARREGADO", ROW(BASE!$A$4:$A$10003)-ROW(BASE!$A$4)+1), ROW(A104))), "")</f>
        <v/>
      </c>
      <c r="B105" t="str">
        <f>IF(A105="", "", VLOOKUP(A105, BASE!$A$4:$B$10003, 2, FALSE))</f>
        <v/>
      </c>
      <c r="C105" t="str">
        <f>IF(A105="", "", VLOOKUP(A105, BASE!$A$4:$C$10003, 3, FALSE))</f>
        <v/>
      </c>
      <c r="D105" t="str">
        <f>IF(A105="", "", VLOOKUP(A105, BASE!$A$4:$D$10003, 4, FALSE))</f>
        <v/>
      </c>
      <c r="E105" t="str">
        <f>IF(A105="", "", VLOOKUP(A105, BASE!$A$4:$E$10003, 5, FALSE))</f>
        <v/>
      </c>
      <c r="F105" t="str">
        <f t="shared" si="1"/>
        <v/>
      </c>
    </row>
    <row r="106" spans="1:6">
      <c r="A106" t="str">
        <f>IFERROR(INDEX(BASE!$A$4:$A$10003, SMALL(IF(BASE!$F$4:$F$10003="CARREGADO", ROW(BASE!$A$4:$A$10003)-ROW(BASE!$A$4)+1), ROW(A105))), "")</f>
        <v/>
      </c>
      <c r="B106" t="str">
        <f>IF(A106="", "", VLOOKUP(A106, BASE!$A$4:$B$10003, 2, FALSE))</f>
        <v/>
      </c>
      <c r="C106" t="str">
        <f>IF(A106="", "", VLOOKUP(A106, BASE!$A$4:$C$10003, 3, FALSE))</f>
        <v/>
      </c>
      <c r="D106" t="str">
        <f>IF(A106="", "", VLOOKUP(A106, BASE!$A$4:$D$10003, 4, FALSE))</f>
        <v/>
      </c>
      <c r="E106" t="str">
        <f>IF(A106="", "", VLOOKUP(A106, BASE!$A$4:$E$10003, 5, FALSE))</f>
        <v/>
      </c>
      <c r="F106" t="str">
        <f t="shared" si="1"/>
        <v/>
      </c>
    </row>
    <row r="107" spans="1:6">
      <c r="A107" t="str">
        <f>IFERROR(INDEX(BASE!$A$4:$A$10003, SMALL(IF(BASE!$F$4:$F$10003="CARREGADO", ROW(BASE!$A$4:$A$10003)-ROW(BASE!$A$4)+1), ROW(A106))), "")</f>
        <v/>
      </c>
      <c r="B107" t="str">
        <f>IF(A107="", "", VLOOKUP(A107, BASE!$A$4:$B$10003, 2, FALSE))</f>
        <v/>
      </c>
      <c r="C107" t="str">
        <f>IF(A107="", "", VLOOKUP(A107, BASE!$A$4:$C$10003, 3, FALSE))</f>
        <v/>
      </c>
      <c r="D107" t="str">
        <f>IF(A107="", "", VLOOKUP(A107, BASE!$A$4:$D$10003, 4, FALSE))</f>
        <v/>
      </c>
      <c r="E107" t="str">
        <f>IF(A107="", "", VLOOKUP(A107, BASE!$A$4:$E$10003, 5, FALSE))</f>
        <v/>
      </c>
      <c r="F107" t="str">
        <f t="shared" si="1"/>
        <v/>
      </c>
    </row>
    <row r="108" spans="1:6">
      <c r="A108" t="str">
        <f>IFERROR(INDEX(BASE!$A$4:$A$10003, SMALL(IF(BASE!$F$4:$F$10003="CARREGADO", ROW(BASE!$A$4:$A$10003)-ROW(BASE!$A$4)+1), ROW(A107))), "")</f>
        <v/>
      </c>
      <c r="B108" t="str">
        <f>IF(A108="", "", VLOOKUP(A108, BASE!$A$4:$B$10003, 2, FALSE))</f>
        <v/>
      </c>
      <c r="C108" t="str">
        <f>IF(A108="", "", VLOOKUP(A108, BASE!$A$4:$C$10003, 3, FALSE))</f>
        <v/>
      </c>
      <c r="D108" t="str">
        <f>IF(A108="", "", VLOOKUP(A108, BASE!$A$4:$D$10003, 4, FALSE))</f>
        <v/>
      </c>
      <c r="E108" t="str">
        <f>IF(A108="", "", VLOOKUP(A108, BASE!$A$4:$E$10003, 5, FALSE))</f>
        <v/>
      </c>
      <c r="F108" t="str">
        <f t="shared" si="1"/>
        <v/>
      </c>
    </row>
    <row r="109" spans="1:6">
      <c r="A109" t="str">
        <f>IFERROR(INDEX(BASE!$A$4:$A$10003, SMALL(IF(BASE!$F$4:$F$10003="CARREGADO", ROW(BASE!$A$4:$A$10003)-ROW(BASE!$A$4)+1), ROW(A108))), "")</f>
        <v/>
      </c>
      <c r="B109" t="str">
        <f>IF(A109="", "", VLOOKUP(A109, BASE!$A$4:$B$10003, 2, FALSE))</f>
        <v/>
      </c>
      <c r="C109" t="str">
        <f>IF(A109="", "", VLOOKUP(A109, BASE!$A$4:$C$10003, 3, FALSE))</f>
        <v/>
      </c>
      <c r="D109" t="str">
        <f>IF(A109="", "", VLOOKUP(A109, BASE!$A$4:$D$10003, 4, FALSE))</f>
        <v/>
      </c>
      <c r="E109" t="str">
        <f>IF(A109="", "", VLOOKUP(A109, BASE!$A$4:$E$10003, 5, FALSE))</f>
        <v/>
      </c>
      <c r="F109" t="str">
        <f t="shared" si="1"/>
        <v/>
      </c>
    </row>
    <row r="110" spans="1:6">
      <c r="A110" t="str">
        <f>IFERROR(INDEX(BASE!$A$4:$A$10003, SMALL(IF(BASE!$F$4:$F$10003="CARREGADO", ROW(BASE!$A$4:$A$10003)-ROW(BASE!$A$4)+1), ROW(A109))), "")</f>
        <v/>
      </c>
      <c r="B110" t="str">
        <f>IF(A110="", "", VLOOKUP(A110, BASE!$A$4:$B$10003, 2, FALSE))</f>
        <v/>
      </c>
      <c r="C110" t="str">
        <f>IF(A110="", "", VLOOKUP(A110, BASE!$A$4:$C$10003, 3, FALSE))</f>
        <v/>
      </c>
      <c r="D110" t="str">
        <f>IF(A110="", "", VLOOKUP(A110, BASE!$A$4:$D$10003, 4, FALSE))</f>
        <v/>
      </c>
      <c r="E110" t="str">
        <f>IF(A110="", "", VLOOKUP(A110, BASE!$A$4:$E$10003, 5, FALSE))</f>
        <v/>
      </c>
      <c r="F110" t="str">
        <f t="shared" si="1"/>
        <v/>
      </c>
    </row>
    <row r="111" spans="1:6">
      <c r="A111" t="str">
        <f>IFERROR(INDEX(BASE!$A$4:$A$10003, SMALL(IF(BASE!$F$4:$F$10003="CARREGADO", ROW(BASE!$A$4:$A$10003)-ROW(BASE!$A$4)+1), ROW(A110))), "")</f>
        <v/>
      </c>
      <c r="B111" t="str">
        <f>IF(A111="", "", VLOOKUP(A111, BASE!$A$4:$B$10003, 2, FALSE))</f>
        <v/>
      </c>
      <c r="C111" t="str">
        <f>IF(A111="", "", VLOOKUP(A111, BASE!$A$4:$C$10003, 3, FALSE))</f>
        <v/>
      </c>
      <c r="D111" t="str">
        <f>IF(A111="", "", VLOOKUP(A111, BASE!$A$4:$D$10003, 4, FALSE))</f>
        <v/>
      </c>
      <c r="E111" t="str">
        <f>IF(A111="", "", VLOOKUP(A111, BASE!$A$4:$E$10003, 5, FALSE))</f>
        <v/>
      </c>
      <c r="F111" t="str">
        <f t="shared" si="1"/>
        <v/>
      </c>
    </row>
    <row r="112" spans="1:6">
      <c r="A112" t="str">
        <f>IFERROR(INDEX(BASE!$A$4:$A$10003, SMALL(IF(BASE!$F$4:$F$10003="CARREGADO", ROW(BASE!$A$4:$A$10003)-ROW(BASE!$A$4)+1), ROW(A111))), "")</f>
        <v/>
      </c>
      <c r="B112" t="str">
        <f>IF(A112="", "", VLOOKUP(A112, BASE!$A$4:$B$10003, 2, FALSE))</f>
        <v/>
      </c>
      <c r="C112" t="str">
        <f>IF(A112="", "", VLOOKUP(A112, BASE!$A$4:$C$10003, 3, FALSE))</f>
        <v/>
      </c>
      <c r="D112" t="str">
        <f>IF(A112="", "", VLOOKUP(A112, BASE!$A$4:$D$10003, 4, FALSE))</f>
        <v/>
      </c>
      <c r="E112" t="str">
        <f>IF(A112="", "", VLOOKUP(A112, BASE!$A$4:$E$10003, 5, FALSE))</f>
        <v/>
      </c>
      <c r="F112" t="str">
        <f t="shared" si="1"/>
        <v/>
      </c>
    </row>
    <row r="113" spans="1:6">
      <c r="A113" t="str">
        <f>IFERROR(INDEX(BASE!$A$4:$A$10003, SMALL(IF(BASE!$F$4:$F$10003="CARREGADO", ROW(BASE!$A$4:$A$10003)-ROW(BASE!$A$4)+1), ROW(A112))), "")</f>
        <v/>
      </c>
      <c r="B113" t="str">
        <f>IF(A113="", "", VLOOKUP(A113, BASE!$A$4:$B$10003, 2, FALSE))</f>
        <v/>
      </c>
      <c r="C113" t="str">
        <f>IF(A113="", "", VLOOKUP(A113, BASE!$A$4:$C$10003, 3, FALSE))</f>
        <v/>
      </c>
      <c r="D113" t="str">
        <f>IF(A113="", "", VLOOKUP(A113, BASE!$A$4:$D$10003, 4, FALSE))</f>
        <v/>
      </c>
      <c r="E113" t="str">
        <f>IF(A113="", "", VLOOKUP(A113, BASE!$A$4:$E$10003, 5, FALSE))</f>
        <v/>
      </c>
      <c r="F113" t="str">
        <f t="shared" si="1"/>
        <v/>
      </c>
    </row>
    <row r="114" spans="1:6">
      <c r="A114" t="str">
        <f>IFERROR(INDEX(BASE!$A$4:$A$10003, SMALL(IF(BASE!$F$4:$F$10003="CARREGADO", ROW(BASE!$A$4:$A$10003)-ROW(BASE!$A$4)+1), ROW(A113))), "")</f>
        <v/>
      </c>
      <c r="B114" t="str">
        <f>IF(A114="", "", VLOOKUP(A114, BASE!$A$4:$B$10003, 2, FALSE))</f>
        <v/>
      </c>
      <c r="C114" t="str">
        <f>IF(A114="", "", VLOOKUP(A114, BASE!$A$4:$C$10003, 3, FALSE))</f>
        <v/>
      </c>
      <c r="D114" t="str">
        <f>IF(A114="", "", VLOOKUP(A114, BASE!$A$4:$D$10003, 4, FALSE))</f>
        <v/>
      </c>
      <c r="E114" t="str">
        <f>IF(A114="", "", VLOOKUP(A114, BASE!$A$4:$E$10003, 5, FALSE))</f>
        <v/>
      </c>
      <c r="F114" t="str">
        <f t="shared" si="1"/>
        <v/>
      </c>
    </row>
    <row r="115" spans="1:6">
      <c r="A115" t="str">
        <f>IFERROR(INDEX(BASE!$A$4:$A$10003, SMALL(IF(BASE!$F$4:$F$10003="CARREGADO", ROW(BASE!$A$4:$A$10003)-ROW(BASE!$A$4)+1), ROW(A114))), "")</f>
        <v/>
      </c>
      <c r="B115" t="str">
        <f>IF(A115="", "", VLOOKUP(A115, BASE!$A$4:$B$10003, 2, FALSE))</f>
        <v/>
      </c>
      <c r="C115" t="str">
        <f>IF(A115="", "", VLOOKUP(A115, BASE!$A$4:$C$10003, 3, FALSE))</f>
        <v/>
      </c>
      <c r="D115" t="str">
        <f>IF(A115="", "", VLOOKUP(A115, BASE!$A$4:$D$10003, 4, FALSE))</f>
        <v/>
      </c>
      <c r="E115" t="str">
        <f>IF(A115="", "", VLOOKUP(A115, BASE!$A$4:$E$10003, 5, FALSE))</f>
        <v/>
      </c>
      <c r="F115" t="str">
        <f t="shared" si="1"/>
        <v/>
      </c>
    </row>
    <row r="116" spans="1:6">
      <c r="A116" t="str">
        <f>IFERROR(INDEX(BASE!$A$4:$A$10003, SMALL(IF(BASE!$F$4:$F$10003="CARREGADO", ROW(BASE!$A$4:$A$10003)-ROW(BASE!$A$4)+1), ROW(A115))), "")</f>
        <v/>
      </c>
      <c r="B116" t="str">
        <f>IF(A116="", "", VLOOKUP(A116, BASE!$A$4:$B$10003, 2, FALSE))</f>
        <v/>
      </c>
      <c r="C116" t="str">
        <f>IF(A116="", "", VLOOKUP(A116, BASE!$A$4:$C$10003, 3, FALSE))</f>
        <v/>
      </c>
      <c r="D116" t="str">
        <f>IF(A116="", "", VLOOKUP(A116, BASE!$A$4:$D$10003, 4, FALSE))</f>
        <v/>
      </c>
      <c r="E116" t="str">
        <f>IF(A116="", "", VLOOKUP(A116, BASE!$A$4:$E$10003, 5, FALSE))</f>
        <v/>
      </c>
      <c r="F116" t="str">
        <f t="shared" si="1"/>
        <v/>
      </c>
    </row>
    <row r="117" spans="1:6">
      <c r="A117" t="str">
        <f>IFERROR(INDEX(BASE!$A$4:$A$10003, SMALL(IF(BASE!$F$4:$F$10003="CARREGADO", ROW(BASE!$A$4:$A$10003)-ROW(BASE!$A$4)+1), ROW(A116))), "")</f>
        <v/>
      </c>
      <c r="B117" t="str">
        <f>IF(A117="", "", VLOOKUP(A117, BASE!$A$4:$B$10003, 2, FALSE))</f>
        <v/>
      </c>
      <c r="C117" t="str">
        <f>IF(A117="", "", VLOOKUP(A117, BASE!$A$4:$C$10003, 3, FALSE))</f>
        <v/>
      </c>
      <c r="D117" t="str">
        <f>IF(A117="", "", VLOOKUP(A117, BASE!$A$4:$D$10003, 4, FALSE))</f>
        <v/>
      </c>
      <c r="E117" t="str">
        <f>IF(A117="", "", VLOOKUP(A117, BASE!$A$4:$E$10003, 5, FALSE))</f>
        <v/>
      </c>
      <c r="F117" t="str">
        <f t="shared" si="1"/>
        <v/>
      </c>
    </row>
    <row r="118" spans="1:6">
      <c r="A118" t="str">
        <f>IFERROR(INDEX(BASE!$A$4:$A$10003, SMALL(IF(BASE!$F$4:$F$10003="CARREGADO", ROW(BASE!$A$4:$A$10003)-ROW(BASE!$A$4)+1), ROW(A117))), "")</f>
        <v/>
      </c>
      <c r="B118" t="str">
        <f>IF(A118="", "", VLOOKUP(A118, BASE!$A$4:$B$10003, 2, FALSE))</f>
        <v/>
      </c>
      <c r="C118" t="str">
        <f>IF(A118="", "", VLOOKUP(A118, BASE!$A$4:$C$10003, 3, FALSE))</f>
        <v/>
      </c>
      <c r="D118" t="str">
        <f>IF(A118="", "", VLOOKUP(A118, BASE!$A$4:$D$10003, 4, FALSE))</f>
        <v/>
      </c>
      <c r="E118" t="str">
        <f>IF(A118="", "", VLOOKUP(A118, BASE!$A$4:$E$10003, 5, FALSE))</f>
        <v/>
      </c>
      <c r="F118" t="str">
        <f t="shared" si="1"/>
        <v/>
      </c>
    </row>
    <row r="119" spans="1:6">
      <c r="A119" t="str">
        <f>IFERROR(INDEX(BASE!$A$4:$A$10003, SMALL(IF(BASE!$F$4:$F$10003="CARREGADO", ROW(BASE!$A$4:$A$10003)-ROW(BASE!$A$4)+1), ROW(A118))), "")</f>
        <v/>
      </c>
      <c r="B119" t="str">
        <f>IF(A119="", "", VLOOKUP(A119, BASE!$A$4:$B$10003, 2, FALSE))</f>
        <v/>
      </c>
      <c r="C119" t="str">
        <f>IF(A119="", "", VLOOKUP(A119, BASE!$A$4:$C$10003, 3, FALSE))</f>
        <v/>
      </c>
      <c r="D119" t="str">
        <f>IF(A119="", "", VLOOKUP(A119, BASE!$A$4:$D$10003, 4, FALSE))</f>
        <v/>
      </c>
      <c r="E119" t="str">
        <f>IF(A119="", "", VLOOKUP(A119, BASE!$A$4:$E$10003, 5, FALSE))</f>
        <v/>
      </c>
      <c r="F119" t="str">
        <f t="shared" si="1"/>
        <v/>
      </c>
    </row>
    <row r="120" spans="1:6">
      <c r="A120" t="str">
        <f>IFERROR(INDEX(BASE!$A$4:$A$10003, SMALL(IF(BASE!$F$4:$F$10003="CARREGADO", ROW(BASE!$A$4:$A$10003)-ROW(BASE!$A$4)+1), ROW(A119))), "")</f>
        <v/>
      </c>
      <c r="B120" t="str">
        <f>IF(A120="", "", VLOOKUP(A120, BASE!$A$4:$B$10003, 2, FALSE))</f>
        <v/>
      </c>
      <c r="C120" t="str">
        <f>IF(A120="", "", VLOOKUP(A120, BASE!$A$4:$C$10003, 3, FALSE))</f>
        <v/>
      </c>
      <c r="D120" t="str">
        <f>IF(A120="", "", VLOOKUP(A120, BASE!$A$4:$D$10003, 4, FALSE))</f>
        <v/>
      </c>
      <c r="E120" t="str">
        <f>IF(A120="", "", VLOOKUP(A120, BASE!$A$4:$E$10003, 5, FALSE))</f>
        <v/>
      </c>
      <c r="F120" t="str">
        <f t="shared" si="1"/>
        <v/>
      </c>
    </row>
    <row r="121" spans="1:6">
      <c r="A121" t="str">
        <f>IFERROR(INDEX(BASE!$A$4:$A$10003, SMALL(IF(BASE!$F$4:$F$10003="CARREGADO", ROW(BASE!$A$4:$A$10003)-ROW(BASE!$A$4)+1), ROW(A120))), "")</f>
        <v/>
      </c>
      <c r="B121" t="str">
        <f>IF(A121="", "", VLOOKUP(A121, BASE!$A$4:$B$10003, 2, FALSE))</f>
        <v/>
      </c>
      <c r="C121" t="str">
        <f>IF(A121="", "", VLOOKUP(A121, BASE!$A$4:$C$10003, 3, FALSE))</f>
        <v/>
      </c>
      <c r="D121" t="str">
        <f>IF(A121="", "", VLOOKUP(A121, BASE!$A$4:$D$10003, 4, FALSE))</f>
        <v/>
      </c>
      <c r="E121" t="str">
        <f>IF(A121="", "", VLOOKUP(A121, BASE!$A$4:$E$10003, 5, FALSE))</f>
        <v/>
      </c>
      <c r="F121" t="str">
        <f t="shared" si="1"/>
        <v/>
      </c>
    </row>
    <row r="122" spans="1:6">
      <c r="A122" t="str">
        <f>IFERROR(INDEX(BASE!$A$4:$A$10003, SMALL(IF(BASE!$F$4:$F$10003="CARREGADO", ROW(BASE!$A$4:$A$10003)-ROW(BASE!$A$4)+1), ROW(A121))), "")</f>
        <v/>
      </c>
      <c r="B122" t="str">
        <f>IF(A122="", "", VLOOKUP(A122, BASE!$A$4:$B$10003, 2, FALSE))</f>
        <v/>
      </c>
      <c r="C122" t="str">
        <f>IF(A122="", "", VLOOKUP(A122, BASE!$A$4:$C$10003, 3, FALSE))</f>
        <v/>
      </c>
      <c r="D122" t="str">
        <f>IF(A122="", "", VLOOKUP(A122, BASE!$A$4:$D$10003, 4, FALSE))</f>
        <v/>
      </c>
      <c r="E122" t="str">
        <f>IF(A122="", "", VLOOKUP(A122, BASE!$A$4:$E$10003, 5, FALSE))</f>
        <v/>
      </c>
      <c r="F122" t="str">
        <f t="shared" si="1"/>
        <v/>
      </c>
    </row>
    <row r="123" spans="1:6">
      <c r="A123" t="str">
        <f>IFERROR(INDEX(BASE!$A$4:$A$10003, SMALL(IF(BASE!$F$4:$F$10003="CARREGADO", ROW(BASE!$A$4:$A$10003)-ROW(BASE!$A$4)+1), ROW(A122))), "")</f>
        <v/>
      </c>
      <c r="B123" t="str">
        <f>IF(A123="", "", VLOOKUP(A123, BASE!$A$4:$B$10003, 2, FALSE))</f>
        <v/>
      </c>
      <c r="C123" t="str">
        <f>IF(A123="", "", VLOOKUP(A123, BASE!$A$4:$C$10003, 3, FALSE))</f>
        <v/>
      </c>
      <c r="D123" t="str">
        <f>IF(A123="", "", VLOOKUP(A123, BASE!$A$4:$D$10003, 4, FALSE))</f>
        <v/>
      </c>
      <c r="E123" t="str">
        <f>IF(A123="", "", VLOOKUP(A123, BASE!$A$4:$E$10003, 5, FALSE))</f>
        <v/>
      </c>
      <c r="F123" t="str">
        <f t="shared" si="1"/>
        <v/>
      </c>
    </row>
    <row r="124" spans="1:6">
      <c r="A124" t="str">
        <f>IFERROR(INDEX(BASE!$A$4:$A$10003, SMALL(IF(BASE!$F$4:$F$10003="CARREGADO", ROW(BASE!$A$4:$A$10003)-ROW(BASE!$A$4)+1), ROW(A123))), "")</f>
        <v/>
      </c>
      <c r="B124" t="str">
        <f>IF(A124="", "", VLOOKUP(A124, BASE!$A$4:$B$10003, 2, FALSE))</f>
        <v/>
      </c>
      <c r="C124" t="str">
        <f>IF(A124="", "", VLOOKUP(A124, BASE!$A$4:$C$10003, 3, FALSE))</f>
        <v/>
      </c>
      <c r="D124" t="str">
        <f>IF(A124="", "", VLOOKUP(A124, BASE!$A$4:$D$10003, 4, FALSE))</f>
        <v/>
      </c>
      <c r="E124" t="str">
        <f>IF(A124="", "", VLOOKUP(A124, BASE!$A$4:$E$10003, 5, FALSE))</f>
        <v/>
      </c>
      <c r="F124" t="str">
        <f t="shared" si="1"/>
        <v/>
      </c>
    </row>
    <row r="125" spans="1:6">
      <c r="A125" t="str">
        <f>IFERROR(INDEX(BASE!$A$4:$A$10003, SMALL(IF(BASE!$F$4:$F$10003="CARREGADO", ROW(BASE!$A$4:$A$10003)-ROW(BASE!$A$4)+1), ROW(A124))), "")</f>
        <v/>
      </c>
      <c r="B125" t="str">
        <f>IF(A125="", "", VLOOKUP(A125, BASE!$A$4:$B$10003, 2, FALSE))</f>
        <v/>
      </c>
      <c r="C125" t="str">
        <f>IF(A125="", "", VLOOKUP(A125, BASE!$A$4:$C$10003, 3, FALSE))</f>
        <v/>
      </c>
      <c r="D125" t="str">
        <f>IF(A125="", "", VLOOKUP(A125, BASE!$A$4:$D$10003, 4, FALSE))</f>
        <v/>
      </c>
      <c r="E125" t="str">
        <f>IF(A125="", "", VLOOKUP(A125, BASE!$A$4:$E$10003, 5, FALSE))</f>
        <v/>
      </c>
      <c r="F125" t="str">
        <f t="shared" si="1"/>
        <v/>
      </c>
    </row>
    <row r="126" spans="1:6">
      <c r="A126" t="str">
        <f>IFERROR(INDEX(BASE!$A$4:$A$10003, SMALL(IF(BASE!$F$4:$F$10003="CARREGADO", ROW(BASE!$A$4:$A$10003)-ROW(BASE!$A$4)+1), ROW(A125))), "")</f>
        <v/>
      </c>
      <c r="B126" t="str">
        <f>IF(A126="", "", VLOOKUP(A126, BASE!$A$4:$B$10003, 2, FALSE))</f>
        <v/>
      </c>
      <c r="C126" t="str">
        <f>IF(A126="", "", VLOOKUP(A126, BASE!$A$4:$C$10003, 3, FALSE))</f>
        <v/>
      </c>
      <c r="D126" t="str">
        <f>IF(A126="", "", VLOOKUP(A126, BASE!$A$4:$D$10003, 4, FALSE))</f>
        <v/>
      </c>
      <c r="E126" t="str">
        <f>IF(A126="", "", VLOOKUP(A126, BASE!$A$4:$E$10003, 5, FALSE))</f>
        <v/>
      </c>
      <c r="F126" t="str">
        <f t="shared" si="1"/>
        <v/>
      </c>
    </row>
    <row r="127" spans="1:6">
      <c r="A127" t="str">
        <f>IFERROR(INDEX(BASE!$A$4:$A$10003, SMALL(IF(BASE!$F$4:$F$10003="CARREGADO", ROW(BASE!$A$4:$A$10003)-ROW(BASE!$A$4)+1), ROW(A126))), "")</f>
        <v/>
      </c>
      <c r="B127" t="str">
        <f>IF(A127="", "", VLOOKUP(A127, BASE!$A$4:$B$10003, 2, FALSE))</f>
        <v/>
      </c>
      <c r="C127" t="str">
        <f>IF(A127="", "", VLOOKUP(A127, BASE!$A$4:$C$10003, 3, FALSE))</f>
        <v/>
      </c>
      <c r="D127" t="str">
        <f>IF(A127="", "", VLOOKUP(A127, BASE!$A$4:$D$10003, 4, FALSE))</f>
        <v/>
      </c>
      <c r="E127" t="str">
        <f>IF(A127="", "", VLOOKUP(A127, BASE!$A$4:$E$10003, 5, FALSE))</f>
        <v/>
      </c>
      <c r="F127" t="str">
        <f t="shared" si="1"/>
        <v/>
      </c>
    </row>
    <row r="128" spans="1:6">
      <c r="A128" t="str">
        <f>IFERROR(INDEX(BASE!$A$4:$A$10003, SMALL(IF(BASE!$F$4:$F$10003="CARREGADO", ROW(BASE!$A$4:$A$10003)-ROW(BASE!$A$4)+1), ROW(A127))), "")</f>
        <v/>
      </c>
      <c r="B128" t="str">
        <f>IF(A128="", "", VLOOKUP(A128, BASE!$A$4:$B$10003, 2, FALSE))</f>
        <v/>
      </c>
      <c r="C128" t="str">
        <f>IF(A128="", "", VLOOKUP(A128, BASE!$A$4:$C$10003, 3, FALSE))</f>
        <v/>
      </c>
      <c r="D128" t="str">
        <f>IF(A128="", "", VLOOKUP(A128, BASE!$A$4:$D$10003, 4, FALSE))</f>
        <v/>
      </c>
      <c r="E128" t="str">
        <f>IF(A128="", "", VLOOKUP(A128, BASE!$A$4:$E$10003, 5, FALSE))</f>
        <v/>
      </c>
      <c r="F128" t="str">
        <f t="shared" si="1"/>
        <v/>
      </c>
    </row>
    <row r="129" spans="1:6">
      <c r="A129" t="str">
        <f>IFERROR(INDEX(BASE!$A$4:$A$10003, SMALL(IF(BASE!$F$4:$F$10003="CARREGADO", ROW(BASE!$A$4:$A$10003)-ROW(BASE!$A$4)+1), ROW(A128))), "")</f>
        <v/>
      </c>
      <c r="B129" t="str">
        <f>IF(A129="", "", VLOOKUP(A129, BASE!$A$4:$B$10003, 2, FALSE))</f>
        <v/>
      </c>
      <c r="C129" t="str">
        <f>IF(A129="", "", VLOOKUP(A129, BASE!$A$4:$C$10003, 3, FALSE))</f>
        <v/>
      </c>
      <c r="D129" t="str">
        <f>IF(A129="", "", VLOOKUP(A129, BASE!$A$4:$D$10003, 4, FALSE))</f>
        <v/>
      </c>
      <c r="E129" t="str">
        <f>IF(A129="", "", VLOOKUP(A129, BASE!$A$4:$E$10003, 5, FALSE))</f>
        <v/>
      </c>
      <c r="F129" t="str">
        <f t="shared" si="1"/>
        <v/>
      </c>
    </row>
    <row r="130" spans="1:6">
      <c r="A130" t="str">
        <f>IFERROR(INDEX(BASE!$A$4:$A$10003, SMALL(IF(BASE!$F$4:$F$10003="CARREGADO", ROW(BASE!$A$4:$A$10003)-ROW(BASE!$A$4)+1), ROW(A129))), "")</f>
        <v/>
      </c>
      <c r="B130" t="str">
        <f>IF(A130="", "", VLOOKUP(A130, BASE!$A$4:$B$10003, 2, FALSE))</f>
        <v/>
      </c>
      <c r="C130" t="str">
        <f>IF(A130="", "", VLOOKUP(A130, BASE!$A$4:$C$10003, 3, FALSE))</f>
        <v/>
      </c>
      <c r="D130" t="str">
        <f>IF(A130="", "", VLOOKUP(A130, BASE!$A$4:$D$10003, 4, FALSE))</f>
        <v/>
      </c>
      <c r="E130" t="str">
        <f>IF(A130="", "", VLOOKUP(A130, BASE!$A$4:$E$10003, 5, FALSE))</f>
        <v/>
      </c>
      <c r="F130" t="str">
        <f t="shared" ref="F130:F193" si="2">IF(A130="", "", "CARREGADO")</f>
        <v/>
      </c>
    </row>
    <row r="131" spans="1:6">
      <c r="A131" t="str">
        <f>IFERROR(INDEX(BASE!$A$4:$A$10003, SMALL(IF(BASE!$F$4:$F$10003="CARREGADO", ROW(BASE!$A$4:$A$10003)-ROW(BASE!$A$4)+1), ROW(A130))), "")</f>
        <v/>
      </c>
      <c r="B131" t="str">
        <f>IF(A131="", "", VLOOKUP(A131, BASE!$A$4:$B$10003, 2, FALSE))</f>
        <v/>
      </c>
      <c r="C131" t="str">
        <f>IF(A131="", "", VLOOKUP(A131, BASE!$A$4:$C$10003, 3, FALSE))</f>
        <v/>
      </c>
      <c r="D131" t="str">
        <f>IF(A131="", "", VLOOKUP(A131, BASE!$A$4:$D$10003, 4, FALSE))</f>
        <v/>
      </c>
      <c r="E131" t="str">
        <f>IF(A131="", "", VLOOKUP(A131, BASE!$A$4:$E$10003, 5, FALSE))</f>
        <v/>
      </c>
      <c r="F131" t="str">
        <f t="shared" si="2"/>
        <v/>
      </c>
    </row>
    <row r="132" spans="1:6">
      <c r="A132" t="str">
        <f>IFERROR(INDEX(BASE!$A$4:$A$10003, SMALL(IF(BASE!$F$4:$F$10003="CARREGADO", ROW(BASE!$A$4:$A$10003)-ROW(BASE!$A$4)+1), ROW(A131))), "")</f>
        <v/>
      </c>
      <c r="B132" t="str">
        <f>IF(A132="", "", VLOOKUP(A132, BASE!$A$4:$B$10003, 2, FALSE))</f>
        <v/>
      </c>
      <c r="C132" t="str">
        <f>IF(A132="", "", VLOOKUP(A132, BASE!$A$4:$C$10003, 3, FALSE))</f>
        <v/>
      </c>
      <c r="D132" t="str">
        <f>IF(A132="", "", VLOOKUP(A132, BASE!$A$4:$D$10003, 4, FALSE))</f>
        <v/>
      </c>
      <c r="E132" t="str">
        <f>IF(A132="", "", VLOOKUP(A132, BASE!$A$4:$E$10003, 5, FALSE))</f>
        <v/>
      </c>
      <c r="F132" t="str">
        <f t="shared" si="2"/>
        <v/>
      </c>
    </row>
    <row r="133" spans="1:6">
      <c r="A133" t="str">
        <f>IFERROR(INDEX(BASE!$A$4:$A$10003, SMALL(IF(BASE!$F$4:$F$10003="CARREGADO", ROW(BASE!$A$4:$A$10003)-ROW(BASE!$A$4)+1), ROW(A132))), "")</f>
        <v/>
      </c>
      <c r="B133" t="str">
        <f>IF(A133="", "", VLOOKUP(A133, BASE!$A$4:$B$10003, 2, FALSE))</f>
        <v/>
      </c>
      <c r="C133" t="str">
        <f>IF(A133="", "", VLOOKUP(A133, BASE!$A$4:$C$10003, 3, FALSE))</f>
        <v/>
      </c>
      <c r="D133" t="str">
        <f>IF(A133="", "", VLOOKUP(A133, BASE!$A$4:$D$10003, 4, FALSE))</f>
        <v/>
      </c>
      <c r="E133" t="str">
        <f>IF(A133="", "", VLOOKUP(A133, BASE!$A$4:$E$10003, 5, FALSE))</f>
        <v/>
      </c>
      <c r="F133" t="str">
        <f t="shared" si="2"/>
        <v/>
      </c>
    </row>
    <row r="134" spans="1:6">
      <c r="A134" t="str">
        <f>IFERROR(INDEX(BASE!$A$4:$A$10003, SMALL(IF(BASE!$F$4:$F$10003="CARREGADO", ROW(BASE!$A$4:$A$10003)-ROW(BASE!$A$4)+1), ROW(A133))), "")</f>
        <v/>
      </c>
      <c r="B134" t="str">
        <f>IF(A134="", "", VLOOKUP(A134, BASE!$A$4:$B$10003, 2, FALSE))</f>
        <v/>
      </c>
      <c r="C134" t="str">
        <f>IF(A134="", "", VLOOKUP(A134, BASE!$A$4:$C$10003, 3, FALSE))</f>
        <v/>
      </c>
      <c r="D134" t="str">
        <f>IF(A134="", "", VLOOKUP(A134, BASE!$A$4:$D$10003, 4, FALSE))</f>
        <v/>
      </c>
      <c r="E134" t="str">
        <f>IF(A134="", "", VLOOKUP(A134, BASE!$A$4:$E$10003, 5, FALSE))</f>
        <v/>
      </c>
      <c r="F134" t="str">
        <f t="shared" si="2"/>
        <v/>
      </c>
    </row>
    <row r="135" spans="1:6">
      <c r="A135" t="str">
        <f>IFERROR(INDEX(BASE!$A$4:$A$10003, SMALL(IF(BASE!$F$4:$F$10003="CARREGADO", ROW(BASE!$A$4:$A$10003)-ROW(BASE!$A$4)+1), ROW(A134))), "")</f>
        <v/>
      </c>
      <c r="B135" t="str">
        <f>IF(A135="", "", VLOOKUP(A135, BASE!$A$4:$B$10003, 2, FALSE))</f>
        <v/>
      </c>
      <c r="C135" t="str">
        <f>IF(A135="", "", VLOOKUP(A135, BASE!$A$4:$C$10003, 3, FALSE))</f>
        <v/>
      </c>
      <c r="D135" t="str">
        <f>IF(A135="", "", VLOOKUP(A135, BASE!$A$4:$D$10003, 4, FALSE))</f>
        <v/>
      </c>
      <c r="E135" t="str">
        <f>IF(A135="", "", VLOOKUP(A135, BASE!$A$4:$E$10003, 5, FALSE))</f>
        <v/>
      </c>
      <c r="F135" t="str">
        <f t="shared" si="2"/>
        <v/>
      </c>
    </row>
    <row r="136" spans="1:6">
      <c r="A136" t="str">
        <f>IFERROR(INDEX(BASE!$A$4:$A$10003, SMALL(IF(BASE!$F$4:$F$10003="CARREGADO", ROW(BASE!$A$4:$A$10003)-ROW(BASE!$A$4)+1), ROW(A135))), "")</f>
        <v/>
      </c>
      <c r="B136" t="str">
        <f>IF(A136="", "", VLOOKUP(A136, BASE!$A$4:$B$10003, 2, FALSE))</f>
        <v/>
      </c>
      <c r="C136" t="str">
        <f>IF(A136="", "", VLOOKUP(A136, BASE!$A$4:$C$10003, 3, FALSE))</f>
        <v/>
      </c>
      <c r="D136" t="str">
        <f>IF(A136="", "", VLOOKUP(A136, BASE!$A$4:$D$10003, 4, FALSE))</f>
        <v/>
      </c>
      <c r="E136" t="str">
        <f>IF(A136="", "", VLOOKUP(A136, BASE!$A$4:$E$10003, 5, FALSE))</f>
        <v/>
      </c>
      <c r="F136" t="str">
        <f t="shared" si="2"/>
        <v/>
      </c>
    </row>
    <row r="137" spans="1:6">
      <c r="A137" t="str">
        <f>IFERROR(INDEX(BASE!$A$4:$A$10003, SMALL(IF(BASE!$F$4:$F$10003="CARREGADO", ROW(BASE!$A$4:$A$10003)-ROW(BASE!$A$4)+1), ROW(A136))), "")</f>
        <v/>
      </c>
      <c r="B137" t="str">
        <f>IF(A137="", "", VLOOKUP(A137, BASE!$A$4:$B$10003, 2, FALSE))</f>
        <v/>
      </c>
      <c r="C137" t="str">
        <f>IF(A137="", "", VLOOKUP(A137, BASE!$A$4:$C$10003, 3, FALSE))</f>
        <v/>
      </c>
      <c r="D137" t="str">
        <f>IF(A137="", "", VLOOKUP(A137, BASE!$A$4:$D$10003, 4, FALSE))</f>
        <v/>
      </c>
      <c r="E137" t="str">
        <f>IF(A137="", "", VLOOKUP(A137, BASE!$A$4:$E$10003, 5, FALSE))</f>
        <v/>
      </c>
      <c r="F137" t="str">
        <f t="shared" si="2"/>
        <v/>
      </c>
    </row>
    <row r="138" spans="1:6">
      <c r="A138" t="str">
        <f>IFERROR(INDEX(BASE!$A$4:$A$10003, SMALL(IF(BASE!$F$4:$F$10003="CARREGADO", ROW(BASE!$A$4:$A$10003)-ROW(BASE!$A$4)+1), ROW(A137))), "")</f>
        <v/>
      </c>
      <c r="B138" t="str">
        <f>IF(A138="", "", VLOOKUP(A138, BASE!$A$4:$B$10003, 2, FALSE))</f>
        <v/>
      </c>
      <c r="C138" t="str">
        <f>IF(A138="", "", VLOOKUP(A138, BASE!$A$4:$C$10003, 3, FALSE))</f>
        <v/>
      </c>
      <c r="D138" t="str">
        <f>IF(A138="", "", VLOOKUP(A138, BASE!$A$4:$D$10003, 4, FALSE))</f>
        <v/>
      </c>
      <c r="E138" t="str">
        <f>IF(A138="", "", VLOOKUP(A138, BASE!$A$4:$E$10003, 5, FALSE))</f>
        <v/>
      </c>
      <c r="F138" t="str">
        <f t="shared" si="2"/>
        <v/>
      </c>
    </row>
    <row r="139" spans="1:6">
      <c r="A139" t="str">
        <f>IFERROR(INDEX(BASE!$A$4:$A$10003, SMALL(IF(BASE!$F$4:$F$10003="CARREGADO", ROW(BASE!$A$4:$A$10003)-ROW(BASE!$A$4)+1), ROW(A138))), "")</f>
        <v/>
      </c>
      <c r="B139" t="str">
        <f>IF(A139="", "", VLOOKUP(A139, BASE!$A$4:$B$10003, 2, FALSE))</f>
        <v/>
      </c>
      <c r="C139" t="str">
        <f>IF(A139="", "", VLOOKUP(A139, BASE!$A$4:$C$10003, 3, FALSE))</f>
        <v/>
      </c>
      <c r="D139" t="str">
        <f>IF(A139="", "", VLOOKUP(A139, BASE!$A$4:$D$10003, 4, FALSE))</f>
        <v/>
      </c>
      <c r="E139" t="str">
        <f>IF(A139="", "", VLOOKUP(A139, BASE!$A$4:$E$10003, 5, FALSE))</f>
        <v/>
      </c>
      <c r="F139" t="str">
        <f t="shared" si="2"/>
        <v/>
      </c>
    </row>
    <row r="140" spans="1:6">
      <c r="A140" t="str">
        <f>IFERROR(INDEX(BASE!$A$4:$A$10003, SMALL(IF(BASE!$F$4:$F$10003="CARREGADO", ROW(BASE!$A$4:$A$10003)-ROW(BASE!$A$4)+1), ROW(A139))), "")</f>
        <v/>
      </c>
      <c r="B140" t="str">
        <f>IF(A140="", "", VLOOKUP(A140, BASE!$A$4:$B$10003, 2, FALSE))</f>
        <v/>
      </c>
      <c r="C140" t="str">
        <f>IF(A140="", "", VLOOKUP(A140, BASE!$A$4:$C$10003, 3, FALSE))</f>
        <v/>
      </c>
      <c r="D140" t="str">
        <f>IF(A140="", "", VLOOKUP(A140, BASE!$A$4:$D$10003, 4, FALSE))</f>
        <v/>
      </c>
      <c r="E140" t="str">
        <f>IF(A140="", "", VLOOKUP(A140, BASE!$A$4:$E$10003, 5, FALSE))</f>
        <v/>
      </c>
      <c r="F140" t="str">
        <f t="shared" si="2"/>
        <v/>
      </c>
    </row>
    <row r="141" spans="1:6">
      <c r="A141" t="str">
        <f>IFERROR(INDEX(BASE!$A$4:$A$10003, SMALL(IF(BASE!$F$4:$F$10003="CARREGADO", ROW(BASE!$A$4:$A$10003)-ROW(BASE!$A$4)+1), ROW(A140))), "")</f>
        <v/>
      </c>
      <c r="B141" t="str">
        <f>IF(A141="", "", VLOOKUP(A141, BASE!$A$4:$B$10003, 2, FALSE))</f>
        <v/>
      </c>
      <c r="C141" t="str">
        <f>IF(A141="", "", VLOOKUP(A141, BASE!$A$4:$C$10003, 3, FALSE))</f>
        <v/>
      </c>
      <c r="D141" t="str">
        <f>IF(A141="", "", VLOOKUP(A141, BASE!$A$4:$D$10003, 4, FALSE))</f>
        <v/>
      </c>
      <c r="E141" t="str">
        <f>IF(A141="", "", VLOOKUP(A141, BASE!$A$4:$E$10003, 5, FALSE))</f>
        <v/>
      </c>
      <c r="F141" t="str">
        <f t="shared" si="2"/>
        <v/>
      </c>
    </row>
    <row r="142" spans="1:6">
      <c r="A142" t="str">
        <f>IFERROR(INDEX(BASE!$A$4:$A$10003, SMALL(IF(BASE!$F$4:$F$10003="CARREGADO", ROW(BASE!$A$4:$A$10003)-ROW(BASE!$A$4)+1), ROW(A141))), "")</f>
        <v/>
      </c>
      <c r="B142" t="str">
        <f>IF(A142="", "", VLOOKUP(A142, BASE!$A$4:$B$10003, 2, FALSE))</f>
        <v/>
      </c>
      <c r="C142" t="str">
        <f>IF(A142="", "", VLOOKUP(A142, BASE!$A$4:$C$10003, 3, FALSE))</f>
        <v/>
      </c>
      <c r="D142" t="str">
        <f>IF(A142="", "", VLOOKUP(A142, BASE!$A$4:$D$10003, 4, FALSE))</f>
        <v/>
      </c>
      <c r="E142" t="str">
        <f>IF(A142="", "", VLOOKUP(A142, BASE!$A$4:$E$10003, 5, FALSE))</f>
        <v/>
      </c>
      <c r="F142" t="str">
        <f t="shared" si="2"/>
        <v/>
      </c>
    </row>
    <row r="143" spans="1:6">
      <c r="A143" t="str">
        <f>IFERROR(INDEX(BASE!$A$4:$A$10003, SMALL(IF(BASE!$F$4:$F$10003="CARREGADO", ROW(BASE!$A$4:$A$10003)-ROW(BASE!$A$4)+1), ROW(A142))), "")</f>
        <v/>
      </c>
      <c r="B143" t="str">
        <f>IF(A143="", "", VLOOKUP(A143, BASE!$A$4:$B$10003, 2, FALSE))</f>
        <v/>
      </c>
      <c r="C143" t="str">
        <f>IF(A143="", "", VLOOKUP(A143, BASE!$A$4:$C$10003, 3, FALSE))</f>
        <v/>
      </c>
      <c r="D143" t="str">
        <f>IF(A143="", "", VLOOKUP(A143, BASE!$A$4:$D$10003, 4, FALSE))</f>
        <v/>
      </c>
      <c r="E143" t="str">
        <f>IF(A143="", "", VLOOKUP(A143, BASE!$A$4:$E$10003, 5, FALSE))</f>
        <v/>
      </c>
      <c r="F143" t="str">
        <f t="shared" si="2"/>
        <v/>
      </c>
    </row>
    <row r="144" spans="1:6">
      <c r="A144" t="str">
        <f>IFERROR(INDEX(BASE!$A$4:$A$10003, SMALL(IF(BASE!$F$4:$F$10003="CARREGADO", ROW(BASE!$A$4:$A$10003)-ROW(BASE!$A$4)+1), ROW(A143))), "")</f>
        <v/>
      </c>
      <c r="B144" t="str">
        <f>IF(A144="", "", VLOOKUP(A144, BASE!$A$4:$B$10003, 2, FALSE))</f>
        <v/>
      </c>
      <c r="C144" t="str">
        <f>IF(A144="", "", VLOOKUP(A144, BASE!$A$4:$C$10003, 3, FALSE))</f>
        <v/>
      </c>
      <c r="D144" t="str">
        <f>IF(A144="", "", VLOOKUP(A144, BASE!$A$4:$D$10003, 4, FALSE))</f>
        <v/>
      </c>
      <c r="E144" t="str">
        <f>IF(A144="", "", VLOOKUP(A144, BASE!$A$4:$E$10003, 5, FALSE))</f>
        <v/>
      </c>
      <c r="F144" t="str">
        <f t="shared" si="2"/>
        <v/>
      </c>
    </row>
    <row r="145" spans="1:6">
      <c r="A145" t="str">
        <f>IFERROR(INDEX(BASE!$A$4:$A$10003, SMALL(IF(BASE!$F$4:$F$10003="CARREGADO", ROW(BASE!$A$4:$A$10003)-ROW(BASE!$A$4)+1), ROW(A144))), "")</f>
        <v/>
      </c>
      <c r="B145" t="str">
        <f>IF(A145="", "", VLOOKUP(A145, BASE!$A$4:$B$10003, 2, FALSE))</f>
        <v/>
      </c>
      <c r="C145" t="str">
        <f>IF(A145="", "", VLOOKUP(A145, BASE!$A$4:$C$10003, 3, FALSE))</f>
        <v/>
      </c>
      <c r="D145" t="str">
        <f>IF(A145="", "", VLOOKUP(A145, BASE!$A$4:$D$10003, 4, FALSE))</f>
        <v/>
      </c>
      <c r="E145" t="str">
        <f>IF(A145="", "", VLOOKUP(A145, BASE!$A$4:$E$10003, 5, FALSE))</f>
        <v/>
      </c>
      <c r="F145" t="str">
        <f t="shared" si="2"/>
        <v/>
      </c>
    </row>
    <row r="146" spans="1:6">
      <c r="A146" t="str">
        <f>IFERROR(INDEX(BASE!$A$4:$A$10003, SMALL(IF(BASE!$F$4:$F$10003="CARREGADO", ROW(BASE!$A$4:$A$10003)-ROW(BASE!$A$4)+1), ROW(A145))), "")</f>
        <v/>
      </c>
      <c r="B146" t="str">
        <f>IF(A146="", "", VLOOKUP(A146, BASE!$A$4:$B$10003, 2, FALSE))</f>
        <v/>
      </c>
      <c r="C146" t="str">
        <f>IF(A146="", "", VLOOKUP(A146, BASE!$A$4:$C$10003, 3, FALSE))</f>
        <v/>
      </c>
      <c r="D146" t="str">
        <f>IF(A146="", "", VLOOKUP(A146, BASE!$A$4:$D$10003, 4, FALSE))</f>
        <v/>
      </c>
      <c r="E146" t="str">
        <f>IF(A146="", "", VLOOKUP(A146, BASE!$A$4:$E$10003, 5, FALSE))</f>
        <v/>
      </c>
      <c r="F146" t="str">
        <f t="shared" si="2"/>
        <v/>
      </c>
    </row>
    <row r="147" spans="1:6">
      <c r="A147" t="str">
        <f>IFERROR(INDEX(BASE!$A$4:$A$10003, SMALL(IF(BASE!$F$4:$F$10003="CARREGADO", ROW(BASE!$A$4:$A$10003)-ROW(BASE!$A$4)+1), ROW(A146))), "")</f>
        <v/>
      </c>
      <c r="B147" t="str">
        <f>IF(A147="", "", VLOOKUP(A147, BASE!$A$4:$B$10003, 2, FALSE))</f>
        <v/>
      </c>
      <c r="C147" t="str">
        <f>IF(A147="", "", VLOOKUP(A147, BASE!$A$4:$C$10003, 3, FALSE))</f>
        <v/>
      </c>
      <c r="D147" t="str">
        <f>IF(A147="", "", VLOOKUP(A147, BASE!$A$4:$D$10003, 4, FALSE))</f>
        <v/>
      </c>
      <c r="E147" t="str">
        <f>IF(A147="", "", VLOOKUP(A147, BASE!$A$4:$E$10003, 5, FALSE))</f>
        <v/>
      </c>
      <c r="F147" t="str">
        <f t="shared" si="2"/>
        <v/>
      </c>
    </row>
    <row r="148" spans="1:6">
      <c r="A148" t="str">
        <f>IFERROR(INDEX(BASE!$A$4:$A$10003, SMALL(IF(BASE!$F$4:$F$10003="CARREGADO", ROW(BASE!$A$4:$A$10003)-ROW(BASE!$A$4)+1), ROW(A147))), "")</f>
        <v/>
      </c>
      <c r="B148" t="str">
        <f>IF(A148="", "", VLOOKUP(A148, BASE!$A$4:$B$10003, 2, FALSE))</f>
        <v/>
      </c>
      <c r="C148" t="str">
        <f>IF(A148="", "", VLOOKUP(A148, BASE!$A$4:$C$10003, 3, FALSE))</f>
        <v/>
      </c>
      <c r="D148" t="str">
        <f>IF(A148="", "", VLOOKUP(A148, BASE!$A$4:$D$10003, 4, FALSE))</f>
        <v/>
      </c>
      <c r="E148" t="str">
        <f>IF(A148="", "", VLOOKUP(A148, BASE!$A$4:$E$10003, 5, FALSE))</f>
        <v/>
      </c>
      <c r="F148" t="str">
        <f t="shared" si="2"/>
        <v/>
      </c>
    </row>
    <row r="149" spans="1:6">
      <c r="A149" t="str">
        <f>IFERROR(INDEX(BASE!$A$4:$A$10003, SMALL(IF(BASE!$F$4:$F$10003="CARREGADO", ROW(BASE!$A$4:$A$10003)-ROW(BASE!$A$4)+1), ROW(A148))), "")</f>
        <v/>
      </c>
      <c r="B149" t="str">
        <f>IF(A149="", "", VLOOKUP(A149, BASE!$A$4:$B$10003, 2, FALSE))</f>
        <v/>
      </c>
      <c r="C149" t="str">
        <f>IF(A149="", "", VLOOKUP(A149, BASE!$A$4:$C$10003, 3, FALSE))</f>
        <v/>
      </c>
      <c r="D149" t="str">
        <f>IF(A149="", "", VLOOKUP(A149, BASE!$A$4:$D$10003, 4, FALSE))</f>
        <v/>
      </c>
      <c r="E149" t="str">
        <f>IF(A149="", "", VLOOKUP(A149, BASE!$A$4:$E$10003, 5, FALSE))</f>
        <v/>
      </c>
      <c r="F149" t="str">
        <f t="shared" si="2"/>
        <v/>
      </c>
    </row>
    <row r="150" spans="1:6">
      <c r="A150" t="str">
        <f>IFERROR(INDEX(BASE!$A$4:$A$10003, SMALL(IF(BASE!$F$4:$F$10003="CARREGADO", ROW(BASE!$A$4:$A$10003)-ROW(BASE!$A$4)+1), ROW(A149))), "")</f>
        <v/>
      </c>
      <c r="B150" t="str">
        <f>IF(A150="", "", VLOOKUP(A150, BASE!$A$4:$B$10003, 2, FALSE))</f>
        <v/>
      </c>
      <c r="C150" t="str">
        <f>IF(A150="", "", VLOOKUP(A150, BASE!$A$4:$C$10003, 3, FALSE))</f>
        <v/>
      </c>
      <c r="D150" t="str">
        <f>IF(A150="", "", VLOOKUP(A150, BASE!$A$4:$D$10003, 4, FALSE))</f>
        <v/>
      </c>
      <c r="E150" t="str">
        <f>IF(A150="", "", VLOOKUP(A150, BASE!$A$4:$E$10003, 5, FALSE))</f>
        <v/>
      </c>
      <c r="F150" t="str">
        <f t="shared" si="2"/>
        <v/>
      </c>
    </row>
    <row r="151" spans="1:6">
      <c r="A151" t="str">
        <f>IFERROR(INDEX(BASE!$A$4:$A$10003, SMALL(IF(BASE!$F$4:$F$10003="CARREGADO", ROW(BASE!$A$4:$A$10003)-ROW(BASE!$A$4)+1), ROW(A150))), "")</f>
        <v/>
      </c>
      <c r="B151" t="str">
        <f>IF(A151="", "", VLOOKUP(A151, BASE!$A$4:$B$10003, 2, FALSE))</f>
        <v/>
      </c>
      <c r="C151" t="str">
        <f>IF(A151="", "", VLOOKUP(A151, BASE!$A$4:$C$10003, 3, FALSE))</f>
        <v/>
      </c>
      <c r="D151" t="str">
        <f>IF(A151="", "", VLOOKUP(A151, BASE!$A$4:$D$10003, 4, FALSE))</f>
        <v/>
      </c>
      <c r="E151" t="str">
        <f>IF(A151="", "", VLOOKUP(A151, BASE!$A$4:$E$10003, 5, FALSE))</f>
        <v/>
      </c>
      <c r="F151" t="str">
        <f t="shared" si="2"/>
        <v/>
      </c>
    </row>
    <row r="152" spans="1:6">
      <c r="A152" t="str">
        <f>IFERROR(INDEX(BASE!$A$4:$A$10003, SMALL(IF(BASE!$F$4:$F$10003="CARREGADO", ROW(BASE!$A$4:$A$10003)-ROW(BASE!$A$4)+1), ROW(A151))), "")</f>
        <v/>
      </c>
      <c r="B152" t="str">
        <f>IF(A152="", "", VLOOKUP(A152, BASE!$A$4:$B$10003, 2, FALSE))</f>
        <v/>
      </c>
      <c r="C152" t="str">
        <f>IF(A152="", "", VLOOKUP(A152, BASE!$A$4:$C$10003, 3, FALSE))</f>
        <v/>
      </c>
      <c r="D152" t="str">
        <f>IF(A152="", "", VLOOKUP(A152, BASE!$A$4:$D$10003, 4, FALSE))</f>
        <v/>
      </c>
      <c r="E152" t="str">
        <f>IF(A152="", "", VLOOKUP(A152, BASE!$A$4:$E$10003, 5, FALSE))</f>
        <v/>
      </c>
      <c r="F152" t="str">
        <f t="shared" si="2"/>
        <v/>
      </c>
    </row>
    <row r="153" spans="1:6">
      <c r="A153" t="str">
        <f>IFERROR(INDEX(BASE!$A$4:$A$10003, SMALL(IF(BASE!$F$4:$F$10003="CARREGADO", ROW(BASE!$A$4:$A$10003)-ROW(BASE!$A$4)+1), ROW(A152))), "")</f>
        <v/>
      </c>
      <c r="B153" t="str">
        <f>IF(A153="", "", VLOOKUP(A153, BASE!$A$4:$B$10003, 2, FALSE))</f>
        <v/>
      </c>
      <c r="C153" t="str">
        <f>IF(A153="", "", VLOOKUP(A153, BASE!$A$4:$C$10003, 3, FALSE))</f>
        <v/>
      </c>
      <c r="D153" t="str">
        <f>IF(A153="", "", VLOOKUP(A153, BASE!$A$4:$D$10003, 4, FALSE))</f>
        <v/>
      </c>
      <c r="E153" t="str">
        <f>IF(A153="", "", VLOOKUP(A153, BASE!$A$4:$E$10003, 5, FALSE))</f>
        <v/>
      </c>
      <c r="F153" t="str">
        <f t="shared" si="2"/>
        <v/>
      </c>
    </row>
    <row r="154" spans="1:6">
      <c r="A154" t="str">
        <f>IFERROR(INDEX(BASE!$A$4:$A$10003, SMALL(IF(BASE!$F$4:$F$10003="CARREGADO", ROW(BASE!$A$4:$A$10003)-ROW(BASE!$A$4)+1), ROW(A153))), "")</f>
        <v/>
      </c>
      <c r="B154" t="str">
        <f>IF(A154="", "", VLOOKUP(A154, BASE!$A$4:$B$10003, 2, FALSE))</f>
        <v/>
      </c>
      <c r="C154" t="str">
        <f>IF(A154="", "", VLOOKUP(A154, BASE!$A$4:$C$10003, 3, FALSE))</f>
        <v/>
      </c>
      <c r="D154" t="str">
        <f>IF(A154="", "", VLOOKUP(A154, BASE!$A$4:$D$10003, 4, FALSE))</f>
        <v/>
      </c>
      <c r="E154" t="str">
        <f>IF(A154="", "", VLOOKUP(A154, BASE!$A$4:$E$10003, 5, FALSE))</f>
        <v/>
      </c>
      <c r="F154" t="str">
        <f t="shared" si="2"/>
        <v/>
      </c>
    </row>
    <row r="155" spans="1:6">
      <c r="A155" t="str">
        <f>IFERROR(INDEX(BASE!$A$4:$A$10003, SMALL(IF(BASE!$F$4:$F$10003="CARREGADO", ROW(BASE!$A$4:$A$10003)-ROW(BASE!$A$4)+1), ROW(A154))), "")</f>
        <v/>
      </c>
      <c r="B155" t="str">
        <f>IF(A155="", "", VLOOKUP(A155, BASE!$A$4:$B$10003, 2, FALSE))</f>
        <v/>
      </c>
      <c r="C155" t="str">
        <f>IF(A155="", "", VLOOKUP(A155, BASE!$A$4:$C$10003, 3, FALSE))</f>
        <v/>
      </c>
      <c r="D155" t="str">
        <f>IF(A155="", "", VLOOKUP(A155, BASE!$A$4:$D$10003, 4, FALSE))</f>
        <v/>
      </c>
      <c r="E155" t="str">
        <f>IF(A155="", "", VLOOKUP(A155, BASE!$A$4:$E$10003, 5, FALSE))</f>
        <v/>
      </c>
      <c r="F155" t="str">
        <f t="shared" si="2"/>
        <v/>
      </c>
    </row>
    <row r="156" spans="1:6">
      <c r="A156" t="str">
        <f>IFERROR(INDEX(BASE!$A$4:$A$10003, SMALL(IF(BASE!$F$4:$F$10003="CARREGADO", ROW(BASE!$A$4:$A$10003)-ROW(BASE!$A$4)+1), ROW(A155))), "")</f>
        <v/>
      </c>
      <c r="B156" t="str">
        <f>IF(A156="", "", VLOOKUP(A156, BASE!$A$4:$B$10003, 2, FALSE))</f>
        <v/>
      </c>
      <c r="C156" t="str">
        <f>IF(A156="", "", VLOOKUP(A156, BASE!$A$4:$C$10003, 3, FALSE))</f>
        <v/>
      </c>
      <c r="D156" t="str">
        <f>IF(A156="", "", VLOOKUP(A156, BASE!$A$4:$D$10003, 4, FALSE))</f>
        <v/>
      </c>
      <c r="E156" t="str">
        <f>IF(A156="", "", VLOOKUP(A156, BASE!$A$4:$E$10003, 5, FALSE))</f>
        <v/>
      </c>
      <c r="F156" t="str">
        <f t="shared" si="2"/>
        <v/>
      </c>
    </row>
    <row r="157" spans="1:6">
      <c r="A157" t="str">
        <f>IFERROR(INDEX(BASE!$A$4:$A$10003, SMALL(IF(BASE!$F$4:$F$10003="CARREGADO", ROW(BASE!$A$4:$A$10003)-ROW(BASE!$A$4)+1), ROW(A156))), "")</f>
        <v/>
      </c>
      <c r="B157" t="str">
        <f>IF(A157="", "", VLOOKUP(A157, BASE!$A$4:$B$10003, 2, FALSE))</f>
        <v/>
      </c>
      <c r="C157" t="str">
        <f>IF(A157="", "", VLOOKUP(A157, BASE!$A$4:$C$10003, 3, FALSE))</f>
        <v/>
      </c>
      <c r="D157" t="str">
        <f>IF(A157="", "", VLOOKUP(A157, BASE!$A$4:$D$10003, 4, FALSE))</f>
        <v/>
      </c>
      <c r="E157" t="str">
        <f>IF(A157="", "", VLOOKUP(A157, BASE!$A$4:$E$10003, 5, FALSE))</f>
        <v/>
      </c>
      <c r="F157" t="str">
        <f t="shared" si="2"/>
        <v/>
      </c>
    </row>
    <row r="158" spans="1:6">
      <c r="A158" t="str">
        <f>IFERROR(INDEX(BASE!$A$4:$A$10003, SMALL(IF(BASE!$F$4:$F$10003="CARREGADO", ROW(BASE!$A$4:$A$10003)-ROW(BASE!$A$4)+1), ROW(A157))), "")</f>
        <v/>
      </c>
      <c r="B158" t="str">
        <f>IF(A158="", "", VLOOKUP(A158, BASE!$A$4:$B$10003, 2, FALSE))</f>
        <v/>
      </c>
      <c r="C158" t="str">
        <f>IF(A158="", "", VLOOKUP(A158, BASE!$A$4:$C$10003, 3, FALSE))</f>
        <v/>
      </c>
      <c r="D158" t="str">
        <f>IF(A158="", "", VLOOKUP(A158, BASE!$A$4:$D$10003, 4, FALSE))</f>
        <v/>
      </c>
      <c r="E158" t="str">
        <f>IF(A158="", "", VLOOKUP(A158, BASE!$A$4:$E$10003, 5, FALSE))</f>
        <v/>
      </c>
      <c r="F158" t="str">
        <f t="shared" si="2"/>
        <v/>
      </c>
    </row>
    <row r="159" spans="1:6">
      <c r="A159" t="str">
        <f>IFERROR(INDEX(BASE!$A$4:$A$10003, SMALL(IF(BASE!$F$4:$F$10003="CARREGADO", ROW(BASE!$A$4:$A$10003)-ROW(BASE!$A$4)+1), ROW(A158))), "")</f>
        <v/>
      </c>
      <c r="B159" t="str">
        <f>IF(A159="", "", VLOOKUP(A159, BASE!$A$4:$B$10003, 2, FALSE))</f>
        <v/>
      </c>
      <c r="C159" t="str">
        <f>IF(A159="", "", VLOOKUP(A159, BASE!$A$4:$C$10003, 3, FALSE))</f>
        <v/>
      </c>
      <c r="D159" t="str">
        <f>IF(A159="", "", VLOOKUP(A159, BASE!$A$4:$D$10003, 4, FALSE))</f>
        <v/>
      </c>
      <c r="E159" t="str">
        <f>IF(A159="", "", VLOOKUP(A159, BASE!$A$4:$E$10003, 5, FALSE))</f>
        <v/>
      </c>
      <c r="F159" t="str">
        <f t="shared" si="2"/>
        <v/>
      </c>
    </row>
    <row r="160" spans="1:6">
      <c r="A160" t="str">
        <f>IFERROR(INDEX(BASE!$A$4:$A$10003, SMALL(IF(BASE!$F$4:$F$10003="CARREGADO", ROW(BASE!$A$4:$A$10003)-ROW(BASE!$A$4)+1), ROW(A159))), "")</f>
        <v/>
      </c>
      <c r="B160" t="str">
        <f>IF(A160="", "", VLOOKUP(A160, BASE!$A$4:$B$10003, 2, FALSE))</f>
        <v/>
      </c>
      <c r="C160" t="str">
        <f>IF(A160="", "", VLOOKUP(A160, BASE!$A$4:$C$10003, 3, FALSE))</f>
        <v/>
      </c>
      <c r="D160" t="str">
        <f>IF(A160="", "", VLOOKUP(A160, BASE!$A$4:$D$10003, 4, FALSE))</f>
        <v/>
      </c>
      <c r="E160" t="str">
        <f>IF(A160="", "", VLOOKUP(A160, BASE!$A$4:$E$10003, 5, FALSE))</f>
        <v/>
      </c>
      <c r="F160" t="str">
        <f t="shared" si="2"/>
        <v/>
      </c>
    </row>
    <row r="161" spans="1:6">
      <c r="A161" t="str">
        <f>IFERROR(INDEX(BASE!$A$4:$A$10003, SMALL(IF(BASE!$F$4:$F$10003="CARREGADO", ROW(BASE!$A$4:$A$10003)-ROW(BASE!$A$4)+1), ROW(A160))), "")</f>
        <v/>
      </c>
      <c r="B161" t="str">
        <f>IF(A161="", "", VLOOKUP(A161, BASE!$A$4:$B$10003, 2, FALSE))</f>
        <v/>
      </c>
      <c r="C161" t="str">
        <f>IF(A161="", "", VLOOKUP(A161, BASE!$A$4:$C$10003, 3, FALSE))</f>
        <v/>
      </c>
      <c r="D161" t="str">
        <f>IF(A161="", "", VLOOKUP(A161, BASE!$A$4:$D$10003, 4, FALSE))</f>
        <v/>
      </c>
      <c r="E161" t="str">
        <f>IF(A161="", "", VLOOKUP(A161, BASE!$A$4:$E$10003, 5, FALSE))</f>
        <v/>
      </c>
      <c r="F161" t="str">
        <f t="shared" si="2"/>
        <v/>
      </c>
    </row>
    <row r="162" spans="1:6">
      <c r="A162" t="str">
        <f>IFERROR(INDEX(BASE!$A$4:$A$10003, SMALL(IF(BASE!$F$4:$F$10003="CARREGADO", ROW(BASE!$A$4:$A$10003)-ROW(BASE!$A$4)+1), ROW(A161))), "")</f>
        <v/>
      </c>
      <c r="B162" t="str">
        <f>IF(A162="", "", VLOOKUP(A162, BASE!$A$4:$B$10003, 2, FALSE))</f>
        <v/>
      </c>
      <c r="C162" t="str">
        <f>IF(A162="", "", VLOOKUP(A162, BASE!$A$4:$C$10003, 3, FALSE))</f>
        <v/>
      </c>
      <c r="D162" t="str">
        <f>IF(A162="", "", VLOOKUP(A162, BASE!$A$4:$D$10003, 4, FALSE))</f>
        <v/>
      </c>
      <c r="E162" t="str">
        <f>IF(A162="", "", VLOOKUP(A162, BASE!$A$4:$E$10003, 5, FALSE))</f>
        <v/>
      </c>
      <c r="F162" t="str">
        <f t="shared" si="2"/>
        <v/>
      </c>
    </row>
    <row r="163" spans="1:6">
      <c r="A163" t="str">
        <f>IFERROR(INDEX(BASE!$A$4:$A$10003, SMALL(IF(BASE!$F$4:$F$10003="CARREGADO", ROW(BASE!$A$4:$A$10003)-ROW(BASE!$A$4)+1), ROW(A162))), "")</f>
        <v/>
      </c>
      <c r="B163" t="str">
        <f>IF(A163="", "", VLOOKUP(A163, BASE!$A$4:$B$10003, 2, FALSE))</f>
        <v/>
      </c>
      <c r="C163" t="str">
        <f>IF(A163="", "", VLOOKUP(A163, BASE!$A$4:$C$10003, 3, FALSE))</f>
        <v/>
      </c>
      <c r="D163" t="str">
        <f>IF(A163="", "", VLOOKUP(A163, BASE!$A$4:$D$10003, 4, FALSE))</f>
        <v/>
      </c>
      <c r="E163" t="str">
        <f>IF(A163="", "", VLOOKUP(A163, BASE!$A$4:$E$10003, 5, FALSE))</f>
        <v/>
      </c>
      <c r="F163" t="str">
        <f t="shared" si="2"/>
        <v/>
      </c>
    </row>
    <row r="164" spans="1:6">
      <c r="A164" t="str">
        <f>IFERROR(INDEX(BASE!$A$4:$A$10003, SMALL(IF(BASE!$F$4:$F$10003="CARREGADO", ROW(BASE!$A$4:$A$10003)-ROW(BASE!$A$4)+1), ROW(A163))), "")</f>
        <v/>
      </c>
      <c r="B164" t="str">
        <f>IF(A164="", "", VLOOKUP(A164, BASE!$A$4:$B$10003, 2, FALSE))</f>
        <v/>
      </c>
      <c r="C164" t="str">
        <f>IF(A164="", "", VLOOKUP(A164, BASE!$A$4:$C$10003, 3, FALSE))</f>
        <v/>
      </c>
      <c r="D164" t="str">
        <f>IF(A164="", "", VLOOKUP(A164, BASE!$A$4:$D$10003, 4, FALSE))</f>
        <v/>
      </c>
      <c r="E164" t="str">
        <f>IF(A164="", "", VLOOKUP(A164, BASE!$A$4:$E$10003, 5, FALSE))</f>
        <v/>
      </c>
      <c r="F164" t="str">
        <f t="shared" si="2"/>
        <v/>
      </c>
    </row>
    <row r="165" spans="1:6">
      <c r="A165" t="str">
        <f>IFERROR(INDEX(BASE!$A$4:$A$10003, SMALL(IF(BASE!$F$4:$F$10003="CARREGADO", ROW(BASE!$A$4:$A$10003)-ROW(BASE!$A$4)+1), ROW(A164))), "")</f>
        <v/>
      </c>
      <c r="B165" t="str">
        <f>IF(A165="", "", VLOOKUP(A165, BASE!$A$4:$B$10003, 2, FALSE))</f>
        <v/>
      </c>
      <c r="C165" t="str">
        <f>IF(A165="", "", VLOOKUP(A165, BASE!$A$4:$C$10003, 3, FALSE))</f>
        <v/>
      </c>
      <c r="D165" t="str">
        <f>IF(A165="", "", VLOOKUP(A165, BASE!$A$4:$D$10003, 4, FALSE))</f>
        <v/>
      </c>
      <c r="E165" t="str">
        <f>IF(A165="", "", VLOOKUP(A165, BASE!$A$4:$E$10003, 5, FALSE))</f>
        <v/>
      </c>
      <c r="F165" t="str">
        <f t="shared" si="2"/>
        <v/>
      </c>
    </row>
    <row r="166" spans="1:6">
      <c r="A166" t="str">
        <f>IFERROR(INDEX(BASE!$A$4:$A$10003, SMALL(IF(BASE!$F$4:$F$10003="CARREGADO", ROW(BASE!$A$4:$A$10003)-ROW(BASE!$A$4)+1), ROW(A165))), "")</f>
        <v/>
      </c>
      <c r="B166" t="str">
        <f>IF(A166="", "", VLOOKUP(A166, BASE!$A$4:$B$10003, 2, FALSE))</f>
        <v/>
      </c>
      <c r="C166" t="str">
        <f>IF(A166="", "", VLOOKUP(A166, BASE!$A$4:$C$10003, 3, FALSE))</f>
        <v/>
      </c>
      <c r="D166" t="str">
        <f>IF(A166="", "", VLOOKUP(A166, BASE!$A$4:$D$10003, 4, FALSE))</f>
        <v/>
      </c>
      <c r="E166" t="str">
        <f>IF(A166="", "", VLOOKUP(A166, BASE!$A$4:$E$10003, 5, FALSE))</f>
        <v/>
      </c>
      <c r="F166" t="str">
        <f t="shared" si="2"/>
        <v/>
      </c>
    </row>
    <row r="167" spans="1:6">
      <c r="A167" t="str">
        <f>IFERROR(INDEX(BASE!$A$4:$A$10003, SMALL(IF(BASE!$F$4:$F$10003="CARREGADO", ROW(BASE!$A$4:$A$10003)-ROW(BASE!$A$4)+1), ROW(A166))), "")</f>
        <v/>
      </c>
      <c r="B167" t="str">
        <f>IF(A167="", "", VLOOKUP(A167, BASE!$A$4:$B$10003, 2, FALSE))</f>
        <v/>
      </c>
      <c r="C167" t="str">
        <f>IF(A167="", "", VLOOKUP(A167, BASE!$A$4:$C$10003, 3, FALSE))</f>
        <v/>
      </c>
      <c r="D167" t="str">
        <f>IF(A167="", "", VLOOKUP(A167, BASE!$A$4:$D$10003, 4, FALSE))</f>
        <v/>
      </c>
      <c r="E167" t="str">
        <f>IF(A167="", "", VLOOKUP(A167, BASE!$A$4:$E$10003, 5, FALSE))</f>
        <v/>
      </c>
      <c r="F167" t="str">
        <f t="shared" si="2"/>
        <v/>
      </c>
    </row>
    <row r="168" spans="1:6">
      <c r="A168" t="str">
        <f>IFERROR(INDEX(BASE!$A$4:$A$10003, SMALL(IF(BASE!$F$4:$F$10003="CARREGADO", ROW(BASE!$A$4:$A$10003)-ROW(BASE!$A$4)+1), ROW(A167))), "")</f>
        <v/>
      </c>
      <c r="B168" t="str">
        <f>IF(A168="", "", VLOOKUP(A168, BASE!$A$4:$B$10003, 2, FALSE))</f>
        <v/>
      </c>
      <c r="C168" t="str">
        <f>IF(A168="", "", VLOOKUP(A168, BASE!$A$4:$C$10003, 3, FALSE))</f>
        <v/>
      </c>
      <c r="D168" t="str">
        <f>IF(A168="", "", VLOOKUP(A168, BASE!$A$4:$D$10003, 4, FALSE))</f>
        <v/>
      </c>
      <c r="E168" t="str">
        <f>IF(A168="", "", VLOOKUP(A168, BASE!$A$4:$E$10003, 5, FALSE))</f>
        <v/>
      </c>
      <c r="F168" t="str">
        <f t="shared" si="2"/>
        <v/>
      </c>
    </row>
    <row r="169" spans="1:6">
      <c r="A169" t="str">
        <f>IFERROR(INDEX(BASE!$A$4:$A$10003, SMALL(IF(BASE!$F$4:$F$10003="CARREGADO", ROW(BASE!$A$4:$A$10003)-ROW(BASE!$A$4)+1), ROW(A168))), "")</f>
        <v/>
      </c>
      <c r="B169" t="str">
        <f>IF(A169="", "", VLOOKUP(A169, BASE!$A$4:$B$10003, 2, FALSE))</f>
        <v/>
      </c>
      <c r="C169" t="str">
        <f>IF(A169="", "", VLOOKUP(A169, BASE!$A$4:$C$10003, 3, FALSE))</f>
        <v/>
      </c>
      <c r="D169" t="str">
        <f>IF(A169="", "", VLOOKUP(A169, BASE!$A$4:$D$10003, 4, FALSE))</f>
        <v/>
      </c>
      <c r="E169" t="str">
        <f>IF(A169="", "", VLOOKUP(A169, BASE!$A$4:$E$10003, 5, FALSE))</f>
        <v/>
      </c>
      <c r="F169" t="str">
        <f t="shared" si="2"/>
        <v/>
      </c>
    </row>
    <row r="170" spans="1:6">
      <c r="A170" t="str">
        <f>IFERROR(INDEX(BASE!$A$4:$A$10003, SMALL(IF(BASE!$F$4:$F$10003="CARREGADO", ROW(BASE!$A$4:$A$10003)-ROW(BASE!$A$4)+1), ROW(A169))), "")</f>
        <v/>
      </c>
      <c r="B170" t="str">
        <f>IF(A170="", "", VLOOKUP(A170, BASE!$A$4:$B$10003, 2, FALSE))</f>
        <v/>
      </c>
      <c r="C170" t="str">
        <f>IF(A170="", "", VLOOKUP(A170, BASE!$A$4:$C$10003, 3, FALSE))</f>
        <v/>
      </c>
      <c r="D170" t="str">
        <f>IF(A170="", "", VLOOKUP(A170, BASE!$A$4:$D$10003, 4, FALSE))</f>
        <v/>
      </c>
      <c r="E170" t="str">
        <f>IF(A170="", "", VLOOKUP(A170, BASE!$A$4:$E$10003, 5, FALSE))</f>
        <v/>
      </c>
      <c r="F170" t="str">
        <f t="shared" si="2"/>
        <v/>
      </c>
    </row>
    <row r="171" spans="1:6">
      <c r="A171" t="str">
        <f>IFERROR(INDEX(BASE!$A$4:$A$10003, SMALL(IF(BASE!$F$4:$F$10003="CARREGADO", ROW(BASE!$A$4:$A$10003)-ROW(BASE!$A$4)+1), ROW(A170))), "")</f>
        <v/>
      </c>
      <c r="B171" t="str">
        <f>IF(A171="", "", VLOOKUP(A171, BASE!$A$4:$B$10003, 2, FALSE))</f>
        <v/>
      </c>
      <c r="C171" t="str">
        <f>IF(A171="", "", VLOOKUP(A171, BASE!$A$4:$C$10003, 3, FALSE))</f>
        <v/>
      </c>
      <c r="D171" t="str">
        <f>IF(A171="", "", VLOOKUP(A171, BASE!$A$4:$D$10003, 4, FALSE))</f>
        <v/>
      </c>
      <c r="E171" t="str">
        <f>IF(A171="", "", VLOOKUP(A171, BASE!$A$4:$E$10003, 5, FALSE))</f>
        <v/>
      </c>
      <c r="F171" t="str">
        <f t="shared" si="2"/>
        <v/>
      </c>
    </row>
    <row r="172" spans="1:6">
      <c r="A172" t="str">
        <f>IFERROR(INDEX(BASE!$A$4:$A$10003, SMALL(IF(BASE!$F$4:$F$10003="CARREGADO", ROW(BASE!$A$4:$A$10003)-ROW(BASE!$A$4)+1), ROW(A171))), "")</f>
        <v/>
      </c>
      <c r="B172" t="str">
        <f>IF(A172="", "", VLOOKUP(A172, BASE!$A$4:$B$10003, 2, FALSE))</f>
        <v/>
      </c>
      <c r="C172" t="str">
        <f>IF(A172="", "", VLOOKUP(A172, BASE!$A$4:$C$10003, 3, FALSE))</f>
        <v/>
      </c>
      <c r="D172" t="str">
        <f>IF(A172="", "", VLOOKUP(A172, BASE!$A$4:$D$10003, 4, FALSE))</f>
        <v/>
      </c>
      <c r="E172" t="str">
        <f>IF(A172="", "", VLOOKUP(A172, BASE!$A$4:$E$10003, 5, FALSE))</f>
        <v/>
      </c>
      <c r="F172" t="str">
        <f t="shared" si="2"/>
        <v/>
      </c>
    </row>
    <row r="173" spans="1:6">
      <c r="A173" t="str">
        <f>IFERROR(INDEX(BASE!$A$4:$A$10003, SMALL(IF(BASE!$F$4:$F$10003="CARREGADO", ROW(BASE!$A$4:$A$10003)-ROW(BASE!$A$4)+1), ROW(A172))), "")</f>
        <v/>
      </c>
      <c r="B173" t="str">
        <f>IF(A173="", "", VLOOKUP(A173, BASE!$A$4:$B$10003, 2, FALSE))</f>
        <v/>
      </c>
      <c r="C173" t="str">
        <f>IF(A173="", "", VLOOKUP(A173, BASE!$A$4:$C$10003, 3, FALSE))</f>
        <v/>
      </c>
      <c r="D173" t="str">
        <f>IF(A173="", "", VLOOKUP(A173, BASE!$A$4:$D$10003, 4, FALSE))</f>
        <v/>
      </c>
      <c r="E173" t="str">
        <f>IF(A173="", "", VLOOKUP(A173, BASE!$A$4:$E$10003, 5, FALSE))</f>
        <v/>
      </c>
      <c r="F173" t="str">
        <f t="shared" si="2"/>
        <v/>
      </c>
    </row>
    <row r="174" spans="1:6">
      <c r="A174" t="str">
        <f>IFERROR(INDEX(BASE!$A$4:$A$10003, SMALL(IF(BASE!$F$4:$F$10003="CARREGADO", ROW(BASE!$A$4:$A$10003)-ROW(BASE!$A$4)+1), ROW(A173))), "")</f>
        <v/>
      </c>
      <c r="B174" t="str">
        <f>IF(A174="", "", VLOOKUP(A174, BASE!$A$4:$B$10003, 2, FALSE))</f>
        <v/>
      </c>
      <c r="C174" t="str">
        <f>IF(A174="", "", VLOOKUP(A174, BASE!$A$4:$C$10003, 3, FALSE))</f>
        <v/>
      </c>
      <c r="D174" t="str">
        <f>IF(A174="", "", VLOOKUP(A174, BASE!$A$4:$D$10003, 4, FALSE))</f>
        <v/>
      </c>
      <c r="E174" t="str">
        <f>IF(A174="", "", VLOOKUP(A174, BASE!$A$4:$E$10003, 5, FALSE))</f>
        <v/>
      </c>
      <c r="F174" t="str">
        <f t="shared" si="2"/>
        <v/>
      </c>
    </row>
    <row r="175" spans="1:6">
      <c r="A175" t="str">
        <f>IFERROR(INDEX(BASE!$A$4:$A$10003, SMALL(IF(BASE!$F$4:$F$10003="CARREGADO", ROW(BASE!$A$4:$A$10003)-ROW(BASE!$A$4)+1), ROW(A174))), "")</f>
        <v/>
      </c>
      <c r="B175" t="str">
        <f>IF(A175="", "", VLOOKUP(A175, BASE!$A$4:$B$10003, 2, FALSE))</f>
        <v/>
      </c>
      <c r="C175" t="str">
        <f>IF(A175="", "", VLOOKUP(A175, BASE!$A$4:$C$10003, 3, FALSE))</f>
        <v/>
      </c>
      <c r="D175" t="str">
        <f>IF(A175="", "", VLOOKUP(A175, BASE!$A$4:$D$10003, 4, FALSE))</f>
        <v/>
      </c>
      <c r="E175" t="str">
        <f>IF(A175="", "", VLOOKUP(A175, BASE!$A$4:$E$10003, 5, FALSE))</f>
        <v/>
      </c>
      <c r="F175" t="str">
        <f t="shared" si="2"/>
        <v/>
      </c>
    </row>
    <row r="176" spans="1:6">
      <c r="A176" t="str">
        <f>IFERROR(INDEX(BASE!$A$4:$A$10003, SMALL(IF(BASE!$F$4:$F$10003="CARREGADO", ROW(BASE!$A$4:$A$10003)-ROW(BASE!$A$4)+1), ROW(A175))), "")</f>
        <v/>
      </c>
      <c r="B176" t="str">
        <f>IF(A176="", "", VLOOKUP(A176, BASE!$A$4:$B$10003, 2, FALSE))</f>
        <v/>
      </c>
      <c r="C176" t="str">
        <f>IF(A176="", "", VLOOKUP(A176, BASE!$A$4:$C$10003, 3, FALSE))</f>
        <v/>
      </c>
      <c r="D176" t="str">
        <f>IF(A176="", "", VLOOKUP(A176, BASE!$A$4:$D$10003, 4, FALSE))</f>
        <v/>
      </c>
      <c r="E176" t="str">
        <f>IF(A176="", "", VLOOKUP(A176, BASE!$A$4:$E$10003, 5, FALSE))</f>
        <v/>
      </c>
      <c r="F176" t="str">
        <f t="shared" si="2"/>
        <v/>
      </c>
    </row>
    <row r="177" spans="1:6">
      <c r="A177" t="str">
        <f>IFERROR(INDEX(BASE!$A$4:$A$10003, SMALL(IF(BASE!$F$4:$F$10003="CARREGADO", ROW(BASE!$A$4:$A$10003)-ROW(BASE!$A$4)+1), ROW(A176))), "")</f>
        <v/>
      </c>
      <c r="B177" t="str">
        <f>IF(A177="", "", VLOOKUP(A177, BASE!$A$4:$B$10003, 2, FALSE))</f>
        <v/>
      </c>
      <c r="C177" t="str">
        <f>IF(A177="", "", VLOOKUP(A177, BASE!$A$4:$C$10003, 3, FALSE))</f>
        <v/>
      </c>
      <c r="D177" t="str">
        <f>IF(A177="", "", VLOOKUP(A177, BASE!$A$4:$D$10003, 4, FALSE))</f>
        <v/>
      </c>
      <c r="E177" t="str">
        <f>IF(A177="", "", VLOOKUP(A177, BASE!$A$4:$E$10003, 5, FALSE))</f>
        <v/>
      </c>
      <c r="F177" t="str">
        <f t="shared" si="2"/>
        <v/>
      </c>
    </row>
    <row r="178" spans="1:6">
      <c r="A178" t="str">
        <f>IFERROR(INDEX(BASE!$A$4:$A$10003, SMALL(IF(BASE!$F$4:$F$10003="CARREGADO", ROW(BASE!$A$4:$A$10003)-ROW(BASE!$A$4)+1), ROW(A177))), "")</f>
        <v/>
      </c>
      <c r="B178" t="str">
        <f>IF(A178="", "", VLOOKUP(A178, BASE!$A$4:$B$10003, 2, FALSE))</f>
        <v/>
      </c>
      <c r="C178" t="str">
        <f>IF(A178="", "", VLOOKUP(A178, BASE!$A$4:$C$10003, 3, FALSE))</f>
        <v/>
      </c>
      <c r="D178" t="str">
        <f>IF(A178="", "", VLOOKUP(A178, BASE!$A$4:$D$10003, 4, FALSE))</f>
        <v/>
      </c>
      <c r="E178" t="str">
        <f>IF(A178="", "", VLOOKUP(A178, BASE!$A$4:$E$10003, 5, FALSE))</f>
        <v/>
      </c>
      <c r="F178" t="str">
        <f t="shared" si="2"/>
        <v/>
      </c>
    </row>
    <row r="179" spans="1:6">
      <c r="A179" t="str">
        <f>IFERROR(INDEX(BASE!$A$4:$A$10003, SMALL(IF(BASE!$F$4:$F$10003="CARREGADO", ROW(BASE!$A$4:$A$10003)-ROW(BASE!$A$4)+1), ROW(A178))), "")</f>
        <v/>
      </c>
      <c r="B179" t="str">
        <f>IF(A179="", "", VLOOKUP(A179, BASE!$A$4:$B$10003, 2, FALSE))</f>
        <v/>
      </c>
      <c r="C179" t="str">
        <f>IF(A179="", "", VLOOKUP(A179, BASE!$A$4:$C$10003, 3, FALSE))</f>
        <v/>
      </c>
      <c r="D179" t="str">
        <f>IF(A179="", "", VLOOKUP(A179, BASE!$A$4:$D$10003, 4, FALSE))</f>
        <v/>
      </c>
      <c r="E179" t="str">
        <f>IF(A179="", "", VLOOKUP(A179, BASE!$A$4:$E$10003, 5, FALSE))</f>
        <v/>
      </c>
      <c r="F179" t="str">
        <f t="shared" si="2"/>
        <v/>
      </c>
    </row>
    <row r="180" spans="1:6">
      <c r="A180" t="str">
        <f>IFERROR(INDEX(BASE!$A$4:$A$10003, SMALL(IF(BASE!$F$4:$F$10003="CARREGADO", ROW(BASE!$A$4:$A$10003)-ROW(BASE!$A$4)+1), ROW(A179))), "")</f>
        <v/>
      </c>
      <c r="B180" t="str">
        <f>IF(A180="", "", VLOOKUP(A180, BASE!$A$4:$B$10003, 2, FALSE))</f>
        <v/>
      </c>
      <c r="C180" t="str">
        <f>IF(A180="", "", VLOOKUP(A180, BASE!$A$4:$C$10003, 3, FALSE))</f>
        <v/>
      </c>
      <c r="D180" t="str">
        <f>IF(A180="", "", VLOOKUP(A180, BASE!$A$4:$D$10003, 4, FALSE))</f>
        <v/>
      </c>
      <c r="E180" t="str">
        <f>IF(A180="", "", VLOOKUP(A180, BASE!$A$4:$E$10003, 5, FALSE))</f>
        <v/>
      </c>
      <c r="F180" t="str">
        <f t="shared" si="2"/>
        <v/>
      </c>
    </row>
    <row r="181" spans="1:6">
      <c r="A181" t="str">
        <f>IFERROR(INDEX(BASE!$A$4:$A$10003, SMALL(IF(BASE!$F$4:$F$10003="CARREGADO", ROW(BASE!$A$4:$A$10003)-ROW(BASE!$A$4)+1), ROW(A180))), "")</f>
        <v/>
      </c>
      <c r="B181" t="str">
        <f>IF(A181="", "", VLOOKUP(A181, BASE!$A$4:$B$10003, 2, FALSE))</f>
        <v/>
      </c>
      <c r="C181" t="str">
        <f>IF(A181="", "", VLOOKUP(A181, BASE!$A$4:$C$10003, 3, FALSE))</f>
        <v/>
      </c>
      <c r="D181" t="str">
        <f>IF(A181="", "", VLOOKUP(A181, BASE!$A$4:$D$10003, 4, FALSE))</f>
        <v/>
      </c>
      <c r="E181" t="str">
        <f>IF(A181="", "", VLOOKUP(A181, BASE!$A$4:$E$10003, 5, FALSE))</f>
        <v/>
      </c>
      <c r="F181" t="str">
        <f t="shared" si="2"/>
        <v/>
      </c>
    </row>
    <row r="182" spans="1:6">
      <c r="A182" t="str">
        <f>IFERROR(INDEX(BASE!$A$4:$A$10003, SMALL(IF(BASE!$F$4:$F$10003="CARREGADO", ROW(BASE!$A$4:$A$10003)-ROW(BASE!$A$4)+1), ROW(A181))), "")</f>
        <v/>
      </c>
      <c r="B182" t="str">
        <f>IF(A182="", "", VLOOKUP(A182, BASE!$A$4:$B$10003, 2, FALSE))</f>
        <v/>
      </c>
      <c r="C182" t="str">
        <f>IF(A182="", "", VLOOKUP(A182, BASE!$A$4:$C$10003, 3, FALSE))</f>
        <v/>
      </c>
      <c r="D182" t="str">
        <f>IF(A182="", "", VLOOKUP(A182, BASE!$A$4:$D$10003, 4, FALSE))</f>
        <v/>
      </c>
      <c r="E182" t="str">
        <f>IF(A182="", "", VLOOKUP(A182, BASE!$A$4:$E$10003, 5, FALSE))</f>
        <v/>
      </c>
      <c r="F182" t="str">
        <f t="shared" si="2"/>
        <v/>
      </c>
    </row>
    <row r="183" spans="1:6">
      <c r="A183" t="str">
        <f>IFERROR(INDEX(BASE!$A$4:$A$10003, SMALL(IF(BASE!$F$4:$F$10003="CARREGADO", ROW(BASE!$A$4:$A$10003)-ROW(BASE!$A$4)+1), ROW(A182))), "")</f>
        <v/>
      </c>
      <c r="B183" t="str">
        <f>IF(A183="", "", VLOOKUP(A183, BASE!$A$4:$B$10003, 2, FALSE))</f>
        <v/>
      </c>
      <c r="C183" t="str">
        <f>IF(A183="", "", VLOOKUP(A183, BASE!$A$4:$C$10003, 3, FALSE))</f>
        <v/>
      </c>
      <c r="D183" t="str">
        <f>IF(A183="", "", VLOOKUP(A183, BASE!$A$4:$D$10003, 4, FALSE))</f>
        <v/>
      </c>
      <c r="E183" t="str">
        <f>IF(A183="", "", VLOOKUP(A183, BASE!$A$4:$E$10003, 5, FALSE))</f>
        <v/>
      </c>
      <c r="F183" t="str">
        <f t="shared" si="2"/>
        <v/>
      </c>
    </row>
    <row r="184" spans="1:6">
      <c r="A184" t="str">
        <f>IFERROR(INDEX(BASE!$A$4:$A$10003, SMALL(IF(BASE!$F$4:$F$10003="CARREGADO", ROW(BASE!$A$4:$A$10003)-ROW(BASE!$A$4)+1), ROW(A183))), "")</f>
        <v/>
      </c>
      <c r="B184" t="str">
        <f>IF(A184="", "", VLOOKUP(A184, BASE!$A$4:$B$10003, 2, FALSE))</f>
        <v/>
      </c>
      <c r="C184" t="str">
        <f>IF(A184="", "", VLOOKUP(A184, BASE!$A$4:$C$10003, 3, FALSE))</f>
        <v/>
      </c>
      <c r="D184" t="str">
        <f>IF(A184="", "", VLOOKUP(A184, BASE!$A$4:$D$10003, 4, FALSE))</f>
        <v/>
      </c>
      <c r="E184" t="str">
        <f>IF(A184="", "", VLOOKUP(A184, BASE!$A$4:$E$10003, 5, FALSE))</f>
        <v/>
      </c>
      <c r="F184" t="str">
        <f t="shared" si="2"/>
        <v/>
      </c>
    </row>
    <row r="185" spans="1:6">
      <c r="A185" t="str">
        <f>IFERROR(INDEX(BASE!$A$4:$A$10003, SMALL(IF(BASE!$F$4:$F$10003="CARREGADO", ROW(BASE!$A$4:$A$10003)-ROW(BASE!$A$4)+1), ROW(A184))), "")</f>
        <v/>
      </c>
      <c r="B185" t="str">
        <f>IF(A185="", "", VLOOKUP(A185, BASE!$A$4:$B$10003, 2, FALSE))</f>
        <v/>
      </c>
      <c r="C185" t="str">
        <f>IF(A185="", "", VLOOKUP(A185, BASE!$A$4:$C$10003, 3, FALSE))</f>
        <v/>
      </c>
      <c r="D185" t="str">
        <f>IF(A185="", "", VLOOKUP(A185, BASE!$A$4:$D$10003, 4, FALSE))</f>
        <v/>
      </c>
      <c r="E185" t="str">
        <f>IF(A185="", "", VLOOKUP(A185, BASE!$A$4:$E$10003, 5, FALSE))</f>
        <v/>
      </c>
      <c r="F185" t="str">
        <f t="shared" si="2"/>
        <v/>
      </c>
    </row>
    <row r="186" spans="1:6">
      <c r="A186" t="str">
        <f>IFERROR(INDEX(BASE!$A$4:$A$10003, SMALL(IF(BASE!$F$4:$F$10003="CARREGADO", ROW(BASE!$A$4:$A$10003)-ROW(BASE!$A$4)+1), ROW(A185))), "")</f>
        <v/>
      </c>
      <c r="B186" t="str">
        <f>IF(A186="", "", VLOOKUP(A186, BASE!$A$4:$B$10003, 2, FALSE))</f>
        <v/>
      </c>
      <c r="C186" t="str">
        <f>IF(A186="", "", VLOOKUP(A186, BASE!$A$4:$C$10003, 3, FALSE))</f>
        <v/>
      </c>
      <c r="D186" t="str">
        <f>IF(A186="", "", VLOOKUP(A186, BASE!$A$4:$D$10003, 4, FALSE))</f>
        <v/>
      </c>
      <c r="E186" t="str">
        <f>IF(A186="", "", VLOOKUP(A186, BASE!$A$4:$E$10003, 5, FALSE))</f>
        <v/>
      </c>
      <c r="F186" t="str">
        <f t="shared" si="2"/>
        <v/>
      </c>
    </row>
    <row r="187" spans="1:6">
      <c r="A187" t="str">
        <f>IFERROR(INDEX(BASE!$A$4:$A$10003, SMALL(IF(BASE!$F$4:$F$10003="CARREGADO", ROW(BASE!$A$4:$A$10003)-ROW(BASE!$A$4)+1), ROW(A186))), "")</f>
        <v/>
      </c>
      <c r="B187" t="str">
        <f>IF(A187="", "", VLOOKUP(A187, BASE!$A$4:$B$10003, 2, FALSE))</f>
        <v/>
      </c>
      <c r="C187" t="str">
        <f>IF(A187="", "", VLOOKUP(A187, BASE!$A$4:$C$10003, 3, FALSE))</f>
        <v/>
      </c>
      <c r="D187" t="str">
        <f>IF(A187="", "", VLOOKUP(A187, BASE!$A$4:$D$10003, 4, FALSE))</f>
        <v/>
      </c>
      <c r="E187" t="str">
        <f>IF(A187="", "", VLOOKUP(A187, BASE!$A$4:$E$10003, 5, FALSE))</f>
        <v/>
      </c>
      <c r="F187" t="str">
        <f t="shared" si="2"/>
        <v/>
      </c>
    </row>
    <row r="188" spans="1:6">
      <c r="A188" t="str">
        <f>IFERROR(INDEX(BASE!$A$4:$A$10003, SMALL(IF(BASE!$F$4:$F$10003="CARREGADO", ROW(BASE!$A$4:$A$10003)-ROW(BASE!$A$4)+1), ROW(A187))), "")</f>
        <v/>
      </c>
      <c r="B188" t="str">
        <f>IF(A188="", "", VLOOKUP(A188, BASE!$A$4:$B$10003, 2, FALSE))</f>
        <v/>
      </c>
      <c r="C188" t="str">
        <f>IF(A188="", "", VLOOKUP(A188, BASE!$A$4:$C$10003, 3, FALSE))</f>
        <v/>
      </c>
      <c r="D188" t="str">
        <f>IF(A188="", "", VLOOKUP(A188, BASE!$A$4:$D$10003, 4, FALSE))</f>
        <v/>
      </c>
      <c r="E188" t="str">
        <f>IF(A188="", "", VLOOKUP(A188, BASE!$A$4:$E$10003, 5, FALSE))</f>
        <v/>
      </c>
      <c r="F188" t="str">
        <f t="shared" si="2"/>
        <v/>
      </c>
    </row>
    <row r="189" spans="1:6">
      <c r="A189" t="str">
        <f>IFERROR(INDEX(BASE!$A$4:$A$10003, SMALL(IF(BASE!$F$4:$F$10003="CARREGADO", ROW(BASE!$A$4:$A$10003)-ROW(BASE!$A$4)+1), ROW(A188))), "")</f>
        <v/>
      </c>
      <c r="B189" t="str">
        <f>IF(A189="", "", VLOOKUP(A189, BASE!$A$4:$B$10003, 2, FALSE))</f>
        <v/>
      </c>
      <c r="C189" t="str">
        <f>IF(A189="", "", VLOOKUP(A189, BASE!$A$4:$C$10003, 3, FALSE))</f>
        <v/>
      </c>
      <c r="D189" t="str">
        <f>IF(A189="", "", VLOOKUP(A189, BASE!$A$4:$D$10003, 4, FALSE))</f>
        <v/>
      </c>
      <c r="E189" t="str">
        <f>IF(A189="", "", VLOOKUP(A189, BASE!$A$4:$E$10003, 5, FALSE))</f>
        <v/>
      </c>
      <c r="F189" t="str">
        <f t="shared" si="2"/>
        <v/>
      </c>
    </row>
    <row r="190" spans="1:6">
      <c r="A190" t="str">
        <f>IFERROR(INDEX(BASE!$A$4:$A$10003, SMALL(IF(BASE!$F$4:$F$10003="CARREGADO", ROW(BASE!$A$4:$A$10003)-ROW(BASE!$A$4)+1), ROW(A189))), "")</f>
        <v/>
      </c>
      <c r="B190" t="str">
        <f>IF(A190="", "", VLOOKUP(A190, BASE!$A$4:$B$10003, 2, FALSE))</f>
        <v/>
      </c>
      <c r="C190" t="str">
        <f>IF(A190="", "", VLOOKUP(A190, BASE!$A$4:$C$10003, 3, FALSE))</f>
        <v/>
      </c>
      <c r="D190" t="str">
        <f>IF(A190="", "", VLOOKUP(A190, BASE!$A$4:$D$10003, 4, FALSE))</f>
        <v/>
      </c>
      <c r="E190" t="str">
        <f>IF(A190="", "", VLOOKUP(A190, BASE!$A$4:$E$10003, 5, FALSE))</f>
        <v/>
      </c>
      <c r="F190" t="str">
        <f t="shared" si="2"/>
        <v/>
      </c>
    </row>
    <row r="191" spans="1:6">
      <c r="A191" t="str">
        <f>IFERROR(INDEX(BASE!$A$4:$A$10003, SMALL(IF(BASE!$F$4:$F$10003="CARREGADO", ROW(BASE!$A$4:$A$10003)-ROW(BASE!$A$4)+1), ROW(A190))), "")</f>
        <v/>
      </c>
      <c r="B191" t="str">
        <f>IF(A191="", "", VLOOKUP(A191, BASE!$A$4:$B$10003, 2, FALSE))</f>
        <v/>
      </c>
      <c r="C191" t="str">
        <f>IF(A191="", "", VLOOKUP(A191, BASE!$A$4:$C$10003, 3, FALSE))</f>
        <v/>
      </c>
      <c r="D191" t="str">
        <f>IF(A191="", "", VLOOKUP(A191, BASE!$A$4:$D$10003, 4, FALSE))</f>
        <v/>
      </c>
      <c r="E191" t="str">
        <f>IF(A191="", "", VLOOKUP(A191, BASE!$A$4:$E$10003, 5, FALSE))</f>
        <v/>
      </c>
      <c r="F191" t="str">
        <f t="shared" si="2"/>
        <v/>
      </c>
    </row>
    <row r="192" spans="1:6">
      <c r="A192" t="str">
        <f>IFERROR(INDEX(BASE!$A$4:$A$10003, SMALL(IF(BASE!$F$4:$F$10003="CARREGADO", ROW(BASE!$A$4:$A$10003)-ROW(BASE!$A$4)+1), ROW(A191))), "")</f>
        <v/>
      </c>
      <c r="B192" t="str">
        <f>IF(A192="", "", VLOOKUP(A192, BASE!$A$4:$B$10003, 2, FALSE))</f>
        <v/>
      </c>
      <c r="C192" t="str">
        <f>IF(A192="", "", VLOOKUP(A192, BASE!$A$4:$C$10003, 3, FALSE))</f>
        <v/>
      </c>
      <c r="D192" t="str">
        <f>IF(A192="", "", VLOOKUP(A192, BASE!$A$4:$D$10003, 4, FALSE))</f>
        <v/>
      </c>
      <c r="E192" t="str">
        <f>IF(A192="", "", VLOOKUP(A192, BASE!$A$4:$E$10003, 5, FALSE))</f>
        <v/>
      </c>
      <c r="F192" t="str">
        <f t="shared" si="2"/>
        <v/>
      </c>
    </row>
    <row r="193" spans="1:6">
      <c r="A193" t="str">
        <f>IFERROR(INDEX(BASE!$A$4:$A$10003, SMALL(IF(BASE!$F$4:$F$10003="CARREGADO", ROW(BASE!$A$4:$A$10003)-ROW(BASE!$A$4)+1), ROW(A192))), "")</f>
        <v/>
      </c>
      <c r="B193" t="str">
        <f>IF(A193="", "", VLOOKUP(A193, BASE!$A$4:$B$10003, 2, FALSE))</f>
        <v/>
      </c>
      <c r="C193" t="str">
        <f>IF(A193="", "", VLOOKUP(A193, BASE!$A$4:$C$10003, 3, FALSE))</f>
        <v/>
      </c>
      <c r="D193" t="str">
        <f>IF(A193="", "", VLOOKUP(A193, BASE!$A$4:$D$10003, 4, FALSE))</f>
        <v/>
      </c>
      <c r="E193" t="str">
        <f>IF(A193="", "", VLOOKUP(A193, BASE!$A$4:$E$10003, 5, FALSE))</f>
        <v/>
      </c>
      <c r="F193" t="str">
        <f t="shared" si="2"/>
        <v/>
      </c>
    </row>
    <row r="194" spans="1:6">
      <c r="A194" t="str">
        <f>IFERROR(INDEX(BASE!$A$4:$A$10003, SMALL(IF(BASE!$F$4:$F$10003="CARREGADO", ROW(BASE!$A$4:$A$10003)-ROW(BASE!$A$4)+1), ROW(A193))), "")</f>
        <v/>
      </c>
      <c r="B194" t="str">
        <f>IF(A194="", "", VLOOKUP(A194, BASE!$A$4:$B$10003, 2, FALSE))</f>
        <v/>
      </c>
      <c r="C194" t="str">
        <f>IF(A194="", "", VLOOKUP(A194, BASE!$A$4:$C$10003, 3, FALSE))</f>
        <v/>
      </c>
      <c r="D194" t="str">
        <f>IF(A194="", "", VLOOKUP(A194, BASE!$A$4:$D$10003, 4, FALSE))</f>
        <v/>
      </c>
      <c r="E194" t="str">
        <f>IF(A194="", "", VLOOKUP(A194, BASE!$A$4:$E$10003, 5, FALSE))</f>
        <v/>
      </c>
      <c r="F194" t="str">
        <f t="shared" ref="F194:F257" si="3">IF(A194="", "", "CARREGADO")</f>
        <v/>
      </c>
    </row>
    <row r="195" spans="1:6">
      <c r="A195" t="str">
        <f>IFERROR(INDEX(BASE!$A$4:$A$10003, SMALL(IF(BASE!$F$4:$F$10003="CARREGADO", ROW(BASE!$A$4:$A$10003)-ROW(BASE!$A$4)+1), ROW(A194))), "")</f>
        <v/>
      </c>
      <c r="B195" t="str">
        <f>IF(A195="", "", VLOOKUP(A195, BASE!$A$4:$B$10003, 2, FALSE))</f>
        <v/>
      </c>
      <c r="C195" t="str">
        <f>IF(A195="", "", VLOOKUP(A195, BASE!$A$4:$C$10003, 3, FALSE))</f>
        <v/>
      </c>
      <c r="D195" t="str">
        <f>IF(A195="", "", VLOOKUP(A195, BASE!$A$4:$D$10003, 4, FALSE))</f>
        <v/>
      </c>
      <c r="E195" t="str">
        <f>IF(A195="", "", VLOOKUP(A195, BASE!$A$4:$E$10003, 5, FALSE))</f>
        <v/>
      </c>
      <c r="F195" t="str">
        <f t="shared" si="3"/>
        <v/>
      </c>
    </row>
    <row r="196" spans="1:6">
      <c r="A196" t="str">
        <f>IFERROR(INDEX(BASE!$A$4:$A$10003, SMALL(IF(BASE!$F$4:$F$10003="CARREGADO", ROW(BASE!$A$4:$A$10003)-ROW(BASE!$A$4)+1), ROW(A195))), "")</f>
        <v/>
      </c>
      <c r="B196" t="str">
        <f>IF(A196="", "", VLOOKUP(A196, BASE!$A$4:$B$10003, 2, FALSE))</f>
        <v/>
      </c>
      <c r="C196" t="str">
        <f>IF(A196="", "", VLOOKUP(A196, BASE!$A$4:$C$10003, 3, FALSE))</f>
        <v/>
      </c>
      <c r="D196" t="str">
        <f>IF(A196="", "", VLOOKUP(A196, BASE!$A$4:$D$10003, 4, FALSE))</f>
        <v/>
      </c>
      <c r="E196" t="str">
        <f>IF(A196="", "", VLOOKUP(A196, BASE!$A$4:$E$10003, 5, FALSE))</f>
        <v/>
      </c>
      <c r="F196" t="str">
        <f t="shared" si="3"/>
        <v/>
      </c>
    </row>
    <row r="197" spans="1:6">
      <c r="A197" t="str">
        <f>IFERROR(INDEX(BASE!$A$4:$A$10003, SMALL(IF(BASE!$F$4:$F$10003="CARREGADO", ROW(BASE!$A$4:$A$10003)-ROW(BASE!$A$4)+1), ROW(A196))), "")</f>
        <v/>
      </c>
      <c r="B197" t="str">
        <f>IF(A197="", "", VLOOKUP(A197, BASE!$A$4:$B$10003, 2, FALSE))</f>
        <v/>
      </c>
      <c r="C197" t="str">
        <f>IF(A197="", "", VLOOKUP(A197, BASE!$A$4:$C$10003, 3, FALSE))</f>
        <v/>
      </c>
      <c r="D197" t="str">
        <f>IF(A197="", "", VLOOKUP(A197, BASE!$A$4:$D$10003, 4, FALSE))</f>
        <v/>
      </c>
      <c r="E197" t="str">
        <f>IF(A197="", "", VLOOKUP(A197, BASE!$A$4:$E$10003, 5, FALSE))</f>
        <v/>
      </c>
      <c r="F197" t="str">
        <f t="shared" si="3"/>
        <v/>
      </c>
    </row>
    <row r="198" spans="1:6">
      <c r="A198" t="str">
        <f>IFERROR(INDEX(BASE!$A$4:$A$10003, SMALL(IF(BASE!$F$4:$F$10003="CARREGADO", ROW(BASE!$A$4:$A$10003)-ROW(BASE!$A$4)+1), ROW(A197))), "")</f>
        <v/>
      </c>
      <c r="B198" t="str">
        <f>IF(A198="", "", VLOOKUP(A198, BASE!$A$4:$B$10003, 2, FALSE))</f>
        <v/>
      </c>
      <c r="C198" t="str">
        <f>IF(A198="", "", VLOOKUP(A198, BASE!$A$4:$C$10003, 3, FALSE))</f>
        <v/>
      </c>
      <c r="D198" t="str">
        <f>IF(A198="", "", VLOOKUP(A198, BASE!$A$4:$D$10003, 4, FALSE))</f>
        <v/>
      </c>
      <c r="E198" t="str">
        <f>IF(A198="", "", VLOOKUP(A198, BASE!$A$4:$E$10003, 5, FALSE))</f>
        <v/>
      </c>
      <c r="F198" t="str">
        <f t="shared" si="3"/>
        <v/>
      </c>
    </row>
    <row r="199" spans="1:6">
      <c r="A199" t="str">
        <f>IFERROR(INDEX(BASE!$A$4:$A$10003, SMALL(IF(BASE!$F$4:$F$10003="CARREGADO", ROW(BASE!$A$4:$A$10003)-ROW(BASE!$A$4)+1), ROW(A198))), "")</f>
        <v/>
      </c>
      <c r="B199" t="str">
        <f>IF(A199="", "", VLOOKUP(A199, BASE!$A$4:$B$10003, 2, FALSE))</f>
        <v/>
      </c>
      <c r="C199" t="str">
        <f>IF(A199="", "", VLOOKUP(A199, BASE!$A$4:$C$10003, 3, FALSE))</f>
        <v/>
      </c>
      <c r="D199" t="str">
        <f>IF(A199="", "", VLOOKUP(A199, BASE!$A$4:$D$10003, 4, FALSE))</f>
        <v/>
      </c>
      <c r="E199" t="str">
        <f>IF(A199="", "", VLOOKUP(A199, BASE!$A$4:$E$10003, 5, FALSE))</f>
        <v/>
      </c>
      <c r="F199" t="str">
        <f t="shared" si="3"/>
        <v/>
      </c>
    </row>
    <row r="200" spans="1:6">
      <c r="A200" t="str">
        <f>IFERROR(INDEX(BASE!$A$4:$A$10003, SMALL(IF(BASE!$F$4:$F$10003="CARREGADO", ROW(BASE!$A$4:$A$10003)-ROW(BASE!$A$4)+1), ROW(A199))), "")</f>
        <v/>
      </c>
      <c r="B200" t="str">
        <f>IF(A200="", "", VLOOKUP(A200, BASE!$A$4:$B$10003, 2, FALSE))</f>
        <v/>
      </c>
      <c r="C200" t="str">
        <f>IF(A200="", "", VLOOKUP(A200, BASE!$A$4:$C$10003, 3, FALSE))</f>
        <v/>
      </c>
      <c r="D200" t="str">
        <f>IF(A200="", "", VLOOKUP(A200, BASE!$A$4:$D$10003, 4, FALSE))</f>
        <v/>
      </c>
      <c r="E200" t="str">
        <f>IF(A200="", "", VLOOKUP(A200, BASE!$A$4:$E$10003, 5, FALSE))</f>
        <v/>
      </c>
      <c r="F200" t="str">
        <f t="shared" si="3"/>
        <v/>
      </c>
    </row>
    <row r="201" spans="1:6">
      <c r="A201" t="str">
        <f>IFERROR(INDEX(BASE!$A$4:$A$10003, SMALL(IF(BASE!$F$4:$F$10003="CARREGADO", ROW(BASE!$A$4:$A$10003)-ROW(BASE!$A$4)+1), ROW(A200))), "")</f>
        <v/>
      </c>
      <c r="B201" t="str">
        <f>IF(A201="", "", VLOOKUP(A201, BASE!$A$4:$B$10003, 2, FALSE))</f>
        <v/>
      </c>
      <c r="C201" t="str">
        <f>IF(A201="", "", VLOOKUP(A201, BASE!$A$4:$C$10003, 3, FALSE))</f>
        <v/>
      </c>
      <c r="D201" t="str">
        <f>IF(A201="", "", VLOOKUP(A201, BASE!$A$4:$D$10003, 4, FALSE))</f>
        <v/>
      </c>
      <c r="E201" t="str">
        <f>IF(A201="", "", VLOOKUP(A201, BASE!$A$4:$E$10003, 5, FALSE))</f>
        <v/>
      </c>
      <c r="F201" t="str">
        <f t="shared" si="3"/>
        <v/>
      </c>
    </row>
    <row r="202" spans="1:6">
      <c r="A202" t="str">
        <f>IFERROR(INDEX(BASE!$A$4:$A$10003, SMALL(IF(BASE!$F$4:$F$10003="CARREGADO", ROW(BASE!$A$4:$A$10003)-ROW(BASE!$A$4)+1), ROW(A201))), "")</f>
        <v/>
      </c>
      <c r="B202" t="str">
        <f>IF(A202="", "", VLOOKUP(A202, BASE!$A$4:$B$10003, 2, FALSE))</f>
        <v/>
      </c>
      <c r="C202" t="str">
        <f>IF(A202="", "", VLOOKUP(A202, BASE!$A$4:$C$10003, 3, FALSE))</f>
        <v/>
      </c>
      <c r="D202" t="str">
        <f>IF(A202="", "", VLOOKUP(A202, BASE!$A$4:$D$10003, 4, FALSE))</f>
        <v/>
      </c>
      <c r="E202" t="str">
        <f>IF(A202="", "", VLOOKUP(A202, BASE!$A$4:$E$10003, 5, FALSE))</f>
        <v/>
      </c>
      <c r="F202" t="str">
        <f t="shared" si="3"/>
        <v/>
      </c>
    </row>
    <row r="203" spans="1:6">
      <c r="A203" t="str">
        <f>IFERROR(INDEX(BASE!$A$4:$A$10003, SMALL(IF(BASE!$F$4:$F$10003="CARREGADO", ROW(BASE!$A$4:$A$10003)-ROW(BASE!$A$4)+1), ROW(A202))), "")</f>
        <v/>
      </c>
      <c r="B203" t="str">
        <f>IF(A203="", "", VLOOKUP(A203, BASE!$A$4:$B$10003, 2, FALSE))</f>
        <v/>
      </c>
      <c r="C203" t="str">
        <f>IF(A203="", "", VLOOKUP(A203, BASE!$A$4:$C$10003, 3, FALSE))</f>
        <v/>
      </c>
      <c r="D203" t="str">
        <f>IF(A203="", "", VLOOKUP(A203, BASE!$A$4:$D$10003, 4, FALSE))</f>
        <v/>
      </c>
      <c r="E203" t="str">
        <f>IF(A203="", "", VLOOKUP(A203, BASE!$A$4:$E$10003, 5, FALSE))</f>
        <v/>
      </c>
      <c r="F203" t="str">
        <f t="shared" si="3"/>
        <v/>
      </c>
    </row>
    <row r="204" spans="1:6">
      <c r="A204" t="str">
        <f>IFERROR(INDEX(BASE!$A$4:$A$10003, SMALL(IF(BASE!$F$4:$F$10003="CARREGADO", ROW(BASE!$A$4:$A$10003)-ROW(BASE!$A$4)+1), ROW(A203))), "")</f>
        <v/>
      </c>
      <c r="B204" t="str">
        <f>IF(A204="", "", VLOOKUP(A204, BASE!$A$4:$B$10003, 2, FALSE))</f>
        <v/>
      </c>
      <c r="C204" t="str">
        <f>IF(A204="", "", VLOOKUP(A204, BASE!$A$4:$C$10003, 3, FALSE))</f>
        <v/>
      </c>
      <c r="D204" t="str">
        <f>IF(A204="", "", VLOOKUP(A204, BASE!$A$4:$D$10003, 4, FALSE))</f>
        <v/>
      </c>
      <c r="E204" t="str">
        <f>IF(A204="", "", VLOOKUP(A204, BASE!$A$4:$E$10003, 5, FALSE))</f>
        <v/>
      </c>
      <c r="F204" t="str">
        <f t="shared" si="3"/>
        <v/>
      </c>
    </row>
    <row r="205" spans="1:6">
      <c r="A205" t="str">
        <f>IFERROR(INDEX(BASE!$A$4:$A$10003, SMALL(IF(BASE!$F$4:$F$10003="CARREGADO", ROW(BASE!$A$4:$A$10003)-ROW(BASE!$A$4)+1), ROW(A204))), "")</f>
        <v/>
      </c>
      <c r="B205" t="str">
        <f>IF(A205="", "", VLOOKUP(A205, BASE!$A$4:$B$10003, 2, FALSE))</f>
        <v/>
      </c>
      <c r="C205" t="str">
        <f>IF(A205="", "", VLOOKUP(A205, BASE!$A$4:$C$10003, 3, FALSE))</f>
        <v/>
      </c>
      <c r="D205" t="str">
        <f>IF(A205="", "", VLOOKUP(A205, BASE!$A$4:$D$10003, 4, FALSE))</f>
        <v/>
      </c>
      <c r="E205" t="str">
        <f>IF(A205="", "", VLOOKUP(A205, BASE!$A$4:$E$10003, 5, FALSE))</f>
        <v/>
      </c>
      <c r="F205" t="str">
        <f t="shared" si="3"/>
        <v/>
      </c>
    </row>
    <row r="206" spans="1:6">
      <c r="A206" t="str">
        <f>IFERROR(INDEX(BASE!$A$4:$A$10003, SMALL(IF(BASE!$F$4:$F$10003="CARREGADO", ROW(BASE!$A$4:$A$10003)-ROW(BASE!$A$4)+1), ROW(A205))), "")</f>
        <v/>
      </c>
      <c r="B206" t="str">
        <f>IF(A206="", "", VLOOKUP(A206, BASE!$A$4:$B$10003, 2, FALSE))</f>
        <v/>
      </c>
      <c r="C206" t="str">
        <f>IF(A206="", "", VLOOKUP(A206, BASE!$A$4:$C$10003, 3, FALSE))</f>
        <v/>
      </c>
      <c r="D206" t="str">
        <f>IF(A206="", "", VLOOKUP(A206, BASE!$A$4:$D$10003, 4, FALSE))</f>
        <v/>
      </c>
      <c r="E206" t="str">
        <f>IF(A206="", "", VLOOKUP(A206, BASE!$A$4:$E$10003, 5, FALSE))</f>
        <v/>
      </c>
      <c r="F206" t="str">
        <f t="shared" si="3"/>
        <v/>
      </c>
    </row>
    <row r="207" spans="1:6">
      <c r="A207" t="str">
        <f>IFERROR(INDEX(BASE!$A$4:$A$10003, SMALL(IF(BASE!$F$4:$F$10003="CARREGADO", ROW(BASE!$A$4:$A$10003)-ROW(BASE!$A$4)+1), ROW(A206))), "")</f>
        <v/>
      </c>
      <c r="B207" t="str">
        <f>IF(A207="", "", VLOOKUP(A207, BASE!$A$4:$B$10003, 2, FALSE))</f>
        <v/>
      </c>
      <c r="C207" t="str">
        <f>IF(A207="", "", VLOOKUP(A207, BASE!$A$4:$C$10003, 3, FALSE))</f>
        <v/>
      </c>
      <c r="D207" t="str">
        <f>IF(A207="", "", VLOOKUP(A207, BASE!$A$4:$D$10003, 4, FALSE))</f>
        <v/>
      </c>
      <c r="E207" t="str">
        <f>IF(A207="", "", VLOOKUP(A207, BASE!$A$4:$E$10003, 5, FALSE))</f>
        <v/>
      </c>
      <c r="F207" t="str">
        <f t="shared" si="3"/>
        <v/>
      </c>
    </row>
    <row r="208" spans="1:6">
      <c r="A208" t="str">
        <f>IFERROR(INDEX(BASE!$A$4:$A$10003, SMALL(IF(BASE!$F$4:$F$10003="CARREGADO", ROW(BASE!$A$4:$A$10003)-ROW(BASE!$A$4)+1), ROW(A207))), "")</f>
        <v/>
      </c>
      <c r="B208" t="str">
        <f>IF(A208="", "", VLOOKUP(A208, BASE!$A$4:$B$10003, 2, FALSE))</f>
        <v/>
      </c>
      <c r="C208" t="str">
        <f>IF(A208="", "", VLOOKUP(A208, BASE!$A$4:$C$10003, 3, FALSE))</f>
        <v/>
      </c>
      <c r="D208" t="str">
        <f>IF(A208="", "", VLOOKUP(A208, BASE!$A$4:$D$10003, 4, FALSE))</f>
        <v/>
      </c>
      <c r="E208" t="str">
        <f>IF(A208="", "", VLOOKUP(A208, BASE!$A$4:$E$10003, 5, FALSE))</f>
        <v/>
      </c>
      <c r="F208" t="str">
        <f t="shared" si="3"/>
        <v/>
      </c>
    </row>
    <row r="209" spans="1:6">
      <c r="A209" t="str">
        <f>IFERROR(INDEX(BASE!$A$4:$A$10003, SMALL(IF(BASE!$F$4:$F$10003="CARREGADO", ROW(BASE!$A$4:$A$10003)-ROW(BASE!$A$4)+1), ROW(A208))), "")</f>
        <v/>
      </c>
      <c r="B209" t="str">
        <f>IF(A209="", "", VLOOKUP(A209, BASE!$A$4:$B$10003, 2, FALSE))</f>
        <v/>
      </c>
      <c r="C209" t="str">
        <f>IF(A209="", "", VLOOKUP(A209, BASE!$A$4:$C$10003, 3, FALSE))</f>
        <v/>
      </c>
      <c r="D209" t="str">
        <f>IF(A209="", "", VLOOKUP(A209, BASE!$A$4:$D$10003, 4, FALSE))</f>
        <v/>
      </c>
      <c r="E209" t="str">
        <f>IF(A209="", "", VLOOKUP(A209, BASE!$A$4:$E$10003, 5, FALSE))</f>
        <v/>
      </c>
      <c r="F209" t="str">
        <f t="shared" si="3"/>
        <v/>
      </c>
    </row>
    <row r="210" spans="1:6">
      <c r="A210" t="str">
        <f>IFERROR(INDEX(BASE!$A$4:$A$10003, SMALL(IF(BASE!$F$4:$F$10003="CARREGADO", ROW(BASE!$A$4:$A$10003)-ROW(BASE!$A$4)+1), ROW(A209))), "")</f>
        <v/>
      </c>
      <c r="B210" t="str">
        <f>IF(A210="", "", VLOOKUP(A210, BASE!$A$4:$B$10003, 2, FALSE))</f>
        <v/>
      </c>
      <c r="C210" t="str">
        <f>IF(A210="", "", VLOOKUP(A210, BASE!$A$4:$C$10003, 3, FALSE))</f>
        <v/>
      </c>
      <c r="D210" t="str">
        <f>IF(A210="", "", VLOOKUP(A210, BASE!$A$4:$D$10003, 4, FALSE))</f>
        <v/>
      </c>
      <c r="E210" t="str">
        <f>IF(A210="", "", VLOOKUP(A210, BASE!$A$4:$E$10003, 5, FALSE))</f>
        <v/>
      </c>
      <c r="F210" t="str">
        <f t="shared" si="3"/>
        <v/>
      </c>
    </row>
    <row r="211" spans="1:6">
      <c r="A211" t="str">
        <f>IFERROR(INDEX(BASE!$A$4:$A$10003, SMALL(IF(BASE!$F$4:$F$10003="CARREGADO", ROW(BASE!$A$4:$A$10003)-ROW(BASE!$A$4)+1), ROW(A210))), "")</f>
        <v/>
      </c>
      <c r="B211" t="str">
        <f>IF(A211="", "", VLOOKUP(A211, BASE!$A$4:$B$10003, 2, FALSE))</f>
        <v/>
      </c>
      <c r="C211" t="str">
        <f>IF(A211="", "", VLOOKUP(A211, BASE!$A$4:$C$10003, 3, FALSE))</f>
        <v/>
      </c>
      <c r="D211" t="str">
        <f>IF(A211="", "", VLOOKUP(A211, BASE!$A$4:$D$10003, 4, FALSE))</f>
        <v/>
      </c>
      <c r="E211" t="str">
        <f>IF(A211="", "", VLOOKUP(A211, BASE!$A$4:$E$10003, 5, FALSE))</f>
        <v/>
      </c>
      <c r="F211" t="str">
        <f t="shared" si="3"/>
        <v/>
      </c>
    </row>
    <row r="212" spans="1:6">
      <c r="A212" t="str">
        <f>IFERROR(INDEX(BASE!$A$4:$A$10003, SMALL(IF(BASE!$F$4:$F$10003="CARREGADO", ROW(BASE!$A$4:$A$10003)-ROW(BASE!$A$4)+1), ROW(A211))), "")</f>
        <v/>
      </c>
      <c r="B212" t="str">
        <f>IF(A212="", "", VLOOKUP(A212, BASE!$A$4:$B$10003, 2, FALSE))</f>
        <v/>
      </c>
      <c r="C212" t="str">
        <f>IF(A212="", "", VLOOKUP(A212, BASE!$A$4:$C$10003, 3, FALSE))</f>
        <v/>
      </c>
      <c r="D212" t="str">
        <f>IF(A212="", "", VLOOKUP(A212, BASE!$A$4:$D$10003, 4, FALSE))</f>
        <v/>
      </c>
      <c r="E212" t="str">
        <f>IF(A212="", "", VLOOKUP(A212, BASE!$A$4:$E$10003, 5, FALSE))</f>
        <v/>
      </c>
      <c r="F212" t="str">
        <f t="shared" si="3"/>
        <v/>
      </c>
    </row>
    <row r="213" spans="1:6">
      <c r="A213" t="str">
        <f>IFERROR(INDEX(BASE!$A$4:$A$10003, SMALL(IF(BASE!$F$4:$F$10003="CARREGADO", ROW(BASE!$A$4:$A$10003)-ROW(BASE!$A$4)+1), ROW(A212))), "")</f>
        <v/>
      </c>
      <c r="B213" t="str">
        <f>IF(A213="", "", VLOOKUP(A213, BASE!$A$4:$B$10003, 2, FALSE))</f>
        <v/>
      </c>
      <c r="C213" t="str">
        <f>IF(A213="", "", VLOOKUP(A213, BASE!$A$4:$C$10003, 3, FALSE))</f>
        <v/>
      </c>
      <c r="D213" t="str">
        <f>IF(A213="", "", VLOOKUP(A213, BASE!$A$4:$D$10003, 4, FALSE))</f>
        <v/>
      </c>
      <c r="E213" t="str">
        <f>IF(A213="", "", VLOOKUP(A213, BASE!$A$4:$E$10003, 5, FALSE))</f>
        <v/>
      </c>
      <c r="F213" t="str">
        <f t="shared" si="3"/>
        <v/>
      </c>
    </row>
    <row r="214" spans="1:6">
      <c r="A214" t="str">
        <f>IFERROR(INDEX(BASE!$A$4:$A$10003, SMALL(IF(BASE!$F$4:$F$10003="CARREGADO", ROW(BASE!$A$4:$A$10003)-ROW(BASE!$A$4)+1), ROW(A213))), "")</f>
        <v/>
      </c>
      <c r="B214" t="str">
        <f>IF(A214="", "", VLOOKUP(A214, BASE!$A$4:$B$10003, 2, FALSE))</f>
        <v/>
      </c>
      <c r="C214" t="str">
        <f>IF(A214="", "", VLOOKUP(A214, BASE!$A$4:$C$10003, 3, FALSE))</f>
        <v/>
      </c>
      <c r="D214" t="str">
        <f>IF(A214="", "", VLOOKUP(A214, BASE!$A$4:$D$10003, 4, FALSE))</f>
        <v/>
      </c>
      <c r="E214" t="str">
        <f>IF(A214="", "", VLOOKUP(A214, BASE!$A$4:$E$10003, 5, FALSE))</f>
        <v/>
      </c>
      <c r="F214" t="str">
        <f t="shared" si="3"/>
        <v/>
      </c>
    </row>
    <row r="215" spans="1:6">
      <c r="A215" t="str">
        <f>IFERROR(INDEX(BASE!$A$4:$A$10003, SMALL(IF(BASE!$F$4:$F$10003="CARREGADO", ROW(BASE!$A$4:$A$10003)-ROW(BASE!$A$4)+1), ROW(A214))), "")</f>
        <v/>
      </c>
      <c r="B215" t="str">
        <f>IF(A215="", "", VLOOKUP(A215, BASE!$A$4:$B$10003, 2, FALSE))</f>
        <v/>
      </c>
      <c r="C215" t="str">
        <f>IF(A215="", "", VLOOKUP(A215, BASE!$A$4:$C$10003, 3, FALSE))</f>
        <v/>
      </c>
      <c r="D215" t="str">
        <f>IF(A215="", "", VLOOKUP(A215, BASE!$A$4:$D$10003, 4, FALSE))</f>
        <v/>
      </c>
      <c r="E215" t="str">
        <f>IF(A215="", "", VLOOKUP(A215, BASE!$A$4:$E$10003, 5, FALSE))</f>
        <v/>
      </c>
      <c r="F215" t="str">
        <f t="shared" si="3"/>
        <v/>
      </c>
    </row>
    <row r="216" spans="1:6">
      <c r="A216" t="str">
        <f>IFERROR(INDEX(BASE!$A$4:$A$10003, SMALL(IF(BASE!$F$4:$F$10003="CARREGADO", ROW(BASE!$A$4:$A$10003)-ROW(BASE!$A$4)+1), ROW(A215))), "")</f>
        <v/>
      </c>
      <c r="B216" t="str">
        <f>IF(A216="", "", VLOOKUP(A216, BASE!$A$4:$B$10003, 2, FALSE))</f>
        <v/>
      </c>
      <c r="C216" t="str">
        <f>IF(A216="", "", VLOOKUP(A216, BASE!$A$4:$C$10003, 3, FALSE))</f>
        <v/>
      </c>
      <c r="D216" t="str">
        <f>IF(A216="", "", VLOOKUP(A216, BASE!$A$4:$D$10003, 4, FALSE))</f>
        <v/>
      </c>
      <c r="E216" t="str">
        <f>IF(A216="", "", VLOOKUP(A216, BASE!$A$4:$E$10003, 5, FALSE))</f>
        <v/>
      </c>
      <c r="F216" t="str">
        <f t="shared" si="3"/>
        <v/>
      </c>
    </row>
    <row r="217" spans="1:6">
      <c r="A217" t="str">
        <f>IFERROR(INDEX(BASE!$A$4:$A$10003, SMALL(IF(BASE!$F$4:$F$10003="CARREGADO", ROW(BASE!$A$4:$A$10003)-ROW(BASE!$A$4)+1), ROW(A216))), "")</f>
        <v/>
      </c>
      <c r="B217" t="str">
        <f>IF(A217="", "", VLOOKUP(A217, BASE!$A$4:$B$10003, 2, FALSE))</f>
        <v/>
      </c>
      <c r="C217" t="str">
        <f>IF(A217="", "", VLOOKUP(A217, BASE!$A$4:$C$10003, 3, FALSE))</f>
        <v/>
      </c>
      <c r="D217" t="str">
        <f>IF(A217="", "", VLOOKUP(A217, BASE!$A$4:$D$10003, 4, FALSE))</f>
        <v/>
      </c>
      <c r="E217" t="str">
        <f>IF(A217="", "", VLOOKUP(A217, BASE!$A$4:$E$10003, 5, FALSE))</f>
        <v/>
      </c>
      <c r="F217" t="str">
        <f t="shared" si="3"/>
        <v/>
      </c>
    </row>
    <row r="218" spans="1:6">
      <c r="A218" t="str">
        <f>IFERROR(INDEX(BASE!$A$4:$A$10003, SMALL(IF(BASE!$F$4:$F$10003="CARREGADO", ROW(BASE!$A$4:$A$10003)-ROW(BASE!$A$4)+1), ROW(A217))), "")</f>
        <v/>
      </c>
      <c r="B218" t="str">
        <f>IF(A218="", "", VLOOKUP(A218, BASE!$A$4:$B$10003, 2, FALSE))</f>
        <v/>
      </c>
      <c r="C218" t="str">
        <f>IF(A218="", "", VLOOKUP(A218, BASE!$A$4:$C$10003, 3, FALSE))</f>
        <v/>
      </c>
      <c r="D218" t="str">
        <f>IF(A218="", "", VLOOKUP(A218, BASE!$A$4:$D$10003, 4, FALSE))</f>
        <v/>
      </c>
      <c r="E218" t="str">
        <f>IF(A218="", "", VLOOKUP(A218, BASE!$A$4:$E$10003, 5, FALSE))</f>
        <v/>
      </c>
      <c r="F218" t="str">
        <f t="shared" si="3"/>
        <v/>
      </c>
    </row>
    <row r="219" spans="1:6">
      <c r="A219" t="str">
        <f>IFERROR(INDEX(BASE!$A$4:$A$10003, SMALL(IF(BASE!$F$4:$F$10003="CARREGADO", ROW(BASE!$A$4:$A$10003)-ROW(BASE!$A$4)+1), ROW(A218))), "")</f>
        <v/>
      </c>
      <c r="B219" t="str">
        <f>IF(A219="", "", VLOOKUP(A219, BASE!$A$4:$B$10003, 2, FALSE))</f>
        <v/>
      </c>
      <c r="C219" t="str">
        <f>IF(A219="", "", VLOOKUP(A219, BASE!$A$4:$C$10003, 3, FALSE))</f>
        <v/>
      </c>
      <c r="D219" t="str">
        <f>IF(A219="", "", VLOOKUP(A219, BASE!$A$4:$D$10003, 4, FALSE))</f>
        <v/>
      </c>
      <c r="E219" t="str">
        <f>IF(A219="", "", VLOOKUP(A219, BASE!$A$4:$E$10003, 5, FALSE))</f>
        <v/>
      </c>
      <c r="F219" t="str">
        <f t="shared" si="3"/>
        <v/>
      </c>
    </row>
    <row r="220" spans="1:6">
      <c r="A220" t="str">
        <f>IFERROR(INDEX(BASE!$A$4:$A$10003, SMALL(IF(BASE!$F$4:$F$10003="CARREGADO", ROW(BASE!$A$4:$A$10003)-ROW(BASE!$A$4)+1), ROW(A219))), "")</f>
        <v/>
      </c>
      <c r="B220" t="str">
        <f>IF(A220="", "", VLOOKUP(A220, BASE!$A$4:$B$10003, 2, FALSE))</f>
        <v/>
      </c>
      <c r="C220" t="str">
        <f>IF(A220="", "", VLOOKUP(A220, BASE!$A$4:$C$10003, 3, FALSE))</f>
        <v/>
      </c>
      <c r="D220" t="str">
        <f>IF(A220="", "", VLOOKUP(A220, BASE!$A$4:$D$10003, 4, FALSE))</f>
        <v/>
      </c>
      <c r="E220" t="str">
        <f>IF(A220="", "", VLOOKUP(A220, BASE!$A$4:$E$10003, 5, FALSE))</f>
        <v/>
      </c>
      <c r="F220" t="str">
        <f t="shared" si="3"/>
        <v/>
      </c>
    </row>
    <row r="221" spans="1:6">
      <c r="A221" t="str">
        <f>IFERROR(INDEX(BASE!$A$4:$A$10003, SMALL(IF(BASE!$F$4:$F$10003="CARREGADO", ROW(BASE!$A$4:$A$10003)-ROW(BASE!$A$4)+1), ROW(A220))), "")</f>
        <v/>
      </c>
      <c r="B221" t="str">
        <f>IF(A221="", "", VLOOKUP(A221, BASE!$A$4:$B$10003, 2, FALSE))</f>
        <v/>
      </c>
      <c r="C221" t="str">
        <f>IF(A221="", "", VLOOKUP(A221, BASE!$A$4:$C$10003, 3, FALSE))</f>
        <v/>
      </c>
      <c r="D221" t="str">
        <f>IF(A221="", "", VLOOKUP(A221, BASE!$A$4:$D$10003, 4, FALSE))</f>
        <v/>
      </c>
      <c r="E221" t="str">
        <f>IF(A221="", "", VLOOKUP(A221, BASE!$A$4:$E$10003, 5, FALSE))</f>
        <v/>
      </c>
      <c r="F221" t="str">
        <f t="shared" si="3"/>
        <v/>
      </c>
    </row>
    <row r="222" spans="1:6">
      <c r="A222" t="str">
        <f>IFERROR(INDEX(BASE!$A$4:$A$10003, SMALL(IF(BASE!$F$4:$F$10003="CARREGADO", ROW(BASE!$A$4:$A$10003)-ROW(BASE!$A$4)+1), ROW(A221))), "")</f>
        <v/>
      </c>
      <c r="B222" t="str">
        <f>IF(A222="", "", VLOOKUP(A222, BASE!$A$4:$B$10003, 2, FALSE))</f>
        <v/>
      </c>
      <c r="C222" t="str">
        <f>IF(A222="", "", VLOOKUP(A222, BASE!$A$4:$C$10003, 3, FALSE))</f>
        <v/>
      </c>
      <c r="D222" t="str">
        <f>IF(A222="", "", VLOOKUP(A222, BASE!$A$4:$D$10003, 4, FALSE))</f>
        <v/>
      </c>
      <c r="E222" t="str">
        <f>IF(A222="", "", VLOOKUP(A222, BASE!$A$4:$E$10003, 5, FALSE))</f>
        <v/>
      </c>
      <c r="F222" t="str">
        <f t="shared" si="3"/>
        <v/>
      </c>
    </row>
    <row r="223" spans="1:6">
      <c r="A223" t="str">
        <f>IFERROR(INDEX(BASE!$A$4:$A$10003, SMALL(IF(BASE!$F$4:$F$10003="CARREGADO", ROW(BASE!$A$4:$A$10003)-ROW(BASE!$A$4)+1), ROW(A222))), "")</f>
        <v/>
      </c>
      <c r="B223" t="str">
        <f>IF(A223="", "", VLOOKUP(A223, BASE!$A$4:$B$10003, 2, FALSE))</f>
        <v/>
      </c>
      <c r="C223" t="str">
        <f>IF(A223="", "", VLOOKUP(A223, BASE!$A$4:$C$10003, 3, FALSE))</f>
        <v/>
      </c>
      <c r="D223" t="str">
        <f>IF(A223="", "", VLOOKUP(A223, BASE!$A$4:$D$10003, 4, FALSE))</f>
        <v/>
      </c>
      <c r="E223" t="str">
        <f>IF(A223="", "", VLOOKUP(A223, BASE!$A$4:$E$10003, 5, FALSE))</f>
        <v/>
      </c>
      <c r="F223" t="str">
        <f t="shared" si="3"/>
        <v/>
      </c>
    </row>
    <row r="224" spans="1:6">
      <c r="A224" t="str">
        <f>IFERROR(INDEX(BASE!$A$4:$A$10003, SMALL(IF(BASE!$F$4:$F$10003="CARREGADO", ROW(BASE!$A$4:$A$10003)-ROW(BASE!$A$4)+1), ROW(A223))), "")</f>
        <v/>
      </c>
      <c r="B224" t="str">
        <f>IF(A224="", "", VLOOKUP(A224, BASE!$A$4:$B$10003, 2, FALSE))</f>
        <v/>
      </c>
      <c r="C224" t="str">
        <f>IF(A224="", "", VLOOKUP(A224, BASE!$A$4:$C$10003, 3, FALSE))</f>
        <v/>
      </c>
      <c r="D224" t="str">
        <f>IF(A224="", "", VLOOKUP(A224, BASE!$A$4:$D$10003, 4, FALSE))</f>
        <v/>
      </c>
      <c r="E224" t="str">
        <f>IF(A224="", "", VLOOKUP(A224, BASE!$A$4:$E$10003, 5, FALSE))</f>
        <v/>
      </c>
      <c r="F224" t="str">
        <f t="shared" si="3"/>
        <v/>
      </c>
    </row>
    <row r="225" spans="1:6">
      <c r="A225" t="str">
        <f>IFERROR(INDEX(BASE!$A$4:$A$10003, SMALL(IF(BASE!$F$4:$F$10003="CARREGADO", ROW(BASE!$A$4:$A$10003)-ROW(BASE!$A$4)+1), ROW(A224))), "")</f>
        <v/>
      </c>
      <c r="B225" t="str">
        <f>IF(A225="", "", VLOOKUP(A225, BASE!$A$4:$B$10003, 2, FALSE))</f>
        <v/>
      </c>
      <c r="C225" t="str">
        <f>IF(A225="", "", VLOOKUP(A225, BASE!$A$4:$C$10003, 3, FALSE))</f>
        <v/>
      </c>
      <c r="D225" t="str">
        <f>IF(A225="", "", VLOOKUP(A225, BASE!$A$4:$D$10003, 4, FALSE))</f>
        <v/>
      </c>
      <c r="E225" t="str">
        <f>IF(A225="", "", VLOOKUP(A225, BASE!$A$4:$E$10003, 5, FALSE))</f>
        <v/>
      </c>
      <c r="F225" t="str">
        <f t="shared" si="3"/>
        <v/>
      </c>
    </row>
    <row r="226" spans="1:6">
      <c r="A226" t="str">
        <f>IFERROR(INDEX(BASE!$A$4:$A$10003, SMALL(IF(BASE!$F$4:$F$10003="CARREGADO", ROW(BASE!$A$4:$A$10003)-ROW(BASE!$A$4)+1), ROW(A225))), "")</f>
        <v/>
      </c>
      <c r="B226" t="str">
        <f>IF(A226="", "", VLOOKUP(A226, BASE!$A$4:$B$10003, 2, FALSE))</f>
        <v/>
      </c>
      <c r="C226" t="str">
        <f>IF(A226="", "", VLOOKUP(A226, BASE!$A$4:$C$10003, 3, FALSE))</f>
        <v/>
      </c>
      <c r="D226" t="str">
        <f>IF(A226="", "", VLOOKUP(A226, BASE!$A$4:$D$10003, 4, FALSE))</f>
        <v/>
      </c>
      <c r="E226" t="str">
        <f>IF(A226="", "", VLOOKUP(A226, BASE!$A$4:$E$10003, 5, FALSE))</f>
        <v/>
      </c>
      <c r="F226" t="str">
        <f t="shared" si="3"/>
        <v/>
      </c>
    </row>
    <row r="227" spans="1:6">
      <c r="A227" t="str">
        <f>IFERROR(INDEX(BASE!$A$4:$A$10003, SMALL(IF(BASE!$F$4:$F$10003="CARREGADO", ROW(BASE!$A$4:$A$10003)-ROW(BASE!$A$4)+1), ROW(A226))), "")</f>
        <v/>
      </c>
      <c r="B227" t="str">
        <f>IF(A227="", "", VLOOKUP(A227, BASE!$A$4:$B$10003, 2, FALSE))</f>
        <v/>
      </c>
      <c r="C227" t="str">
        <f>IF(A227="", "", VLOOKUP(A227, BASE!$A$4:$C$10003, 3, FALSE))</f>
        <v/>
      </c>
      <c r="D227" t="str">
        <f>IF(A227="", "", VLOOKUP(A227, BASE!$A$4:$D$10003, 4, FALSE))</f>
        <v/>
      </c>
      <c r="E227" t="str">
        <f>IF(A227="", "", VLOOKUP(A227, BASE!$A$4:$E$10003, 5, FALSE))</f>
        <v/>
      </c>
      <c r="F227" t="str">
        <f t="shared" si="3"/>
        <v/>
      </c>
    </row>
    <row r="228" spans="1:6">
      <c r="A228" t="str">
        <f>IFERROR(INDEX(BASE!$A$4:$A$10003, SMALL(IF(BASE!$F$4:$F$10003="CARREGADO", ROW(BASE!$A$4:$A$10003)-ROW(BASE!$A$4)+1), ROW(A227))), "")</f>
        <v/>
      </c>
      <c r="B228" t="str">
        <f>IF(A228="", "", VLOOKUP(A228, BASE!$A$4:$B$10003, 2, FALSE))</f>
        <v/>
      </c>
      <c r="C228" t="str">
        <f>IF(A228="", "", VLOOKUP(A228, BASE!$A$4:$C$10003, 3, FALSE))</f>
        <v/>
      </c>
      <c r="D228" t="str">
        <f>IF(A228="", "", VLOOKUP(A228, BASE!$A$4:$D$10003, 4, FALSE))</f>
        <v/>
      </c>
      <c r="E228" t="str">
        <f>IF(A228="", "", VLOOKUP(A228, BASE!$A$4:$E$10003, 5, FALSE))</f>
        <v/>
      </c>
      <c r="F228" t="str">
        <f t="shared" si="3"/>
        <v/>
      </c>
    </row>
    <row r="229" spans="1:6">
      <c r="A229" t="str">
        <f>IFERROR(INDEX(BASE!$A$4:$A$10003, SMALL(IF(BASE!$F$4:$F$10003="CARREGADO", ROW(BASE!$A$4:$A$10003)-ROW(BASE!$A$4)+1), ROW(A228))), "")</f>
        <v/>
      </c>
      <c r="B229" t="str">
        <f>IF(A229="", "", VLOOKUP(A229, BASE!$A$4:$B$10003, 2, FALSE))</f>
        <v/>
      </c>
      <c r="C229" t="str">
        <f>IF(A229="", "", VLOOKUP(A229, BASE!$A$4:$C$10003, 3, FALSE))</f>
        <v/>
      </c>
      <c r="D229" t="str">
        <f>IF(A229="", "", VLOOKUP(A229, BASE!$A$4:$D$10003, 4, FALSE))</f>
        <v/>
      </c>
      <c r="E229" t="str">
        <f>IF(A229="", "", VLOOKUP(A229, BASE!$A$4:$E$10003, 5, FALSE))</f>
        <v/>
      </c>
      <c r="F229" t="str">
        <f t="shared" si="3"/>
        <v/>
      </c>
    </row>
    <row r="230" spans="1:6">
      <c r="A230" t="str">
        <f>IFERROR(INDEX(BASE!$A$4:$A$10003, SMALL(IF(BASE!$F$4:$F$10003="CARREGADO", ROW(BASE!$A$4:$A$10003)-ROW(BASE!$A$4)+1), ROW(A229))), "")</f>
        <v/>
      </c>
      <c r="B230" t="str">
        <f>IF(A230="", "", VLOOKUP(A230, BASE!$A$4:$B$10003, 2, FALSE))</f>
        <v/>
      </c>
      <c r="C230" t="str">
        <f>IF(A230="", "", VLOOKUP(A230, BASE!$A$4:$C$10003, 3, FALSE))</f>
        <v/>
      </c>
      <c r="D230" t="str">
        <f>IF(A230="", "", VLOOKUP(A230, BASE!$A$4:$D$10003, 4, FALSE))</f>
        <v/>
      </c>
      <c r="E230" t="str">
        <f>IF(A230="", "", VLOOKUP(A230, BASE!$A$4:$E$10003, 5, FALSE))</f>
        <v/>
      </c>
      <c r="F230" t="str">
        <f t="shared" si="3"/>
        <v/>
      </c>
    </row>
    <row r="231" spans="1:6">
      <c r="A231" t="str">
        <f>IFERROR(INDEX(BASE!$A$4:$A$10003, SMALL(IF(BASE!$F$4:$F$10003="CARREGADO", ROW(BASE!$A$4:$A$10003)-ROW(BASE!$A$4)+1), ROW(A230))), "")</f>
        <v/>
      </c>
      <c r="B231" t="str">
        <f>IF(A231="", "", VLOOKUP(A231, BASE!$A$4:$B$10003, 2, FALSE))</f>
        <v/>
      </c>
      <c r="C231" t="str">
        <f>IF(A231="", "", VLOOKUP(A231, BASE!$A$4:$C$10003, 3, FALSE))</f>
        <v/>
      </c>
      <c r="D231" t="str">
        <f>IF(A231="", "", VLOOKUP(A231, BASE!$A$4:$D$10003, 4, FALSE))</f>
        <v/>
      </c>
      <c r="E231" t="str">
        <f>IF(A231="", "", VLOOKUP(A231, BASE!$A$4:$E$10003, 5, FALSE))</f>
        <v/>
      </c>
      <c r="F231" t="str">
        <f t="shared" si="3"/>
        <v/>
      </c>
    </row>
    <row r="232" spans="1:6">
      <c r="A232" t="str">
        <f>IFERROR(INDEX(BASE!$A$4:$A$10003, SMALL(IF(BASE!$F$4:$F$10003="CARREGADO", ROW(BASE!$A$4:$A$10003)-ROW(BASE!$A$4)+1), ROW(A231))), "")</f>
        <v/>
      </c>
      <c r="B232" t="str">
        <f>IF(A232="", "", VLOOKUP(A232, BASE!$A$4:$B$10003, 2, FALSE))</f>
        <v/>
      </c>
      <c r="C232" t="str">
        <f>IF(A232="", "", VLOOKUP(A232, BASE!$A$4:$C$10003, 3, FALSE))</f>
        <v/>
      </c>
      <c r="D232" t="str">
        <f>IF(A232="", "", VLOOKUP(A232, BASE!$A$4:$D$10003, 4, FALSE))</f>
        <v/>
      </c>
      <c r="E232" t="str">
        <f>IF(A232="", "", VLOOKUP(A232, BASE!$A$4:$E$10003, 5, FALSE))</f>
        <v/>
      </c>
      <c r="F232" t="str">
        <f t="shared" si="3"/>
        <v/>
      </c>
    </row>
    <row r="233" spans="1:6">
      <c r="A233" t="str">
        <f>IFERROR(INDEX(BASE!$A$4:$A$10003, SMALL(IF(BASE!$F$4:$F$10003="CARREGADO", ROW(BASE!$A$4:$A$10003)-ROW(BASE!$A$4)+1), ROW(A232))), "")</f>
        <v/>
      </c>
      <c r="B233" t="str">
        <f>IF(A233="", "", VLOOKUP(A233, BASE!$A$4:$B$10003, 2, FALSE))</f>
        <v/>
      </c>
      <c r="C233" t="str">
        <f>IF(A233="", "", VLOOKUP(A233, BASE!$A$4:$C$10003, 3, FALSE))</f>
        <v/>
      </c>
      <c r="D233" t="str">
        <f>IF(A233="", "", VLOOKUP(A233, BASE!$A$4:$D$10003, 4, FALSE))</f>
        <v/>
      </c>
      <c r="E233" t="str">
        <f>IF(A233="", "", VLOOKUP(A233, BASE!$A$4:$E$10003, 5, FALSE))</f>
        <v/>
      </c>
      <c r="F233" t="str">
        <f t="shared" si="3"/>
        <v/>
      </c>
    </row>
    <row r="234" spans="1:6">
      <c r="A234" t="str">
        <f>IFERROR(INDEX(BASE!$A$4:$A$10003, SMALL(IF(BASE!$F$4:$F$10003="CARREGADO", ROW(BASE!$A$4:$A$10003)-ROW(BASE!$A$4)+1), ROW(A233))), "")</f>
        <v/>
      </c>
      <c r="B234" t="str">
        <f>IF(A234="", "", VLOOKUP(A234, BASE!$A$4:$B$10003, 2, FALSE))</f>
        <v/>
      </c>
      <c r="C234" t="str">
        <f>IF(A234="", "", VLOOKUP(A234, BASE!$A$4:$C$10003, 3, FALSE))</f>
        <v/>
      </c>
      <c r="D234" t="str">
        <f>IF(A234="", "", VLOOKUP(A234, BASE!$A$4:$D$10003, 4, FALSE))</f>
        <v/>
      </c>
      <c r="E234" t="str">
        <f>IF(A234="", "", VLOOKUP(A234, BASE!$A$4:$E$10003, 5, FALSE))</f>
        <v/>
      </c>
      <c r="F234" t="str">
        <f t="shared" si="3"/>
        <v/>
      </c>
    </row>
    <row r="235" spans="1:6">
      <c r="A235" t="str">
        <f>IFERROR(INDEX(BASE!$A$4:$A$10003, SMALL(IF(BASE!$F$4:$F$10003="CARREGADO", ROW(BASE!$A$4:$A$10003)-ROW(BASE!$A$4)+1), ROW(A234))), "")</f>
        <v/>
      </c>
      <c r="B235" t="str">
        <f>IF(A235="", "", VLOOKUP(A235, BASE!$A$4:$B$10003, 2, FALSE))</f>
        <v/>
      </c>
      <c r="C235" t="str">
        <f>IF(A235="", "", VLOOKUP(A235, BASE!$A$4:$C$10003, 3, FALSE))</f>
        <v/>
      </c>
      <c r="D235" t="str">
        <f>IF(A235="", "", VLOOKUP(A235, BASE!$A$4:$D$10003, 4, FALSE))</f>
        <v/>
      </c>
      <c r="E235" t="str">
        <f>IF(A235="", "", VLOOKUP(A235, BASE!$A$4:$E$10003, 5, FALSE))</f>
        <v/>
      </c>
      <c r="F235" t="str">
        <f t="shared" si="3"/>
        <v/>
      </c>
    </row>
    <row r="236" spans="1:6">
      <c r="A236" t="str">
        <f>IFERROR(INDEX(BASE!$A$4:$A$10003, SMALL(IF(BASE!$F$4:$F$10003="CARREGADO", ROW(BASE!$A$4:$A$10003)-ROW(BASE!$A$4)+1), ROW(A235))), "")</f>
        <v/>
      </c>
      <c r="B236" t="str">
        <f>IF(A236="", "", VLOOKUP(A236, BASE!$A$4:$B$10003, 2, FALSE))</f>
        <v/>
      </c>
      <c r="C236" t="str">
        <f>IF(A236="", "", VLOOKUP(A236, BASE!$A$4:$C$10003, 3, FALSE))</f>
        <v/>
      </c>
      <c r="D236" t="str">
        <f>IF(A236="", "", VLOOKUP(A236, BASE!$A$4:$D$10003, 4, FALSE))</f>
        <v/>
      </c>
      <c r="E236" t="str">
        <f>IF(A236="", "", VLOOKUP(A236, BASE!$A$4:$E$10003, 5, FALSE))</f>
        <v/>
      </c>
      <c r="F236" t="str">
        <f t="shared" si="3"/>
        <v/>
      </c>
    </row>
    <row r="237" spans="1:6">
      <c r="A237" t="str">
        <f>IFERROR(INDEX(BASE!$A$4:$A$10003, SMALL(IF(BASE!$F$4:$F$10003="CARREGADO", ROW(BASE!$A$4:$A$10003)-ROW(BASE!$A$4)+1), ROW(A236))), "")</f>
        <v/>
      </c>
      <c r="B237" t="str">
        <f>IF(A237="", "", VLOOKUP(A237, BASE!$A$4:$B$10003, 2, FALSE))</f>
        <v/>
      </c>
      <c r="C237" t="str">
        <f>IF(A237="", "", VLOOKUP(A237, BASE!$A$4:$C$10003, 3, FALSE))</f>
        <v/>
      </c>
      <c r="D237" t="str">
        <f>IF(A237="", "", VLOOKUP(A237, BASE!$A$4:$D$10003, 4, FALSE))</f>
        <v/>
      </c>
      <c r="E237" t="str">
        <f>IF(A237="", "", VLOOKUP(A237, BASE!$A$4:$E$10003, 5, FALSE))</f>
        <v/>
      </c>
      <c r="F237" t="str">
        <f t="shared" si="3"/>
        <v/>
      </c>
    </row>
    <row r="238" spans="1:6">
      <c r="A238" t="str">
        <f>IFERROR(INDEX(BASE!$A$4:$A$10003, SMALL(IF(BASE!$F$4:$F$10003="CARREGADO", ROW(BASE!$A$4:$A$10003)-ROW(BASE!$A$4)+1), ROW(A237))), "")</f>
        <v/>
      </c>
      <c r="B238" t="str">
        <f>IF(A238="", "", VLOOKUP(A238, BASE!$A$4:$B$10003, 2, FALSE))</f>
        <v/>
      </c>
      <c r="C238" t="str">
        <f>IF(A238="", "", VLOOKUP(A238, BASE!$A$4:$C$10003, 3, FALSE))</f>
        <v/>
      </c>
      <c r="D238" t="str">
        <f>IF(A238="", "", VLOOKUP(A238, BASE!$A$4:$D$10003, 4, FALSE))</f>
        <v/>
      </c>
      <c r="E238" t="str">
        <f>IF(A238="", "", VLOOKUP(A238, BASE!$A$4:$E$10003, 5, FALSE))</f>
        <v/>
      </c>
      <c r="F238" t="str">
        <f t="shared" si="3"/>
        <v/>
      </c>
    </row>
    <row r="239" spans="1:6">
      <c r="A239" t="str">
        <f>IFERROR(INDEX(BASE!$A$4:$A$10003, SMALL(IF(BASE!$F$4:$F$10003="CARREGADO", ROW(BASE!$A$4:$A$10003)-ROW(BASE!$A$4)+1), ROW(A238))), "")</f>
        <v/>
      </c>
      <c r="B239" t="str">
        <f>IF(A239="", "", VLOOKUP(A239, BASE!$A$4:$B$10003, 2, FALSE))</f>
        <v/>
      </c>
      <c r="C239" t="str">
        <f>IF(A239="", "", VLOOKUP(A239, BASE!$A$4:$C$10003, 3, FALSE))</f>
        <v/>
      </c>
      <c r="D239" t="str">
        <f>IF(A239="", "", VLOOKUP(A239, BASE!$A$4:$D$10003, 4, FALSE))</f>
        <v/>
      </c>
      <c r="E239" t="str">
        <f>IF(A239="", "", VLOOKUP(A239, BASE!$A$4:$E$10003, 5, FALSE))</f>
        <v/>
      </c>
      <c r="F239" t="str">
        <f t="shared" si="3"/>
        <v/>
      </c>
    </row>
    <row r="240" spans="1:6">
      <c r="A240" t="str">
        <f>IFERROR(INDEX(BASE!$A$4:$A$10003, SMALL(IF(BASE!$F$4:$F$10003="CARREGADO", ROW(BASE!$A$4:$A$10003)-ROW(BASE!$A$4)+1), ROW(A239))), "")</f>
        <v/>
      </c>
      <c r="B240" t="str">
        <f>IF(A240="", "", VLOOKUP(A240, BASE!$A$4:$B$10003, 2, FALSE))</f>
        <v/>
      </c>
      <c r="C240" t="str">
        <f>IF(A240="", "", VLOOKUP(A240, BASE!$A$4:$C$10003, 3, FALSE))</f>
        <v/>
      </c>
      <c r="D240" t="str">
        <f>IF(A240="", "", VLOOKUP(A240, BASE!$A$4:$D$10003, 4, FALSE))</f>
        <v/>
      </c>
      <c r="E240" t="str">
        <f>IF(A240="", "", VLOOKUP(A240, BASE!$A$4:$E$10003, 5, FALSE))</f>
        <v/>
      </c>
      <c r="F240" t="str">
        <f t="shared" si="3"/>
        <v/>
      </c>
    </row>
    <row r="241" spans="1:6">
      <c r="A241" t="str">
        <f>IFERROR(INDEX(BASE!$A$4:$A$10003, SMALL(IF(BASE!$F$4:$F$10003="CARREGADO", ROW(BASE!$A$4:$A$10003)-ROW(BASE!$A$4)+1), ROW(A240))), "")</f>
        <v/>
      </c>
      <c r="B241" t="str">
        <f>IF(A241="", "", VLOOKUP(A241, BASE!$A$4:$B$10003, 2, FALSE))</f>
        <v/>
      </c>
      <c r="C241" t="str">
        <f>IF(A241="", "", VLOOKUP(A241, BASE!$A$4:$C$10003, 3, FALSE))</f>
        <v/>
      </c>
      <c r="D241" t="str">
        <f>IF(A241="", "", VLOOKUP(A241, BASE!$A$4:$D$10003, 4, FALSE))</f>
        <v/>
      </c>
      <c r="E241" t="str">
        <f>IF(A241="", "", VLOOKUP(A241, BASE!$A$4:$E$10003, 5, FALSE))</f>
        <v/>
      </c>
      <c r="F241" t="str">
        <f t="shared" si="3"/>
        <v/>
      </c>
    </row>
    <row r="242" spans="1:6">
      <c r="A242" t="str">
        <f>IFERROR(INDEX(BASE!$A$4:$A$10003, SMALL(IF(BASE!$F$4:$F$10003="CARREGADO", ROW(BASE!$A$4:$A$10003)-ROW(BASE!$A$4)+1), ROW(A241))), "")</f>
        <v/>
      </c>
      <c r="B242" t="str">
        <f>IF(A242="", "", VLOOKUP(A242, BASE!$A$4:$B$10003, 2, FALSE))</f>
        <v/>
      </c>
      <c r="C242" t="str">
        <f>IF(A242="", "", VLOOKUP(A242, BASE!$A$4:$C$10003, 3, FALSE))</f>
        <v/>
      </c>
      <c r="D242" t="str">
        <f>IF(A242="", "", VLOOKUP(A242, BASE!$A$4:$D$10003, 4, FALSE))</f>
        <v/>
      </c>
      <c r="E242" t="str">
        <f>IF(A242="", "", VLOOKUP(A242, BASE!$A$4:$E$10003, 5, FALSE))</f>
        <v/>
      </c>
      <c r="F242" t="str">
        <f t="shared" si="3"/>
        <v/>
      </c>
    </row>
    <row r="243" spans="1:6">
      <c r="A243" t="str">
        <f>IFERROR(INDEX(BASE!$A$4:$A$10003, SMALL(IF(BASE!$F$4:$F$10003="CARREGADO", ROW(BASE!$A$4:$A$10003)-ROW(BASE!$A$4)+1), ROW(A242))), "")</f>
        <v/>
      </c>
      <c r="B243" t="str">
        <f>IF(A243="", "", VLOOKUP(A243, BASE!$A$4:$B$10003, 2, FALSE))</f>
        <v/>
      </c>
      <c r="C243" t="str">
        <f>IF(A243="", "", VLOOKUP(A243, BASE!$A$4:$C$10003, 3, FALSE))</f>
        <v/>
      </c>
      <c r="D243" t="str">
        <f>IF(A243="", "", VLOOKUP(A243, BASE!$A$4:$D$10003, 4, FALSE))</f>
        <v/>
      </c>
      <c r="E243" t="str">
        <f>IF(A243="", "", VLOOKUP(A243, BASE!$A$4:$E$10003, 5, FALSE))</f>
        <v/>
      </c>
      <c r="F243" t="str">
        <f t="shared" si="3"/>
        <v/>
      </c>
    </row>
    <row r="244" spans="1:6">
      <c r="A244" t="str">
        <f>IFERROR(INDEX(BASE!$A$4:$A$10003, SMALL(IF(BASE!$F$4:$F$10003="CARREGADO", ROW(BASE!$A$4:$A$10003)-ROW(BASE!$A$4)+1), ROW(A243))), "")</f>
        <v/>
      </c>
      <c r="B244" t="str">
        <f>IF(A244="", "", VLOOKUP(A244, BASE!$A$4:$B$10003, 2, FALSE))</f>
        <v/>
      </c>
      <c r="C244" t="str">
        <f>IF(A244="", "", VLOOKUP(A244, BASE!$A$4:$C$10003, 3, FALSE))</f>
        <v/>
      </c>
      <c r="D244" t="str">
        <f>IF(A244="", "", VLOOKUP(A244, BASE!$A$4:$D$10003, 4, FALSE))</f>
        <v/>
      </c>
      <c r="E244" t="str">
        <f>IF(A244="", "", VLOOKUP(A244, BASE!$A$4:$E$10003, 5, FALSE))</f>
        <v/>
      </c>
      <c r="F244" t="str">
        <f t="shared" si="3"/>
        <v/>
      </c>
    </row>
    <row r="245" spans="1:6">
      <c r="A245" t="str">
        <f>IFERROR(INDEX(BASE!$A$4:$A$10003, SMALL(IF(BASE!$F$4:$F$10003="CARREGADO", ROW(BASE!$A$4:$A$10003)-ROW(BASE!$A$4)+1), ROW(A244))), "")</f>
        <v/>
      </c>
      <c r="B245" t="str">
        <f>IF(A245="", "", VLOOKUP(A245, BASE!$A$4:$B$10003, 2, FALSE))</f>
        <v/>
      </c>
      <c r="C245" t="str">
        <f>IF(A245="", "", VLOOKUP(A245, BASE!$A$4:$C$10003, 3, FALSE))</f>
        <v/>
      </c>
      <c r="D245" t="str">
        <f>IF(A245="", "", VLOOKUP(A245, BASE!$A$4:$D$10003, 4, FALSE))</f>
        <v/>
      </c>
      <c r="E245" t="str">
        <f>IF(A245="", "", VLOOKUP(A245, BASE!$A$4:$E$10003, 5, FALSE))</f>
        <v/>
      </c>
      <c r="F245" t="str">
        <f t="shared" si="3"/>
        <v/>
      </c>
    </row>
    <row r="246" spans="1:6">
      <c r="A246" t="str">
        <f>IFERROR(INDEX(BASE!$A$4:$A$10003, SMALL(IF(BASE!$F$4:$F$10003="CARREGADO", ROW(BASE!$A$4:$A$10003)-ROW(BASE!$A$4)+1), ROW(A245))), "")</f>
        <v/>
      </c>
      <c r="B246" t="str">
        <f>IF(A246="", "", VLOOKUP(A246, BASE!$A$4:$B$10003, 2, FALSE))</f>
        <v/>
      </c>
      <c r="C246" t="str">
        <f>IF(A246="", "", VLOOKUP(A246, BASE!$A$4:$C$10003, 3, FALSE))</f>
        <v/>
      </c>
      <c r="D246" t="str">
        <f>IF(A246="", "", VLOOKUP(A246, BASE!$A$4:$D$10003, 4, FALSE))</f>
        <v/>
      </c>
      <c r="E246" t="str">
        <f>IF(A246="", "", VLOOKUP(A246, BASE!$A$4:$E$10003, 5, FALSE))</f>
        <v/>
      </c>
      <c r="F246" t="str">
        <f t="shared" si="3"/>
        <v/>
      </c>
    </row>
    <row r="247" spans="1:6">
      <c r="A247" t="str">
        <f>IFERROR(INDEX(BASE!$A$4:$A$10003, SMALL(IF(BASE!$F$4:$F$10003="CARREGADO", ROW(BASE!$A$4:$A$10003)-ROW(BASE!$A$4)+1), ROW(A246))), "")</f>
        <v/>
      </c>
      <c r="B247" t="str">
        <f>IF(A247="", "", VLOOKUP(A247, BASE!$A$4:$B$10003, 2, FALSE))</f>
        <v/>
      </c>
      <c r="C247" t="str">
        <f>IF(A247="", "", VLOOKUP(A247, BASE!$A$4:$C$10003, 3, FALSE))</f>
        <v/>
      </c>
      <c r="D247" t="str">
        <f>IF(A247="", "", VLOOKUP(A247, BASE!$A$4:$D$10003, 4, FALSE))</f>
        <v/>
      </c>
      <c r="E247" t="str">
        <f>IF(A247="", "", VLOOKUP(A247, BASE!$A$4:$E$10003, 5, FALSE))</f>
        <v/>
      </c>
      <c r="F247" t="str">
        <f t="shared" si="3"/>
        <v/>
      </c>
    </row>
    <row r="248" spans="1:6">
      <c r="A248" t="str">
        <f>IFERROR(INDEX(BASE!$A$4:$A$10003, SMALL(IF(BASE!$F$4:$F$10003="CARREGADO", ROW(BASE!$A$4:$A$10003)-ROW(BASE!$A$4)+1), ROW(A247))), "")</f>
        <v/>
      </c>
      <c r="B248" t="str">
        <f>IF(A248="", "", VLOOKUP(A248, BASE!$A$4:$B$10003, 2, FALSE))</f>
        <v/>
      </c>
      <c r="C248" t="str">
        <f>IF(A248="", "", VLOOKUP(A248, BASE!$A$4:$C$10003, 3, FALSE))</f>
        <v/>
      </c>
      <c r="D248" t="str">
        <f>IF(A248="", "", VLOOKUP(A248, BASE!$A$4:$D$10003, 4, FALSE))</f>
        <v/>
      </c>
      <c r="E248" t="str">
        <f>IF(A248="", "", VLOOKUP(A248, BASE!$A$4:$E$10003, 5, FALSE))</f>
        <v/>
      </c>
      <c r="F248" t="str">
        <f t="shared" si="3"/>
        <v/>
      </c>
    </row>
    <row r="249" spans="1:6">
      <c r="A249" t="str">
        <f>IFERROR(INDEX(BASE!$A$4:$A$10003, SMALL(IF(BASE!$F$4:$F$10003="CARREGADO", ROW(BASE!$A$4:$A$10003)-ROW(BASE!$A$4)+1), ROW(A248))), "")</f>
        <v/>
      </c>
      <c r="B249" t="str">
        <f>IF(A249="", "", VLOOKUP(A249, BASE!$A$4:$B$10003, 2, FALSE))</f>
        <v/>
      </c>
      <c r="C249" t="str">
        <f>IF(A249="", "", VLOOKUP(A249, BASE!$A$4:$C$10003, 3, FALSE))</f>
        <v/>
      </c>
      <c r="D249" t="str">
        <f>IF(A249="", "", VLOOKUP(A249, BASE!$A$4:$D$10003, 4, FALSE))</f>
        <v/>
      </c>
      <c r="E249" t="str">
        <f>IF(A249="", "", VLOOKUP(A249, BASE!$A$4:$E$10003, 5, FALSE))</f>
        <v/>
      </c>
      <c r="F249" t="str">
        <f t="shared" si="3"/>
        <v/>
      </c>
    </row>
    <row r="250" spans="1:6">
      <c r="A250" t="str">
        <f>IFERROR(INDEX(BASE!$A$4:$A$10003, SMALL(IF(BASE!$F$4:$F$10003="CARREGADO", ROW(BASE!$A$4:$A$10003)-ROW(BASE!$A$4)+1), ROW(A249))), "")</f>
        <v/>
      </c>
      <c r="B250" t="str">
        <f>IF(A250="", "", VLOOKUP(A250, BASE!$A$4:$B$10003, 2, FALSE))</f>
        <v/>
      </c>
      <c r="C250" t="str">
        <f>IF(A250="", "", VLOOKUP(A250, BASE!$A$4:$C$10003, 3, FALSE))</f>
        <v/>
      </c>
      <c r="D250" t="str">
        <f>IF(A250="", "", VLOOKUP(A250, BASE!$A$4:$D$10003, 4, FALSE))</f>
        <v/>
      </c>
      <c r="E250" t="str">
        <f>IF(A250="", "", VLOOKUP(A250, BASE!$A$4:$E$10003, 5, FALSE))</f>
        <v/>
      </c>
      <c r="F250" t="str">
        <f t="shared" si="3"/>
        <v/>
      </c>
    </row>
    <row r="251" spans="1:6">
      <c r="A251" t="str">
        <f>IFERROR(INDEX(BASE!$A$4:$A$10003, SMALL(IF(BASE!$F$4:$F$10003="CARREGADO", ROW(BASE!$A$4:$A$10003)-ROW(BASE!$A$4)+1), ROW(A250))), "")</f>
        <v/>
      </c>
      <c r="B251" t="str">
        <f>IF(A251="", "", VLOOKUP(A251, BASE!$A$4:$B$10003, 2, FALSE))</f>
        <v/>
      </c>
      <c r="C251" t="str">
        <f>IF(A251="", "", VLOOKUP(A251, BASE!$A$4:$C$10003, 3, FALSE))</f>
        <v/>
      </c>
      <c r="D251" t="str">
        <f>IF(A251="", "", VLOOKUP(A251, BASE!$A$4:$D$10003, 4, FALSE))</f>
        <v/>
      </c>
      <c r="E251" t="str">
        <f>IF(A251="", "", VLOOKUP(A251, BASE!$A$4:$E$10003, 5, FALSE))</f>
        <v/>
      </c>
      <c r="F251" t="str">
        <f t="shared" si="3"/>
        <v/>
      </c>
    </row>
    <row r="252" spans="1:6">
      <c r="A252" t="str">
        <f>IFERROR(INDEX(BASE!$A$4:$A$10003, SMALL(IF(BASE!$F$4:$F$10003="CARREGADO", ROW(BASE!$A$4:$A$10003)-ROW(BASE!$A$4)+1), ROW(A251))), "")</f>
        <v/>
      </c>
      <c r="B252" t="str">
        <f>IF(A252="", "", VLOOKUP(A252, BASE!$A$4:$B$10003, 2, FALSE))</f>
        <v/>
      </c>
      <c r="C252" t="str">
        <f>IF(A252="", "", VLOOKUP(A252, BASE!$A$4:$C$10003, 3, FALSE))</f>
        <v/>
      </c>
      <c r="D252" t="str">
        <f>IF(A252="", "", VLOOKUP(A252, BASE!$A$4:$D$10003, 4, FALSE))</f>
        <v/>
      </c>
      <c r="E252" t="str">
        <f>IF(A252="", "", VLOOKUP(A252, BASE!$A$4:$E$10003, 5, FALSE))</f>
        <v/>
      </c>
      <c r="F252" t="str">
        <f t="shared" si="3"/>
        <v/>
      </c>
    </row>
    <row r="253" spans="1:6">
      <c r="A253" t="str">
        <f>IFERROR(INDEX(BASE!$A$4:$A$10003, SMALL(IF(BASE!$F$4:$F$10003="CARREGADO", ROW(BASE!$A$4:$A$10003)-ROW(BASE!$A$4)+1), ROW(A252))), "")</f>
        <v/>
      </c>
      <c r="B253" t="str">
        <f>IF(A253="", "", VLOOKUP(A253, BASE!$A$4:$B$10003, 2, FALSE))</f>
        <v/>
      </c>
      <c r="C253" t="str">
        <f>IF(A253="", "", VLOOKUP(A253, BASE!$A$4:$C$10003, 3, FALSE))</f>
        <v/>
      </c>
      <c r="D253" t="str">
        <f>IF(A253="", "", VLOOKUP(A253, BASE!$A$4:$D$10003, 4, FALSE))</f>
        <v/>
      </c>
      <c r="E253" t="str">
        <f>IF(A253="", "", VLOOKUP(A253, BASE!$A$4:$E$10003, 5, FALSE))</f>
        <v/>
      </c>
      <c r="F253" t="str">
        <f t="shared" si="3"/>
        <v/>
      </c>
    </row>
    <row r="254" spans="1:6">
      <c r="A254" t="str">
        <f>IFERROR(INDEX(BASE!$A$4:$A$10003, SMALL(IF(BASE!$F$4:$F$10003="CARREGADO", ROW(BASE!$A$4:$A$10003)-ROW(BASE!$A$4)+1), ROW(A253))), "")</f>
        <v/>
      </c>
      <c r="B254" t="str">
        <f>IF(A254="", "", VLOOKUP(A254, BASE!$A$4:$B$10003, 2, FALSE))</f>
        <v/>
      </c>
      <c r="C254" t="str">
        <f>IF(A254="", "", VLOOKUP(A254, BASE!$A$4:$C$10003, 3, FALSE))</f>
        <v/>
      </c>
      <c r="D254" t="str">
        <f>IF(A254="", "", VLOOKUP(A254, BASE!$A$4:$D$10003, 4, FALSE))</f>
        <v/>
      </c>
      <c r="E254" t="str">
        <f>IF(A254="", "", VLOOKUP(A254, BASE!$A$4:$E$10003, 5, FALSE))</f>
        <v/>
      </c>
      <c r="F254" t="str">
        <f t="shared" si="3"/>
        <v/>
      </c>
    </row>
    <row r="255" spans="1:6">
      <c r="A255" t="str">
        <f>IFERROR(INDEX(BASE!$A$4:$A$10003, SMALL(IF(BASE!$F$4:$F$10003="CARREGADO", ROW(BASE!$A$4:$A$10003)-ROW(BASE!$A$4)+1), ROW(A254))), "")</f>
        <v/>
      </c>
      <c r="B255" t="str">
        <f>IF(A255="", "", VLOOKUP(A255, BASE!$A$4:$B$10003, 2, FALSE))</f>
        <v/>
      </c>
      <c r="C255" t="str">
        <f>IF(A255="", "", VLOOKUP(A255, BASE!$A$4:$C$10003, 3, FALSE))</f>
        <v/>
      </c>
      <c r="D255" t="str">
        <f>IF(A255="", "", VLOOKUP(A255, BASE!$A$4:$D$10003, 4, FALSE))</f>
        <v/>
      </c>
      <c r="E255" t="str">
        <f>IF(A255="", "", VLOOKUP(A255, BASE!$A$4:$E$10003, 5, FALSE))</f>
        <v/>
      </c>
      <c r="F255" t="str">
        <f t="shared" si="3"/>
        <v/>
      </c>
    </row>
    <row r="256" spans="1:6">
      <c r="A256" t="str">
        <f>IFERROR(INDEX(BASE!$A$4:$A$10003, SMALL(IF(BASE!$F$4:$F$10003="CARREGADO", ROW(BASE!$A$4:$A$10003)-ROW(BASE!$A$4)+1), ROW(A255))), "")</f>
        <v/>
      </c>
      <c r="B256" t="str">
        <f>IF(A256="", "", VLOOKUP(A256, BASE!$A$4:$B$10003, 2, FALSE))</f>
        <v/>
      </c>
      <c r="C256" t="str">
        <f>IF(A256="", "", VLOOKUP(A256, BASE!$A$4:$C$10003, 3, FALSE))</f>
        <v/>
      </c>
      <c r="D256" t="str">
        <f>IF(A256="", "", VLOOKUP(A256, BASE!$A$4:$D$10003, 4, FALSE))</f>
        <v/>
      </c>
      <c r="E256" t="str">
        <f>IF(A256="", "", VLOOKUP(A256, BASE!$A$4:$E$10003, 5, FALSE))</f>
        <v/>
      </c>
      <c r="F256" t="str">
        <f t="shared" si="3"/>
        <v/>
      </c>
    </row>
    <row r="257" spans="1:6">
      <c r="A257" t="str">
        <f>IFERROR(INDEX(BASE!$A$4:$A$10003, SMALL(IF(BASE!$F$4:$F$10003="CARREGADO", ROW(BASE!$A$4:$A$10003)-ROW(BASE!$A$4)+1), ROW(A256))), "")</f>
        <v/>
      </c>
      <c r="B257" t="str">
        <f>IF(A257="", "", VLOOKUP(A257, BASE!$A$4:$B$10003, 2, FALSE))</f>
        <v/>
      </c>
      <c r="C257" t="str">
        <f>IF(A257="", "", VLOOKUP(A257, BASE!$A$4:$C$10003, 3, FALSE))</f>
        <v/>
      </c>
      <c r="D257" t="str">
        <f>IF(A257="", "", VLOOKUP(A257, BASE!$A$4:$D$10003, 4, FALSE))</f>
        <v/>
      </c>
      <c r="E257" t="str">
        <f>IF(A257="", "", VLOOKUP(A257, BASE!$A$4:$E$10003, 5, FALSE))</f>
        <v/>
      </c>
      <c r="F257" t="str">
        <f t="shared" si="3"/>
        <v/>
      </c>
    </row>
    <row r="258" spans="1:6">
      <c r="A258" t="str">
        <f>IFERROR(INDEX(BASE!$A$4:$A$10003, SMALL(IF(BASE!$F$4:$F$10003="CARREGADO", ROW(BASE!$A$4:$A$10003)-ROW(BASE!$A$4)+1), ROW(A257))), "")</f>
        <v/>
      </c>
      <c r="B258" t="str">
        <f>IF(A258="", "", VLOOKUP(A258, BASE!$A$4:$B$10003, 2, FALSE))</f>
        <v/>
      </c>
      <c r="C258" t="str">
        <f>IF(A258="", "", VLOOKUP(A258, BASE!$A$4:$C$10003, 3, FALSE))</f>
        <v/>
      </c>
      <c r="D258" t="str">
        <f>IF(A258="", "", VLOOKUP(A258, BASE!$A$4:$D$10003, 4, FALSE))</f>
        <v/>
      </c>
      <c r="E258" t="str">
        <f>IF(A258="", "", VLOOKUP(A258, BASE!$A$4:$E$10003, 5, FALSE))</f>
        <v/>
      </c>
      <c r="F258" t="str">
        <f t="shared" ref="F258:F321" si="4">IF(A258="", "", "CARREGADO")</f>
        <v/>
      </c>
    </row>
    <row r="259" spans="1:6">
      <c r="A259" t="str">
        <f>IFERROR(INDEX(BASE!$A$4:$A$10003, SMALL(IF(BASE!$F$4:$F$10003="CARREGADO", ROW(BASE!$A$4:$A$10003)-ROW(BASE!$A$4)+1), ROW(A258))), "")</f>
        <v/>
      </c>
      <c r="B259" t="str">
        <f>IF(A259="", "", VLOOKUP(A259, BASE!$A$4:$B$10003, 2, FALSE))</f>
        <v/>
      </c>
      <c r="C259" t="str">
        <f>IF(A259="", "", VLOOKUP(A259, BASE!$A$4:$C$10003, 3, FALSE))</f>
        <v/>
      </c>
      <c r="D259" t="str">
        <f>IF(A259="", "", VLOOKUP(A259, BASE!$A$4:$D$10003, 4, FALSE))</f>
        <v/>
      </c>
      <c r="E259" t="str">
        <f>IF(A259="", "", VLOOKUP(A259, BASE!$A$4:$E$10003, 5, FALSE))</f>
        <v/>
      </c>
      <c r="F259" t="str">
        <f t="shared" si="4"/>
        <v/>
      </c>
    </row>
    <row r="260" spans="1:6">
      <c r="A260" t="str">
        <f>IFERROR(INDEX(BASE!$A$4:$A$10003, SMALL(IF(BASE!$F$4:$F$10003="CARREGADO", ROW(BASE!$A$4:$A$10003)-ROW(BASE!$A$4)+1), ROW(A259))), "")</f>
        <v/>
      </c>
      <c r="B260" t="str">
        <f>IF(A260="", "", VLOOKUP(A260, BASE!$A$4:$B$10003, 2, FALSE))</f>
        <v/>
      </c>
      <c r="C260" t="str">
        <f>IF(A260="", "", VLOOKUP(A260, BASE!$A$4:$C$10003, 3, FALSE))</f>
        <v/>
      </c>
      <c r="D260" t="str">
        <f>IF(A260="", "", VLOOKUP(A260, BASE!$A$4:$D$10003, 4, FALSE))</f>
        <v/>
      </c>
      <c r="E260" t="str">
        <f>IF(A260="", "", VLOOKUP(A260, BASE!$A$4:$E$10003, 5, FALSE))</f>
        <v/>
      </c>
      <c r="F260" t="str">
        <f t="shared" si="4"/>
        <v/>
      </c>
    </row>
    <row r="261" spans="1:6">
      <c r="A261" t="str">
        <f>IFERROR(INDEX(BASE!$A$4:$A$10003, SMALL(IF(BASE!$F$4:$F$10003="CARREGADO", ROW(BASE!$A$4:$A$10003)-ROW(BASE!$A$4)+1), ROW(A260))), "")</f>
        <v/>
      </c>
      <c r="B261" t="str">
        <f>IF(A261="", "", VLOOKUP(A261, BASE!$A$4:$B$10003, 2, FALSE))</f>
        <v/>
      </c>
      <c r="C261" t="str">
        <f>IF(A261="", "", VLOOKUP(A261, BASE!$A$4:$C$10003, 3, FALSE))</f>
        <v/>
      </c>
      <c r="D261" t="str">
        <f>IF(A261="", "", VLOOKUP(A261, BASE!$A$4:$D$10003, 4, FALSE))</f>
        <v/>
      </c>
      <c r="E261" t="str">
        <f>IF(A261="", "", VLOOKUP(A261, BASE!$A$4:$E$10003, 5, FALSE))</f>
        <v/>
      </c>
      <c r="F261" t="str">
        <f t="shared" si="4"/>
        <v/>
      </c>
    </row>
    <row r="262" spans="1:6">
      <c r="A262" t="str">
        <f>IFERROR(INDEX(BASE!$A$4:$A$10003, SMALL(IF(BASE!$F$4:$F$10003="CARREGADO", ROW(BASE!$A$4:$A$10003)-ROW(BASE!$A$4)+1), ROW(A261))), "")</f>
        <v/>
      </c>
      <c r="B262" t="str">
        <f>IF(A262="", "", VLOOKUP(A262, BASE!$A$4:$B$10003, 2, FALSE))</f>
        <v/>
      </c>
      <c r="C262" t="str">
        <f>IF(A262="", "", VLOOKUP(A262, BASE!$A$4:$C$10003, 3, FALSE))</f>
        <v/>
      </c>
      <c r="D262" t="str">
        <f>IF(A262="", "", VLOOKUP(A262, BASE!$A$4:$D$10003, 4, FALSE))</f>
        <v/>
      </c>
      <c r="E262" t="str">
        <f>IF(A262="", "", VLOOKUP(A262, BASE!$A$4:$E$10003, 5, FALSE))</f>
        <v/>
      </c>
      <c r="F262" t="str">
        <f t="shared" si="4"/>
        <v/>
      </c>
    </row>
    <row r="263" spans="1:6">
      <c r="A263" t="str">
        <f>IFERROR(INDEX(BASE!$A$4:$A$10003, SMALL(IF(BASE!$F$4:$F$10003="CARREGADO", ROW(BASE!$A$4:$A$10003)-ROW(BASE!$A$4)+1), ROW(A262))), "")</f>
        <v/>
      </c>
      <c r="B263" t="str">
        <f>IF(A263="", "", VLOOKUP(A263, BASE!$A$4:$B$10003, 2, FALSE))</f>
        <v/>
      </c>
      <c r="C263" t="str">
        <f>IF(A263="", "", VLOOKUP(A263, BASE!$A$4:$C$10003, 3, FALSE))</f>
        <v/>
      </c>
      <c r="D263" t="str">
        <f>IF(A263="", "", VLOOKUP(A263, BASE!$A$4:$D$10003, 4, FALSE))</f>
        <v/>
      </c>
      <c r="E263" t="str">
        <f>IF(A263="", "", VLOOKUP(A263, BASE!$A$4:$E$10003, 5, FALSE))</f>
        <v/>
      </c>
      <c r="F263" t="str">
        <f t="shared" si="4"/>
        <v/>
      </c>
    </row>
    <row r="264" spans="1:6">
      <c r="A264" t="str">
        <f>IFERROR(INDEX(BASE!$A$4:$A$10003, SMALL(IF(BASE!$F$4:$F$10003="CARREGADO", ROW(BASE!$A$4:$A$10003)-ROW(BASE!$A$4)+1), ROW(A263))), "")</f>
        <v/>
      </c>
      <c r="B264" t="str">
        <f>IF(A264="", "", VLOOKUP(A264, BASE!$A$4:$B$10003, 2, FALSE))</f>
        <v/>
      </c>
      <c r="C264" t="str">
        <f>IF(A264="", "", VLOOKUP(A264, BASE!$A$4:$C$10003, 3, FALSE))</f>
        <v/>
      </c>
      <c r="D264" t="str">
        <f>IF(A264="", "", VLOOKUP(A264, BASE!$A$4:$D$10003, 4, FALSE))</f>
        <v/>
      </c>
      <c r="E264" t="str">
        <f>IF(A264="", "", VLOOKUP(A264, BASE!$A$4:$E$10003, 5, FALSE))</f>
        <v/>
      </c>
      <c r="F264" t="str">
        <f t="shared" si="4"/>
        <v/>
      </c>
    </row>
    <row r="265" spans="1:6">
      <c r="A265" t="str">
        <f>IFERROR(INDEX(BASE!$A$4:$A$10003, SMALL(IF(BASE!$F$4:$F$10003="CARREGADO", ROW(BASE!$A$4:$A$10003)-ROW(BASE!$A$4)+1), ROW(A264))), "")</f>
        <v/>
      </c>
      <c r="B265" t="str">
        <f>IF(A265="", "", VLOOKUP(A265, BASE!$A$4:$B$10003, 2, FALSE))</f>
        <v/>
      </c>
      <c r="C265" t="str">
        <f>IF(A265="", "", VLOOKUP(A265, BASE!$A$4:$C$10003, 3, FALSE))</f>
        <v/>
      </c>
      <c r="D265" t="str">
        <f>IF(A265="", "", VLOOKUP(A265, BASE!$A$4:$D$10003, 4, FALSE))</f>
        <v/>
      </c>
      <c r="E265" t="str">
        <f>IF(A265="", "", VLOOKUP(A265, BASE!$A$4:$E$10003, 5, FALSE))</f>
        <v/>
      </c>
      <c r="F265" t="str">
        <f t="shared" si="4"/>
        <v/>
      </c>
    </row>
    <row r="266" spans="1:6">
      <c r="A266" t="str">
        <f>IFERROR(INDEX(BASE!$A$4:$A$10003, SMALL(IF(BASE!$F$4:$F$10003="CARREGADO", ROW(BASE!$A$4:$A$10003)-ROW(BASE!$A$4)+1), ROW(A265))), "")</f>
        <v/>
      </c>
      <c r="B266" t="str">
        <f>IF(A266="", "", VLOOKUP(A266, BASE!$A$4:$B$10003, 2, FALSE))</f>
        <v/>
      </c>
      <c r="C266" t="str">
        <f>IF(A266="", "", VLOOKUP(A266, BASE!$A$4:$C$10003, 3, FALSE))</f>
        <v/>
      </c>
      <c r="D266" t="str">
        <f>IF(A266="", "", VLOOKUP(A266, BASE!$A$4:$D$10003, 4, FALSE))</f>
        <v/>
      </c>
      <c r="E266" t="str">
        <f>IF(A266="", "", VLOOKUP(A266, BASE!$A$4:$E$10003, 5, FALSE))</f>
        <v/>
      </c>
      <c r="F266" t="str">
        <f t="shared" si="4"/>
        <v/>
      </c>
    </row>
    <row r="267" spans="1:6">
      <c r="A267" t="str">
        <f>IFERROR(INDEX(BASE!$A$4:$A$10003, SMALL(IF(BASE!$F$4:$F$10003="CARREGADO", ROW(BASE!$A$4:$A$10003)-ROW(BASE!$A$4)+1), ROW(A266))), "")</f>
        <v/>
      </c>
      <c r="B267" t="str">
        <f>IF(A267="", "", VLOOKUP(A267, BASE!$A$4:$B$10003, 2, FALSE))</f>
        <v/>
      </c>
      <c r="C267" t="str">
        <f>IF(A267="", "", VLOOKUP(A267, BASE!$A$4:$C$10003, 3, FALSE))</f>
        <v/>
      </c>
      <c r="D267" t="str">
        <f>IF(A267="", "", VLOOKUP(A267, BASE!$A$4:$D$10003, 4, FALSE))</f>
        <v/>
      </c>
      <c r="E267" t="str">
        <f>IF(A267="", "", VLOOKUP(A267, BASE!$A$4:$E$10003, 5, FALSE))</f>
        <v/>
      </c>
      <c r="F267" t="str">
        <f t="shared" si="4"/>
        <v/>
      </c>
    </row>
    <row r="268" spans="1:6">
      <c r="A268" t="str">
        <f>IFERROR(INDEX(BASE!$A$4:$A$10003, SMALL(IF(BASE!$F$4:$F$10003="CARREGADO", ROW(BASE!$A$4:$A$10003)-ROW(BASE!$A$4)+1), ROW(A267))), "")</f>
        <v/>
      </c>
      <c r="B268" t="str">
        <f>IF(A268="", "", VLOOKUP(A268, BASE!$A$4:$B$10003, 2, FALSE))</f>
        <v/>
      </c>
      <c r="C268" t="str">
        <f>IF(A268="", "", VLOOKUP(A268, BASE!$A$4:$C$10003, 3, FALSE))</f>
        <v/>
      </c>
      <c r="D268" t="str">
        <f>IF(A268="", "", VLOOKUP(A268, BASE!$A$4:$D$10003, 4, FALSE))</f>
        <v/>
      </c>
      <c r="E268" t="str">
        <f>IF(A268="", "", VLOOKUP(A268, BASE!$A$4:$E$10003, 5, FALSE))</f>
        <v/>
      </c>
      <c r="F268" t="str">
        <f t="shared" si="4"/>
        <v/>
      </c>
    </row>
    <row r="269" spans="1:6">
      <c r="A269" t="str">
        <f>IFERROR(INDEX(BASE!$A$4:$A$10003, SMALL(IF(BASE!$F$4:$F$10003="CARREGADO", ROW(BASE!$A$4:$A$10003)-ROW(BASE!$A$4)+1), ROW(A268))), "")</f>
        <v/>
      </c>
      <c r="B269" t="str">
        <f>IF(A269="", "", VLOOKUP(A269, BASE!$A$4:$B$10003, 2, FALSE))</f>
        <v/>
      </c>
      <c r="C269" t="str">
        <f>IF(A269="", "", VLOOKUP(A269, BASE!$A$4:$C$10003, 3, FALSE))</f>
        <v/>
      </c>
      <c r="D269" t="str">
        <f>IF(A269="", "", VLOOKUP(A269, BASE!$A$4:$D$10003, 4, FALSE))</f>
        <v/>
      </c>
      <c r="E269" t="str">
        <f>IF(A269="", "", VLOOKUP(A269, BASE!$A$4:$E$10003, 5, FALSE))</f>
        <v/>
      </c>
      <c r="F269" t="str">
        <f t="shared" si="4"/>
        <v/>
      </c>
    </row>
    <row r="270" spans="1:6">
      <c r="A270" t="str">
        <f>IFERROR(INDEX(BASE!$A$4:$A$10003, SMALL(IF(BASE!$F$4:$F$10003="CARREGADO", ROW(BASE!$A$4:$A$10003)-ROW(BASE!$A$4)+1), ROW(A269))), "")</f>
        <v/>
      </c>
      <c r="B270" t="str">
        <f>IF(A270="", "", VLOOKUP(A270, BASE!$A$4:$B$10003, 2, FALSE))</f>
        <v/>
      </c>
      <c r="C270" t="str">
        <f>IF(A270="", "", VLOOKUP(A270, BASE!$A$4:$C$10003, 3, FALSE))</f>
        <v/>
      </c>
      <c r="D270" t="str">
        <f>IF(A270="", "", VLOOKUP(A270, BASE!$A$4:$D$10003, 4, FALSE))</f>
        <v/>
      </c>
      <c r="E270" t="str">
        <f>IF(A270="", "", VLOOKUP(A270, BASE!$A$4:$E$10003, 5, FALSE))</f>
        <v/>
      </c>
      <c r="F270" t="str">
        <f t="shared" si="4"/>
        <v/>
      </c>
    </row>
    <row r="271" spans="1:6">
      <c r="A271" t="str">
        <f>IFERROR(INDEX(BASE!$A$4:$A$10003, SMALL(IF(BASE!$F$4:$F$10003="CARREGADO", ROW(BASE!$A$4:$A$10003)-ROW(BASE!$A$4)+1), ROW(A270))), "")</f>
        <v/>
      </c>
      <c r="B271" t="str">
        <f>IF(A271="", "", VLOOKUP(A271, BASE!$A$4:$B$10003, 2, FALSE))</f>
        <v/>
      </c>
      <c r="C271" t="str">
        <f>IF(A271="", "", VLOOKUP(A271, BASE!$A$4:$C$10003, 3, FALSE))</f>
        <v/>
      </c>
      <c r="D271" t="str">
        <f>IF(A271="", "", VLOOKUP(A271, BASE!$A$4:$D$10003, 4, FALSE))</f>
        <v/>
      </c>
      <c r="E271" t="str">
        <f>IF(A271="", "", VLOOKUP(A271, BASE!$A$4:$E$10003, 5, FALSE))</f>
        <v/>
      </c>
      <c r="F271" t="str">
        <f t="shared" si="4"/>
        <v/>
      </c>
    </row>
    <row r="272" spans="1:6">
      <c r="A272" t="str">
        <f>IFERROR(INDEX(BASE!$A$4:$A$10003, SMALL(IF(BASE!$F$4:$F$10003="CARREGADO", ROW(BASE!$A$4:$A$10003)-ROW(BASE!$A$4)+1), ROW(A271))), "")</f>
        <v/>
      </c>
      <c r="B272" t="str">
        <f>IF(A272="", "", VLOOKUP(A272, BASE!$A$4:$B$10003, 2, FALSE))</f>
        <v/>
      </c>
      <c r="C272" t="str">
        <f>IF(A272="", "", VLOOKUP(A272, BASE!$A$4:$C$10003, 3, FALSE))</f>
        <v/>
      </c>
      <c r="D272" t="str">
        <f>IF(A272="", "", VLOOKUP(A272, BASE!$A$4:$D$10003, 4, FALSE))</f>
        <v/>
      </c>
      <c r="E272" t="str">
        <f>IF(A272="", "", VLOOKUP(A272, BASE!$A$4:$E$10003, 5, FALSE))</f>
        <v/>
      </c>
      <c r="F272" t="str">
        <f t="shared" si="4"/>
        <v/>
      </c>
    </row>
    <row r="273" spans="1:6">
      <c r="A273" t="str">
        <f>IFERROR(INDEX(BASE!$A$4:$A$10003, SMALL(IF(BASE!$F$4:$F$10003="CARREGADO", ROW(BASE!$A$4:$A$10003)-ROW(BASE!$A$4)+1), ROW(A272))), "")</f>
        <v/>
      </c>
      <c r="B273" t="str">
        <f>IF(A273="", "", VLOOKUP(A273, BASE!$A$4:$B$10003, 2, FALSE))</f>
        <v/>
      </c>
      <c r="C273" t="str">
        <f>IF(A273="", "", VLOOKUP(A273, BASE!$A$4:$C$10003, 3, FALSE))</f>
        <v/>
      </c>
      <c r="D273" t="str">
        <f>IF(A273="", "", VLOOKUP(A273, BASE!$A$4:$D$10003, 4, FALSE))</f>
        <v/>
      </c>
      <c r="E273" t="str">
        <f>IF(A273="", "", VLOOKUP(A273, BASE!$A$4:$E$10003, 5, FALSE))</f>
        <v/>
      </c>
      <c r="F273" t="str">
        <f t="shared" si="4"/>
        <v/>
      </c>
    </row>
    <row r="274" spans="1:6">
      <c r="A274" t="str">
        <f>IFERROR(INDEX(BASE!$A$4:$A$10003, SMALL(IF(BASE!$F$4:$F$10003="CARREGADO", ROW(BASE!$A$4:$A$10003)-ROW(BASE!$A$4)+1), ROW(A273))), "")</f>
        <v/>
      </c>
      <c r="B274" t="str">
        <f>IF(A274="", "", VLOOKUP(A274, BASE!$A$4:$B$10003, 2, FALSE))</f>
        <v/>
      </c>
      <c r="C274" t="str">
        <f>IF(A274="", "", VLOOKUP(A274, BASE!$A$4:$C$10003, 3, FALSE))</f>
        <v/>
      </c>
      <c r="D274" t="str">
        <f>IF(A274="", "", VLOOKUP(A274, BASE!$A$4:$D$10003, 4, FALSE))</f>
        <v/>
      </c>
      <c r="E274" t="str">
        <f>IF(A274="", "", VLOOKUP(A274, BASE!$A$4:$E$10003, 5, FALSE))</f>
        <v/>
      </c>
      <c r="F274" t="str">
        <f t="shared" si="4"/>
        <v/>
      </c>
    </row>
    <row r="275" spans="1:6">
      <c r="A275" t="str">
        <f>IFERROR(INDEX(BASE!$A$4:$A$10003, SMALL(IF(BASE!$F$4:$F$10003="CARREGADO", ROW(BASE!$A$4:$A$10003)-ROW(BASE!$A$4)+1), ROW(A274))), "")</f>
        <v/>
      </c>
      <c r="B275" t="str">
        <f>IF(A275="", "", VLOOKUP(A275, BASE!$A$4:$B$10003, 2, FALSE))</f>
        <v/>
      </c>
      <c r="C275" t="str">
        <f>IF(A275="", "", VLOOKUP(A275, BASE!$A$4:$C$10003, 3, FALSE))</f>
        <v/>
      </c>
      <c r="D275" t="str">
        <f>IF(A275="", "", VLOOKUP(A275, BASE!$A$4:$D$10003, 4, FALSE))</f>
        <v/>
      </c>
      <c r="E275" t="str">
        <f>IF(A275="", "", VLOOKUP(A275, BASE!$A$4:$E$10003, 5, FALSE))</f>
        <v/>
      </c>
      <c r="F275" t="str">
        <f t="shared" si="4"/>
        <v/>
      </c>
    </row>
    <row r="276" spans="1:6">
      <c r="A276" t="str">
        <f>IFERROR(INDEX(BASE!$A$4:$A$10003, SMALL(IF(BASE!$F$4:$F$10003="CARREGADO", ROW(BASE!$A$4:$A$10003)-ROW(BASE!$A$4)+1), ROW(A275))), "")</f>
        <v/>
      </c>
      <c r="B276" t="str">
        <f>IF(A276="", "", VLOOKUP(A276, BASE!$A$4:$B$10003, 2, FALSE))</f>
        <v/>
      </c>
      <c r="C276" t="str">
        <f>IF(A276="", "", VLOOKUP(A276, BASE!$A$4:$C$10003, 3, FALSE))</f>
        <v/>
      </c>
      <c r="D276" t="str">
        <f>IF(A276="", "", VLOOKUP(A276, BASE!$A$4:$D$10003, 4, FALSE))</f>
        <v/>
      </c>
      <c r="E276" t="str">
        <f>IF(A276="", "", VLOOKUP(A276, BASE!$A$4:$E$10003, 5, FALSE))</f>
        <v/>
      </c>
      <c r="F276" t="str">
        <f t="shared" si="4"/>
        <v/>
      </c>
    </row>
    <row r="277" spans="1:6">
      <c r="A277" t="str">
        <f>IFERROR(INDEX(BASE!$A$4:$A$10003, SMALL(IF(BASE!$F$4:$F$10003="CARREGADO", ROW(BASE!$A$4:$A$10003)-ROW(BASE!$A$4)+1), ROW(A276))), "")</f>
        <v/>
      </c>
      <c r="B277" t="str">
        <f>IF(A277="", "", VLOOKUP(A277, BASE!$A$4:$B$10003, 2, FALSE))</f>
        <v/>
      </c>
      <c r="C277" t="str">
        <f>IF(A277="", "", VLOOKUP(A277, BASE!$A$4:$C$10003, 3, FALSE))</f>
        <v/>
      </c>
      <c r="D277" t="str">
        <f>IF(A277="", "", VLOOKUP(A277, BASE!$A$4:$D$10003, 4, FALSE))</f>
        <v/>
      </c>
      <c r="E277" t="str">
        <f>IF(A277="", "", VLOOKUP(A277, BASE!$A$4:$E$10003, 5, FALSE))</f>
        <v/>
      </c>
      <c r="F277" t="str">
        <f t="shared" si="4"/>
        <v/>
      </c>
    </row>
    <row r="278" spans="1:6">
      <c r="A278" t="str">
        <f>IFERROR(INDEX(BASE!$A$4:$A$10003, SMALL(IF(BASE!$F$4:$F$10003="CARREGADO", ROW(BASE!$A$4:$A$10003)-ROW(BASE!$A$4)+1), ROW(A277))), "")</f>
        <v/>
      </c>
      <c r="B278" t="str">
        <f>IF(A278="", "", VLOOKUP(A278, BASE!$A$4:$B$10003, 2, FALSE))</f>
        <v/>
      </c>
      <c r="C278" t="str">
        <f>IF(A278="", "", VLOOKUP(A278, BASE!$A$4:$C$10003, 3, FALSE))</f>
        <v/>
      </c>
      <c r="D278" t="str">
        <f>IF(A278="", "", VLOOKUP(A278, BASE!$A$4:$D$10003, 4, FALSE))</f>
        <v/>
      </c>
      <c r="E278" t="str">
        <f>IF(A278="", "", VLOOKUP(A278, BASE!$A$4:$E$10003, 5, FALSE))</f>
        <v/>
      </c>
      <c r="F278" t="str">
        <f t="shared" si="4"/>
        <v/>
      </c>
    </row>
    <row r="279" spans="1:6">
      <c r="A279" t="str">
        <f>IFERROR(INDEX(BASE!$A$4:$A$10003, SMALL(IF(BASE!$F$4:$F$10003="CARREGADO", ROW(BASE!$A$4:$A$10003)-ROW(BASE!$A$4)+1), ROW(A278))), "")</f>
        <v/>
      </c>
      <c r="B279" t="str">
        <f>IF(A279="", "", VLOOKUP(A279, BASE!$A$4:$B$10003, 2, FALSE))</f>
        <v/>
      </c>
      <c r="C279" t="str">
        <f>IF(A279="", "", VLOOKUP(A279, BASE!$A$4:$C$10003, 3, FALSE))</f>
        <v/>
      </c>
      <c r="D279" t="str">
        <f>IF(A279="", "", VLOOKUP(A279, BASE!$A$4:$D$10003, 4, FALSE))</f>
        <v/>
      </c>
      <c r="E279" t="str">
        <f>IF(A279="", "", VLOOKUP(A279, BASE!$A$4:$E$10003, 5, FALSE))</f>
        <v/>
      </c>
      <c r="F279" t="str">
        <f t="shared" si="4"/>
        <v/>
      </c>
    </row>
    <row r="280" spans="1:6">
      <c r="A280" t="str">
        <f>IFERROR(INDEX(BASE!$A$4:$A$10003, SMALL(IF(BASE!$F$4:$F$10003="CARREGADO", ROW(BASE!$A$4:$A$10003)-ROW(BASE!$A$4)+1), ROW(A279))), "")</f>
        <v/>
      </c>
      <c r="B280" t="str">
        <f>IF(A280="", "", VLOOKUP(A280, BASE!$A$4:$B$10003, 2, FALSE))</f>
        <v/>
      </c>
      <c r="C280" t="str">
        <f>IF(A280="", "", VLOOKUP(A280, BASE!$A$4:$C$10003, 3, FALSE))</f>
        <v/>
      </c>
      <c r="D280" t="str">
        <f>IF(A280="", "", VLOOKUP(A280, BASE!$A$4:$D$10003, 4, FALSE))</f>
        <v/>
      </c>
      <c r="E280" t="str">
        <f>IF(A280="", "", VLOOKUP(A280, BASE!$A$4:$E$10003, 5, FALSE))</f>
        <v/>
      </c>
      <c r="F280" t="str">
        <f t="shared" si="4"/>
        <v/>
      </c>
    </row>
    <row r="281" spans="1:6">
      <c r="A281" t="str">
        <f>IFERROR(INDEX(BASE!$A$4:$A$10003, SMALL(IF(BASE!$F$4:$F$10003="CARREGADO", ROW(BASE!$A$4:$A$10003)-ROW(BASE!$A$4)+1), ROW(A280))), "")</f>
        <v/>
      </c>
      <c r="B281" t="str">
        <f>IF(A281="", "", VLOOKUP(A281, BASE!$A$4:$B$10003, 2, FALSE))</f>
        <v/>
      </c>
      <c r="C281" t="str">
        <f>IF(A281="", "", VLOOKUP(A281, BASE!$A$4:$C$10003, 3, FALSE))</f>
        <v/>
      </c>
      <c r="D281" t="str">
        <f>IF(A281="", "", VLOOKUP(A281, BASE!$A$4:$D$10003, 4, FALSE))</f>
        <v/>
      </c>
      <c r="E281" t="str">
        <f>IF(A281="", "", VLOOKUP(A281, BASE!$A$4:$E$10003, 5, FALSE))</f>
        <v/>
      </c>
      <c r="F281" t="str">
        <f t="shared" si="4"/>
        <v/>
      </c>
    </row>
    <row r="282" spans="1:6">
      <c r="A282" t="str">
        <f>IFERROR(INDEX(BASE!$A$4:$A$10003, SMALL(IF(BASE!$F$4:$F$10003="CARREGADO", ROW(BASE!$A$4:$A$10003)-ROW(BASE!$A$4)+1), ROW(A281))), "")</f>
        <v/>
      </c>
      <c r="B282" t="str">
        <f>IF(A282="", "", VLOOKUP(A282, BASE!$A$4:$B$10003, 2, FALSE))</f>
        <v/>
      </c>
      <c r="C282" t="str">
        <f>IF(A282="", "", VLOOKUP(A282, BASE!$A$4:$C$10003, 3, FALSE))</f>
        <v/>
      </c>
      <c r="D282" t="str">
        <f>IF(A282="", "", VLOOKUP(A282, BASE!$A$4:$D$10003, 4, FALSE))</f>
        <v/>
      </c>
      <c r="E282" t="str">
        <f>IF(A282="", "", VLOOKUP(A282, BASE!$A$4:$E$10003, 5, FALSE))</f>
        <v/>
      </c>
      <c r="F282" t="str">
        <f t="shared" si="4"/>
        <v/>
      </c>
    </row>
    <row r="283" spans="1:6">
      <c r="A283" t="str">
        <f>IFERROR(INDEX(BASE!$A$4:$A$10003, SMALL(IF(BASE!$F$4:$F$10003="CARREGADO", ROW(BASE!$A$4:$A$10003)-ROW(BASE!$A$4)+1), ROW(A282))), "")</f>
        <v/>
      </c>
      <c r="B283" t="str">
        <f>IF(A283="", "", VLOOKUP(A283, BASE!$A$4:$B$10003, 2, FALSE))</f>
        <v/>
      </c>
      <c r="C283" t="str">
        <f>IF(A283="", "", VLOOKUP(A283, BASE!$A$4:$C$10003, 3, FALSE))</f>
        <v/>
      </c>
      <c r="D283" t="str">
        <f>IF(A283="", "", VLOOKUP(A283, BASE!$A$4:$D$10003, 4, FALSE))</f>
        <v/>
      </c>
      <c r="E283" t="str">
        <f>IF(A283="", "", VLOOKUP(A283, BASE!$A$4:$E$10003, 5, FALSE))</f>
        <v/>
      </c>
      <c r="F283" t="str">
        <f t="shared" si="4"/>
        <v/>
      </c>
    </row>
    <row r="284" spans="1:6">
      <c r="A284" t="str">
        <f>IFERROR(INDEX(BASE!$A$4:$A$10003, SMALL(IF(BASE!$F$4:$F$10003="CARREGADO", ROW(BASE!$A$4:$A$10003)-ROW(BASE!$A$4)+1), ROW(A283))), "")</f>
        <v/>
      </c>
      <c r="B284" t="str">
        <f>IF(A284="", "", VLOOKUP(A284, BASE!$A$4:$B$10003, 2, FALSE))</f>
        <v/>
      </c>
      <c r="C284" t="str">
        <f>IF(A284="", "", VLOOKUP(A284, BASE!$A$4:$C$10003, 3, FALSE))</f>
        <v/>
      </c>
      <c r="D284" t="str">
        <f>IF(A284="", "", VLOOKUP(A284, BASE!$A$4:$D$10003, 4, FALSE))</f>
        <v/>
      </c>
      <c r="E284" t="str">
        <f>IF(A284="", "", VLOOKUP(A284, BASE!$A$4:$E$10003, 5, FALSE))</f>
        <v/>
      </c>
      <c r="F284" t="str">
        <f t="shared" si="4"/>
        <v/>
      </c>
    </row>
    <row r="285" spans="1:6">
      <c r="A285" t="str">
        <f>IFERROR(INDEX(BASE!$A$4:$A$10003, SMALL(IF(BASE!$F$4:$F$10003="CARREGADO", ROW(BASE!$A$4:$A$10003)-ROW(BASE!$A$4)+1), ROW(A284))), "")</f>
        <v/>
      </c>
      <c r="B285" t="str">
        <f>IF(A285="", "", VLOOKUP(A285, BASE!$A$4:$B$10003, 2, FALSE))</f>
        <v/>
      </c>
      <c r="C285" t="str">
        <f>IF(A285="", "", VLOOKUP(A285, BASE!$A$4:$C$10003, 3, FALSE))</f>
        <v/>
      </c>
      <c r="D285" t="str">
        <f>IF(A285="", "", VLOOKUP(A285, BASE!$A$4:$D$10003, 4, FALSE))</f>
        <v/>
      </c>
      <c r="E285" t="str">
        <f>IF(A285="", "", VLOOKUP(A285, BASE!$A$4:$E$10003, 5, FALSE))</f>
        <v/>
      </c>
      <c r="F285" t="str">
        <f t="shared" si="4"/>
        <v/>
      </c>
    </row>
    <row r="286" spans="1:6">
      <c r="A286" t="str">
        <f>IFERROR(INDEX(BASE!$A$4:$A$10003, SMALL(IF(BASE!$F$4:$F$10003="CARREGADO", ROW(BASE!$A$4:$A$10003)-ROW(BASE!$A$4)+1), ROW(A285))), "")</f>
        <v/>
      </c>
      <c r="B286" t="str">
        <f>IF(A286="", "", VLOOKUP(A286, BASE!$A$4:$B$10003, 2, FALSE))</f>
        <v/>
      </c>
      <c r="C286" t="str">
        <f>IF(A286="", "", VLOOKUP(A286, BASE!$A$4:$C$10003, 3, FALSE))</f>
        <v/>
      </c>
      <c r="D286" t="str">
        <f>IF(A286="", "", VLOOKUP(A286, BASE!$A$4:$D$10003, 4, FALSE))</f>
        <v/>
      </c>
      <c r="E286" t="str">
        <f>IF(A286="", "", VLOOKUP(A286, BASE!$A$4:$E$10003, 5, FALSE))</f>
        <v/>
      </c>
      <c r="F286" t="str">
        <f t="shared" si="4"/>
        <v/>
      </c>
    </row>
    <row r="287" spans="1:6">
      <c r="A287" t="str">
        <f>IFERROR(INDEX(BASE!$A$4:$A$10003, SMALL(IF(BASE!$F$4:$F$10003="CARREGADO", ROW(BASE!$A$4:$A$10003)-ROW(BASE!$A$4)+1), ROW(A286))), "")</f>
        <v/>
      </c>
      <c r="B287" t="str">
        <f>IF(A287="", "", VLOOKUP(A287, BASE!$A$4:$B$10003, 2, FALSE))</f>
        <v/>
      </c>
      <c r="C287" t="str">
        <f>IF(A287="", "", VLOOKUP(A287, BASE!$A$4:$C$10003, 3, FALSE))</f>
        <v/>
      </c>
      <c r="D287" t="str">
        <f>IF(A287="", "", VLOOKUP(A287, BASE!$A$4:$D$10003, 4, FALSE))</f>
        <v/>
      </c>
      <c r="E287" t="str">
        <f>IF(A287="", "", VLOOKUP(A287, BASE!$A$4:$E$10003, 5, FALSE))</f>
        <v/>
      </c>
      <c r="F287" t="str">
        <f t="shared" si="4"/>
        <v/>
      </c>
    </row>
    <row r="288" spans="1:6">
      <c r="A288" t="str">
        <f>IFERROR(INDEX(BASE!$A$4:$A$10003, SMALL(IF(BASE!$F$4:$F$10003="CARREGADO", ROW(BASE!$A$4:$A$10003)-ROW(BASE!$A$4)+1), ROW(A287))), "")</f>
        <v/>
      </c>
      <c r="B288" t="str">
        <f>IF(A288="", "", VLOOKUP(A288, BASE!$A$4:$B$10003, 2, FALSE))</f>
        <v/>
      </c>
      <c r="C288" t="str">
        <f>IF(A288="", "", VLOOKUP(A288, BASE!$A$4:$C$10003, 3, FALSE))</f>
        <v/>
      </c>
      <c r="D288" t="str">
        <f>IF(A288="", "", VLOOKUP(A288, BASE!$A$4:$D$10003, 4, FALSE))</f>
        <v/>
      </c>
      <c r="E288" t="str">
        <f>IF(A288="", "", VLOOKUP(A288, BASE!$A$4:$E$10003, 5, FALSE))</f>
        <v/>
      </c>
      <c r="F288" t="str">
        <f t="shared" si="4"/>
        <v/>
      </c>
    </row>
    <row r="289" spans="1:6">
      <c r="A289" t="str">
        <f>IFERROR(INDEX(BASE!$A$4:$A$10003, SMALL(IF(BASE!$F$4:$F$10003="CARREGADO", ROW(BASE!$A$4:$A$10003)-ROW(BASE!$A$4)+1), ROW(A288))), "")</f>
        <v/>
      </c>
      <c r="B289" t="str">
        <f>IF(A289="", "", VLOOKUP(A289, BASE!$A$4:$B$10003, 2, FALSE))</f>
        <v/>
      </c>
      <c r="C289" t="str">
        <f>IF(A289="", "", VLOOKUP(A289, BASE!$A$4:$C$10003, 3, FALSE))</f>
        <v/>
      </c>
      <c r="D289" t="str">
        <f>IF(A289="", "", VLOOKUP(A289, BASE!$A$4:$D$10003, 4, FALSE))</f>
        <v/>
      </c>
      <c r="E289" t="str">
        <f>IF(A289="", "", VLOOKUP(A289, BASE!$A$4:$E$10003, 5, FALSE))</f>
        <v/>
      </c>
      <c r="F289" t="str">
        <f t="shared" si="4"/>
        <v/>
      </c>
    </row>
    <row r="290" spans="1:6">
      <c r="A290" t="str">
        <f>IFERROR(INDEX(BASE!$A$4:$A$10003, SMALL(IF(BASE!$F$4:$F$10003="CARREGADO", ROW(BASE!$A$4:$A$10003)-ROW(BASE!$A$4)+1), ROW(A289))), "")</f>
        <v/>
      </c>
      <c r="B290" t="str">
        <f>IF(A290="", "", VLOOKUP(A290, BASE!$A$4:$B$10003, 2, FALSE))</f>
        <v/>
      </c>
      <c r="C290" t="str">
        <f>IF(A290="", "", VLOOKUP(A290, BASE!$A$4:$C$10003, 3, FALSE))</f>
        <v/>
      </c>
      <c r="D290" t="str">
        <f>IF(A290="", "", VLOOKUP(A290, BASE!$A$4:$D$10003, 4, FALSE))</f>
        <v/>
      </c>
      <c r="E290" t="str">
        <f>IF(A290="", "", VLOOKUP(A290, BASE!$A$4:$E$10003, 5, FALSE))</f>
        <v/>
      </c>
      <c r="F290" t="str">
        <f t="shared" si="4"/>
        <v/>
      </c>
    </row>
    <row r="291" spans="1:6">
      <c r="A291" t="str">
        <f>IFERROR(INDEX(BASE!$A$4:$A$10003, SMALL(IF(BASE!$F$4:$F$10003="CARREGADO", ROW(BASE!$A$4:$A$10003)-ROW(BASE!$A$4)+1), ROW(A290))), "")</f>
        <v/>
      </c>
      <c r="B291" t="str">
        <f>IF(A291="", "", VLOOKUP(A291, BASE!$A$4:$B$10003, 2, FALSE))</f>
        <v/>
      </c>
      <c r="C291" t="str">
        <f>IF(A291="", "", VLOOKUP(A291, BASE!$A$4:$C$10003, 3, FALSE))</f>
        <v/>
      </c>
      <c r="D291" t="str">
        <f>IF(A291="", "", VLOOKUP(A291, BASE!$A$4:$D$10003, 4, FALSE))</f>
        <v/>
      </c>
      <c r="E291" t="str">
        <f>IF(A291="", "", VLOOKUP(A291, BASE!$A$4:$E$10003, 5, FALSE))</f>
        <v/>
      </c>
      <c r="F291" t="str">
        <f t="shared" si="4"/>
        <v/>
      </c>
    </row>
    <row r="292" spans="1:6">
      <c r="A292" t="str">
        <f>IFERROR(INDEX(BASE!$A$4:$A$10003, SMALL(IF(BASE!$F$4:$F$10003="CARREGADO", ROW(BASE!$A$4:$A$10003)-ROW(BASE!$A$4)+1), ROW(A291))), "")</f>
        <v/>
      </c>
      <c r="B292" t="str">
        <f>IF(A292="", "", VLOOKUP(A292, BASE!$A$4:$B$10003, 2, FALSE))</f>
        <v/>
      </c>
      <c r="C292" t="str">
        <f>IF(A292="", "", VLOOKUP(A292, BASE!$A$4:$C$10003, 3, FALSE))</f>
        <v/>
      </c>
      <c r="D292" t="str">
        <f>IF(A292="", "", VLOOKUP(A292, BASE!$A$4:$D$10003, 4, FALSE))</f>
        <v/>
      </c>
      <c r="E292" t="str">
        <f>IF(A292="", "", VLOOKUP(A292, BASE!$A$4:$E$10003, 5, FALSE))</f>
        <v/>
      </c>
      <c r="F292" t="str">
        <f t="shared" si="4"/>
        <v/>
      </c>
    </row>
    <row r="293" spans="1:6">
      <c r="A293" t="str">
        <f>IFERROR(INDEX(BASE!$A$4:$A$10003, SMALL(IF(BASE!$F$4:$F$10003="CARREGADO", ROW(BASE!$A$4:$A$10003)-ROW(BASE!$A$4)+1), ROW(A292))), "")</f>
        <v/>
      </c>
      <c r="B293" t="str">
        <f>IF(A293="", "", VLOOKUP(A293, BASE!$A$4:$B$10003, 2, FALSE))</f>
        <v/>
      </c>
      <c r="C293" t="str">
        <f>IF(A293="", "", VLOOKUP(A293, BASE!$A$4:$C$10003, 3, FALSE))</f>
        <v/>
      </c>
      <c r="D293" t="str">
        <f>IF(A293="", "", VLOOKUP(A293, BASE!$A$4:$D$10003, 4, FALSE))</f>
        <v/>
      </c>
      <c r="E293" t="str">
        <f>IF(A293="", "", VLOOKUP(A293, BASE!$A$4:$E$10003, 5, FALSE))</f>
        <v/>
      </c>
      <c r="F293" t="str">
        <f t="shared" si="4"/>
        <v/>
      </c>
    </row>
    <row r="294" spans="1:6">
      <c r="A294" t="str">
        <f>IFERROR(INDEX(BASE!$A$4:$A$10003, SMALL(IF(BASE!$F$4:$F$10003="CARREGADO", ROW(BASE!$A$4:$A$10003)-ROW(BASE!$A$4)+1), ROW(A293))), "")</f>
        <v/>
      </c>
      <c r="B294" t="str">
        <f>IF(A294="", "", VLOOKUP(A294, BASE!$A$4:$B$10003, 2, FALSE))</f>
        <v/>
      </c>
      <c r="C294" t="str">
        <f>IF(A294="", "", VLOOKUP(A294, BASE!$A$4:$C$10003, 3, FALSE))</f>
        <v/>
      </c>
      <c r="D294" t="str">
        <f>IF(A294="", "", VLOOKUP(A294, BASE!$A$4:$D$10003, 4, FALSE))</f>
        <v/>
      </c>
      <c r="E294" t="str">
        <f>IF(A294="", "", VLOOKUP(A294, BASE!$A$4:$E$10003, 5, FALSE))</f>
        <v/>
      </c>
      <c r="F294" t="str">
        <f t="shared" si="4"/>
        <v/>
      </c>
    </row>
    <row r="295" spans="1:6">
      <c r="A295" t="str">
        <f>IFERROR(INDEX(BASE!$A$4:$A$10003, SMALL(IF(BASE!$F$4:$F$10003="CARREGADO", ROW(BASE!$A$4:$A$10003)-ROW(BASE!$A$4)+1), ROW(A294))), "")</f>
        <v/>
      </c>
      <c r="B295" t="str">
        <f>IF(A295="", "", VLOOKUP(A295, BASE!$A$4:$B$10003, 2, FALSE))</f>
        <v/>
      </c>
      <c r="C295" t="str">
        <f>IF(A295="", "", VLOOKUP(A295, BASE!$A$4:$C$10003, 3, FALSE))</f>
        <v/>
      </c>
      <c r="D295" t="str">
        <f>IF(A295="", "", VLOOKUP(A295, BASE!$A$4:$D$10003, 4, FALSE))</f>
        <v/>
      </c>
      <c r="E295" t="str">
        <f>IF(A295="", "", VLOOKUP(A295, BASE!$A$4:$E$10003, 5, FALSE))</f>
        <v/>
      </c>
      <c r="F295" t="str">
        <f t="shared" si="4"/>
        <v/>
      </c>
    </row>
    <row r="296" spans="1:6">
      <c r="A296" t="str">
        <f>IFERROR(INDEX(BASE!$A$4:$A$10003, SMALL(IF(BASE!$F$4:$F$10003="CARREGADO", ROW(BASE!$A$4:$A$10003)-ROW(BASE!$A$4)+1), ROW(A295))), "")</f>
        <v/>
      </c>
      <c r="B296" t="str">
        <f>IF(A296="", "", VLOOKUP(A296, BASE!$A$4:$B$10003, 2, FALSE))</f>
        <v/>
      </c>
      <c r="C296" t="str">
        <f>IF(A296="", "", VLOOKUP(A296, BASE!$A$4:$C$10003, 3, FALSE))</f>
        <v/>
      </c>
      <c r="D296" t="str">
        <f>IF(A296="", "", VLOOKUP(A296, BASE!$A$4:$D$10003, 4, FALSE))</f>
        <v/>
      </c>
      <c r="E296" t="str">
        <f>IF(A296="", "", VLOOKUP(A296, BASE!$A$4:$E$10003, 5, FALSE))</f>
        <v/>
      </c>
      <c r="F296" t="str">
        <f t="shared" si="4"/>
        <v/>
      </c>
    </row>
    <row r="297" spans="1:6">
      <c r="A297" t="str">
        <f>IFERROR(INDEX(BASE!$A$4:$A$10003, SMALL(IF(BASE!$F$4:$F$10003="CARREGADO", ROW(BASE!$A$4:$A$10003)-ROW(BASE!$A$4)+1), ROW(A296))), "")</f>
        <v/>
      </c>
      <c r="B297" t="str">
        <f>IF(A297="", "", VLOOKUP(A297, BASE!$A$4:$B$10003, 2, FALSE))</f>
        <v/>
      </c>
      <c r="C297" t="str">
        <f>IF(A297="", "", VLOOKUP(A297, BASE!$A$4:$C$10003, 3, FALSE))</f>
        <v/>
      </c>
      <c r="D297" t="str">
        <f>IF(A297="", "", VLOOKUP(A297, BASE!$A$4:$D$10003, 4, FALSE))</f>
        <v/>
      </c>
      <c r="E297" t="str">
        <f>IF(A297="", "", VLOOKUP(A297, BASE!$A$4:$E$10003, 5, FALSE))</f>
        <v/>
      </c>
      <c r="F297" t="str">
        <f t="shared" si="4"/>
        <v/>
      </c>
    </row>
    <row r="298" spans="1:6">
      <c r="A298" t="str">
        <f>IFERROR(INDEX(BASE!$A$4:$A$10003, SMALL(IF(BASE!$F$4:$F$10003="CARREGADO", ROW(BASE!$A$4:$A$10003)-ROW(BASE!$A$4)+1), ROW(A297))), "")</f>
        <v/>
      </c>
      <c r="B298" t="str">
        <f>IF(A298="", "", VLOOKUP(A298, BASE!$A$4:$B$10003, 2, FALSE))</f>
        <v/>
      </c>
      <c r="C298" t="str">
        <f>IF(A298="", "", VLOOKUP(A298, BASE!$A$4:$C$10003, 3, FALSE))</f>
        <v/>
      </c>
      <c r="D298" t="str">
        <f>IF(A298="", "", VLOOKUP(A298, BASE!$A$4:$D$10003, 4, FALSE))</f>
        <v/>
      </c>
      <c r="E298" t="str">
        <f>IF(A298="", "", VLOOKUP(A298, BASE!$A$4:$E$10003, 5, FALSE))</f>
        <v/>
      </c>
      <c r="F298" t="str">
        <f t="shared" si="4"/>
        <v/>
      </c>
    </row>
    <row r="299" spans="1:6">
      <c r="A299" t="str">
        <f>IFERROR(INDEX(BASE!$A$4:$A$10003, SMALL(IF(BASE!$F$4:$F$10003="CARREGADO", ROW(BASE!$A$4:$A$10003)-ROW(BASE!$A$4)+1), ROW(A298))), "")</f>
        <v/>
      </c>
      <c r="B299" t="str">
        <f>IF(A299="", "", VLOOKUP(A299, BASE!$A$4:$B$10003, 2, FALSE))</f>
        <v/>
      </c>
      <c r="C299" t="str">
        <f>IF(A299="", "", VLOOKUP(A299, BASE!$A$4:$C$10003, 3, FALSE))</f>
        <v/>
      </c>
      <c r="D299" t="str">
        <f>IF(A299="", "", VLOOKUP(A299, BASE!$A$4:$D$10003, 4, FALSE))</f>
        <v/>
      </c>
      <c r="E299" t="str">
        <f>IF(A299="", "", VLOOKUP(A299, BASE!$A$4:$E$10003, 5, FALSE))</f>
        <v/>
      </c>
      <c r="F299" t="str">
        <f t="shared" si="4"/>
        <v/>
      </c>
    </row>
    <row r="300" spans="1:6">
      <c r="A300" t="str">
        <f>IFERROR(INDEX(BASE!$A$4:$A$10003, SMALL(IF(BASE!$F$4:$F$10003="CARREGADO", ROW(BASE!$A$4:$A$10003)-ROW(BASE!$A$4)+1), ROW(A299))), "")</f>
        <v/>
      </c>
      <c r="B300" t="str">
        <f>IF(A300="", "", VLOOKUP(A300, BASE!$A$4:$B$10003, 2, FALSE))</f>
        <v/>
      </c>
      <c r="C300" t="str">
        <f>IF(A300="", "", VLOOKUP(A300, BASE!$A$4:$C$10003, 3, FALSE))</f>
        <v/>
      </c>
      <c r="D300" t="str">
        <f>IF(A300="", "", VLOOKUP(A300, BASE!$A$4:$D$10003, 4, FALSE))</f>
        <v/>
      </c>
      <c r="E300" t="str">
        <f>IF(A300="", "", VLOOKUP(A300, BASE!$A$4:$E$10003, 5, FALSE))</f>
        <v/>
      </c>
      <c r="F300" t="str">
        <f t="shared" si="4"/>
        <v/>
      </c>
    </row>
    <row r="301" spans="1:6">
      <c r="A301" t="str">
        <f>IFERROR(INDEX(BASE!$A$4:$A$10003, SMALL(IF(BASE!$F$4:$F$10003="CARREGADO", ROW(BASE!$A$4:$A$10003)-ROW(BASE!$A$4)+1), ROW(A300))), "")</f>
        <v/>
      </c>
      <c r="B301" t="str">
        <f>IF(A301="", "", VLOOKUP(A301, BASE!$A$4:$B$10003, 2, FALSE))</f>
        <v/>
      </c>
      <c r="C301" t="str">
        <f>IF(A301="", "", VLOOKUP(A301, BASE!$A$4:$C$10003, 3, FALSE))</f>
        <v/>
      </c>
      <c r="D301" t="str">
        <f>IF(A301="", "", VLOOKUP(A301, BASE!$A$4:$D$10003, 4, FALSE))</f>
        <v/>
      </c>
      <c r="E301" t="str">
        <f>IF(A301="", "", VLOOKUP(A301, BASE!$A$4:$E$10003, 5, FALSE))</f>
        <v/>
      </c>
      <c r="F301" t="str">
        <f t="shared" si="4"/>
        <v/>
      </c>
    </row>
    <row r="302" spans="1:6">
      <c r="A302" t="str">
        <f>IFERROR(INDEX(BASE!$A$4:$A$10003, SMALL(IF(BASE!$F$4:$F$10003="CARREGADO", ROW(BASE!$A$4:$A$10003)-ROW(BASE!$A$4)+1), ROW(A301))), "")</f>
        <v/>
      </c>
      <c r="B302" t="str">
        <f>IF(A302="", "", VLOOKUP(A302, BASE!$A$4:$B$10003, 2, FALSE))</f>
        <v/>
      </c>
      <c r="C302" t="str">
        <f>IF(A302="", "", VLOOKUP(A302, BASE!$A$4:$C$10003, 3, FALSE))</f>
        <v/>
      </c>
      <c r="D302" t="str">
        <f>IF(A302="", "", VLOOKUP(A302, BASE!$A$4:$D$10003, 4, FALSE))</f>
        <v/>
      </c>
      <c r="E302" t="str">
        <f>IF(A302="", "", VLOOKUP(A302, BASE!$A$4:$E$10003, 5, FALSE))</f>
        <v/>
      </c>
      <c r="F302" t="str">
        <f t="shared" si="4"/>
        <v/>
      </c>
    </row>
    <row r="303" spans="1:6">
      <c r="A303" t="str">
        <f>IFERROR(INDEX(BASE!$A$4:$A$10003, SMALL(IF(BASE!$F$4:$F$10003="CARREGADO", ROW(BASE!$A$4:$A$10003)-ROW(BASE!$A$4)+1), ROW(A302))), "")</f>
        <v/>
      </c>
      <c r="B303" t="str">
        <f>IF(A303="", "", VLOOKUP(A303, BASE!$A$4:$B$10003, 2, FALSE))</f>
        <v/>
      </c>
      <c r="C303" t="str">
        <f>IF(A303="", "", VLOOKUP(A303, BASE!$A$4:$C$10003, 3, FALSE))</f>
        <v/>
      </c>
      <c r="D303" t="str">
        <f>IF(A303="", "", VLOOKUP(A303, BASE!$A$4:$D$10003, 4, FALSE))</f>
        <v/>
      </c>
      <c r="E303" t="str">
        <f>IF(A303="", "", VLOOKUP(A303, BASE!$A$4:$E$10003, 5, FALSE))</f>
        <v/>
      </c>
      <c r="F303" t="str">
        <f t="shared" si="4"/>
        <v/>
      </c>
    </row>
    <row r="304" spans="1:6">
      <c r="A304" t="str">
        <f>IFERROR(INDEX(BASE!$A$4:$A$10003, SMALL(IF(BASE!$F$4:$F$10003="CARREGADO", ROW(BASE!$A$4:$A$10003)-ROW(BASE!$A$4)+1), ROW(A303))), "")</f>
        <v/>
      </c>
      <c r="B304" t="str">
        <f>IF(A304="", "", VLOOKUP(A304, BASE!$A$4:$B$10003, 2, FALSE))</f>
        <v/>
      </c>
      <c r="C304" t="str">
        <f>IF(A304="", "", VLOOKUP(A304, BASE!$A$4:$C$10003, 3, FALSE))</f>
        <v/>
      </c>
      <c r="D304" t="str">
        <f>IF(A304="", "", VLOOKUP(A304, BASE!$A$4:$D$10003, 4, FALSE))</f>
        <v/>
      </c>
      <c r="E304" t="str">
        <f>IF(A304="", "", VLOOKUP(A304, BASE!$A$4:$E$10003, 5, FALSE))</f>
        <v/>
      </c>
      <c r="F304" t="str">
        <f t="shared" si="4"/>
        <v/>
      </c>
    </row>
    <row r="305" spans="1:6">
      <c r="A305" t="str">
        <f>IFERROR(INDEX(BASE!$A$4:$A$10003, SMALL(IF(BASE!$F$4:$F$10003="CARREGADO", ROW(BASE!$A$4:$A$10003)-ROW(BASE!$A$4)+1), ROW(A304))), "")</f>
        <v/>
      </c>
      <c r="B305" t="str">
        <f>IF(A305="", "", VLOOKUP(A305, BASE!$A$4:$B$10003, 2, FALSE))</f>
        <v/>
      </c>
      <c r="C305" t="str">
        <f>IF(A305="", "", VLOOKUP(A305, BASE!$A$4:$C$10003, 3, FALSE))</f>
        <v/>
      </c>
      <c r="D305" t="str">
        <f>IF(A305="", "", VLOOKUP(A305, BASE!$A$4:$D$10003, 4, FALSE))</f>
        <v/>
      </c>
      <c r="E305" t="str">
        <f>IF(A305="", "", VLOOKUP(A305, BASE!$A$4:$E$10003, 5, FALSE))</f>
        <v/>
      </c>
      <c r="F305" t="str">
        <f t="shared" si="4"/>
        <v/>
      </c>
    </row>
    <row r="306" spans="1:6">
      <c r="A306" t="str">
        <f>IFERROR(INDEX(BASE!$A$4:$A$10003, SMALL(IF(BASE!$F$4:$F$10003="CARREGADO", ROW(BASE!$A$4:$A$10003)-ROW(BASE!$A$4)+1), ROW(A305))), "")</f>
        <v/>
      </c>
      <c r="B306" t="str">
        <f>IF(A306="", "", VLOOKUP(A306, BASE!$A$4:$B$10003, 2, FALSE))</f>
        <v/>
      </c>
      <c r="C306" t="str">
        <f>IF(A306="", "", VLOOKUP(A306, BASE!$A$4:$C$10003, 3, FALSE))</f>
        <v/>
      </c>
      <c r="D306" t="str">
        <f>IF(A306="", "", VLOOKUP(A306, BASE!$A$4:$D$10003, 4, FALSE))</f>
        <v/>
      </c>
      <c r="E306" t="str">
        <f>IF(A306="", "", VLOOKUP(A306, BASE!$A$4:$E$10003, 5, FALSE))</f>
        <v/>
      </c>
      <c r="F306" t="str">
        <f t="shared" si="4"/>
        <v/>
      </c>
    </row>
    <row r="307" spans="1:6">
      <c r="A307" t="str">
        <f>IFERROR(INDEX(BASE!$A$4:$A$10003, SMALL(IF(BASE!$F$4:$F$10003="CARREGADO", ROW(BASE!$A$4:$A$10003)-ROW(BASE!$A$4)+1), ROW(A306))), "")</f>
        <v/>
      </c>
      <c r="B307" t="str">
        <f>IF(A307="", "", VLOOKUP(A307, BASE!$A$4:$B$10003, 2, FALSE))</f>
        <v/>
      </c>
      <c r="C307" t="str">
        <f>IF(A307="", "", VLOOKUP(A307, BASE!$A$4:$C$10003, 3, FALSE))</f>
        <v/>
      </c>
      <c r="D307" t="str">
        <f>IF(A307="", "", VLOOKUP(A307, BASE!$A$4:$D$10003, 4, FALSE))</f>
        <v/>
      </c>
      <c r="E307" t="str">
        <f>IF(A307="", "", VLOOKUP(A307, BASE!$A$4:$E$10003, 5, FALSE))</f>
        <v/>
      </c>
      <c r="F307" t="str">
        <f t="shared" si="4"/>
        <v/>
      </c>
    </row>
    <row r="308" spans="1:6">
      <c r="A308" t="str">
        <f>IFERROR(INDEX(BASE!$A$4:$A$10003, SMALL(IF(BASE!$F$4:$F$10003="CARREGADO", ROW(BASE!$A$4:$A$10003)-ROW(BASE!$A$4)+1), ROW(A307))), "")</f>
        <v/>
      </c>
      <c r="B308" t="str">
        <f>IF(A308="", "", VLOOKUP(A308, BASE!$A$4:$B$10003, 2, FALSE))</f>
        <v/>
      </c>
      <c r="C308" t="str">
        <f>IF(A308="", "", VLOOKUP(A308, BASE!$A$4:$C$10003, 3, FALSE))</f>
        <v/>
      </c>
      <c r="D308" t="str">
        <f>IF(A308="", "", VLOOKUP(A308, BASE!$A$4:$D$10003, 4, FALSE))</f>
        <v/>
      </c>
      <c r="E308" t="str">
        <f>IF(A308="", "", VLOOKUP(A308, BASE!$A$4:$E$10003, 5, FALSE))</f>
        <v/>
      </c>
      <c r="F308" t="str">
        <f t="shared" si="4"/>
        <v/>
      </c>
    </row>
    <row r="309" spans="1:6">
      <c r="A309" t="str">
        <f>IFERROR(INDEX(BASE!$A$4:$A$10003, SMALL(IF(BASE!$F$4:$F$10003="CARREGADO", ROW(BASE!$A$4:$A$10003)-ROW(BASE!$A$4)+1), ROW(A308))), "")</f>
        <v/>
      </c>
      <c r="B309" t="str">
        <f>IF(A309="", "", VLOOKUP(A309, BASE!$A$4:$B$10003, 2, FALSE))</f>
        <v/>
      </c>
      <c r="C309" t="str">
        <f>IF(A309="", "", VLOOKUP(A309, BASE!$A$4:$C$10003, 3, FALSE))</f>
        <v/>
      </c>
      <c r="D309" t="str">
        <f>IF(A309="", "", VLOOKUP(A309, BASE!$A$4:$D$10003, 4, FALSE))</f>
        <v/>
      </c>
      <c r="E309" t="str">
        <f>IF(A309="", "", VLOOKUP(A309, BASE!$A$4:$E$10003, 5, FALSE))</f>
        <v/>
      </c>
      <c r="F309" t="str">
        <f t="shared" si="4"/>
        <v/>
      </c>
    </row>
    <row r="310" spans="1:6">
      <c r="A310" t="str">
        <f>IFERROR(INDEX(BASE!$A$4:$A$10003, SMALL(IF(BASE!$F$4:$F$10003="CARREGADO", ROW(BASE!$A$4:$A$10003)-ROW(BASE!$A$4)+1), ROW(A309))), "")</f>
        <v/>
      </c>
      <c r="B310" t="str">
        <f>IF(A310="", "", VLOOKUP(A310, BASE!$A$4:$B$10003, 2, FALSE))</f>
        <v/>
      </c>
      <c r="C310" t="str">
        <f>IF(A310="", "", VLOOKUP(A310, BASE!$A$4:$C$10003, 3, FALSE))</f>
        <v/>
      </c>
      <c r="D310" t="str">
        <f>IF(A310="", "", VLOOKUP(A310, BASE!$A$4:$D$10003, 4, FALSE))</f>
        <v/>
      </c>
      <c r="E310" t="str">
        <f>IF(A310="", "", VLOOKUP(A310, BASE!$A$4:$E$10003, 5, FALSE))</f>
        <v/>
      </c>
      <c r="F310" t="str">
        <f t="shared" si="4"/>
        <v/>
      </c>
    </row>
    <row r="311" spans="1:6">
      <c r="A311" t="str">
        <f>IFERROR(INDEX(BASE!$A$4:$A$10003, SMALL(IF(BASE!$F$4:$F$10003="CARREGADO", ROW(BASE!$A$4:$A$10003)-ROW(BASE!$A$4)+1), ROW(A310))), "")</f>
        <v/>
      </c>
      <c r="B311" t="str">
        <f>IF(A311="", "", VLOOKUP(A311, BASE!$A$4:$B$10003, 2, FALSE))</f>
        <v/>
      </c>
      <c r="C311" t="str">
        <f>IF(A311="", "", VLOOKUP(A311, BASE!$A$4:$C$10003, 3, FALSE))</f>
        <v/>
      </c>
      <c r="D311" t="str">
        <f>IF(A311="", "", VLOOKUP(A311, BASE!$A$4:$D$10003, 4, FALSE))</f>
        <v/>
      </c>
      <c r="E311" t="str">
        <f>IF(A311="", "", VLOOKUP(A311, BASE!$A$4:$E$10003, 5, FALSE))</f>
        <v/>
      </c>
      <c r="F311" t="str">
        <f t="shared" si="4"/>
        <v/>
      </c>
    </row>
    <row r="312" spans="1:6">
      <c r="A312" t="str">
        <f>IFERROR(INDEX(BASE!$A$4:$A$10003, SMALL(IF(BASE!$F$4:$F$10003="CARREGADO", ROW(BASE!$A$4:$A$10003)-ROW(BASE!$A$4)+1), ROW(A311))), "")</f>
        <v/>
      </c>
      <c r="B312" t="str">
        <f>IF(A312="", "", VLOOKUP(A312, BASE!$A$4:$B$10003, 2, FALSE))</f>
        <v/>
      </c>
      <c r="C312" t="str">
        <f>IF(A312="", "", VLOOKUP(A312, BASE!$A$4:$C$10003, 3, FALSE))</f>
        <v/>
      </c>
      <c r="D312" t="str">
        <f>IF(A312="", "", VLOOKUP(A312, BASE!$A$4:$D$10003, 4, FALSE))</f>
        <v/>
      </c>
      <c r="E312" t="str">
        <f>IF(A312="", "", VLOOKUP(A312, BASE!$A$4:$E$10003, 5, FALSE))</f>
        <v/>
      </c>
      <c r="F312" t="str">
        <f t="shared" si="4"/>
        <v/>
      </c>
    </row>
    <row r="313" spans="1:6">
      <c r="A313" t="str">
        <f>IFERROR(INDEX(BASE!$A$4:$A$10003, SMALL(IF(BASE!$F$4:$F$10003="CARREGADO", ROW(BASE!$A$4:$A$10003)-ROW(BASE!$A$4)+1), ROW(A312))), "")</f>
        <v/>
      </c>
      <c r="B313" t="str">
        <f>IF(A313="", "", VLOOKUP(A313, BASE!$A$4:$B$10003, 2, FALSE))</f>
        <v/>
      </c>
      <c r="C313" t="str">
        <f>IF(A313="", "", VLOOKUP(A313, BASE!$A$4:$C$10003, 3, FALSE))</f>
        <v/>
      </c>
      <c r="D313" t="str">
        <f>IF(A313="", "", VLOOKUP(A313, BASE!$A$4:$D$10003, 4, FALSE))</f>
        <v/>
      </c>
      <c r="E313" t="str">
        <f>IF(A313="", "", VLOOKUP(A313, BASE!$A$4:$E$10003, 5, FALSE))</f>
        <v/>
      </c>
      <c r="F313" t="str">
        <f t="shared" si="4"/>
        <v/>
      </c>
    </row>
    <row r="314" spans="1:6">
      <c r="A314" t="str">
        <f>IFERROR(INDEX(BASE!$A$4:$A$10003, SMALL(IF(BASE!$F$4:$F$10003="CARREGADO", ROW(BASE!$A$4:$A$10003)-ROW(BASE!$A$4)+1), ROW(A313))), "")</f>
        <v/>
      </c>
      <c r="B314" t="str">
        <f>IF(A314="", "", VLOOKUP(A314, BASE!$A$4:$B$10003, 2, FALSE))</f>
        <v/>
      </c>
      <c r="C314" t="str">
        <f>IF(A314="", "", VLOOKUP(A314, BASE!$A$4:$C$10003, 3, FALSE))</f>
        <v/>
      </c>
      <c r="D314" t="str">
        <f>IF(A314="", "", VLOOKUP(A314, BASE!$A$4:$D$10003, 4, FALSE))</f>
        <v/>
      </c>
      <c r="E314" t="str">
        <f>IF(A314="", "", VLOOKUP(A314, BASE!$A$4:$E$10003, 5, FALSE))</f>
        <v/>
      </c>
      <c r="F314" t="str">
        <f t="shared" si="4"/>
        <v/>
      </c>
    </row>
    <row r="315" spans="1:6">
      <c r="A315" t="str">
        <f>IFERROR(INDEX(BASE!$A$4:$A$10003, SMALL(IF(BASE!$F$4:$F$10003="CARREGADO", ROW(BASE!$A$4:$A$10003)-ROW(BASE!$A$4)+1), ROW(A314))), "")</f>
        <v/>
      </c>
      <c r="B315" t="str">
        <f>IF(A315="", "", VLOOKUP(A315, BASE!$A$4:$B$10003, 2, FALSE))</f>
        <v/>
      </c>
      <c r="C315" t="str">
        <f>IF(A315="", "", VLOOKUP(A315, BASE!$A$4:$C$10003, 3, FALSE))</f>
        <v/>
      </c>
      <c r="D315" t="str">
        <f>IF(A315="", "", VLOOKUP(A315, BASE!$A$4:$D$10003, 4, FALSE))</f>
        <v/>
      </c>
      <c r="E315" t="str">
        <f>IF(A315="", "", VLOOKUP(A315, BASE!$A$4:$E$10003, 5, FALSE))</f>
        <v/>
      </c>
      <c r="F315" t="str">
        <f t="shared" si="4"/>
        <v/>
      </c>
    </row>
    <row r="316" spans="1:6">
      <c r="A316" t="str">
        <f>IFERROR(INDEX(BASE!$A$4:$A$10003, SMALL(IF(BASE!$F$4:$F$10003="CARREGADO", ROW(BASE!$A$4:$A$10003)-ROW(BASE!$A$4)+1), ROW(A315))), "")</f>
        <v/>
      </c>
      <c r="B316" t="str">
        <f>IF(A316="", "", VLOOKUP(A316, BASE!$A$4:$B$10003, 2, FALSE))</f>
        <v/>
      </c>
      <c r="C316" t="str">
        <f>IF(A316="", "", VLOOKUP(A316, BASE!$A$4:$C$10003, 3, FALSE))</f>
        <v/>
      </c>
      <c r="D316" t="str">
        <f>IF(A316="", "", VLOOKUP(A316, BASE!$A$4:$D$10003, 4, FALSE))</f>
        <v/>
      </c>
      <c r="E316" t="str">
        <f>IF(A316="", "", VLOOKUP(A316, BASE!$A$4:$E$10003, 5, FALSE))</f>
        <v/>
      </c>
      <c r="F316" t="str">
        <f t="shared" si="4"/>
        <v/>
      </c>
    </row>
    <row r="317" spans="1:6">
      <c r="A317" t="str">
        <f>IFERROR(INDEX(BASE!$A$4:$A$10003, SMALL(IF(BASE!$F$4:$F$10003="CARREGADO", ROW(BASE!$A$4:$A$10003)-ROW(BASE!$A$4)+1), ROW(A316))), "")</f>
        <v/>
      </c>
      <c r="B317" t="str">
        <f>IF(A317="", "", VLOOKUP(A317, BASE!$A$4:$B$10003, 2, FALSE))</f>
        <v/>
      </c>
      <c r="C317" t="str">
        <f>IF(A317="", "", VLOOKUP(A317, BASE!$A$4:$C$10003, 3, FALSE))</f>
        <v/>
      </c>
      <c r="D317" t="str">
        <f>IF(A317="", "", VLOOKUP(A317, BASE!$A$4:$D$10003, 4, FALSE))</f>
        <v/>
      </c>
      <c r="E317" t="str">
        <f>IF(A317="", "", VLOOKUP(A317, BASE!$A$4:$E$10003, 5, FALSE))</f>
        <v/>
      </c>
      <c r="F317" t="str">
        <f t="shared" si="4"/>
        <v/>
      </c>
    </row>
    <row r="318" spans="1:6">
      <c r="A318" t="str">
        <f>IFERROR(INDEX(BASE!$A$4:$A$10003, SMALL(IF(BASE!$F$4:$F$10003="CARREGADO", ROW(BASE!$A$4:$A$10003)-ROW(BASE!$A$4)+1), ROW(A317))), "")</f>
        <v/>
      </c>
      <c r="B318" t="str">
        <f>IF(A318="", "", VLOOKUP(A318, BASE!$A$4:$B$10003, 2, FALSE))</f>
        <v/>
      </c>
      <c r="C318" t="str">
        <f>IF(A318="", "", VLOOKUP(A318, BASE!$A$4:$C$10003, 3, FALSE))</f>
        <v/>
      </c>
      <c r="D318" t="str">
        <f>IF(A318="", "", VLOOKUP(A318, BASE!$A$4:$D$10003, 4, FALSE))</f>
        <v/>
      </c>
      <c r="E318" t="str">
        <f>IF(A318="", "", VLOOKUP(A318, BASE!$A$4:$E$10003, 5, FALSE))</f>
        <v/>
      </c>
      <c r="F318" t="str">
        <f t="shared" si="4"/>
        <v/>
      </c>
    </row>
    <row r="319" spans="1:6">
      <c r="A319" t="str">
        <f>IFERROR(INDEX(BASE!$A$4:$A$10003, SMALL(IF(BASE!$F$4:$F$10003="CARREGADO", ROW(BASE!$A$4:$A$10003)-ROW(BASE!$A$4)+1), ROW(A318))), "")</f>
        <v/>
      </c>
      <c r="B319" t="str">
        <f>IF(A319="", "", VLOOKUP(A319, BASE!$A$4:$B$10003, 2, FALSE))</f>
        <v/>
      </c>
      <c r="C319" t="str">
        <f>IF(A319="", "", VLOOKUP(A319, BASE!$A$4:$C$10003, 3, FALSE))</f>
        <v/>
      </c>
      <c r="D319" t="str">
        <f>IF(A319="", "", VLOOKUP(A319, BASE!$A$4:$D$10003, 4, FALSE))</f>
        <v/>
      </c>
      <c r="E319" t="str">
        <f>IF(A319="", "", VLOOKUP(A319, BASE!$A$4:$E$10003, 5, FALSE))</f>
        <v/>
      </c>
      <c r="F319" t="str">
        <f t="shared" si="4"/>
        <v/>
      </c>
    </row>
    <row r="320" spans="1:6">
      <c r="A320" t="str">
        <f>IFERROR(INDEX(BASE!$A$4:$A$10003, SMALL(IF(BASE!$F$4:$F$10003="CARREGADO", ROW(BASE!$A$4:$A$10003)-ROW(BASE!$A$4)+1), ROW(A319))), "")</f>
        <v/>
      </c>
      <c r="B320" t="str">
        <f>IF(A320="", "", VLOOKUP(A320, BASE!$A$4:$B$10003, 2, FALSE))</f>
        <v/>
      </c>
      <c r="C320" t="str">
        <f>IF(A320="", "", VLOOKUP(A320, BASE!$A$4:$C$10003, 3, FALSE))</f>
        <v/>
      </c>
      <c r="D320" t="str">
        <f>IF(A320="", "", VLOOKUP(A320, BASE!$A$4:$D$10003, 4, FALSE))</f>
        <v/>
      </c>
      <c r="E320" t="str">
        <f>IF(A320="", "", VLOOKUP(A320, BASE!$A$4:$E$10003, 5, FALSE))</f>
        <v/>
      </c>
      <c r="F320" t="str">
        <f t="shared" si="4"/>
        <v/>
      </c>
    </row>
    <row r="321" spans="1:6">
      <c r="A321" t="str">
        <f>IFERROR(INDEX(BASE!$A$4:$A$10003, SMALL(IF(BASE!$F$4:$F$10003="CARREGADO", ROW(BASE!$A$4:$A$10003)-ROW(BASE!$A$4)+1), ROW(A320))), "")</f>
        <v/>
      </c>
      <c r="B321" t="str">
        <f>IF(A321="", "", VLOOKUP(A321, BASE!$A$4:$B$10003, 2, FALSE))</f>
        <v/>
      </c>
      <c r="C321" t="str">
        <f>IF(A321="", "", VLOOKUP(A321, BASE!$A$4:$C$10003, 3, FALSE))</f>
        <v/>
      </c>
      <c r="D321" t="str">
        <f>IF(A321="", "", VLOOKUP(A321, BASE!$A$4:$D$10003, 4, FALSE))</f>
        <v/>
      </c>
      <c r="E321" t="str">
        <f>IF(A321="", "", VLOOKUP(A321, BASE!$A$4:$E$10003, 5, FALSE))</f>
        <v/>
      </c>
      <c r="F321" t="str">
        <f t="shared" si="4"/>
        <v/>
      </c>
    </row>
    <row r="322" spans="1:6">
      <c r="A322" t="str">
        <f>IFERROR(INDEX(BASE!$A$4:$A$10003, SMALL(IF(BASE!$F$4:$F$10003="CARREGADO", ROW(BASE!$A$4:$A$10003)-ROW(BASE!$A$4)+1), ROW(A321))), "")</f>
        <v/>
      </c>
      <c r="B322" t="str">
        <f>IF(A322="", "", VLOOKUP(A322, BASE!$A$4:$B$10003, 2, FALSE))</f>
        <v/>
      </c>
      <c r="C322" t="str">
        <f>IF(A322="", "", VLOOKUP(A322, BASE!$A$4:$C$10003, 3, FALSE))</f>
        <v/>
      </c>
      <c r="D322" t="str">
        <f>IF(A322="", "", VLOOKUP(A322, BASE!$A$4:$D$10003, 4, FALSE))</f>
        <v/>
      </c>
      <c r="E322" t="str">
        <f>IF(A322="", "", VLOOKUP(A322, BASE!$A$4:$E$10003, 5, FALSE))</f>
        <v/>
      </c>
      <c r="F322" t="str">
        <f t="shared" ref="F322:F385" si="5">IF(A322="", "", "CARREGADO")</f>
        <v/>
      </c>
    </row>
    <row r="323" spans="1:6">
      <c r="A323" t="str">
        <f>IFERROR(INDEX(BASE!$A$4:$A$10003, SMALL(IF(BASE!$F$4:$F$10003="CARREGADO", ROW(BASE!$A$4:$A$10003)-ROW(BASE!$A$4)+1), ROW(A322))), "")</f>
        <v/>
      </c>
      <c r="B323" t="str">
        <f>IF(A323="", "", VLOOKUP(A323, BASE!$A$4:$B$10003, 2, FALSE))</f>
        <v/>
      </c>
      <c r="C323" t="str">
        <f>IF(A323="", "", VLOOKUP(A323, BASE!$A$4:$C$10003, 3, FALSE))</f>
        <v/>
      </c>
      <c r="D323" t="str">
        <f>IF(A323="", "", VLOOKUP(A323, BASE!$A$4:$D$10003, 4, FALSE))</f>
        <v/>
      </c>
      <c r="E323" t="str">
        <f>IF(A323="", "", VLOOKUP(A323, BASE!$A$4:$E$10003, 5, FALSE))</f>
        <v/>
      </c>
      <c r="F323" t="str">
        <f t="shared" si="5"/>
        <v/>
      </c>
    </row>
    <row r="324" spans="1:6">
      <c r="A324" t="str">
        <f>IFERROR(INDEX(BASE!$A$4:$A$10003, SMALL(IF(BASE!$F$4:$F$10003="CARREGADO", ROW(BASE!$A$4:$A$10003)-ROW(BASE!$A$4)+1), ROW(A323))), "")</f>
        <v/>
      </c>
      <c r="B324" t="str">
        <f>IF(A324="", "", VLOOKUP(A324, BASE!$A$4:$B$10003, 2, FALSE))</f>
        <v/>
      </c>
      <c r="C324" t="str">
        <f>IF(A324="", "", VLOOKUP(A324, BASE!$A$4:$C$10003, 3, FALSE))</f>
        <v/>
      </c>
      <c r="D324" t="str">
        <f>IF(A324="", "", VLOOKUP(A324, BASE!$A$4:$D$10003, 4, FALSE))</f>
        <v/>
      </c>
      <c r="E324" t="str">
        <f>IF(A324="", "", VLOOKUP(A324, BASE!$A$4:$E$10003, 5, FALSE))</f>
        <v/>
      </c>
      <c r="F324" t="str">
        <f t="shared" si="5"/>
        <v/>
      </c>
    </row>
    <row r="325" spans="1:6">
      <c r="A325" t="str">
        <f>IFERROR(INDEX(BASE!$A$4:$A$10003, SMALL(IF(BASE!$F$4:$F$10003="CARREGADO", ROW(BASE!$A$4:$A$10003)-ROW(BASE!$A$4)+1), ROW(A324))), "")</f>
        <v/>
      </c>
      <c r="B325" t="str">
        <f>IF(A325="", "", VLOOKUP(A325, BASE!$A$4:$B$10003, 2, FALSE))</f>
        <v/>
      </c>
      <c r="C325" t="str">
        <f>IF(A325="", "", VLOOKUP(A325, BASE!$A$4:$C$10003, 3, FALSE))</f>
        <v/>
      </c>
      <c r="D325" t="str">
        <f>IF(A325="", "", VLOOKUP(A325, BASE!$A$4:$D$10003, 4, FALSE))</f>
        <v/>
      </c>
      <c r="E325" t="str">
        <f>IF(A325="", "", VLOOKUP(A325, BASE!$A$4:$E$10003, 5, FALSE))</f>
        <v/>
      </c>
      <c r="F325" t="str">
        <f t="shared" si="5"/>
        <v/>
      </c>
    </row>
    <row r="326" spans="1:6">
      <c r="A326" t="str">
        <f>IFERROR(INDEX(BASE!$A$4:$A$10003, SMALL(IF(BASE!$F$4:$F$10003="CARREGADO", ROW(BASE!$A$4:$A$10003)-ROW(BASE!$A$4)+1), ROW(A325))), "")</f>
        <v/>
      </c>
      <c r="B326" t="str">
        <f>IF(A326="", "", VLOOKUP(A326, BASE!$A$4:$B$10003, 2, FALSE))</f>
        <v/>
      </c>
      <c r="C326" t="str">
        <f>IF(A326="", "", VLOOKUP(A326, BASE!$A$4:$C$10003, 3, FALSE))</f>
        <v/>
      </c>
      <c r="D326" t="str">
        <f>IF(A326="", "", VLOOKUP(A326, BASE!$A$4:$D$10003, 4, FALSE))</f>
        <v/>
      </c>
      <c r="E326" t="str">
        <f>IF(A326="", "", VLOOKUP(A326, BASE!$A$4:$E$10003, 5, FALSE))</f>
        <v/>
      </c>
      <c r="F326" t="str">
        <f t="shared" si="5"/>
        <v/>
      </c>
    </row>
    <row r="327" spans="1:6">
      <c r="A327" t="str">
        <f>IFERROR(INDEX(BASE!$A$4:$A$10003, SMALL(IF(BASE!$F$4:$F$10003="CARREGADO", ROW(BASE!$A$4:$A$10003)-ROW(BASE!$A$4)+1), ROW(A326))), "")</f>
        <v/>
      </c>
      <c r="B327" t="str">
        <f>IF(A327="", "", VLOOKUP(A327, BASE!$A$4:$B$10003, 2, FALSE))</f>
        <v/>
      </c>
      <c r="C327" t="str">
        <f>IF(A327="", "", VLOOKUP(A327, BASE!$A$4:$C$10003, 3, FALSE))</f>
        <v/>
      </c>
      <c r="D327" t="str">
        <f>IF(A327="", "", VLOOKUP(A327, BASE!$A$4:$D$10003, 4, FALSE))</f>
        <v/>
      </c>
      <c r="E327" t="str">
        <f>IF(A327="", "", VLOOKUP(A327, BASE!$A$4:$E$10003, 5, FALSE))</f>
        <v/>
      </c>
      <c r="F327" t="str">
        <f t="shared" si="5"/>
        <v/>
      </c>
    </row>
    <row r="328" spans="1:6">
      <c r="A328" t="str">
        <f>IFERROR(INDEX(BASE!$A$4:$A$10003, SMALL(IF(BASE!$F$4:$F$10003="CARREGADO", ROW(BASE!$A$4:$A$10003)-ROW(BASE!$A$4)+1), ROW(A327))), "")</f>
        <v/>
      </c>
      <c r="B328" t="str">
        <f>IF(A328="", "", VLOOKUP(A328, BASE!$A$4:$B$10003, 2, FALSE))</f>
        <v/>
      </c>
      <c r="C328" t="str">
        <f>IF(A328="", "", VLOOKUP(A328, BASE!$A$4:$C$10003, 3, FALSE))</f>
        <v/>
      </c>
      <c r="D328" t="str">
        <f>IF(A328="", "", VLOOKUP(A328, BASE!$A$4:$D$10003, 4, FALSE))</f>
        <v/>
      </c>
      <c r="E328" t="str">
        <f>IF(A328="", "", VLOOKUP(A328, BASE!$A$4:$E$10003, 5, FALSE))</f>
        <v/>
      </c>
      <c r="F328" t="str">
        <f t="shared" si="5"/>
        <v/>
      </c>
    </row>
    <row r="329" spans="1:6">
      <c r="A329" t="str">
        <f>IFERROR(INDEX(BASE!$A$4:$A$10003, SMALL(IF(BASE!$F$4:$F$10003="CARREGADO", ROW(BASE!$A$4:$A$10003)-ROW(BASE!$A$4)+1), ROW(A328))), "")</f>
        <v/>
      </c>
      <c r="B329" t="str">
        <f>IF(A329="", "", VLOOKUP(A329, BASE!$A$4:$B$10003, 2, FALSE))</f>
        <v/>
      </c>
      <c r="C329" t="str">
        <f>IF(A329="", "", VLOOKUP(A329, BASE!$A$4:$C$10003, 3, FALSE))</f>
        <v/>
      </c>
      <c r="D329" t="str">
        <f>IF(A329="", "", VLOOKUP(A329, BASE!$A$4:$D$10003, 4, FALSE))</f>
        <v/>
      </c>
      <c r="E329" t="str">
        <f>IF(A329="", "", VLOOKUP(A329, BASE!$A$4:$E$10003, 5, FALSE))</f>
        <v/>
      </c>
      <c r="F329" t="str">
        <f t="shared" si="5"/>
        <v/>
      </c>
    </row>
    <row r="330" spans="1:6">
      <c r="A330" t="str">
        <f>IFERROR(INDEX(BASE!$A$4:$A$10003, SMALL(IF(BASE!$F$4:$F$10003="CARREGADO", ROW(BASE!$A$4:$A$10003)-ROW(BASE!$A$4)+1), ROW(A329))), "")</f>
        <v/>
      </c>
      <c r="B330" t="str">
        <f>IF(A330="", "", VLOOKUP(A330, BASE!$A$4:$B$10003, 2, FALSE))</f>
        <v/>
      </c>
      <c r="C330" t="str">
        <f>IF(A330="", "", VLOOKUP(A330, BASE!$A$4:$C$10003, 3, FALSE))</f>
        <v/>
      </c>
      <c r="D330" t="str">
        <f>IF(A330="", "", VLOOKUP(A330, BASE!$A$4:$D$10003, 4, FALSE))</f>
        <v/>
      </c>
      <c r="E330" t="str">
        <f>IF(A330="", "", VLOOKUP(A330, BASE!$A$4:$E$10003, 5, FALSE))</f>
        <v/>
      </c>
      <c r="F330" t="str">
        <f t="shared" si="5"/>
        <v/>
      </c>
    </row>
    <row r="331" spans="1:6">
      <c r="A331" t="str">
        <f>IFERROR(INDEX(BASE!$A$4:$A$10003, SMALL(IF(BASE!$F$4:$F$10003="CARREGADO", ROW(BASE!$A$4:$A$10003)-ROW(BASE!$A$4)+1), ROW(A330))), "")</f>
        <v/>
      </c>
      <c r="B331" t="str">
        <f>IF(A331="", "", VLOOKUP(A331, BASE!$A$4:$B$10003, 2, FALSE))</f>
        <v/>
      </c>
      <c r="C331" t="str">
        <f>IF(A331="", "", VLOOKUP(A331, BASE!$A$4:$C$10003, 3, FALSE))</f>
        <v/>
      </c>
      <c r="D331" t="str">
        <f>IF(A331="", "", VLOOKUP(A331, BASE!$A$4:$D$10003, 4, FALSE))</f>
        <v/>
      </c>
      <c r="E331" t="str">
        <f>IF(A331="", "", VLOOKUP(A331, BASE!$A$4:$E$10003, 5, FALSE))</f>
        <v/>
      </c>
      <c r="F331" t="str">
        <f t="shared" si="5"/>
        <v/>
      </c>
    </row>
    <row r="332" spans="1:6">
      <c r="A332" t="str">
        <f>IFERROR(INDEX(BASE!$A$4:$A$10003, SMALL(IF(BASE!$F$4:$F$10003="CARREGADO", ROW(BASE!$A$4:$A$10003)-ROW(BASE!$A$4)+1), ROW(A331))), "")</f>
        <v/>
      </c>
      <c r="B332" t="str">
        <f>IF(A332="", "", VLOOKUP(A332, BASE!$A$4:$B$10003, 2, FALSE))</f>
        <v/>
      </c>
      <c r="C332" t="str">
        <f>IF(A332="", "", VLOOKUP(A332, BASE!$A$4:$C$10003, 3, FALSE))</f>
        <v/>
      </c>
      <c r="D332" t="str">
        <f>IF(A332="", "", VLOOKUP(A332, BASE!$A$4:$D$10003, 4, FALSE))</f>
        <v/>
      </c>
      <c r="E332" t="str">
        <f>IF(A332="", "", VLOOKUP(A332, BASE!$A$4:$E$10003, 5, FALSE))</f>
        <v/>
      </c>
      <c r="F332" t="str">
        <f t="shared" si="5"/>
        <v/>
      </c>
    </row>
    <row r="333" spans="1:6">
      <c r="A333" t="str">
        <f>IFERROR(INDEX(BASE!$A$4:$A$10003, SMALL(IF(BASE!$F$4:$F$10003="CARREGADO", ROW(BASE!$A$4:$A$10003)-ROW(BASE!$A$4)+1), ROW(A332))), "")</f>
        <v/>
      </c>
      <c r="B333" t="str">
        <f>IF(A333="", "", VLOOKUP(A333, BASE!$A$4:$B$10003, 2, FALSE))</f>
        <v/>
      </c>
      <c r="C333" t="str">
        <f>IF(A333="", "", VLOOKUP(A333, BASE!$A$4:$C$10003, 3, FALSE))</f>
        <v/>
      </c>
      <c r="D333" t="str">
        <f>IF(A333="", "", VLOOKUP(A333, BASE!$A$4:$D$10003, 4, FALSE))</f>
        <v/>
      </c>
      <c r="E333" t="str">
        <f>IF(A333="", "", VLOOKUP(A333, BASE!$A$4:$E$10003, 5, FALSE))</f>
        <v/>
      </c>
      <c r="F333" t="str">
        <f t="shared" si="5"/>
        <v/>
      </c>
    </row>
    <row r="334" spans="1:6">
      <c r="A334" t="str">
        <f>IFERROR(INDEX(BASE!$A$4:$A$10003, SMALL(IF(BASE!$F$4:$F$10003="CARREGADO", ROW(BASE!$A$4:$A$10003)-ROW(BASE!$A$4)+1), ROW(A333))), "")</f>
        <v/>
      </c>
      <c r="B334" t="str">
        <f>IF(A334="", "", VLOOKUP(A334, BASE!$A$4:$B$10003, 2, FALSE))</f>
        <v/>
      </c>
      <c r="C334" t="str">
        <f>IF(A334="", "", VLOOKUP(A334, BASE!$A$4:$C$10003, 3, FALSE))</f>
        <v/>
      </c>
      <c r="D334" t="str">
        <f>IF(A334="", "", VLOOKUP(A334, BASE!$A$4:$D$10003, 4, FALSE))</f>
        <v/>
      </c>
      <c r="E334" t="str">
        <f>IF(A334="", "", VLOOKUP(A334, BASE!$A$4:$E$10003, 5, FALSE))</f>
        <v/>
      </c>
      <c r="F334" t="str">
        <f t="shared" si="5"/>
        <v/>
      </c>
    </row>
    <row r="335" spans="1:6">
      <c r="A335" t="str">
        <f>IFERROR(INDEX(BASE!$A$4:$A$10003, SMALL(IF(BASE!$F$4:$F$10003="CARREGADO", ROW(BASE!$A$4:$A$10003)-ROW(BASE!$A$4)+1), ROW(A334))), "")</f>
        <v/>
      </c>
      <c r="B335" t="str">
        <f>IF(A335="", "", VLOOKUP(A335, BASE!$A$4:$B$10003, 2, FALSE))</f>
        <v/>
      </c>
      <c r="C335" t="str">
        <f>IF(A335="", "", VLOOKUP(A335, BASE!$A$4:$C$10003, 3, FALSE))</f>
        <v/>
      </c>
      <c r="D335" t="str">
        <f>IF(A335="", "", VLOOKUP(A335, BASE!$A$4:$D$10003, 4, FALSE))</f>
        <v/>
      </c>
      <c r="E335" t="str">
        <f>IF(A335="", "", VLOOKUP(A335, BASE!$A$4:$E$10003, 5, FALSE))</f>
        <v/>
      </c>
      <c r="F335" t="str">
        <f t="shared" si="5"/>
        <v/>
      </c>
    </row>
    <row r="336" spans="1:6">
      <c r="A336" t="str">
        <f>IFERROR(INDEX(BASE!$A$4:$A$10003, SMALL(IF(BASE!$F$4:$F$10003="CARREGADO", ROW(BASE!$A$4:$A$10003)-ROW(BASE!$A$4)+1), ROW(A335))), "")</f>
        <v/>
      </c>
      <c r="B336" t="str">
        <f>IF(A336="", "", VLOOKUP(A336, BASE!$A$4:$B$10003, 2, FALSE))</f>
        <v/>
      </c>
      <c r="C336" t="str">
        <f>IF(A336="", "", VLOOKUP(A336, BASE!$A$4:$C$10003, 3, FALSE))</f>
        <v/>
      </c>
      <c r="D336" t="str">
        <f>IF(A336="", "", VLOOKUP(A336, BASE!$A$4:$D$10003, 4, FALSE))</f>
        <v/>
      </c>
      <c r="E336" t="str">
        <f>IF(A336="", "", VLOOKUP(A336, BASE!$A$4:$E$10003, 5, FALSE))</f>
        <v/>
      </c>
      <c r="F336" t="str">
        <f t="shared" si="5"/>
        <v/>
      </c>
    </row>
    <row r="337" spans="1:6">
      <c r="A337" t="str">
        <f>IFERROR(INDEX(BASE!$A$4:$A$10003, SMALL(IF(BASE!$F$4:$F$10003="CARREGADO", ROW(BASE!$A$4:$A$10003)-ROW(BASE!$A$4)+1), ROW(A336))), "")</f>
        <v/>
      </c>
      <c r="B337" t="str">
        <f>IF(A337="", "", VLOOKUP(A337, BASE!$A$4:$B$10003, 2, FALSE))</f>
        <v/>
      </c>
      <c r="C337" t="str">
        <f>IF(A337="", "", VLOOKUP(A337, BASE!$A$4:$C$10003, 3, FALSE))</f>
        <v/>
      </c>
      <c r="D337" t="str">
        <f>IF(A337="", "", VLOOKUP(A337, BASE!$A$4:$D$10003, 4, FALSE))</f>
        <v/>
      </c>
      <c r="E337" t="str">
        <f>IF(A337="", "", VLOOKUP(A337, BASE!$A$4:$E$10003, 5, FALSE))</f>
        <v/>
      </c>
      <c r="F337" t="str">
        <f t="shared" si="5"/>
        <v/>
      </c>
    </row>
    <row r="338" spans="1:6">
      <c r="A338" t="str">
        <f>IFERROR(INDEX(BASE!$A$4:$A$10003, SMALL(IF(BASE!$F$4:$F$10003="CARREGADO", ROW(BASE!$A$4:$A$10003)-ROW(BASE!$A$4)+1), ROW(A337))), "")</f>
        <v/>
      </c>
      <c r="B338" t="str">
        <f>IF(A338="", "", VLOOKUP(A338, BASE!$A$4:$B$10003, 2, FALSE))</f>
        <v/>
      </c>
      <c r="C338" t="str">
        <f>IF(A338="", "", VLOOKUP(A338, BASE!$A$4:$C$10003, 3, FALSE))</f>
        <v/>
      </c>
      <c r="D338" t="str">
        <f>IF(A338="", "", VLOOKUP(A338, BASE!$A$4:$D$10003, 4, FALSE))</f>
        <v/>
      </c>
      <c r="E338" t="str">
        <f>IF(A338="", "", VLOOKUP(A338, BASE!$A$4:$E$10003, 5, FALSE))</f>
        <v/>
      </c>
      <c r="F338" t="str">
        <f t="shared" si="5"/>
        <v/>
      </c>
    </row>
    <row r="339" spans="1:6">
      <c r="A339" t="str">
        <f>IFERROR(INDEX(BASE!$A$4:$A$10003, SMALL(IF(BASE!$F$4:$F$10003="CARREGADO", ROW(BASE!$A$4:$A$10003)-ROW(BASE!$A$4)+1), ROW(A338))), "")</f>
        <v/>
      </c>
      <c r="B339" t="str">
        <f>IF(A339="", "", VLOOKUP(A339, BASE!$A$4:$B$10003, 2, FALSE))</f>
        <v/>
      </c>
      <c r="C339" t="str">
        <f>IF(A339="", "", VLOOKUP(A339, BASE!$A$4:$C$10003, 3, FALSE))</f>
        <v/>
      </c>
      <c r="D339" t="str">
        <f>IF(A339="", "", VLOOKUP(A339, BASE!$A$4:$D$10003, 4, FALSE))</f>
        <v/>
      </c>
      <c r="E339" t="str">
        <f>IF(A339="", "", VLOOKUP(A339, BASE!$A$4:$E$10003, 5, FALSE))</f>
        <v/>
      </c>
      <c r="F339" t="str">
        <f t="shared" si="5"/>
        <v/>
      </c>
    </row>
    <row r="340" spans="1:6">
      <c r="A340" t="str">
        <f>IFERROR(INDEX(BASE!$A$4:$A$10003, SMALL(IF(BASE!$F$4:$F$10003="CARREGADO", ROW(BASE!$A$4:$A$10003)-ROW(BASE!$A$4)+1), ROW(A339))), "")</f>
        <v/>
      </c>
      <c r="B340" t="str">
        <f>IF(A340="", "", VLOOKUP(A340, BASE!$A$4:$B$10003, 2, FALSE))</f>
        <v/>
      </c>
      <c r="C340" t="str">
        <f>IF(A340="", "", VLOOKUP(A340, BASE!$A$4:$C$10003, 3, FALSE))</f>
        <v/>
      </c>
      <c r="D340" t="str">
        <f>IF(A340="", "", VLOOKUP(A340, BASE!$A$4:$D$10003, 4, FALSE))</f>
        <v/>
      </c>
      <c r="E340" t="str">
        <f>IF(A340="", "", VLOOKUP(A340, BASE!$A$4:$E$10003, 5, FALSE))</f>
        <v/>
      </c>
      <c r="F340" t="str">
        <f t="shared" si="5"/>
        <v/>
      </c>
    </row>
    <row r="341" spans="1:6">
      <c r="A341" t="str">
        <f>IFERROR(INDEX(BASE!$A$4:$A$10003, SMALL(IF(BASE!$F$4:$F$10003="CARREGADO", ROW(BASE!$A$4:$A$10003)-ROW(BASE!$A$4)+1), ROW(A340))), "")</f>
        <v/>
      </c>
      <c r="B341" t="str">
        <f>IF(A341="", "", VLOOKUP(A341, BASE!$A$4:$B$10003, 2, FALSE))</f>
        <v/>
      </c>
      <c r="C341" t="str">
        <f>IF(A341="", "", VLOOKUP(A341, BASE!$A$4:$C$10003, 3, FALSE))</f>
        <v/>
      </c>
      <c r="D341" t="str">
        <f>IF(A341="", "", VLOOKUP(A341, BASE!$A$4:$D$10003, 4, FALSE))</f>
        <v/>
      </c>
      <c r="E341" t="str">
        <f>IF(A341="", "", VLOOKUP(A341, BASE!$A$4:$E$10003, 5, FALSE))</f>
        <v/>
      </c>
      <c r="F341" t="str">
        <f t="shared" si="5"/>
        <v/>
      </c>
    </row>
    <row r="342" spans="1:6">
      <c r="A342" t="str">
        <f>IFERROR(INDEX(BASE!$A$4:$A$10003, SMALL(IF(BASE!$F$4:$F$10003="CARREGADO", ROW(BASE!$A$4:$A$10003)-ROW(BASE!$A$4)+1), ROW(A341))), "")</f>
        <v/>
      </c>
      <c r="B342" t="str">
        <f>IF(A342="", "", VLOOKUP(A342, BASE!$A$4:$B$10003, 2, FALSE))</f>
        <v/>
      </c>
      <c r="C342" t="str">
        <f>IF(A342="", "", VLOOKUP(A342, BASE!$A$4:$C$10003, 3, FALSE))</f>
        <v/>
      </c>
      <c r="D342" t="str">
        <f>IF(A342="", "", VLOOKUP(A342, BASE!$A$4:$D$10003, 4, FALSE))</f>
        <v/>
      </c>
      <c r="E342" t="str">
        <f>IF(A342="", "", VLOOKUP(A342, BASE!$A$4:$E$10003, 5, FALSE))</f>
        <v/>
      </c>
      <c r="F342" t="str">
        <f t="shared" si="5"/>
        <v/>
      </c>
    </row>
    <row r="343" spans="1:6">
      <c r="A343" t="str">
        <f>IFERROR(INDEX(BASE!$A$4:$A$10003, SMALL(IF(BASE!$F$4:$F$10003="CARREGADO", ROW(BASE!$A$4:$A$10003)-ROW(BASE!$A$4)+1), ROW(A342))), "")</f>
        <v/>
      </c>
      <c r="B343" t="str">
        <f>IF(A343="", "", VLOOKUP(A343, BASE!$A$4:$B$10003, 2, FALSE))</f>
        <v/>
      </c>
      <c r="C343" t="str">
        <f>IF(A343="", "", VLOOKUP(A343, BASE!$A$4:$C$10003, 3, FALSE))</f>
        <v/>
      </c>
      <c r="D343" t="str">
        <f>IF(A343="", "", VLOOKUP(A343, BASE!$A$4:$D$10003, 4, FALSE))</f>
        <v/>
      </c>
      <c r="E343" t="str">
        <f>IF(A343="", "", VLOOKUP(A343, BASE!$A$4:$E$10003, 5, FALSE))</f>
        <v/>
      </c>
      <c r="F343" t="str">
        <f t="shared" si="5"/>
        <v/>
      </c>
    </row>
    <row r="344" spans="1:6">
      <c r="A344" t="str">
        <f>IFERROR(INDEX(BASE!$A$4:$A$10003, SMALL(IF(BASE!$F$4:$F$10003="CARREGADO", ROW(BASE!$A$4:$A$10003)-ROW(BASE!$A$4)+1), ROW(A343))), "")</f>
        <v/>
      </c>
      <c r="B344" t="str">
        <f>IF(A344="", "", VLOOKUP(A344, BASE!$A$4:$B$10003, 2, FALSE))</f>
        <v/>
      </c>
      <c r="C344" t="str">
        <f>IF(A344="", "", VLOOKUP(A344, BASE!$A$4:$C$10003, 3, FALSE))</f>
        <v/>
      </c>
      <c r="D344" t="str">
        <f>IF(A344="", "", VLOOKUP(A344, BASE!$A$4:$D$10003, 4, FALSE))</f>
        <v/>
      </c>
      <c r="E344" t="str">
        <f>IF(A344="", "", VLOOKUP(A344, BASE!$A$4:$E$10003, 5, FALSE))</f>
        <v/>
      </c>
      <c r="F344" t="str">
        <f t="shared" si="5"/>
        <v/>
      </c>
    </row>
    <row r="345" spans="1:6">
      <c r="A345" t="str">
        <f>IFERROR(INDEX(BASE!$A$4:$A$10003, SMALL(IF(BASE!$F$4:$F$10003="CARREGADO", ROW(BASE!$A$4:$A$10003)-ROW(BASE!$A$4)+1), ROW(A344))), "")</f>
        <v/>
      </c>
      <c r="B345" t="str">
        <f>IF(A345="", "", VLOOKUP(A345, BASE!$A$4:$B$10003, 2, FALSE))</f>
        <v/>
      </c>
      <c r="C345" t="str">
        <f>IF(A345="", "", VLOOKUP(A345, BASE!$A$4:$C$10003, 3, FALSE))</f>
        <v/>
      </c>
      <c r="D345" t="str">
        <f>IF(A345="", "", VLOOKUP(A345, BASE!$A$4:$D$10003, 4, FALSE))</f>
        <v/>
      </c>
      <c r="E345" t="str">
        <f>IF(A345="", "", VLOOKUP(A345, BASE!$A$4:$E$10003, 5, FALSE))</f>
        <v/>
      </c>
      <c r="F345" t="str">
        <f t="shared" si="5"/>
        <v/>
      </c>
    </row>
    <row r="346" spans="1:6">
      <c r="A346" t="str">
        <f>IFERROR(INDEX(BASE!$A$4:$A$10003, SMALL(IF(BASE!$F$4:$F$10003="CARREGADO", ROW(BASE!$A$4:$A$10003)-ROW(BASE!$A$4)+1), ROW(A345))), "")</f>
        <v/>
      </c>
      <c r="B346" t="str">
        <f>IF(A346="", "", VLOOKUP(A346, BASE!$A$4:$B$10003, 2, FALSE))</f>
        <v/>
      </c>
      <c r="C346" t="str">
        <f>IF(A346="", "", VLOOKUP(A346, BASE!$A$4:$C$10003, 3, FALSE))</f>
        <v/>
      </c>
      <c r="D346" t="str">
        <f>IF(A346="", "", VLOOKUP(A346, BASE!$A$4:$D$10003, 4, FALSE))</f>
        <v/>
      </c>
      <c r="E346" t="str">
        <f>IF(A346="", "", VLOOKUP(A346, BASE!$A$4:$E$10003, 5, FALSE))</f>
        <v/>
      </c>
      <c r="F346" t="str">
        <f t="shared" si="5"/>
        <v/>
      </c>
    </row>
    <row r="347" spans="1:6">
      <c r="A347" t="str">
        <f>IFERROR(INDEX(BASE!$A$4:$A$10003, SMALL(IF(BASE!$F$4:$F$10003="CARREGADO", ROW(BASE!$A$4:$A$10003)-ROW(BASE!$A$4)+1), ROW(A346))), "")</f>
        <v/>
      </c>
      <c r="B347" t="str">
        <f>IF(A347="", "", VLOOKUP(A347, BASE!$A$4:$B$10003, 2, FALSE))</f>
        <v/>
      </c>
      <c r="C347" t="str">
        <f>IF(A347="", "", VLOOKUP(A347, BASE!$A$4:$C$10003, 3, FALSE))</f>
        <v/>
      </c>
      <c r="D347" t="str">
        <f>IF(A347="", "", VLOOKUP(A347, BASE!$A$4:$D$10003, 4, FALSE))</f>
        <v/>
      </c>
      <c r="E347" t="str">
        <f>IF(A347="", "", VLOOKUP(A347, BASE!$A$4:$E$10003, 5, FALSE))</f>
        <v/>
      </c>
      <c r="F347" t="str">
        <f t="shared" si="5"/>
        <v/>
      </c>
    </row>
    <row r="348" spans="1:6">
      <c r="A348" t="str">
        <f>IFERROR(INDEX(BASE!$A$4:$A$10003, SMALL(IF(BASE!$F$4:$F$10003="CARREGADO", ROW(BASE!$A$4:$A$10003)-ROW(BASE!$A$4)+1), ROW(A347))), "")</f>
        <v/>
      </c>
      <c r="B348" t="str">
        <f>IF(A348="", "", VLOOKUP(A348, BASE!$A$4:$B$10003, 2, FALSE))</f>
        <v/>
      </c>
      <c r="C348" t="str">
        <f>IF(A348="", "", VLOOKUP(A348, BASE!$A$4:$C$10003, 3, FALSE))</f>
        <v/>
      </c>
      <c r="D348" t="str">
        <f>IF(A348="", "", VLOOKUP(A348, BASE!$A$4:$D$10003, 4, FALSE))</f>
        <v/>
      </c>
      <c r="E348" t="str">
        <f>IF(A348="", "", VLOOKUP(A348, BASE!$A$4:$E$10003, 5, FALSE))</f>
        <v/>
      </c>
      <c r="F348" t="str">
        <f t="shared" si="5"/>
        <v/>
      </c>
    </row>
    <row r="349" spans="1:6">
      <c r="A349" t="str">
        <f>IFERROR(INDEX(BASE!$A$4:$A$10003, SMALL(IF(BASE!$F$4:$F$10003="CARREGADO", ROW(BASE!$A$4:$A$10003)-ROW(BASE!$A$4)+1), ROW(A348))), "")</f>
        <v/>
      </c>
      <c r="B349" t="str">
        <f>IF(A349="", "", VLOOKUP(A349, BASE!$A$4:$B$10003, 2, FALSE))</f>
        <v/>
      </c>
      <c r="C349" t="str">
        <f>IF(A349="", "", VLOOKUP(A349, BASE!$A$4:$C$10003, 3, FALSE))</f>
        <v/>
      </c>
      <c r="D349" t="str">
        <f>IF(A349="", "", VLOOKUP(A349, BASE!$A$4:$D$10003, 4, FALSE))</f>
        <v/>
      </c>
      <c r="E349" t="str">
        <f>IF(A349="", "", VLOOKUP(A349, BASE!$A$4:$E$10003, 5, FALSE))</f>
        <v/>
      </c>
      <c r="F349" t="str">
        <f t="shared" si="5"/>
        <v/>
      </c>
    </row>
    <row r="350" spans="1:6">
      <c r="A350" t="str">
        <f>IFERROR(INDEX(BASE!$A$4:$A$10003, SMALL(IF(BASE!$F$4:$F$10003="CARREGADO", ROW(BASE!$A$4:$A$10003)-ROW(BASE!$A$4)+1), ROW(A349))), "")</f>
        <v/>
      </c>
      <c r="B350" t="str">
        <f>IF(A350="", "", VLOOKUP(A350, BASE!$A$4:$B$10003, 2, FALSE))</f>
        <v/>
      </c>
      <c r="C350" t="str">
        <f>IF(A350="", "", VLOOKUP(A350, BASE!$A$4:$C$10003, 3, FALSE))</f>
        <v/>
      </c>
      <c r="D350" t="str">
        <f>IF(A350="", "", VLOOKUP(A350, BASE!$A$4:$D$10003, 4, FALSE))</f>
        <v/>
      </c>
      <c r="E350" t="str">
        <f>IF(A350="", "", VLOOKUP(A350, BASE!$A$4:$E$10003, 5, FALSE))</f>
        <v/>
      </c>
      <c r="F350" t="str">
        <f t="shared" si="5"/>
        <v/>
      </c>
    </row>
    <row r="351" spans="1:6">
      <c r="A351" t="str">
        <f>IFERROR(INDEX(BASE!$A$4:$A$10003, SMALL(IF(BASE!$F$4:$F$10003="CARREGADO", ROW(BASE!$A$4:$A$10003)-ROW(BASE!$A$4)+1), ROW(A350))), "")</f>
        <v/>
      </c>
      <c r="B351" t="str">
        <f>IF(A351="", "", VLOOKUP(A351, BASE!$A$4:$B$10003, 2, FALSE))</f>
        <v/>
      </c>
      <c r="C351" t="str">
        <f>IF(A351="", "", VLOOKUP(A351, BASE!$A$4:$C$10003, 3, FALSE))</f>
        <v/>
      </c>
      <c r="D351" t="str">
        <f>IF(A351="", "", VLOOKUP(A351, BASE!$A$4:$D$10003, 4, FALSE))</f>
        <v/>
      </c>
      <c r="E351" t="str">
        <f>IF(A351="", "", VLOOKUP(A351, BASE!$A$4:$E$10003, 5, FALSE))</f>
        <v/>
      </c>
      <c r="F351" t="str">
        <f t="shared" si="5"/>
        <v/>
      </c>
    </row>
    <row r="352" spans="1:6">
      <c r="A352" t="str">
        <f>IFERROR(INDEX(BASE!$A$4:$A$10003, SMALL(IF(BASE!$F$4:$F$10003="CARREGADO", ROW(BASE!$A$4:$A$10003)-ROW(BASE!$A$4)+1), ROW(A351))), "")</f>
        <v/>
      </c>
      <c r="B352" t="str">
        <f>IF(A352="", "", VLOOKUP(A352, BASE!$A$4:$B$10003, 2, FALSE))</f>
        <v/>
      </c>
      <c r="C352" t="str">
        <f>IF(A352="", "", VLOOKUP(A352, BASE!$A$4:$C$10003, 3, FALSE))</f>
        <v/>
      </c>
      <c r="D352" t="str">
        <f>IF(A352="", "", VLOOKUP(A352, BASE!$A$4:$D$10003, 4, FALSE))</f>
        <v/>
      </c>
      <c r="E352" t="str">
        <f>IF(A352="", "", VLOOKUP(A352, BASE!$A$4:$E$10003, 5, FALSE))</f>
        <v/>
      </c>
      <c r="F352" t="str">
        <f t="shared" si="5"/>
        <v/>
      </c>
    </row>
    <row r="353" spans="1:6">
      <c r="A353" t="str">
        <f>IFERROR(INDEX(BASE!$A$4:$A$10003, SMALL(IF(BASE!$F$4:$F$10003="CARREGADO", ROW(BASE!$A$4:$A$10003)-ROW(BASE!$A$4)+1), ROW(A352))), "")</f>
        <v/>
      </c>
      <c r="B353" t="str">
        <f>IF(A353="", "", VLOOKUP(A353, BASE!$A$4:$B$10003, 2, FALSE))</f>
        <v/>
      </c>
      <c r="C353" t="str">
        <f>IF(A353="", "", VLOOKUP(A353, BASE!$A$4:$C$10003, 3, FALSE))</f>
        <v/>
      </c>
      <c r="D353" t="str">
        <f>IF(A353="", "", VLOOKUP(A353, BASE!$A$4:$D$10003, 4, FALSE))</f>
        <v/>
      </c>
      <c r="E353" t="str">
        <f>IF(A353="", "", VLOOKUP(A353, BASE!$A$4:$E$10003, 5, FALSE))</f>
        <v/>
      </c>
      <c r="F353" t="str">
        <f t="shared" si="5"/>
        <v/>
      </c>
    </row>
    <row r="354" spans="1:6">
      <c r="A354" t="str">
        <f>IFERROR(INDEX(BASE!$A$4:$A$10003, SMALL(IF(BASE!$F$4:$F$10003="CARREGADO", ROW(BASE!$A$4:$A$10003)-ROW(BASE!$A$4)+1), ROW(A353))), "")</f>
        <v/>
      </c>
      <c r="B354" t="str">
        <f>IF(A354="", "", VLOOKUP(A354, BASE!$A$4:$B$10003, 2, FALSE))</f>
        <v/>
      </c>
      <c r="C354" t="str">
        <f>IF(A354="", "", VLOOKUP(A354, BASE!$A$4:$C$10003, 3, FALSE))</f>
        <v/>
      </c>
      <c r="D354" t="str">
        <f>IF(A354="", "", VLOOKUP(A354, BASE!$A$4:$D$10003, 4, FALSE))</f>
        <v/>
      </c>
      <c r="E354" t="str">
        <f>IF(A354="", "", VLOOKUP(A354, BASE!$A$4:$E$10003, 5, FALSE))</f>
        <v/>
      </c>
      <c r="F354" t="str">
        <f t="shared" si="5"/>
        <v/>
      </c>
    </row>
    <row r="355" spans="1:6">
      <c r="A355" t="str">
        <f>IFERROR(INDEX(BASE!$A$4:$A$10003, SMALL(IF(BASE!$F$4:$F$10003="CARREGADO", ROW(BASE!$A$4:$A$10003)-ROW(BASE!$A$4)+1), ROW(A354))), "")</f>
        <v/>
      </c>
      <c r="B355" t="str">
        <f>IF(A355="", "", VLOOKUP(A355, BASE!$A$4:$B$10003, 2, FALSE))</f>
        <v/>
      </c>
      <c r="C355" t="str">
        <f>IF(A355="", "", VLOOKUP(A355, BASE!$A$4:$C$10003, 3, FALSE))</f>
        <v/>
      </c>
      <c r="D355" t="str">
        <f>IF(A355="", "", VLOOKUP(A355, BASE!$A$4:$D$10003, 4, FALSE))</f>
        <v/>
      </c>
      <c r="E355" t="str">
        <f>IF(A355="", "", VLOOKUP(A355, BASE!$A$4:$E$10003, 5, FALSE))</f>
        <v/>
      </c>
      <c r="F355" t="str">
        <f t="shared" si="5"/>
        <v/>
      </c>
    </row>
    <row r="356" spans="1:6">
      <c r="A356" t="str">
        <f>IFERROR(INDEX(BASE!$A$4:$A$10003, SMALL(IF(BASE!$F$4:$F$10003="CARREGADO", ROW(BASE!$A$4:$A$10003)-ROW(BASE!$A$4)+1), ROW(A355))), "")</f>
        <v/>
      </c>
      <c r="B356" t="str">
        <f>IF(A356="", "", VLOOKUP(A356, BASE!$A$4:$B$10003, 2, FALSE))</f>
        <v/>
      </c>
      <c r="C356" t="str">
        <f>IF(A356="", "", VLOOKUP(A356, BASE!$A$4:$C$10003, 3, FALSE))</f>
        <v/>
      </c>
      <c r="D356" t="str">
        <f>IF(A356="", "", VLOOKUP(A356, BASE!$A$4:$D$10003, 4, FALSE))</f>
        <v/>
      </c>
      <c r="E356" t="str">
        <f>IF(A356="", "", VLOOKUP(A356, BASE!$A$4:$E$10003, 5, FALSE))</f>
        <v/>
      </c>
      <c r="F356" t="str">
        <f t="shared" si="5"/>
        <v/>
      </c>
    </row>
    <row r="357" spans="1:6">
      <c r="A357" t="str">
        <f>IFERROR(INDEX(BASE!$A$4:$A$10003, SMALL(IF(BASE!$F$4:$F$10003="CARREGADO", ROW(BASE!$A$4:$A$10003)-ROW(BASE!$A$4)+1), ROW(A356))), "")</f>
        <v/>
      </c>
      <c r="B357" t="str">
        <f>IF(A357="", "", VLOOKUP(A357, BASE!$A$4:$B$10003, 2, FALSE))</f>
        <v/>
      </c>
      <c r="C357" t="str">
        <f>IF(A357="", "", VLOOKUP(A357, BASE!$A$4:$C$10003, 3, FALSE))</f>
        <v/>
      </c>
      <c r="D357" t="str">
        <f>IF(A357="", "", VLOOKUP(A357, BASE!$A$4:$D$10003, 4, FALSE))</f>
        <v/>
      </c>
      <c r="E357" t="str">
        <f>IF(A357="", "", VLOOKUP(A357, BASE!$A$4:$E$10003, 5, FALSE))</f>
        <v/>
      </c>
      <c r="F357" t="str">
        <f t="shared" si="5"/>
        <v/>
      </c>
    </row>
    <row r="358" spans="1:6">
      <c r="A358" t="str">
        <f>IFERROR(INDEX(BASE!$A$4:$A$10003, SMALL(IF(BASE!$F$4:$F$10003="CARREGADO", ROW(BASE!$A$4:$A$10003)-ROW(BASE!$A$4)+1), ROW(A357))), "")</f>
        <v/>
      </c>
      <c r="B358" t="str">
        <f>IF(A358="", "", VLOOKUP(A358, BASE!$A$4:$B$10003, 2, FALSE))</f>
        <v/>
      </c>
      <c r="C358" t="str">
        <f>IF(A358="", "", VLOOKUP(A358, BASE!$A$4:$C$10003, 3, FALSE))</f>
        <v/>
      </c>
      <c r="D358" t="str">
        <f>IF(A358="", "", VLOOKUP(A358, BASE!$A$4:$D$10003, 4, FALSE))</f>
        <v/>
      </c>
      <c r="E358" t="str">
        <f>IF(A358="", "", VLOOKUP(A358, BASE!$A$4:$E$10003, 5, FALSE))</f>
        <v/>
      </c>
      <c r="F358" t="str">
        <f t="shared" si="5"/>
        <v/>
      </c>
    </row>
    <row r="359" spans="1:6">
      <c r="A359" t="str">
        <f>IFERROR(INDEX(BASE!$A$4:$A$10003, SMALL(IF(BASE!$F$4:$F$10003="CARREGADO", ROW(BASE!$A$4:$A$10003)-ROW(BASE!$A$4)+1), ROW(A358))), "")</f>
        <v/>
      </c>
      <c r="B359" t="str">
        <f>IF(A359="", "", VLOOKUP(A359, BASE!$A$4:$B$10003, 2, FALSE))</f>
        <v/>
      </c>
      <c r="C359" t="str">
        <f>IF(A359="", "", VLOOKUP(A359, BASE!$A$4:$C$10003, 3, FALSE))</f>
        <v/>
      </c>
      <c r="D359" t="str">
        <f>IF(A359="", "", VLOOKUP(A359, BASE!$A$4:$D$10003, 4, FALSE))</f>
        <v/>
      </c>
      <c r="E359" t="str">
        <f>IF(A359="", "", VLOOKUP(A359, BASE!$A$4:$E$10003, 5, FALSE))</f>
        <v/>
      </c>
      <c r="F359" t="str">
        <f t="shared" si="5"/>
        <v/>
      </c>
    </row>
    <row r="360" spans="1:6">
      <c r="A360" t="str">
        <f>IFERROR(INDEX(BASE!$A$4:$A$10003, SMALL(IF(BASE!$F$4:$F$10003="CARREGADO", ROW(BASE!$A$4:$A$10003)-ROW(BASE!$A$4)+1), ROW(A359))), "")</f>
        <v/>
      </c>
      <c r="B360" t="str">
        <f>IF(A360="", "", VLOOKUP(A360, BASE!$A$4:$B$10003, 2, FALSE))</f>
        <v/>
      </c>
      <c r="C360" t="str">
        <f>IF(A360="", "", VLOOKUP(A360, BASE!$A$4:$C$10003, 3, FALSE))</f>
        <v/>
      </c>
      <c r="D360" t="str">
        <f>IF(A360="", "", VLOOKUP(A360, BASE!$A$4:$D$10003, 4, FALSE))</f>
        <v/>
      </c>
      <c r="E360" t="str">
        <f>IF(A360="", "", VLOOKUP(A360, BASE!$A$4:$E$10003, 5, FALSE))</f>
        <v/>
      </c>
      <c r="F360" t="str">
        <f t="shared" si="5"/>
        <v/>
      </c>
    </row>
    <row r="361" spans="1:6">
      <c r="A361" t="str">
        <f>IFERROR(INDEX(BASE!$A$4:$A$10003, SMALL(IF(BASE!$F$4:$F$10003="CARREGADO", ROW(BASE!$A$4:$A$10003)-ROW(BASE!$A$4)+1), ROW(A360))), "")</f>
        <v/>
      </c>
      <c r="B361" t="str">
        <f>IF(A361="", "", VLOOKUP(A361, BASE!$A$4:$B$10003, 2, FALSE))</f>
        <v/>
      </c>
      <c r="C361" t="str">
        <f>IF(A361="", "", VLOOKUP(A361, BASE!$A$4:$C$10003, 3, FALSE))</f>
        <v/>
      </c>
      <c r="D361" t="str">
        <f>IF(A361="", "", VLOOKUP(A361, BASE!$A$4:$D$10003, 4, FALSE))</f>
        <v/>
      </c>
      <c r="E361" t="str">
        <f>IF(A361="", "", VLOOKUP(A361, BASE!$A$4:$E$10003, 5, FALSE))</f>
        <v/>
      </c>
      <c r="F361" t="str">
        <f t="shared" si="5"/>
        <v/>
      </c>
    </row>
    <row r="362" spans="1:6">
      <c r="A362" t="str">
        <f>IFERROR(INDEX(BASE!$A$4:$A$10003, SMALL(IF(BASE!$F$4:$F$10003="CARREGADO", ROW(BASE!$A$4:$A$10003)-ROW(BASE!$A$4)+1), ROW(A361))), "")</f>
        <v/>
      </c>
      <c r="B362" t="str">
        <f>IF(A362="", "", VLOOKUP(A362, BASE!$A$4:$B$10003, 2, FALSE))</f>
        <v/>
      </c>
      <c r="C362" t="str">
        <f>IF(A362="", "", VLOOKUP(A362, BASE!$A$4:$C$10003, 3, FALSE))</f>
        <v/>
      </c>
      <c r="D362" t="str">
        <f>IF(A362="", "", VLOOKUP(A362, BASE!$A$4:$D$10003, 4, FALSE))</f>
        <v/>
      </c>
      <c r="E362" t="str">
        <f>IF(A362="", "", VLOOKUP(A362, BASE!$A$4:$E$10003, 5, FALSE))</f>
        <v/>
      </c>
      <c r="F362" t="str">
        <f t="shared" si="5"/>
        <v/>
      </c>
    </row>
    <row r="363" spans="1:6">
      <c r="A363" t="str">
        <f>IFERROR(INDEX(BASE!$A$4:$A$10003, SMALL(IF(BASE!$F$4:$F$10003="CARREGADO", ROW(BASE!$A$4:$A$10003)-ROW(BASE!$A$4)+1), ROW(A362))), "")</f>
        <v/>
      </c>
      <c r="B363" t="str">
        <f>IF(A363="", "", VLOOKUP(A363, BASE!$A$4:$B$10003, 2, FALSE))</f>
        <v/>
      </c>
      <c r="C363" t="str">
        <f>IF(A363="", "", VLOOKUP(A363, BASE!$A$4:$C$10003, 3, FALSE))</f>
        <v/>
      </c>
      <c r="D363" t="str">
        <f>IF(A363="", "", VLOOKUP(A363, BASE!$A$4:$D$10003, 4, FALSE))</f>
        <v/>
      </c>
      <c r="E363" t="str">
        <f>IF(A363="", "", VLOOKUP(A363, BASE!$A$4:$E$10003, 5, FALSE))</f>
        <v/>
      </c>
      <c r="F363" t="str">
        <f t="shared" si="5"/>
        <v/>
      </c>
    </row>
    <row r="364" spans="1:6">
      <c r="A364" t="str">
        <f>IFERROR(INDEX(BASE!$A$4:$A$10003, SMALL(IF(BASE!$F$4:$F$10003="CARREGADO", ROW(BASE!$A$4:$A$10003)-ROW(BASE!$A$4)+1), ROW(A363))), "")</f>
        <v/>
      </c>
      <c r="B364" t="str">
        <f>IF(A364="", "", VLOOKUP(A364, BASE!$A$4:$B$10003, 2, FALSE))</f>
        <v/>
      </c>
      <c r="C364" t="str">
        <f>IF(A364="", "", VLOOKUP(A364, BASE!$A$4:$C$10003, 3, FALSE))</f>
        <v/>
      </c>
      <c r="D364" t="str">
        <f>IF(A364="", "", VLOOKUP(A364, BASE!$A$4:$D$10003, 4, FALSE))</f>
        <v/>
      </c>
      <c r="E364" t="str">
        <f>IF(A364="", "", VLOOKUP(A364, BASE!$A$4:$E$10003, 5, FALSE))</f>
        <v/>
      </c>
      <c r="F364" t="str">
        <f t="shared" si="5"/>
        <v/>
      </c>
    </row>
    <row r="365" spans="1:6">
      <c r="A365" t="str">
        <f>IFERROR(INDEX(BASE!$A$4:$A$10003, SMALL(IF(BASE!$F$4:$F$10003="CARREGADO", ROW(BASE!$A$4:$A$10003)-ROW(BASE!$A$4)+1), ROW(A364))), "")</f>
        <v/>
      </c>
      <c r="B365" t="str">
        <f>IF(A365="", "", VLOOKUP(A365, BASE!$A$4:$B$10003, 2, FALSE))</f>
        <v/>
      </c>
      <c r="C365" t="str">
        <f>IF(A365="", "", VLOOKUP(A365, BASE!$A$4:$C$10003, 3, FALSE))</f>
        <v/>
      </c>
      <c r="D365" t="str">
        <f>IF(A365="", "", VLOOKUP(A365, BASE!$A$4:$D$10003, 4, FALSE))</f>
        <v/>
      </c>
      <c r="E365" t="str">
        <f>IF(A365="", "", VLOOKUP(A365, BASE!$A$4:$E$10003, 5, FALSE))</f>
        <v/>
      </c>
      <c r="F365" t="str">
        <f t="shared" si="5"/>
        <v/>
      </c>
    </row>
    <row r="366" spans="1:6">
      <c r="A366" t="str">
        <f>IFERROR(INDEX(BASE!$A$4:$A$10003, SMALL(IF(BASE!$F$4:$F$10003="CARREGADO", ROW(BASE!$A$4:$A$10003)-ROW(BASE!$A$4)+1), ROW(A365))), "")</f>
        <v/>
      </c>
      <c r="B366" t="str">
        <f>IF(A366="", "", VLOOKUP(A366, BASE!$A$4:$B$10003, 2, FALSE))</f>
        <v/>
      </c>
      <c r="C366" t="str">
        <f>IF(A366="", "", VLOOKUP(A366, BASE!$A$4:$C$10003, 3, FALSE))</f>
        <v/>
      </c>
      <c r="D366" t="str">
        <f>IF(A366="", "", VLOOKUP(A366, BASE!$A$4:$D$10003, 4, FALSE))</f>
        <v/>
      </c>
      <c r="E366" t="str">
        <f>IF(A366="", "", VLOOKUP(A366, BASE!$A$4:$E$10003, 5, FALSE))</f>
        <v/>
      </c>
      <c r="F366" t="str">
        <f t="shared" si="5"/>
        <v/>
      </c>
    </row>
    <row r="367" spans="1:6">
      <c r="A367" t="str">
        <f>IFERROR(INDEX(BASE!$A$4:$A$10003, SMALL(IF(BASE!$F$4:$F$10003="CARREGADO", ROW(BASE!$A$4:$A$10003)-ROW(BASE!$A$4)+1), ROW(A366))), "")</f>
        <v/>
      </c>
      <c r="B367" t="str">
        <f>IF(A367="", "", VLOOKUP(A367, BASE!$A$4:$B$10003, 2, FALSE))</f>
        <v/>
      </c>
      <c r="C367" t="str">
        <f>IF(A367="", "", VLOOKUP(A367, BASE!$A$4:$C$10003, 3, FALSE))</f>
        <v/>
      </c>
      <c r="D367" t="str">
        <f>IF(A367="", "", VLOOKUP(A367, BASE!$A$4:$D$10003, 4, FALSE))</f>
        <v/>
      </c>
      <c r="E367" t="str">
        <f>IF(A367="", "", VLOOKUP(A367, BASE!$A$4:$E$10003, 5, FALSE))</f>
        <v/>
      </c>
      <c r="F367" t="str">
        <f t="shared" si="5"/>
        <v/>
      </c>
    </row>
    <row r="368" spans="1:6">
      <c r="A368" t="str">
        <f>IFERROR(INDEX(BASE!$A$4:$A$10003, SMALL(IF(BASE!$F$4:$F$10003="CARREGADO", ROW(BASE!$A$4:$A$10003)-ROW(BASE!$A$4)+1), ROW(A367))), "")</f>
        <v/>
      </c>
      <c r="B368" t="str">
        <f>IF(A368="", "", VLOOKUP(A368, BASE!$A$4:$B$10003, 2, FALSE))</f>
        <v/>
      </c>
      <c r="C368" t="str">
        <f>IF(A368="", "", VLOOKUP(A368, BASE!$A$4:$C$10003, 3, FALSE))</f>
        <v/>
      </c>
      <c r="D368" t="str">
        <f>IF(A368="", "", VLOOKUP(A368, BASE!$A$4:$D$10003, 4, FALSE))</f>
        <v/>
      </c>
      <c r="E368" t="str">
        <f>IF(A368="", "", VLOOKUP(A368, BASE!$A$4:$E$10003, 5, FALSE))</f>
        <v/>
      </c>
      <c r="F368" t="str">
        <f t="shared" si="5"/>
        <v/>
      </c>
    </row>
    <row r="369" spans="1:6">
      <c r="A369" t="str">
        <f>IFERROR(INDEX(BASE!$A$4:$A$10003, SMALL(IF(BASE!$F$4:$F$10003="CARREGADO", ROW(BASE!$A$4:$A$10003)-ROW(BASE!$A$4)+1), ROW(A368))), "")</f>
        <v/>
      </c>
      <c r="B369" t="str">
        <f>IF(A369="", "", VLOOKUP(A369, BASE!$A$4:$B$10003, 2, FALSE))</f>
        <v/>
      </c>
      <c r="C369" t="str">
        <f>IF(A369="", "", VLOOKUP(A369, BASE!$A$4:$C$10003, 3, FALSE))</f>
        <v/>
      </c>
      <c r="D369" t="str">
        <f>IF(A369="", "", VLOOKUP(A369, BASE!$A$4:$D$10003, 4, FALSE))</f>
        <v/>
      </c>
      <c r="E369" t="str">
        <f>IF(A369="", "", VLOOKUP(A369, BASE!$A$4:$E$10003, 5, FALSE))</f>
        <v/>
      </c>
      <c r="F369" t="str">
        <f t="shared" si="5"/>
        <v/>
      </c>
    </row>
    <row r="370" spans="1:6">
      <c r="A370" t="str">
        <f>IFERROR(INDEX(BASE!$A$4:$A$10003, SMALL(IF(BASE!$F$4:$F$10003="CARREGADO", ROW(BASE!$A$4:$A$10003)-ROW(BASE!$A$4)+1), ROW(A369))), "")</f>
        <v/>
      </c>
      <c r="B370" t="str">
        <f>IF(A370="", "", VLOOKUP(A370, BASE!$A$4:$B$10003, 2, FALSE))</f>
        <v/>
      </c>
      <c r="C370" t="str">
        <f>IF(A370="", "", VLOOKUP(A370, BASE!$A$4:$C$10003, 3, FALSE))</f>
        <v/>
      </c>
      <c r="D370" t="str">
        <f>IF(A370="", "", VLOOKUP(A370, BASE!$A$4:$D$10003, 4, FALSE))</f>
        <v/>
      </c>
      <c r="E370" t="str">
        <f>IF(A370="", "", VLOOKUP(A370, BASE!$A$4:$E$10003, 5, FALSE))</f>
        <v/>
      </c>
      <c r="F370" t="str">
        <f t="shared" si="5"/>
        <v/>
      </c>
    </row>
    <row r="371" spans="1:6">
      <c r="A371" t="str">
        <f>IFERROR(INDEX(BASE!$A$4:$A$10003, SMALL(IF(BASE!$F$4:$F$10003="CARREGADO", ROW(BASE!$A$4:$A$10003)-ROW(BASE!$A$4)+1), ROW(A370))), "")</f>
        <v/>
      </c>
      <c r="B371" t="str">
        <f>IF(A371="", "", VLOOKUP(A371, BASE!$A$4:$B$10003, 2, FALSE))</f>
        <v/>
      </c>
      <c r="C371" t="str">
        <f>IF(A371="", "", VLOOKUP(A371, BASE!$A$4:$C$10003, 3, FALSE))</f>
        <v/>
      </c>
      <c r="D371" t="str">
        <f>IF(A371="", "", VLOOKUP(A371, BASE!$A$4:$D$10003, 4, FALSE))</f>
        <v/>
      </c>
      <c r="E371" t="str">
        <f>IF(A371="", "", VLOOKUP(A371, BASE!$A$4:$E$10003, 5, FALSE))</f>
        <v/>
      </c>
      <c r="F371" t="str">
        <f t="shared" si="5"/>
        <v/>
      </c>
    </row>
    <row r="372" spans="1:6">
      <c r="A372" t="str">
        <f>IFERROR(INDEX(BASE!$A$4:$A$10003, SMALL(IF(BASE!$F$4:$F$10003="CARREGADO", ROW(BASE!$A$4:$A$10003)-ROW(BASE!$A$4)+1), ROW(A371))), "")</f>
        <v/>
      </c>
      <c r="B372" t="str">
        <f>IF(A372="", "", VLOOKUP(A372, BASE!$A$4:$B$10003, 2, FALSE))</f>
        <v/>
      </c>
      <c r="C372" t="str">
        <f>IF(A372="", "", VLOOKUP(A372, BASE!$A$4:$C$10003, 3, FALSE))</f>
        <v/>
      </c>
      <c r="D372" t="str">
        <f>IF(A372="", "", VLOOKUP(A372, BASE!$A$4:$D$10003, 4, FALSE))</f>
        <v/>
      </c>
      <c r="E372" t="str">
        <f>IF(A372="", "", VLOOKUP(A372, BASE!$A$4:$E$10003, 5, FALSE))</f>
        <v/>
      </c>
      <c r="F372" t="str">
        <f t="shared" si="5"/>
        <v/>
      </c>
    </row>
    <row r="373" spans="1:6">
      <c r="A373" t="str">
        <f>IFERROR(INDEX(BASE!$A$4:$A$10003, SMALL(IF(BASE!$F$4:$F$10003="CARREGADO", ROW(BASE!$A$4:$A$10003)-ROW(BASE!$A$4)+1), ROW(A372))), "")</f>
        <v/>
      </c>
      <c r="B373" t="str">
        <f>IF(A373="", "", VLOOKUP(A373, BASE!$A$4:$B$10003, 2, FALSE))</f>
        <v/>
      </c>
      <c r="C373" t="str">
        <f>IF(A373="", "", VLOOKUP(A373, BASE!$A$4:$C$10003, 3, FALSE))</f>
        <v/>
      </c>
      <c r="D373" t="str">
        <f>IF(A373="", "", VLOOKUP(A373, BASE!$A$4:$D$10003, 4, FALSE))</f>
        <v/>
      </c>
      <c r="E373" t="str">
        <f>IF(A373="", "", VLOOKUP(A373, BASE!$A$4:$E$10003, 5, FALSE))</f>
        <v/>
      </c>
      <c r="F373" t="str">
        <f t="shared" si="5"/>
        <v/>
      </c>
    </row>
    <row r="374" spans="1:6">
      <c r="A374" t="str">
        <f>IFERROR(INDEX(BASE!$A$4:$A$10003, SMALL(IF(BASE!$F$4:$F$10003="CARREGADO", ROW(BASE!$A$4:$A$10003)-ROW(BASE!$A$4)+1), ROW(A373))), "")</f>
        <v/>
      </c>
      <c r="B374" t="str">
        <f>IF(A374="", "", VLOOKUP(A374, BASE!$A$4:$B$10003, 2, FALSE))</f>
        <v/>
      </c>
      <c r="C374" t="str">
        <f>IF(A374="", "", VLOOKUP(A374, BASE!$A$4:$C$10003, 3, FALSE))</f>
        <v/>
      </c>
      <c r="D374" t="str">
        <f>IF(A374="", "", VLOOKUP(A374, BASE!$A$4:$D$10003, 4, FALSE))</f>
        <v/>
      </c>
      <c r="E374" t="str">
        <f>IF(A374="", "", VLOOKUP(A374, BASE!$A$4:$E$10003, 5, FALSE))</f>
        <v/>
      </c>
      <c r="F374" t="str">
        <f t="shared" si="5"/>
        <v/>
      </c>
    </row>
    <row r="375" spans="1:6">
      <c r="A375" t="str">
        <f>IFERROR(INDEX(BASE!$A$4:$A$10003, SMALL(IF(BASE!$F$4:$F$10003="CARREGADO", ROW(BASE!$A$4:$A$10003)-ROW(BASE!$A$4)+1), ROW(A374))), "")</f>
        <v/>
      </c>
      <c r="B375" t="str">
        <f>IF(A375="", "", VLOOKUP(A375, BASE!$A$4:$B$10003, 2, FALSE))</f>
        <v/>
      </c>
      <c r="C375" t="str">
        <f>IF(A375="", "", VLOOKUP(A375, BASE!$A$4:$C$10003, 3, FALSE))</f>
        <v/>
      </c>
      <c r="D375" t="str">
        <f>IF(A375="", "", VLOOKUP(A375, BASE!$A$4:$D$10003, 4, FALSE))</f>
        <v/>
      </c>
      <c r="E375" t="str">
        <f>IF(A375="", "", VLOOKUP(A375, BASE!$A$4:$E$10003, 5, FALSE))</f>
        <v/>
      </c>
      <c r="F375" t="str">
        <f t="shared" si="5"/>
        <v/>
      </c>
    </row>
    <row r="376" spans="1:6">
      <c r="A376" t="str">
        <f>IFERROR(INDEX(BASE!$A$4:$A$10003, SMALL(IF(BASE!$F$4:$F$10003="CARREGADO", ROW(BASE!$A$4:$A$10003)-ROW(BASE!$A$4)+1), ROW(A375))), "")</f>
        <v/>
      </c>
      <c r="B376" t="str">
        <f>IF(A376="", "", VLOOKUP(A376, BASE!$A$4:$B$10003, 2, FALSE))</f>
        <v/>
      </c>
      <c r="C376" t="str">
        <f>IF(A376="", "", VLOOKUP(A376, BASE!$A$4:$C$10003, 3, FALSE))</f>
        <v/>
      </c>
      <c r="D376" t="str">
        <f>IF(A376="", "", VLOOKUP(A376, BASE!$A$4:$D$10003, 4, FALSE))</f>
        <v/>
      </c>
      <c r="E376" t="str">
        <f>IF(A376="", "", VLOOKUP(A376, BASE!$A$4:$E$10003, 5, FALSE))</f>
        <v/>
      </c>
      <c r="F376" t="str">
        <f t="shared" si="5"/>
        <v/>
      </c>
    </row>
    <row r="377" spans="1:6">
      <c r="A377" t="str">
        <f>IFERROR(INDEX(BASE!$A$4:$A$10003, SMALL(IF(BASE!$F$4:$F$10003="CARREGADO", ROW(BASE!$A$4:$A$10003)-ROW(BASE!$A$4)+1), ROW(A376))), "")</f>
        <v/>
      </c>
      <c r="B377" t="str">
        <f>IF(A377="", "", VLOOKUP(A377, BASE!$A$4:$B$10003, 2, FALSE))</f>
        <v/>
      </c>
      <c r="C377" t="str">
        <f>IF(A377="", "", VLOOKUP(A377, BASE!$A$4:$C$10003, 3, FALSE))</f>
        <v/>
      </c>
      <c r="D377" t="str">
        <f>IF(A377="", "", VLOOKUP(A377, BASE!$A$4:$D$10003, 4, FALSE))</f>
        <v/>
      </c>
      <c r="E377" t="str">
        <f>IF(A377="", "", VLOOKUP(A377, BASE!$A$4:$E$10003, 5, FALSE))</f>
        <v/>
      </c>
      <c r="F377" t="str">
        <f t="shared" si="5"/>
        <v/>
      </c>
    </row>
    <row r="378" spans="1:6">
      <c r="A378" t="str">
        <f>IFERROR(INDEX(BASE!$A$4:$A$10003, SMALL(IF(BASE!$F$4:$F$10003="CARREGADO", ROW(BASE!$A$4:$A$10003)-ROW(BASE!$A$4)+1), ROW(A377))), "")</f>
        <v/>
      </c>
      <c r="B378" t="str">
        <f>IF(A378="", "", VLOOKUP(A378, BASE!$A$4:$B$10003, 2, FALSE))</f>
        <v/>
      </c>
      <c r="C378" t="str">
        <f>IF(A378="", "", VLOOKUP(A378, BASE!$A$4:$C$10003, 3, FALSE))</f>
        <v/>
      </c>
      <c r="D378" t="str">
        <f>IF(A378="", "", VLOOKUP(A378, BASE!$A$4:$D$10003, 4, FALSE))</f>
        <v/>
      </c>
      <c r="E378" t="str">
        <f>IF(A378="", "", VLOOKUP(A378, BASE!$A$4:$E$10003, 5, FALSE))</f>
        <v/>
      </c>
      <c r="F378" t="str">
        <f t="shared" si="5"/>
        <v/>
      </c>
    </row>
    <row r="379" spans="1:6">
      <c r="A379" t="str">
        <f>IFERROR(INDEX(BASE!$A$4:$A$10003, SMALL(IF(BASE!$F$4:$F$10003="CARREGADO", ROW(BASE!$A$4:$A$10003)-ROW(BASE!$A$4)+1), ROW(A378))), "")</f>
        <v/>
      </c>
      <c r="B379" t="str">
        <f>IF(A379="", "", VLOOKUP(A379, BASE!$A$4:$B$10003, 2, FALSE))</f>
        <v/>
      </c>
      <c r="C379" t="str">
        <f>IF(A379="", "", VLOOKUP(A379, BASE!$A$4:$C$10003, 3, FALSE))</f>
        <v/>
      </c>
      <c r="D379" t="str">
        <f>IF(A379="", "", VLOOKUP(A379, BASE!$A$4:$D$10003, 4, FALSE))</f>
        <v/>
      </c>
      <c r="E379" t="str">
        <f>IF(A379="", "", VLOOKUP(A379, BASE!$A$4:$E$10003, 5, FALSE))</f>
        <v/>
      </c>
      <c r="F379" t="str">
        <f t="shared" si="5"/>
        <v/>
      </c>
    </row>
    <row r="380" spans="1:6">
      <c r="A380" t="str">
        <f>IFERROR(INDEX(BASE!$A$4:$A$10003, SMALL(IF(BASE!$F$4:$F$10003="CARREGADO", ROW(BASE!$A$4:$A$10003)-ROW(BASE!$A$4)+1), ROW(A379))), "")</f>
        <v/>
      </c>
      <c r="B380" t="str">
        <f>IF(A380="", "", VLOOKUP(A380, BASE!$A$4:$B$10003, 2, FALSE))</f>
        <v/>
      </c>
      <c r="C380" t="str">
        <f>IF(A380="", "", VLOOKUP(A380, BASE!$A$4:$C$10003, 3, FALSE))</f>
        <v/>
      </c>
      <c r="D380" t="str">
        <f>IF(A380="", "", VLOOKUP(A380, BASE!$A$4:$D$10003, 4, FALSE))</f>
        <v/>
      </c>
      <c r="E380" t="str">
        <f>IF(A380="", "", VLOOKUP(A380, BASE!$A$4:$E$10003, 5, FALSE))</f>
        <v/>
      </c>
      <c r="F380" t="str">
        <f t="shared" si="5"/>
        <v/>
      </c>
    </row>
    <row r="381" spans="1:6">
      <c r="A381" t="str">
        <f>IFERROR(INDEX(BASE!$A$4:$A$10003, SMALL(IF(BASE!$F$4:$F$10003="CARREGADO", ROW(BASE!$A$4:$A$10003)-ROW(BASE!$A$4)+1), ROW(A380))), "")</f>
        <v/>
      </c>
      <c r="B381" t="str">
        <f>IF(A381="", "", VLOOKUP(A381, BASE!$A$4:$B$10003, 2, FALSE))</f>
        <v/>
      </c>
      <c r="C381" t="str">
        <f>IF(A381="", "", VLOOKUP(A381, BASE!$A$4:$C$10003, 3, FALSE))</f>
        <v/>
      </c>
      <c r="D381" t="str">
        <f>IF(A381="", "", VLOOKUP(A381, BASE!$A$4:$D$10003, 4, FALSE))</f>
        <v/>
      </c>
      <c r="E381" t="str">
        <f>IF(A381="", "", VLOOKUP(A381, BASE!$A$4:$E$10003, 5, FALSE))</f>
        <v/>
      </c>
      <c r="F381" t="str">
        <f t="shared" si="5"/>
        <v/>
      </c>
    </row>
    <row r="382" spans="1:6">
      <c r="A382" t="str">
        <f>IFERROR(INDEX(BASE!$A$4:$A$10003, SMALL(IF(BASE!$F$4:$F$10003="CARREGADO", ROW(BASE!$A$4:$A$10003)-ROW(BASE!$A$4)+1), ROW(A381))), "")</f>
        <v/>
      </c>
      <c r="B382" t="str">
        <f>IF(A382="", "", VLOOKUP(A382, BASE!$A$4:$B$10003, 2, FALSE))</f>
        <v/>
      </c>
      <c r="C382" t="str">
        <f>IF(A382="", "", VLOOKUP(A382, BASE!$A$4:$C$10003, 3, FALSE))</f>
        <v/>
      </c>
      <c r="D382" t="str">
        <f>IF(A382="", "", VLOOKUP(A382, BASE!$A$4:$D$10003, 4, FALSE))</f>
        <v/>
      </c>
      <c r="E382" t="str">
        <f>IF(A382="", "", VLOOKUP(A382, BASE!$A$4:$E$10003, 5, FALSE))</f>
        <v/>
      </c>
      <c r="F382" t="str">
        <f t="shared" si="5"/>
        <v/>
      </c>
    </row>
    <row r="383" spans="1:6">
      <c r="A383" t="str">
        <f>IFERROR(INDEX(BASE!$A$4:$A$10003, SMALL(IF(BASE!$F$4:$F$10003="CARREGADO", ROW(BASE!$A$4:$A$10003)-ROW(BASE!$A$4)+1), ROW(A382))), "")</f>
        <v/>
      </c>
      <c r="B383" t="str">
        <f>IF(A383="", "", VLOOKUP(A383, BASE!$A$4:$B$10003, 2, FALSE))</f>
        <v/>
      </c>
      <c r="C383" t="str">
        <f>IF(A383="", "", VLOOKUP(A383, BASE!$A$4:$C$10003, 3, FALSE))</f>
        <v/>
      </c>
      <c r="D383" t="str">
        <f>IF(A383="", "", VLOOKUP(A383, BASE!$A$4:$D$10003, 4, FALSE))</f>
        <v/>
      </c>
      <c r="E383" t="str">
        <f>IF(A383="", "", VLOOKUP(A383, BASE!$A$4:$E$10003, 5, FALSE))</f>
        <v/>
      </c>
      <c r="F383" t="str">
        <f t="shared" si="5"/>
        <v/>
      </c>
    </row>
    <row r="384" spans="1:6">
      <c r="A384" t="str">
        <f>IFERROR(INDEX(BASE!$A$4:$A$10003, SMALL(IF(BASE!$F$4:$F$10003="CARREGADO", ROW(BASE!$A$4:$A$10003)-ROW(BASE!$A$4)+1), ROW(A383))), "")</f>
        <v/>
      </c>
      <c r="B384" t="str">
        <f>IF(A384="", "", VLOOKUP(A384, BASE!$A$4:$B$10003, 2, FALSE))</f>
        <v/>
      </c>
      <c r="C384" t="str">
        <f>IF(A384="", "", VLOOKUP(A384, BASE!$A$4:$C$10003, 3, FALSE))</f>
        <v/>
      </c>
      <c r="D384" t="str">
        <f>IF(A384="", "", VLOOKUP(A384, BASE!$A$4:$D$10003, 4, FALSE))</f>
        <v/>
      </c>
      <c r="E384" t="str">
        <f>IF(A384="", "", VLOOKUP(A384, BASE!$A$4:$E$10003, 5, FALSE))</f>
        <v/>
      </c>
      <c r="F384" t="str">
        <f t="shared" si="5"/>
        <v/>
      </c>
    </row>
    <row r="385" spans="1:6">
      <c r="A385" t="str">
        <f>IFERROR(INDEX(BASE!$A$4:$A$10003, SMALL(IF(BASE!$F$4:$F$10003="CARREGADO", ROW(BASE!$A$4:$A$10003)-ROW(BASE!$A$4)+1), ROW(A384))), "")</f>
        <v/>
      </c>
      <c r="B385" t="str">
        <f>IF(A385="", "", VLOOKUP(A385, BASE!$A$4:$B$10003, 2, FALSE))</f>
        <v/>
      </c>
      <c r="C385" t="str">
        <f>IF(A385="", "", VLOOKUP(A385, BASE!$A$4:$C$10003, 3, FALSE))</f>
        <v/>
      </c>
      <c r="D385" t="str">
        <f>IF(A385="", "", VLOOKUP(A385, BASE!$A$4:$D$10003, 4, FALSE))</f>
        <v/>
      </c>
      <c r="E385" t="str">
        <f>IF(A385="", "", VLOOKUP(A385, BASE!$A$4:$E$10003, 5, FALSE))</f>
        <v/>
      </c>
      <c r="F385" t="str">
        <f t="shared" si="5"/>
        <v/>
      </c>
    </row>
    <row r="386" spans="1:6">
      <c r="A386" t="str">
        <f>IFERROR(INDEX(BASE!$A$4:$A$10003, SMALL(IF(BASE!$F$4:$F$10003="CARREGADO", ROW(BASE!$A$4:$A$10003)-ROW(BASE!$A$4)+1), ROW(A385))), "")</f>
        <v/>
      </c>
      <c r="B386" t="str">
        <f>IF(A386="", "", VLOOKUP(A386, BASE!$A$4:$B$10003, 2, FALSE))</f>
        <v/>
      </c>
      <c r="C386" t="str">
        <f>IF(A386="", "", VLOOKUP(A386, BASE!$A$4:$C$10003, 3, FALSE))</f>
        <v/>
      </c>
      <c r="D386" t="str">
        <f>IF(A386="", "", VLOOKUP(A386, BASE!$A$4:$D$10003, 4, FALSE))</f>
        <v/>
      </c>
      <c r="E386" t="str">
        <f>IF(A386="", "", VLOOKUP(A386, BASE!$A$4:$E$10003, 5, FALSE))</f>
        <v/>
      </c>
      <c r="F386" t="str">
        <f t="shared" ref="F386:F449" si="6">IF(A386="", "", "CARREGADO")</f>
        <v/>
      </c>
    </row>
    <row r="387" spans="1:6">
      <c r="A387" t="str">
        <f>IFERROR(INDEX(BASE!$A$4:$A$10003, SMALL(IF(BASE!$F$4:$F$10003="CARREGADO", ROW(BASE!$A$4:$A$10003)-ROW(BASE!$A$4)+1), ROW(A386))), "")</f>
        <v/>
      </c>
      <c r="B387" t="str">
        <f>IF(A387="", "", VLOOKUP(A387, BASE!$A$4:$B$10003, 2, FALSE))</f>
        <v/>
      </c>
      <c r="C387" t="str">
        <f>IF(A387="", "", VLOOKUP(A387, BASE!$A$4:$C$10003, 3, FALSE))</f>
        <v/>
      </c>
      <c r="D387" t="str">
        <f>IF(A387="", "", VLOOKUP(A387, BASE!$A$4:$D$10003, 4, FALSE))</f>
        <v/>
      </c>
      <c r="E387" t="str">
        <f>IF(A387="", "", VLOOKUP(A387, BASE!$A$4:$E$10003, 5, FALSE))</f>
        <v/>
      </c>
      <c r="F387" t="str">
        <f t="shared" si="6"/>
        <v/>
      </c>
    </row>
    <row r="388" spans="1:6">
      <c r="A388" t="str">
        <f>IFERROR(INDEX(BASE!$A$4:$A$10003, SMALL(IF(BASE!$F$4:$F$10003="CARREGADO", ROW(BASE!$A$4:$A$10003)-ROW(BASE!$A$4)+1), ROW(A387))), "")</f>
        <v/>
      </c>
      <c r="B388" t="str">
        <f>IF(A388="", "", VLOOKUP(A388, BASE!$A$4:$B$10003, 2, FALSE))</f>
        <v/>
      </c>
      <c r="C388" t="str">
        <f>IF(A388="", "", VLOOKUP(A388, BASE!$A$4:$C$10003, 3, FALSE))</f>
        <v/>
      </c>
      <c r="D388" t="str">
        <f>IF(A388="", "", VLOOKUP(A388, BASE!$A$4:$D$10003, 4, FALSE))</f>
        <v/>
      </c>
      <c r="E388" t="str">
        <f>IF(A388="", "", VLOOKUP(A388, BASE!$A$4:$E$10003, 5, FALSE))</f>
        <v/>
      </c>
      <c r="F388" t="str">
        <f t="shared" si="6"/>
        <v/>
      </c>
    </row>
    <row r="389" spans="1:6">
      <c r="A389" t="str">
        <f>IFERROR(INDEX(BASE!$A$4:$A$10003, SMALL(IF(BASE!$F$4:$F$10003="CARREGADO", ROW(BASE!$A$4:$A$10003)-ROW(BASE!$A$4)+1), ROW(A388))), "")</f>
        <v/>
      </c>
      <c r="B389" t="str">
        <f>IF(A389="", "", VLOOKUP(A389, BASE!$A$4:$B$10003, 2, FALSE))</f>
        <v/>
      </c>
      <c r="C389" t="str">
        <f>IF(A389="", "", VLOOKUP(A389, BASE!$A$4:$C$10003, 3, FALSE))</f>
        <v/>
      </c>
      <c r="D389" t="str">
        <f>IF(A389="", "", VLOOKUP(A389, BASE!$A$4:$D$10003, 4, FALSE))</f>
        <v/>
      </c>
      <c r="E389" t="str">
        <f>IF(A389="", "", VLOOKUP(A389, BASE!$A$4:$E$10003, 5, FALSE))</f>
        <v/>
      </c>
      <c r="F389" t="str">
        <f t="shared" si="6"/>
        <v/>
      </c>
    </row>
    <row r="390" spans="1:6">
      <c r="A390" t="str">
        <f>IFERROR(INDEX(BASE!$A$4:$A$10003, SMALL(IF(BASE!$F$4:$F$10003="CARREGADO", ROW(BASE!$A$4:$A$10003)-ROW(BASE!$A$4)+1), ROW(A389))), "")</f>
        <v/>
      </c>
      <c r="B390" t="str">
        <f>IF(A390="", "", VLOOKUP(A390, BASE!$A$4:$B$10003, 2, FALSE))</f>
        <v/>
      </c>
      <c r="C390" t="str">
        <f>IF(A390="", "", VLOOKUP(A390, BASE!$A$4:$C$10003, 3, FALSE))</f>
        <v/>
      </c>
      <c r="D390" t="str">
        <f>IF(A390="", "", VLOOKUP(A390, BASE!$A$4:$D$10003, 4, FALSE))</f>
        <v/>
      </c>
      <c r="E390" t="str">
        <f>IF(A390="", "", VLOOKUP(A390, BASE!$A$4:$E$10003, 5, FALSE))</f>
        <v/>
      </c>
      <c r="F390" t="str">
        <f t="shared" si="6"/>
        <v/>
      </c>
    </row>
    <row r="391" spans="1:6">
      <c r="A391" t="str">
        <f>IFERROR(INDEX(BASE!$A$4:$A$10003, SMALL(IF(BASE!$F$4:$F$10003="CARREGADO", ROW(BASE!$A$4:$A$10003)-ROW(BASE!$A$4)+1), ROW(A390))), "")</f>
        <v/>
      </c>
      <c r="B391" t="str">
        <f>IF(A391="", "", VLOOKUP(A391, BASE!$A$4:$B$10003, 2, FALSE))</f>
        <v/>
      </c>
      <c r="C391" t="str">
        <f>IF(A391="", "", VLOOKUP(A391, BASE!$A$4:$C$10003, 3, FALSE))</f>
        <v/>
      </c>
      <c r="D391" t="str">
        <f>IF(A391="", "", VLOOKUP(A391, BASE!$A$4:$D$10003, 4, FALSE))</f>
        <v/>
      </c>
      <c r="E391" t="str">
        <f>IF(A391="", "", VLOOKUP(A391, BASE!$A$4:$E$10003, 5, FALSE))</f>
        <v/>
      </c>
      <c r="F391" t="str">
        <f t="shared" si="6"/>
        <v/>
      </c>
    </row>
    <row r="392" spans="1:6">
      <c r="A392" t="str">
        <f>IFERROR(INDEX(BASE!$A$4:$A$10003, SMALL(IF(BASE!$F$4:$F$10003="CARREGADO", ROW(BASE!$A$4:$A$10003)-ROW(BASE!$A$4)+1), ROW(A391))), "")</f>
        <v/>
      </c>
      <c r="B392" t="str">
        <f>IF(A392="", "", VLOOKUP(A392, BASE!$A$4:$B$10003, 2, FALSE))</f>
        <v/>
      </c>
      <c r="C392" t="str">
        <f>IF(A392="", "", VLOOKUP(A392, BASE!$A$4:$C$10003, 3, FALSE))</f>
        <v/>
      </c>
      <c r="D392" t="str">
        <f>IF(A392="", "", VLOOKUP(A392, BASE!$A$4:$D$10003, 4, FALSE))</f>
        <v/>
      </c>
      <c r="E392" t="str">
        <f>IF(A392="", "", VLOOKUP(A392, BASE!$A$4:$E$10003, 5, FALSE))</f>
        <v/>
      </c>
      <c r="F392" t="str">
        <f t="shared" si="6"/>
        <v/>
      </c>
    </row>
    <row r="393" spans="1:6">
      <c r="A393" t="str">
        <f>IFERROR(INDEX(BASE!$A$4:$A$10003, SMALL(IF(BASE!$F$4:$F$10003="CARREGADO", ROW(BASE!$A$4:$A$10003)-ROW(BASE!$A$4)+1), ROW(A392))), "")</f>
        <v/>
      </c>
      <c r="B393" t="str">
        <f>IF(A393="", "", VLOOKUP(A393, BASE!$A$4:$B$10003, 2, FALSE))</f>
        <v/>
      </c>
      <c r="C393" t="str">
        <f>IF(A393="", "", VLOOKUP(A393, BASE!$A$4:$C$10003, 3, FALSE))</f>
        <v/>
      </c>
      <c r="D393" t="str">
        <f>IF(A393="", "", VLOOKUP(A393, BASE!$A$4:$D$10003, 4, FALSE))</f>
        <v/>
      </c>
      <c r="E393" t="str">
        <f>IF(A393="", "", VLOOKUP(A393, BASE!$A$4:$E$10003, 5, FALSE))</f>
        <v/>
      </c>
      <c r="F393" t="str">
        <f t="shared" si="6"/>
        <v/>
      </c>
    </row>
    <row r="394" spans="1:6">
      <c r="A394" t="str">
        <f>IFERROR(INDEX(BASE!$A$4:$A$10003, SMALL(IF(BASE!$F$4:$F$10003="CARREGADO", ROW(BASE!$A$4:$A$10003)-ROW(BASE!$A$4)+1), ROW(A393))), "")</f>
        <v/>
      </c>
      <c r="B394" t="str">
        <f>IF(A394="", "", VLOOKUP(A394, BASE!$A$4:$B$10003, 2, FALSE))</f>
        <v/>
      </c>
      <c r="C394" t="str">
        <f>IF(A394="", "", VLOOKUP(A394, BASE!$A$4:$C$10003, 3, FALSE))</f>
        <v/>
      </c>
      <c r="D394" t="str">
        <f>IF(A394="", "", VLOOKUP(A394, BASE!$A$4:$D$10003, 4, FALSE))</f>
        <v/>
      </c>
      <c r="E394" t="str">
        <f>IF(A394="", "", VLOOKUP(A394, BASE!$A$4:$E$10003, 5, FALSE))</f>
        <v/>
      </c>
      <c r="F394" t="str">
        <f t="shared" si="6"/>
        <v/>
      </c>
    </row>
    <row r="395" spans="1:6">
      <c r="A395" t="str">
        <f>IFERROR(INDEX(BASE!$A$4:$A$10003, SMALL(IF(BASE!$F$4:$F$10003="CARREGADO", ROW(BASE!$A$4:$A$10003)-ROW(BASE!$A$4)+1), ROW(A394))), "")</f>
        <v/>
      </c>
      <c r="B395" t="str">
        <f>IF(A395="", "", VLOOKUP(A395, BASE!$A$4:$B$10003, 2, FALSE))</f>
        <v/>
      </c>
      <c r="C395" t="str">
        <f>IF(A395="", "", VLOOKUP(A395, BASE!$A$4:$C$10003, 3, FALSE))</f>
        <v/>
      </c>
      <c r="D395" t="str">
        <f>IF(A395="", "", VLOOKUP(A395, BASE!$A$4:$D$10003, 4, FALSE))</f>
        <v/>
      </c>
      <c r="E395" t="str">
        <f>IF(A395="", "", VLOOKUP(A395, BASE!$A$4:$E$10003, 5, FALSE))</f>
        <v/>
      </c>
      <c r="F395" t="str">
        <f t="shared" si="6"/>
        <v/>
      </c>
    </row>
    <row r="396" spans="1:6">
      <c r="A396" t="str">
        <f>IFERROR(INDEX(BASE!$A$4:$A$10003, SMALL(IF(BASE!$F$4:$F$10003="CARREGADO", ROW(BASE!$A$4:$A$10003)-ROW(BASE!$A$4)+1), ROW(A395))), "")</f>
        <v/>
      </c>
      <c r="B396" t="str">
        <f>IF(A396="", "", VLOOKUP(A396, BASE!$A$4:$B$10003, 2, FALSE))</f>
        <v/>
      </c>
      <c r="C396" t="str">
        <f>IF(A396="", "", VLOOKUP(A396, BASE!$A$4:$C$10003, 3, FALSE))</f>
        <v/>
      </c>
      <c r="D396" t="str">
        <f>IF(A396="", "", VLOOKUP(A396, BASE!$A$4:$D$10003, 4, FALSE))</f>
        <v/>
      </c>
      <c r="E396" t="str">
        <f>IF(A396="", "", VLOOKUP(A396, BASE!$A$4:$E$10003, 5, FALSE))</f>
        <v/>
      </c>
      <c r="F396" t="str">
        <f t="shared" si="6"/>
        <v/>
      </c>
    </row>
    <row r="397" spans="1:6">
      <c r="A397" t="str">
        <f>IFERROR(INDEX(BASE!$A$4:$A$10003, SMALL(IF(BASE!$F$4:$F$10003="CARREGADO", ROW(BASE!$A$4:$A$10003)-ROW(BASE!$A$4)+1), ROW(A396))), "")</f>
        <v/>
      </c>
      <c r="B397" t="str">
        <f>IF(A397="", "", VLOOKUP(A397, BASE!$A$4:$B$10003, 2, FALSE))</f>
        <v/>
      </c>
      <c r="C397" t="str">
        <f>IF(A397="", "", VLOOKUP(A397, BASE!$A$4:$C$10003, 3, FALSE))</f>
        <v/>
      </c>
      <c r="D397" t="str">
        <f>IF(A397="", "", VLOOKUP(A397, BASE!$A$4:$D$10003, 4, FALSE))</f>
        <v/>
      </c>
      <c r="E397" t="str">
        <f>IF(A397="", "", VLOOKUP(A397, BASE!$A$4:$E$10003, 5, FALSE))</f>
        <v/>
      </c>
      <c r="F397" t="str">
        <f t="shared" si="6"/>
        <v/>
      </c>
    </row>
    <row r="398" spans="1:6">
      <c r="A398" t="str">
        <f>IFERROR(INDEX(BASE!$A$4:$A$10003, SMALL(IF(BASE!$F$4:$F$10003="CARREGADO", ROW(BASE!$A$4:$A$10003)-ROW(BASE!$A$4)+1), ROW(A397))), "")</f>
        <v/>
      </c>
      <c r="B398" t="str">
        <f>IF(A398="", "", VLOOKUP(A398, BASE!$A$4:$B$10003, 2, FALSE))</f>
        <v/>
      </c>
      <c r="C398" t="str">
        <f>IF(A398="", "", VLOOKUP(A398, BASE!$A$4:$C$10003, 3, FALSE))</f>
        <v/>
      </c>
      <c r="D398" t="str">
        <f>IF(A398="", "", VLOOKUP(A398, BASE!$A$4:$D$10003, 4, FALSE))</f>
        <v/>
      </c>
      <c r="E398" t="str">
        <f>IF(A398="", "", VLOOKUP(A398, BASE!$A$4:$E$10003, 5, FALSE))</f>
        <v/>
      </c>
      <c r="F398" t="str">
        <f t="shared" si="6"/>
        <v/>
      </c>
    </row>
    <row r="399" spans="1:6">
      <c r="A399" t="str">
        <f>IFERROR(INDEX(BASE!$A$4:$A$10003, SMALL(IF(BASE!$F$4:$F$10003="CARREGADO", ROW(BASE!$A$4:$A$10003)-ROW(BASE!$A$4)+1), ROW(A398))), "")</f>
        <v/>
      </c>
      <c r="B399" t="str">
        <f>IF(A399="", "", VLOOKUP(A399, BASE!$A$4:$B$10003, 2, FALSE))</f>
        <v/>
      </c>
      <c r="C399" t="str">
        <f>IF(A399="", "", VLOOKUP(A399, BASE!$A$4:$C$10003, 3, FALSE))</f>
        <v/>
      </c>
      <c r="D399" t="str">
        <f>IF(A399="", "", VLOOKUP(A399, BASE!$A$4:$D$10003, 4, FALSE))</f>
        <v/>
      </c>
      <c r="E399" t="str">
        <f>IF(A399="", "", VLOOKUP(A399, BASE!$A$4:$E$10003, 5, FALSE))</f>
        <v/>
      </c>
      <c r="F399" t="str">
        <f t="shared" si="6"/>
        <v/>
      </c>
    </row>
    <row r="400" spans="1:6">
      <c r="A400" t="str">
        <f>IFERROR(INDEX(BASE!$A$4:$A$10003, SMALL(IF(BASE!$F$4:$F$10003="CARREGADO", ROW(BASE!$A$4:$A$10003)-ROW(BASE!$A$4)+1), ROW(A399))), "")</f>
        <v/>
      </c>
      <c r="B400" t="str">
        <f>IF(A400="", "", VLOOKUP(A400, BASE!$A$4:$B$10003, 2, FALSE))</f>
        <v/>
      </c>
      <c r="C400" t="str">
        <f>IF(A400="", "", VLOOKUP(A400, BASE!$A$4:$C$10003, 3, FALSE))</f>
        <v/>
      </c>
      <c r="D400" t="str">
        <f>IF(A400="", "", VLOOKUP(A400, BASE!$A$4:$D$10003, 4, FALSE))</f>
        <v/>
      </c>
      <c r="E400" t="str">
        <f>IF(A400="", "", VLOOKUP(A400, BASE!$A$4:$E$10003, 5, FALSE))</f>
        <v/>
      </c>
      <c r="F400" t="str">
        <f t="shared" si="6"/>
        <v/>
      </c>
    </row>
    <row r="401" spans="1:6">
      <c r="A401" t="str">
        <f>IFERROR(INDEX(BASE!$A$4:$A$10003, SMALL(IF(BASE!$F$4:$F$10003="CARREGADO", ROW(BASE!$A$4:$A$10003)-ROW(BASE!$A$4)+1), ROW(A400))), "")</f>
        <v/>
      </c>
      <c r="B401" t="str">
        <f>IF(A401="", "", VLOOKUP(A401, BASE!$A$4:$B$10003, 2, FALSE))</f>
        <v/>
      </c>
      <c r="C401" t="str">
        <f>IF(A401="", "", VLOOKUP(A401, BASE!$A$4:$C$10003, 3, FALSE))</f>
        <v/>
      </c>
      <c r="D401" t="str">
        <f>IF(A401="", "", VLOOKUP(A401, BASE!$A$4:$D$10003, 4, FALSE))</f>
        <v/>
      </c>
      <c r="E401" t="str">
        <f>IF(A401="", "", VLOOKUP(A401, BASE!$A$4:$E$10003, 5, FALSE))</f>
        <v/>
      </c>
      <c r="F401" t="str">
        <f t="shared" si="6"/>
        <v/>
      </c>
    </row>
    <row r="402" spans="1:6">
      <c r="A402" t="str">
        <f>IFERROR(INDEX(BASE!$A$4:$A$10003, SMALL(IF(BASE!$F$4:$F$10003="CARREGADO", ROW(BASE!$A$4:$A$10003)-ROW(BASE!$A$4)+1), ROW(A401))), "")</f>
        <v/>
      </c>
      <c r="B402" t="str">
        <f>IF(A402="", "", VLOOKUP(A402, BASE!$A$4:$B$10003, 2, FALSE))</f>
        <v/>
      </c>
      <c r="C402" t="str">
        <f>IF(A402="", "", VLOOKUP(A402, BASE!$A$4:$C$10003, 3, FALSE))</f>
        <v/>
      </c>
      <c r="D402" t="str">
        <f>IF(A402="", "", VLOOKUP(A402, BASE!$A$4:$D$10003, 4, FALSE))</f>
        <v/>
      </c>
      <c r="E402" t="str">
        <f>IF(A402="", "", VLOOKUP(A402, BASE!$A$4:$E$10003, 5, FALSE))</f>
        <v/>
      </c>
      <c r="F402" t="str">
        <f t="shared" si="6"/>
        <v/>
      </c>
    </row>
    <row r="403" spans="1:6">
      <c r="A403" t="str">
        <f>IFERROR(INDEX(BASE!$A$4:$A$10003, SMALL(IF(BASE!$F$4:$F$10003="CARREGADO", ROW(BASE!$A$4:$A$10003)-ROW(BASE!$A$4)+1), ROW(A402))), "")</f>
        <v/>
      </c>
      <c r="B403" t="str">
        <f>IF(A403="", "", VLOOKUP(A403, BASE!$A$4:$B$10003, 2, FALSE))</f>
        <v/>
      </c>
      <c r="C403" t="str">
        <f>IF(A403="", "", VLOOKUP(A403, BASE!$A$4:$C$10003, 3, FALSE))</f>
        <v/>
      </c>
      <c r="D403" t="str">
        <f>IF(A403="", "", VLOOKUP(A403, BASE!$A$4:$D$10003, 4, FALSE))</f>
        <v/>
      </c>
      <c r="E403" t="str">
        <f>IF(A403="", "", VLOOKUP(A403, BASE!$A$4:$E$10003, 5, FALSE))</f>
        <v/>
      </c>
      <c r="F403" t="str">
        <f t="shared" si="6"/>
        <v/>
      </c>
    </row>
    <row r="404" spans="1:6">
      <c r="A404" t="str">
        <f>IFERROR(INDEX(BASE!$A$4:$A$10003, SMALL(IF(BASE!$F$4:$F$10003="CARREGADO", ROW(BASE!$A$4:$A$10003)-ROW(BASE!$A$4)+1), ROW(A403))), "")</f>
        <v/>
      </c>
      <c r="B404" t="str">
        <f>IF(A404="", "", VLOOKUP(A404, BASE!$A$4:$B$10003, 2, FALSE))</f>
        <v/>
      </c>
      <c r="C404" t="str">
        <f>IF(A404="", "", VLOOKUP(A404, BASE!$A$4:$C$10003, 3, FALSE))</f>
        <v/>
      </c>
      <c r="D404" t="str">
        <f>IF(A404="", "", VLOOKUP(A404, BASE!$A$4:$D$10003, 4, FALSE))</f>
        <v/>
      </c>
      <c r="E404" t="str">
        <f>IF(A404="", "", VLOOKUP(A404, BASE!$A$4:$E$10003, 5, FALSE))</f>
        <v/>
      </c>
      <c r="F404" t="str">
        <f t="shared" si="6"/>
        <v/>
      </c>
    </row>
    <row r="405" spans="1:6">
      <c r="A405" t="str">
        <f>IFERROR(INDEX(BASE!$A$4:$A$10003, SMALL(IF(BASE!$F$4:$F$10003="CARREGADO", ROW(BASE!$A$4:$A$10003)-ROW(BASE!$A$4)+1), ROW(A404))), "")</f>
        <v/>
      </c>
      <c r="B405" t="str">
        <f>IF(A405="", "", VLOOKUP(A405, BASE!$A$4:$B$10003, 2, FALSE))</f>
        <v/>
      </c>
      <c r="C405" t="str">
        <f>IF(A405="", "", VLOOKUP(A405, BASE!$A$4:$C$10003, 3, FALSE))</f>
        <v/>
      </c>
      <c r="D405" t="str">
        <f>IF(A405="", "", VLOOKUP(A405, BASE!$A$4:$D$10003, 4, FALSE))</f>
        <v/>
      </c>
      <c r="E405" t="str">
        <f>IF(A405="", "", VLOOKUP(A405, BASE!$A$4:$E$10003, 5, FALSE))</f>
        <v/>
      </c>
      <c r="F405" t="str">
        <f t="shared" si="6"/>
        <v/>
      </c>
    </row>
    <row r="406" spans="1:6">
      <c r="A406" t="str">
        <f>IFERROR(INDEX(BASE!$A$4:$A$10003, SMALL(IF(BASE!$F$4:$F$10003="CARREGADO", ROW(BASE!$A$4:$A$10003)-ROW(BASE!$A$4)+1), ROW(A405))), "")</f>
        <v/>
      </c>
      <c r="B406" t="str">
        <f>IF(A406="", "", VLOOKUP(A406, BASE!$A$4:$B$10003, 2, FALSE))</f>
        <v/>
      </c>
      <c r="C406" t="str">
        <f>IF(A406="", "", VLOOKUP(A406, BASE!$A$4:$C$10003, 3, FALSE))</f>
        <v/>
      </c>
      <c r="D406" t="str">
        <f>IF(A406="", "", VLOOKUP(A406, BASE!$A$4:$D$10003, 4, FALSE))</f>
        <v/>
      </c>
      <c r="E406" t="str">
        <f>IF(A406="", "", VLOOKUP(A406, BASE!$A$4:$E$10003, 5, FALSE))</f>
        <v/>
      </c>
      <c r="F406" t="str">
        <f t="shared" si="6"/>
        <v/>
      </c>
    </row>
    <row r="407" spans="1:6">
      <c r="A407" t="str">
        <f>IFERROR(INDEX(BASE!$A$4:$A$10003, SMALL(IF(BASE!$F$4:$F$10003="CARREGADO", ROW(BASE!$A$4:$A$10003)-ROW(BASE!$A$4)+1), ROW(A406))), "")</f>
        <v/>
      </c>
      <c r="B407" t="str">
        <f>IF(A407="", "", VLOOKUP(A407, BASE!$A$4:$B$10003, 2, FALSE))</f>
        <v/>
      </c>
      <c r="C407" t="str">
        <f>IF(A407="", "", VLOOKUP(A407, BASE!$A$4:$C$10003, 3, FALSE))</f>
        <v/>
      </c>
      <c r="D407" t="str">
        <f>IF(A407="", "", VLOOKUP(A407, BASE!$A$4:$D$10003, 4, FALSE))</f>
        <v/>
      </c>
      <c r="E407" t="str">
        <f>IF(A407="", "", VLOOKUP(A407, BASE!$A$4:$E$10003, 5, FALSE))</f>
        <v/>
      </c>
      <c r="F407" t="str">
        <f t="shared" si="6"/>
        <v/>
      </c>
    </row>
    <row r="408" spans="1:6">
      <c r="A408" t="str">
        <f>IFERROR(INDEX(BASE!$A$4:$A$10003, SMALL(IF(BASE!$F$4:$F$10003="CARREGADO", ROW(BASE!$A$4:$A$10003)-ROW(BASE!$A$4)+1), ROW(A407))), "")</f>
        <v/>
      </c>
      <c r="B408" t="str">
        <f>IF(A408="", "", VLOOKUP(A408, BASE!$A$4:$B$10003, 2, FALSE))</f>
        <v/>
      </c>
      <c r="C408" t="str">
        <f>IF(A408="", "", VLOOKUP(A408, BASE!$A$4:$C$10003, 3, FALSE))</f>
        <v/>
      </c>
      <c r="D408" t="str">
        <f>IF(A408="", "", VLOOKUP(A408, BASE!$A$4:$D$10003, 4, FALSE))</f>
        <v/>
      </c>
      <c r="E408" t="str">
        <f>IF(A408="", "", VLOOKUP(A408, BASE!$A$4:$E$10003, 5, FALSE))</f>
        <v/>
      </c>
      <c r="F408" t="str">
        <f t="shared" si="6"/>
        <v/>
      </c>
    </row>
    <row r="409" spans="1:6">
      <c r="A409" t="str">
        <f>IFERROR(INDEX(BASE!$A$4:$A$10003, SMALL(IF(BASE!$F$4:$F$10003="CARREGADO", ROW(BASE!$A$4:$A$10003)-ROW(BASE!$A$4)+1), ROW(A408))), "")</f>
        <v/>
      </c>
      <c r="B409" t="str">
        <f>IF(A409="", "", VLOOKUP(A409, BASE!$A$4:$B$10003, 2, FALSE))</f>
        <v/>
      </c>
      <c r="C409" t="str">
        <f>IF(A409="", "", VLOOKUP(A409, BASE!$A$4:$C$10003, 3, FALSE))</f>
        <v/>
      </c>
      <c r="D409" t="str">
        <f>IF(A409="", "", VLOOKUP(A409, BASE!$A$4:$D$10003, 4, FALSE))</f>
        <v/>
      </c>
      <c r="E409" t="str">
        <f>IF(A409="", "", VLOOKUP(A409, BASE!$A$4:$E$10003, 5, FALSE))</f>
        <v/>
      </c>
      <c r="F409" t="str">
        <f t="shared" si="6"/>
        <v/>
      </c>
    </row>
    <row r="410" spans="1:6">
      <c r="A410" t="str">
        <f>IFERROR(INDEX(BASE!$A$4:$A$10003, SMALL(IF(BASE!$F$4:$F$10003="CARREGADO", ROW(BASE!$A$4:$A$10003)-ROW(BASE!$A$4)+1), ROW(A409))), "")</f>
        <v/>
      </c>
      <c r="B410" t="str">
        <f>IF(A410="", "", VLOOKUP(A410, BASE!$A$4:$B$10003, 2, FALSE))</f>
        <v/>
      </c>
      <c r="C410" t="str">
        <f>IF(A410="", "", VLOOKUP(A410, BASE!$A$4:$C$10003, 3, FALSE))</f>
        <v/>
      </c>
      <c r="D410" t="str">
        <f>IF(A410="", "", VLOOKUP(A410, BASE!$A$4:$D$10003, 4, FALSE))</f>
        <v/>
      </c>
      <c r="E410" t="str">
        <f>IF(A410="", "", VLOOKUP(A410, BASE!$A$4:$E$10003, 5, FALSE))</f>
        <v/>
      </c>
      <c r="F410" t="str">
        <f t="shared" si="6"/>
        <v/>
      </c>
    </row>
    <row r="411" spans="1:6">
      <c r="A411" t="str">
        <f>IFERROR(INDEX(BASE!$A$4:$A$10003, SMALL(IF(BASE!$F$4:$F$10003="CARREGADO", ROW(BASE!$A$4:$A$10003)-ROW(BASE!$A$4)+1), ROW(A410))), "")</f>
        <v/>
      </c>
      <c r="B411" t="str">
        <f>IF(A411="", "", VLOOKUP(A411, BASE!$A$4:$B$10003, 2, FALSE))</f>
        <v/>
      </c>
      <c r="C411" t="str">
        <f>IF(A411="", "", VLOOKUP(A411, BASE!$A$4:$C$10003, 3, FALSE))</f>
        <v/>
      </c>
      <c r="D411" t="str">
        <f>IF(A411="", "", VLOOKUP(A411, BASE!$A$4:$D$10003, 4, FALSE))</f>
        <v/>
      </c>
      <c r="E411" t="str">
        <f>IF(A411="", "", VLOOKUP(A411, BASE!$A$4:$E$10003, 5, FALSE))</f>
        <v/>
      </c>
      <c r="F411" t="str">
        <f t="shared" si="6"/>
        <v/>
      </c>
    </row>
    <row r="412" spans="1:6">
      <c r="A412" t="str">
        <f>IFERROR(INDEX(BASE!$A$4:$A$10003, SMALL(IF(BASE!$F$4:$F$10003="CARREGADO", ROW(BASE!$A$4:$A$10003)-ROW(BASE!$A$4)+1), ROW(A411))), "")</f>
        <v/>
      </c>
      <c r="B412" t="str">
        <f>IF(A412="", "", VLOOKUP(A412, BASE!$A$4:$B$10003, 2, FALSE))</f>
        <v/>
      </c>
      <c r="C412" t="str">
        <f>IF(A412="", "", VLOOKUP(A412, BASE!$A$4:$C$10003, 3, FALSE))</f>
        <v/>
      </c>
      <c r="D412" t="str">
        <f>IF(A412="", "", VLOOKUP(A412, BASE!$A$4:$D$10003, 4, FALSE))</f>
        <v/>
      </c>
      <c r="E412" t="str">
        <f>IF(A412="", "", VLOOKUP(A412, BASE!$A$4:$E$10003, 5, FALSE))</f>
        <v/>
      </c>
      <c r="F412" t="str">
        <f t="shared" si="6"/>
        <v/>
      </c>
    </row>
    <row r="413" spans="1:6">
      <c r="A413" t="str">
        <f>IFERROR(INDEX(BASE!$A$4:$A$10003, SMALL(IF(BASE!$F$4:$F$10003="CARREGADO", ROW(BASE!$A$4:$A$10003)-ROW(BASE!$A$4)+1), ROW(A412))), "")</f>
        <v/>
      </c>
      <c r="B413" t="str">
        <f>IF(A413="", "", VLOOKUP(A413, BASE!$A$4:$B$10003, 2, FALSE))</f>
        <v/>
      </c>
      <c r="C413" t="str">
        <f>IF(A413="", "", VLOOKUP(A413, BASE!$A$4:$C$10003, 3, FALSE))</f>
        <v/>
      </c>
      <c r="D413" t="str">
        <f>IF(A413="", "", VLOOKUP(A413, BASE!$A$4:$D$10003, 4, FALSE))</f>
        <v/>
      </c>
      <c r="E413" t="str">
        <f>IF(A413="", "", VLOOKUP(A413, BASE!$A$4:$E$10003, 5, FALSE))</f>
        <v/>
      </c>
      <c r="F413" t="str">
        <f t="shared" si="6"/>
        <v/>
      </c>
    </row>
    <row r="414" spans="1:6">
      <c r="A414" t="str">
        <f>IFERROR(INDEX(BASE!$A$4:$A$10003, SMALL(IF(BASE!$F$4:$F$10003="CARREGADO", ROW(BASE!$A$4:$A$10003)-ROW(BASE!$A$4)+1), ROW(A413))), "")</f>
        <v/>
      </c>
      <c r="B414" t="str">
        <f>IF(A414="", "", VLOOKUP(A414, BASE!$A$4:$B$10003, 2, FALSE))</f>
        <v/>
      </c>
      <c r="C414" t="str">
        <f>IF(A414="", "", VLOOKUP(A414, BASE!$A$4:$C$10003, 3, FALSE))</f>
        <v/>
      </c>
      <c r="D414" t="str">
        <f>IF(A414="", "", VLOOKUP(A414, BASE!$A$4:$D$10003, 4, FALSE))</f>
        <v/>
      </c>
      <c r="E414" t="str">
        <f>IF(A414="", "", VLOOKUP(A414, BASE!$A$4:$E$10003, 5, FALSE))</f>
        <v/>
      </c>
      <c r="F414" t="str">
        <f t="shared" si="6"/>
        <v/>
      </c>
    </row>
    <row r="415" spans="1:6">
      <c r="A415" t="str">
        <f>IFERROR(INDEX(BASE!$A$4:$A$10003, SMALL(IF(BASE!$F$4:$F$10003="CARREGADO", ROW(BASE!$A$4:$A$10003)-ROW(BASE!$A$4)+1), ROW(A414))), "")</f>
        <v/>
      </c>
      <c r="B415" t="str">
        <f>IF(A415="", "", VLOOKUP(A415, BASE!$A$4:$B$10003, 2, FALSE))</f>
        <v/>
      </c>
      <c r="C415" t="str">
        <f>IF(A415="", "", VLOOKUP(A415, BASE!$A$4:$C$10003, 3, FALSE))</f>
        <v/>
      </c>
      <c r="D415" t="str">
        <f>IF(A415="", "", VLOOKUP(A415, BASE!$A$4:$D$10003, 4, FALSE))</f>
        <v/>
      </c>
      <c r="E415" t="str">
        <f>IF(A415="", "", VLOOKUP(A415, BASE!$A$4:$E$10003, 5, FALSE))</f>
        <v/>
      </c>
      <c r="F415" t="str">
        <f t="shared" si="6"/>
        <v/>
      </c>
    </row>
    <row r="416" spans="1:6">
      <c r="A416" t="str">
        <f>IFERROR(INDEX(BASE!$A$4:$A$10003, SMALL(IF(BASE!$F$4:$F$10003="CARREGADO", ROW(BASE!$A$4:$A$10003)-ROW(BASE!$A$4)+1), ROW(A415))), "")</f>
        <v/>
      </c>
      <c r="B416" t="str">
        <f>IF(A416="", "", VLOOKUP(A416, BASE!$A$4:$B$10003, 2, FALSE))</f>
        <v/>
      </c>
      <c r="C416" t="str">
        <f>IF(A416="", "", VLOOKUP(A416, BASE!$A$4:$C$10003, 3, FALSE))</f>
        <v/>
      </c>
      <c r="D416" t="str">
        <f>IF(A416="", "", VLOOKUP(A416, BASE!$A$4:$D$10003, 4, FALSE))</f>
        <v/>
      </c>
      <c r="E416" t="str">
        <f>IF(A416="", "", VLOOKUP(A416, BASE!$A$4:$E$10003, 5, FALSE))</f>
        <v/>
      </c>
      <c r="F416" t="str">
        <f t="shared" si="6"/>
        <v/>
      </c>
    </row>
    <row r="417" spans="1:6">
      <c r="A417" t="str">
        <f>IFERROR(INDEX(BASE!$A$4:$A$10003, SMALL(IF(BASE!$F$4:$F$10003="CARREGADO", ROW(BASE!$A$4:$A$10003)-ROW(BASE!$A$4)+1), ROW(A416))), "")</f>
        <v/>
      </c>
      <c r="B417" t="str">
        <f>IF(A417="", "", VLOOKUP(A417, BASE!$A$4:$B$10003, 2, FALSE))</f>
        <v/>
      </c>
      <c r="C417" t="str">
        <f>IF(A417="", "", VLOOKUP(A417, BASE!$A$4:$C$10003, 3, FALSE))</f>
        <v/>
      </c>
      <c r="D417" t="str">
        <f>IF(A417="", "", VLOOKUP(A417, BASE!$A$4:$D$10003, 4, FALSE))</f>
        <v/>
      </c>
      <c r="E417" t="str">
        <f>IF(A417="", "", VLOOKUP(A417, BASE!$A$4:$E$10003, 5, FALSE))</f>
        <v/>
      </c>
      <c r="F417" t="str">
        <f t="shared" si="6"/>
        <v/>
      </c>
    </row>
    <row r="418" spans="1:6">
      <c r="A418" t="str">
        <f>IFERROR(INDEX(BASE!$A$4:$A$10003, SMALL(IF(BASE!$F$4:$F$10003="CARREGADO", ROW(BASE!$A$4:$A$10003)-ROW(BASE!$A$4)+1), ROW(A417))), "")</f>
        <v/>
      </c>
      <c r="B418" t="str">
        <f>IF(A418="", "", VLOOKUP(A418, BASE!$A$4:$B$10003, 2, FALSE))</f>
        <v/>
      </c>
      <c r="C418" t="str">
        <f>IF(A418="", "", VLOOKUP(A418, BASE!$A$4:$C$10003, 3, FALSE))</f>
        <v/>
      </c>
      <c r="D418" t="str">
        <f>IF(A418="", "", VLOOKUP(A418, BASE!$A$4:$D$10003, 4, FALSE))</f>
        <v/>
      </c>
      <c r="E418" t="str">
        <f>IF(A418="", "", VLOOKUP(A418, BASE!$A$4:$E$10003, 5, FALSE))</f>
        <v/>
      </c>
      <c r="F418" t="str">
        <f t="shared" si="6"/>
        <v/>
      </c>
    </row>
    <row r="419" spans="1:6">
      <c r="A419" t="str">
        <f>IFERROR(INDEX(BASE!$A$4:$A$10003, SMALL(IF(BASE!$F$4:$F$10003="CARREGADO", ROW(BASE!$A$4:$A$10003)-ROW(BASE!$A$4)+1), ROW(A418))), "")</f>
        <v/>
      </c>
      <c r="B419" t="str">
        <f>IF(A419="", "", VLOOKUP(A419, BASE!$A$4:$B$10003, 2, FALSE))</f>
        <v/>
      </c>
      <c r="C419" t="str">
        <f>IF(A419="", "", VLOOKUP(A419, BASE!$A$4:$C$10003, 3, FALSE))</f>
        <v/>
      </c>
      <c r="D419" t="str">
        <f>IF(A419="", "", VLOOKUP(A419, BASE!$A$4:$D$10003, 4, FALSE))</f>
        <v/>
      </c>
      <c r="E419" t="str">
        <f>IF(A419="", "", VLOOKUP(A419, BASE!$A$4:$E$10003, 5, FALSE))</f>
        <v/>
      </c>
      <c r="F419" t="str">
        <f t="shared" si="6"/>
        <v/>
      </c>
    </row>
    <row r="420" spans="1:6">
      <c r="A420" t="str">
        <f>IFERROR(INDEX(BASE!$A$4:$A$10003, SMALL(IF(BASE!$F$4:$F$10003="CARREGADO", ROW(BASE!$A$4:$A$10003)-ROW(BASE!$A$4)+1), ROW(A419))), "")</f>
        <v/>
      </c>
      <c r="B420" t="str">
        <f>IF(A420="", "", VLOOKUP(A420, BASE!$A$4:$B$10003, 2, FALSE))</f>
        <v/>
      </c>
      <c r="C420" t="str">
        <f>IF(A420="", "", VLOOKUP(A420, BASE!$A$4:$C$10003, 3, FALSE))</f>
        <v/>
      </c>
      <c r="D420" t="str">
        <f>IF(A420="", "", VLOOKUP(A420, BASE!$A$4:$D$10003, 4, FALSE))</f>
        <v/>
      </c>
      <c r="E420" t="str">
        <f>IF(A420="", "", VLOOKUP(A420, BASE!$A$4:$E$10003, 5, FALSE))</f>
        <v/>
      </c>
      <c r="F420" t="str">
        <f t="shared" si="6"/>
        <v/>
      </c>
    </row>
    <row r="421" spans="1:6">
      <c r="A421" t="str">
        <f>IFERROR(INDEX(BASE!$A$4:$A$10003, SMALL(IF(BASE!$F$4:$F$10003="CARREGADO", ROW(BASE!$A$4:$A$10003)-ROW(BASE!$A$4)+1), ROW(A420))), "")</f>
        <v/>
      </c>
      <c r="B421" t="str">
        <f>IF(A421="", "", VLOOKUP(A421, BASE!$A$4:$B$10003, 2, FALSE))</f>
        <v/>
      </c>
      <c r="C421" t="str">
        <f>IF(A421="", "", VLOOKUP(A421, BASE!$A$4:$C$10003, 3, FALSE))</f>
        <v/>
      </c>
      <c r="D421" t="str">
        <f>IF(A421="", "", VLOOKUP(A421, BASE!$A$4:$D$10003, 4, FALSE))</f>
        <v/>
      </c>
      <c r="E421" t="str">
        <f>IF(A421="", "", VLOOKUP(A421, BASE!$A$4:$E$10003, 5, FALSE))</f>
        <v/>
      </c>
      <c r="F421" t="str">
        <f t="shared" si="6"/>
        <v/>
      </c>
    </row>
    <row r="422" spans="1:6">
      <c r="A422" t="str">
        <f>IFERROR(INDEX(BASE!$A$4:$A$10003, SMALL(IF(BASE!$F$4:$F$10003="CARREGADO", ROW(BASE!$A$4:$A$10003)-ROW(BASE!$A$4)+1), ROW(A421))), "")</f>
        <v/>
      </c>
      <c r="B422" t="str">
        <f>IF(A422="", "", VLOOKUP(A422, BASE!$A$4:$B$10003, 2, FALSE))</f>
        <v/>
      </c>
      <c r="C422" t="str">
        <f>IF(A422="", "", VLOOKUP(A422, BASE!$A$4:$C$10003, 3, FALSE))</f>
        <v/>
      </c>
      <c r="D422" t="str">
        <f>IF(A422="", "", VLOOKUP(A422, BASE!$A$4:$D$10003, 4, FALSE))</f>
        <v/>
      </c>
      <c r="E422" t="str">
        <f>IF(A422="", "", VLOOKUP(A422, BASE!$A$4:$E$10003, 5, FALSE))</f>
        <v/>
      </c>
      <c r="F422" t="str">
        <f t="shared" si="6"/>
        <v/>
      </c>
    </row>
    <row r="423" spans="1:6">
      <c r="A423" t="str">
        <f>IFERROR(INDEX(BASE!$A$4:$A$10003, SMALL(IF(BASE!$F$4:$F$10003="CARREGADO", ROW(BASE!$A$4:$A$10003)-ROW(BASE!$A$4)+1), ROW(A422))), "")</f>
        <v/>
      </c>
      <c r="B423" t="str">
        <f>IF(A423="", "", VLOOKUP(A423, BASE!$A$4:$B$10003, 2, FALSE))</f>
        <v/>
      </c>
      <c r="C423" t="str">
        <f>IF(A423="", "", VLOOKUP(A423, BASE!$A$4:$C$10003, 3, FALSE))</f>
        <v/>
      </c>
      <c r="D423" t="str">
        <f>IF(A423="", "", VLOOKUP(A423, BASE!$A$4:$D$10003, 4, FALSE))</f>
        <v/>
      </c>
      <c r="E423" t="str">
        <f>IF(A423="", "", VLOOKUP(A423, BASE!$A$4:$E$10003, 5, FALSE))</f>
        <v/>
      </c>
      <c r="F423" t="str">
        <f t="shared" si="6"/>
        <v/>
      </c>
    </row>
    <row r="424" spans="1:6">
      <c r="A424" t="str">
        <f>IFERROR(INDEX(BASE!$A$4:$A$10003, SMALL(IF(BASE!$F$4:$F$10003="CARREGADO", ROW(BASE!$A$4:$A$10003)-ROW(BASE!$A$4)+1), ROW(A423))), "")</f>
        <v/>
      </c>
      <c r="B424" t="str">
        <f>IF(A424="", "", VLOOKUP(A424, BASE!$A$4:$B$10003, 2, FALSE))</f>
        <v/>
      </c>
      <c r="C424" t="str">
        <f>IF(A424="", "", VLOOKUP(A424, BASE!$A$4:$C$10003, 3, FALSE))</f>
        <v/>
      </c>
      <c r="D424" t="str">
        <f>IF(A424="", "", VLOOKUP(A424, BASE!$A$4:$D$10003, 4, FALSE))</f>
        <v/>
      </c>
      <c r="E424" t="str">
        <f>IF(A424="", "", VLOOKUP(A424, BASE!$A$4:$E$10003, 5, FALSE))</f>
        <v/>
      </c>
      <c r="F424" t="str">
        <f t="shared" si="6"/>
        <v/>
      </c>
    </row>
    <row r="425" spans="1:6">
      <c r="A425" t="str">
        <f>IFERROR(INDEX(BASE!$A$4:$A$10003, SMALL(IF(BASE!$F$4:$F$10003="CARREGADO", ROW(BASE!$A$4:$A$10003)-ROW(BASE!$A$4)+1), ROW(A424))), "")</f>
        <v/>
      </c>
      <c r="B425" t="str">
        <f>IF(A425="", "", VLOOKUP(A425, BASE!$A$4:$B$10003, 2, FALSE))</f>
        <v/>
      </c>
      <c r="C425" t="str">
        <f>IF(A425="", "", VLOOKUP(A425, BASE!$A$4:$C$10003, 3, FALSE))</f>
        <v/>
      </c>
      <c r="D425" t="str">
        <f>IF(A425="", "", VLOOKUP(A425, BASE!$A$4:$D$10003, 4, FALSE))</f>
        <v/>
      </c>
      <c r="E425" t="str">
        <f>IF(A425="", "", VLOOKUP(A425, BASE!$A$4:$E$10003, 5, FALSE))</f>
        <v/>
      </c>
      <c r="F425" t="str">
        <f t="shared" si="6"/>
        <v/>
      </c>
    </row>
    <row r="426" spans="1:6">
      <c r="A426" t="str">
        <f>IFERROR(INDEX(BASE!$A$4:$A$10003, SMALL(IF(BASE!$F$4:$F$10003="CARREGADO", ROW(BASE!$A$4:$A$10003)-ROW(BASE!$A$4)+1), ROW(A425))), "")</f>
        <v/>
      </c>
      <c r="B426" t="str">
        <f>IF(A426="", "", VLOOKUP(A426, BASE!$A$4:$B$10003, 2, FALSE))</f>
        <v/>
      </c>
      <c r="C426" t="str">
        <f>IF(A426="", "", VLOOKUP(A426, BASE!$A$4:$C$10003, 3, FALSE))</f>
        <v/>
      </c>
      <c r="D426" t="str">
        <f>IF(A426="", "", VLOOKUP(A426, BASE!$A$4:$D$10003, 4, FALSE))</f>
        <v/>
      </c>
      <c r="E426" t="str">
        <f>IF(A426="", "", VLOOKUP(A426, BASE!$A$4:$E$10003, 5, FALSE))</f>
        <v/>
      </c>
      <c r="F426" t="str">
        <f t="shared" si="6"/>
        <v/>
      </c>
    </row>
    <row r="427" spans="1:6">
      <c r="A427" t="str">
        <f>IFERROR(INDEX(BASE!$A$4:$A$10003, SMALL(IF(BASE!$F$4:$F$10003="CARREGADO", ROW(BASE!$A$4:$A$10003)-ROW(BASE!$A$4)+1), ROW(A426))), "")</f>
        <v/>
      </c>
      <c r="B427" t="str">
        <f>IF(A427="", "", VLOOKUP(A427, BASE!$A$4:$B$10003, 2, FALSE))</f>
        <v/>
      </c>
      <c r="C427" t="str">
        <f>IF(A427="", "", VLOOKUP(A427, BASE!$A$4:$C$10003, 3, FALSE))</f>
        <v/>
      </c>
      <c r="D427" t="str">
        <f>IF(A427="", "", VLOOKUP(A427, BASE!$A$4:$D$10003, 4, FALSE))</f>
        <v/>
      </c>
      <c r="E427" t="str">
        <f>IF(A427="", "", VLOOKUP(A427, BASE!$A$4:$E$10003, 5, FALSE))</f>
        <v/>
      </c>
      <c r="F427" t="str">
        <f t="shared" si="6"/>
        <v/>
      </c>
    </row>
    <row r="428" spans="1:6">
      <c r="A428" t="str">
        <f>IFERROR(INDEX(BASE!$A$4:$A$10003, SMALL(IF(BASE!$F$4:$F$10003="CARREGADO", ROW(BASE!$A$4:$A$10003)-ROW(BASE!$A$4)+1), ROW(A427))), "")</f>
        <v/>
      </c>
      <c r="B428" t="str">
        <f>IF(A428="", "", VLOOKUP(A428, BASE!$A$4:$B$10003, 2, FALSE))</f>
        <v/>
      </c>
      <c r="C428" t="str">
        <f>IF(A428="", "", VLOOKUP(A428, BASE!$A$4:$C$10003, 3, FALSE))</f>
        <v/>
      </c>
      <c r="D428" t="str">
        <f>IF(A428="", "", VLOOKUP(A428, BASE!$A$4:$D$10003, 4, FALSE))</f>
        <v/>
      </c>
      <c r="E428" t="str">
        <f>IF(A428="", "", VLOOKUP(A428, BASE!$A$4:$E$10003, 5, FALSE))</f>
        <v/>
      </c>
      <c r="F428" t="str">
        <f t="shared" si="6"/>
        <v/>
      </c>
    </row>
    <row r="429" spans="1:6">
      <c r="A429" t="str">
        <f>IFERROR(INDEX(BASE!$A$4:$A$10003, SMALL(IF(BASE!$F$4:$F$10003="CARREGADO", ROW(BASE!$A$4:$A$10003)-ROW(BASE!$A$4)+1), ROW(A428))), "")</f>
        <v/>
      </c>
      <c r="B429" t="str">
        <f>IF(A429="", "", VLOOKUP(A429, BASE!$A$4:$B$10003, 2, FALSE))</f>
        <v/>
      </c>
      <c r="C429" t="str">
        <f>IF(A429="", "", VLOOKUP(A429, BASE!$A$4:$C$10003, 3, FALSE))</f>
        <v/>
      </c>
      <c r="D429" t="str">
        <f>IF(A429="", "", VLOOKUP(A429, BASE!$A$4:$D$10003, 4, FALSE))</f>
        <v/>
      </c>
      <c r="E429" t="str">
        <f>IF(A429="", "", VLOOKUP(A429, BASE!$A$4:$E$10003, 5, FALSE))</f>
        <v/>
      </c>
      <c r="F429" t="str">
        <f t="shared" si="6"/>
        <v/>
      </c>
    </row>
    <row r="430" spans="1:6">
      <c r="A430" t="str">
        <f>IFERROR(INDEX(BASE!$A$4:$A$10003, SMALL(IF(BASE!$F$4:$F$10003="CARREGADO", ROW(BASE!$A$4:$A$10003)-ROW(BASE!$A$4)+1), ROW(A429))), "")</f>
        <v/>
      </c>
      <c r="B430" t="str">
        <f>IF(A430="", "", VLOOKUP(A430, BASE!$A$4:$B$10003, 2, FALSE))</f>
        <v/>
      </c>
      <c r="C430" t="str">
        <f>IF(A430="", "", VLOOKUP(A430, BASE!$A$4:$C$10003, 3, FALSE))</f>
        <v/>
      </c>
      <c r="D430" t="str">
        <f>IF(A430="", "", VLOOKUP(A430, BASE!$A$4:$D$10003, 4, FALSE))</f>
        <v/>
      </c>
      <c r="E430" t="str">
        <f>IF(A430="", "", VLOOKUP(A430, BASE!$A$4:$E$10003, 5, FALSE))</f>
        <v/>
      </c>
      <c r="F430" t="str">
        <f t="shared" si="6"/>
        <v/>
      </c>
    </row>
    <row r="431" spans="1:6">
      <c r="A431" t="str">
        <f>IFERROR(INDEX(BASE!$A$4:$A$10003, SMALL(IF(BASE!$F$4:$F$10003="CARREGADO", ROW(BASE!$A$4:$A$10003)-ROW(BASE!$A$4)+1), ROW(A430))), "")</f>
        <v/>
      </c>
      <c r="B431" t="str">
        <f>IF(A431="", "", VLOOKUP(A431, BASE!$A$4:$B$10003, 2, FALSE))</f>
        <v/>
      </c>
      <c r="C431" t="str">
        <f>IF(A431="", "", VLOOKUP(A431, BASE!$A$4:$C$10003, 3, FALSE))</f>
        <v/>
      </c>
      <c r="D431" t="str">
        <f>IF(A431="", "", VLOOKUP(A431, BASE!$A$4:$D$10003, 4, FALSE))</f>
        <v/>
      </c>
      <c r="E431" t="str">
        <f>IF(A431="", "", VLOOKUP(A431, BASE!$A$4:$E$10003, 5, FALSE))</f>
        <v/>
      </c>
      <c r="F431" t="str">
        <f t="shared" si="6"/>
        <v/>
      </c>
    </row>
    <row r="432" spans="1:6">
      <c r="A432" t="str">
        <f>IFERROR(INDEX(BASE!$A$4:$A$10003, SMALL(IF(BASE!$F$4:$F$10003="CARREGADO", ROW(BASE!$A$4:$A$10003)-ROW(BASE!$A$4)+1), ROW(A431))), "")</f>
        <v/>
      </c>
      <c r="B432" t="str">
        <f>IF(A432="", "", VLOOKUP(A432, BASE!$A$4:$B$10003, 2, FALSE))</f>
        <v/>
      </c>
      <c r="C432" t="str">
        <f>IF(A432="", "", VLOOKUP(A432, BASE!$A$4:$C$10003, 3, FALSE))</f>
        <v/>
      </c>
      <c r="D432" t="str">
        <f>IF(A432="", "", VLOOKUP(A432, BASE!$A$4:$D$10003, 4, FALSE))</f>
        <v/>
      </c>
      <c r="E432" t="str">
        <f>IF(A432="", "", VLOOKUP(A432, BASE!$A$4:$E$10003, 5, FALSE))</f>
        <v/>
      </c>
      <c r="F432" t="str">
        <f t="shared" si="6"/>
        <v/>
      </c>
    </row>
    <row r="433" spans="1:6">
      <c r="A433" t="str">
        <f>IFERROR(INDEX(BASE!$A$4:$A$10003, SMALL(IF(BASE!$F$4:$F$10003="CARREGADO", ROW(BASE!$A$4:$A$10003)-ROW(BASE!$A$4)+1), ROW(A432))), "")</f>
        <v/>
      </c>
      <c r="B433" t="str">
        <f>IF(A433="", "", VLOOKUP(A433, BASE!$A$4:$B$10003, 2, FALSE))</f>
        <v/>
      </c>
      <c r="C433" t="str">
        <f>IF(A433="", "", VLOOKUP(A433, BASE!$A$4:$C$10003, 3, FALSE))</f>
        <v/>
      </c>
      <c r="D433" t="str">
        <f>IF(A433="", "", VLOOKUP(A433, BASE!$A$4:$D$10003, 4, FALSE))</f>
        <v/>
      </c>
      <c r="E433" t="str">
        <f>IF(A433="", "", VLOOKUP(A433, BASE!$A$4:$E$10003, 5, FALSE))</f>
        <v/>
      </c>
      <c r="F433" t="str">
        <f t="shared" si="6"/>
        <v/>
      </c>
    </row>
    <row r="434" spans="1:6">
      <c r="A434" t="str">
        <f>IFERROR(INDEX(BASE!$A$4:$A$10003, SMALL(IF(BASE!$F$4:$F$10003="CARREGADO", ROW(BASE!$A$4:$A$10003)-ROW(BASE!$A$4)+1), ROW(A433))), "")</f>
        <v/>
      </c>
      <c r="B434" t="str">
        <f>IF(A434="", "", VLOOKUP(A434, BASE!$A$4:$B$10003, 2, FALSE))</f>
        <v/>
      </c>
      <c r="C434" t="str">
        <f>IF(A434="", "", VLOOKUP(A434, BASE!$A$4:$C$10003, 3, FALSE))</f>
        <v/>
      </c>
      <c r="D434" t="str">
        <f>IF(A434="", "", VLOOKUP(A434, BASE!$A$4:$D$10003, 4, FALSE))</f>
        <v/>
      </c>
      <c r="E434" t="str">
        <f>IF(A434="", "", VLOOKUP(A434, BASE!$A$4:$E$10003, 5, FALSE))</f>
        <v/>
      </c>
      <c r="F434" t="str">
        <f t="shared" si="6"/>
        <v/>
      </c>
    </row>
    <row r="435" spans="1:6">
      <c r="A435" t="str">
        <f>IFERROR(INDEX(BASE!$A$4:$A$10003, SMALL(IF(BASE!$F$4:$F$10003="CARREGADO", ROW(BASE!$A$4:$A$10003)-ROW(BASE!$A$4)+1), ROW(A434))), "")</f>
        <v/>
      </c>
      <c r="B435" t="str">
        <f>IF(A435="", "", VLOOKUP(A435, BASE!$A$4:$B$10003, 2, FALSE))</f>
        <v/>
      </c>
      <c r="C435" t="str">
        <f>IF(A435="", "", VLOOKUP(A435, BASE!$A$4:$C$10003, 3, FALSE))</f>
        <v/>
      </c>
      <c r="D435" t="str">
        <f>IF(A435="", "", VLOOKUP(A435, BASE!$A$4:$D$10003, 4, FALSE))</f>
        <v/>
      </c>
      <c r="E435" t="str">
        <f>IF(A435="", "", VLOOKUP(A435, BASE!$A$4:$E$10003, 5, FALSE))</f>
        <v/>
      </c>
      <c r="F435" t="str">
        <f t="shared" si="6"/>
        <v/>
      </c>
    </row>
    <row r="436" spans="1:6">
      <c r="A436" t="str">
        <f>IFERROR(INDEX(BASE!$A$4:$A$10003, SMALL(IF(BASE!$F$4:$F$10003="CARREGADO", ROW(BASE!$A$4:$A$10003)-ROW(BASE!$A$4)+1), ROW(A435))), "")</f>
        <v/>
      </c>
      <c r="B436" t="str">
        <f>IF(A436="", "", VLOOKUP(A436, BASE!$A$4:$B$10003, 2, FALSE))</f>
        <v/>
      </c>
      <c r="C436" t="str">
        <f>IF(A436="", "", VLOOKUP(A436, BASE!$A$4:$C$10003, 3, FALSE))</f>
        <v/>
      </c>
      <c r="D436" t="str">
        <f>IF(A436="", "", VLOOKUP(A436, BASE!$A$4:$D$10003, 4, FALSE))</f>
        <v/>
      </c>
      <c r="E436" t="str">
        <f>IF(A436="", "", VLOOKUP(A436, BASE!$A$4:$E$10003, 5, FALSE))</f>
        <v/>
      </c>
      <c r="F436" t="str">
        <f t="shared" si="6"/>
        <v/>
      </c>
    </row>
    <row r="437" spans="1:6">
      <c r="A437" t="str">
        <f>IFERROR(INDEX(BASE!$A$4:$A$10003, SMALL(IF(BASE!$F$4:$F$10003="CARREGADO", ROW(BASE!$A$4:$A$10003)-ROW(BASE!$A$4)+1), ROW(A436))), "")</f>
        <v/>
      </c>
      <c r="B437" t="str">
        <f>IF(A437="", "", VLOOKUP(A437, BASE!$A$4:$B$10003, 2, FALSE))</f>
        <v/>
      </c>
      <c r="C437" t="str">
        <f>IF(A437="", "", VLOOKUP(A437, BASE!$A$4:$C$10003, 3, FALSE))</f>
        <v/>
      </c>
      <c r="D437" t="str">
        <f>IF(A437="", "", VLOOKUP(A437, BASE!$A$4:$D$10003, 4, FALSE))</f>
        <v/>
      </c>
      <c r="E437" t="str">
        <f>IF(A437="", "", VLOOKUP(A437, BASE!$A$4:$E$10003, 5, FALSE))</f>
        <v/>
      </c>
      <c r="F437" t="str">
        <f t="shared" si="6"/>
        <v/>
      </c>
    </row>
    <row r="438" spans="1:6">
      <c r="A438" t="str">
        <f>IFERROR(INDEX(BASE!$A$4:$A$10003, SMALL(IF(BASE!$F$4:$F$10003="CARREGADO", ROW(BASE!$A$4:$A$10003)-ROW(BASE!$A$4)+1), ROW(A437))), "")</f>
        <v/>
      </c>
      <c r="B438" t="str">
        <f>IF(A438="", "", VLOOKUP(A438, BASE!$A$4:$B$10003, 2, FALSE))</f>
        <v/>
      </c>
      <c r="C438" t="str">
        <f>IF(A438="", "", VLOOKUP(A438, BASE!$A$4:$C$10003, 3, FALSE))</f>
        <v/>
      </c>
      <c r="D438" t="str">
        <f>IF(A438="", "", VLOOKUP(A438, BASE!$A$4:$D$10003, 4, FALSE))</f>
        <v/>
      </c>
      <c r="E438" t="str">
        <f>IF(A438="", "", VLOOKUP(A438, BASE!$A$4:$E$10003, 5, FALSE))</f>
        <v/>
      </c>
      <c r="F438" t="str">
        <f t="shared" si="6"/>
        <v/>
      </c>
    </row>
    <row r="439" spans="1:6">
      <c r="A439" t="str">
        <f>IFERROR(INDEX(BASE!$A$4:$A$10003, SMALL(IF(BASE!$F$4:$F$10003="CARREGADO", ROW(BASE!$A$4:$A$10003)-ROW(BASE!$A$4)+1), ROW(A438))), "")</f>
        <v/>
      </c>
      <c r="B439" t="str">
        <f>IF(A439="", "", VLOOKUP(A439, BASE!$A$4:$B$10003, 2, FALSE))</f>
        <v/>
      </c>
      <c r="C439" t="str">
        <f>IF(A439="", "", VLOOKUP(A439, BASE!$A$4:$C$10003, 3, FALSE))</f>
        <v/>
      </c>
      <c r="D439" t="str">
        <f>IF(A439="", "", VLOOKUP(A439, BASE!$A$4:$D$10003, 4, FALSE))</f>
        <v/>
      </c>
      <c r="E439" t="str">
        <f>IF(A439="", "", VLOOKUP(A439, BASE!$A$4:$E$10003, 5, FALSE))</f>
        <v/>
      </c>
      <c r="F439" t="str">
        <f t="shared" si="6"/>
        <v/>
      </c>
    </row>
    <row r="440" spans="1:6">
      <c r="A440" t="str">
        <f>IFERROR(INDEX(BASE!$A$4:$A$10003, SMALL(IF(BASE!$F$4:$F$10003="CARREGADO", ROW(BASE!$A$4:$A$10003)-ROW(BASE!$A$4)+1), ROW(A439))), "")</f>
        <v/>
      </c>
      <c r="B440" t="str">
        <f>IF(A440="", "", VLOOKUP(A440, BASE!$A$4:$B$10003, 2, FALSE))</f>
        <v/>
      </c>
      <c r="C440" t="str">
        <f>IF(A440="", "", VLOOKUP(A440, BASE!$A$4:$C$10003, 3, FALSE))</f>
        <v/>
      </c>
      <c r="D440" t="str">
        <f>IF(A440="", "", VLOOKUP(A440, BASE!$A$4:$D$10003, 4, FALSE))</f>
        <v/>
      </c>
      <c r="E440" t="str">
        <f>IF(A440="", "", VLOOKUP(A440, BASE!$A$4:$E$10003, 5, FALSE))</f>
        <v/>
      </c>
      <c r="F440" t="str">
        <f t="shared" si="6"/>
        <v/>
      </c>
    </row>
    <row r="441" spans="1:6">
      <c r="A441" t="str">
        <f>IFERROR(INDEX(BASE!$A$4:$A$10003, SMALL(IF(BASE!$F$4:$F$10003="CARREGADO", ROW(BASE!$A$4:$A$10003)-ROW(BASE!$A$4)+1), ROW(A440))), "")</f>
        <v/>
      </c>
      <c r="B441" t="str">
        <f>IF(A441="", "", VLOOKUP(A441, BASE!$A$4:$B$10003, 2, FALSE))</f>
        <v/>
      </c>
      <c r="C441" t="str">
        <f>IF(A441="", "", VLOOKUP(A441, BASE!$A$4:$C$10003, 3, FALSE))</f>
        <v/>
      </c>
      <c r="D441" t="str">
        <f>IF(A441="", "", VLOOKUP(A441, BASE!$A$4:$D$10003, 4, FALSE))</f>
        <v/>
      </c>
      <c r="E441" t="str">
        <f>IF(A441="", "", VLOOKUP(A441, BASE!$A$4:$E$10003, 5, FALSE))</f>
        <v/>
      </c>
      <c r="F441" t="str">
        <f t="shared" si="6"/>
        <v/>
      </c>
    </row>
    <row r="442" spans="1:6">
      <c r="A442" t="str">
        <f>IFERROR(INDEX(BASE!$A$4:$A$10003, SMALL(IF(BASE!$F$4:$F$10003="CARREGADO", ROW(BASE!$A$4:$A$10003)-ROW(BASE!$A$4)+1), ROW(A441))), "")</f>
        <v/>
      </c>
      <c r="B442" t="str">
        <f>IF(A442="", "", VLOOKUP(A442, BASE!$A$4:$B$10003, 2, FALSE))</f>
        <v/>
      </c>
      <c r="C442" t="str">
        <f>IF(A442="", "", VLOOKUP(A442, BASE!$A$4:$C$10003, 3, FALSE))</f>
        <v/>
      </c>
      <c r="D442" t="str">
        <f>IF(A442="", "", VLOOKUP(A442, BASE!$A$4:$D$10003, 4, FALSE))</f>
        <v/>
      </c>
      <c r="E442" t="str">
        <f>IF(A442="", "", VLOOKUP(A442, BASE!$A$4:$E$10003, 5, FALSE))</f>
        <v/>
      </c>
      <c r="F442" t="str">
        <f t="shared" si="6"/>
        <v/>
      </c>
    </row>
    <row r="443" spans="1:6">
      <c r="A443" t="str">
        <f>IFERROR(INDEX(BASE!$A$4:$A$10003, SMALL(IF(BASE!$F$4:$F$10003="CARREGADO", ROW(BASE!$A$4:$A$10003)-ROW(BASE!$A$4)+1), ROW(A442))), "")</f>
        <v/>
      </c>
      <c r="B443" t="str">
        <f>IF(A443="", "", VLOOKUP(A443, BASE!$A$4:$B$10003, 2, FALSE))</f>
        <v/>
      </c>
      <c r="C443" t="str">
        <f>IF(A443="", "", VLOOKUP(A443, BASE!$A$4:$C$10003, 3, FALSE))</f>
        <v/>
      </c>
      <c r="D443" t="str">
        <f>IF(A443="", "", VLOOKUP(A443, BASE!$A$4:$D$10003, 4, FALSE))</f>
        <v/>
      </c>
      <c r="E443" t="str">
        <f>IF(A443="", "", VLOOKUP(A443, BASE!$A$4:$E$10003, 5, FALSE))</f>
        <v/>
      </c>
      <c r="F443" t="str">
        <f t="shared" si="6"/>
        <v/>
      </c>
    </row>
    <row r="444" spans="1:6">
      <c r="A444" t="str">
        <f>IFERROR(INDEX(BASE!$A$4:$A$10003, SMALL(IF(BASE!$F$4:$F$10003="CARREGADO", ROW(BASE!$A$4:$A$10003)-ROW(BASE!$A$4)+1), ROW(A443))), "")</f>
        <v/>
      </c>
      <c r="B444" t="str">
        <f>IF(A444="", "", VLOOKUP(A444, BASE!$A$4:$B$10003, 2, FALSE))</f>
        <v/>
      </c>
      <c r="C444" t="str">
        <f>IF(A444="", "", VLOOKUP(A444, BASE!$A$4:$C$10003, 3, FALSE))</f>
        <v/>
      </c>
      <c r="D444" t="str">
        <f>IF(A444="", "", VLOOKUP(A444, BASE!$A$4:$D$10003, 4, FALSE))</f>
        <v/>
      </c>
      <c r="E444" t="str">
        <f>IF(A444="", "", VLOOKUP(A444, BASE!$A$4:$E$10003, 5, FALSE))</f>
        <v/>
      </c>
      <c r="F444" t="str">
        <f t="shared" si="6"/>
        <v/>
      </c>
    </row>
    <row r="445" spans="1:6">
      <c r="A445" t="str">
        <f>IFERROR(INDEX(BASE!$A$4:$A$10003, SMALL(IF(BASE!$F$4:$F$10003="CARREGADO", ROW(BASE!$A$4:$A$10003)-ROW(BASE!$A$4)+1), ROW(A444))), "")</f>
        <v/>
      </c>
      <c r="B445" t="str">
        <f>IF(A445="", "", VLOOKUP(A445, BASE!$A$4:$B$10003, 2, FALSE))</f>
        <v/>
      </c>
      <c r="C445" t="str">
        <f>IF(A445="", "", VLOOKUP(A445, BASE!$A$4:$C$10003, 3, FALSE))</f>
        <v/>
      </c>
      <c r="D445" t="str">
        <f>IF(A445="", "", VLOOKUP(A445, BASE!$A$4:$D$10003, 4, FALSE))</f>
        <v/>
      </c>
      <c r="E445" t="str">
        <f>IF(A445="", "", VLOOKUP(A445, BASE!$A$4:$E$10003, 5, FALSE))</f>
        <v/>
      </c>
      <c r="F445" t="str">
        <f t="shared" si="6"/>
        <v/>
      </c>
    </row>
    <row r="446" spans="1:6">
      <c r="A446" t="str">
        <f>IFERROR(INDEX(BASE!$A$4:$A$10003, SMALL(IF(BASE!$F$4:$F$10003="CARREGADO", ROW(BASE!$A$4:$A$10003)-ROW(BASE!$A$4)+1), ROW(A445))), "")</f>
        <v/>
      </c>
      <c r="B446" t="str">
        <f>IF(A446="", "", VLOOKUP(A446, BASE!$A$4:$B$10003, 2, FALSE))</f>
        <v/>
      </c>
      <c r="C446" t="str">
        <f>IF(A446="", "", VLOOKUP(A446, BASE!$A$4:$C$10003, 3, FALSE))</f>
        <v/>
      </c>
      <c r="D446" t="str">
        <f>IF(A446="", "", VLOOKUP(A446, BASE!$A$4:$D$10003, 4, FALSE))</f>
        <v/>
      </c>
      <c r="E446" t="str">
        <f>IF(A446="", "", VLOOKUP(A446, BASE!$A$4:$E$10003, 5, FALSE))</f>
        <v/>
      </c>
      <c r="F446" t="str">
        <f t="shared" si="6"/>
        <v/>
      </c>
    </row>
    <row r="447" spans="1:6">
      <c r="A447" t="str">
        <f>IFERROR(INDEX(BASE!$A$4:$A$10003, SMALL(IF(BASE!$F$4:$F$10003="CARREGADO", ROW(BASE!$A$4:$A$10003)-ROW(BASE!$A$4)+1), ROW(A446))), "")</f>
        <v/>
      </c>
      <c r="B447" t="str">
        <f>IF(A447="", "", VLOOKUP(A447, BASE!$A$4:$B$10003, 2, FALSE))</f>
        <v/>
      </c>
      <c r="C447" t="str">
        <f>IF(A447="", "", VLOOKUP(A447, BASE!$A$4:$C$10003, 3, FALSE))</f>
        <v/>
      </c>
      <c r="D447" t="str">
        <f>IF(A447="", "", VLOOKUP(A447, BASE!$A$4:$D$10003, 4, FALSE))</f>
        <v/>
      </c>
      <c r="E447" t="str">
        <f>IF(A447="", "", VLOOKUP(A447, BASE!$A$4:$E$10003, 5, FALSE))</f>
        <v/>
      </c>
      <c r="F447" t="str">
        <f t="shared" si="6"/>
        <v/>
      </c>
    </row>
    <row r="448" spans="1:6">
      <c r="A448" t="str">
        <f>IFERROR(INDEX(BASE!$A$4:$A$10003, SMALL(IF(BASE!$F$4:$F$10003="CARREGADO", ROW(BASE!$A$4:$A$10003)-ROW(BASE!$A$4)+1), ROW(A447))), "")</f>
        <v/>
      </c>
      <c r="B448" t="str">
        <f>IF(A448="", "", VLOOKUP(A448, BASE!$A$4:$B$10003, 2, FALSE))</f>
        <v/>
      </c>
      <c r="C448" t="str">
        <f>IF(A448="", "", VLOOKUP(A448, BASE!$A$4:$C$10003, 3, FALSE))</f>
        <v/>
      </c>
      <c r="D448" t="str">
        <f>IF(A448="", "", VLOOKUP(A448, BASE!$A$4:$D$10003, 4, FALSE))</f>
        <v/>
      </c>
      <c r="E448" t="str">
        <f>IF(A448="", "", VLOOKUP(A448, BASE!$A$4:$E$10003, 5, FALSE))</f>
        <v/>
      </c>
      <c r="F448" t="str">
        <f t="shared" si="6"/>
        <v/>
      </c>
    </row>
    <row r="449" spans="1:6">
      <c r="A449" t="str">
        <f>IFERROR(INDEX(BASE!$A$4:$A$10003, SMALL(IF(BASE!$F$4:$F$10003="CARREGADO", ROW(BASE!$A$4:$A$10003)-ROW(BASE!$A$4)+1), ROW(A448))), "")</f>
        <v/>
      </c>
      <c r="B449" t="str">
        <f>IF(A449="", "", VLOOKUP(A449, BASE!$A$4:$B$10003, 2, FALSE))</f>
        <v/>
      </c>
      <c r="C449" t="str">
        <f>IF(A449="", "", VLOOKUP(A449, BASE!$A$4:$C$10003, 3, FALSE))</f>
        <v/>
      </c>
      <c r="D449" t="str">
        <f>IF(A449="", "", VLOOKUP(A449, BASE!$A$4:$D$10003, 4, FALSE))</f>
        <v/>
      </c>
      <c r="E449" t="str">
        <f>IF(A449="", "", VLOOKUP(A449, BASE!$A$4:$E$10003, 5, FALSE))</f>
        <v/>
      </c>
      <c r="F449" t="str">
        <f t="shared" si="6"/>
        <v/>
      </c>
    </row>
    <row r="450" spans="1:6">
      <c r="A450" t="str">
        <f>IFERROR(INDEX(BASE!$A$4:$A$10003, SMALL(IF(BASE!$F$4:$F$10003="CARREGADO", ROW(BASE!$A$4:$A$10003)-ROW(BASE!$A$4)+1), ROW(A449))), "")</f>
        <v/>
      </c>
      <c r="B450" t="str">
        <f>IF(A450="", "", VLOOKUP(A450, BASE!$A$4:$B$10003, 2, FALSE))</f>
        <v/>
      </c>
      <c r="C450" t="str">
        <f>IF(A450="", "", VLOOKUP(A450, BASE!$A$4:$C$10003, 3, FALSE))</f>
        <v/>
      </c>
      <c r="D450" t="str">
        <f>IF(A450="", "", VLOOKUP(A450, BASE!$A$4:$D$10003, 4, FALSE))</f>
        <v/>
      </c>
      <c r="E450" t="str">
        <f>IF(A450="", "", VLOOKUP(A450, BASE!$A$4:$E$10003, 5, FALSE))</f>
        <v/>
      </c>
      <c r="F450" t="str">
        <f t="shared" ref="F450:F513" si="7">IF(A450="", "", "CARREGADO")</f>
        <v/>
      </c>
    </row>
    <row r="451" spans="1:6">
      <c r="A451" t="str">
        <f>IFERROR(INDEX(BASE!$A$4:$A$10003, SMALL(IF(BASE!$F$4:$F$10003="CARREGADO", ROW(BASE!$A$4:$A$10003)-ROW(BASE!$A$4)+1), ROW(A450))), "")</f>
        <v/>
      </c>
      <c r="B451" t="str">
        <f>IF(A451="", "", VLOOKUP(A451, BASE!$A$4:$B$10003, 2, FALSE))</f>
        <v/>
      </c>
      <c r="C451" t="str">
        <f>IF(A451="", "", VLOOKUP(A451, BASE!$A$4:$C$10003, 3, FALSE))</f>
        <v/>
      </c>
      <c r="D451" t="str">
        <f>IF(A451="", "", VLOOKUP(A451, BASE!$A$4:$D$10003, 4, FALSE))</f>
        <v/>
      </c>
      <c r="E451" t="str">
        <f>IF(A451="", "", VLOOKUP(A451, BASE!$A$4:$E$10003, 5, FALSE))</f>
        <v/>
      </c>
      <c r="F451" t="str">
        <f t="shared" si="7"/>
        <v/>
      </c>
    </row>
    <row r="452" spans="1:6">
      <c r="A452" t="str">
        <f>IFERROR(INDEX(BASE!$A$4:$A$10003, SMALL(IF(BASE!$F$4:$F$10003="CARREGADO", ROW(BASE!$A$4:$A$10003)-ROW(BASE!$A$4)+1), ROW(A451))), "")</f>
        <v/>
      </c>
      <c r="B452" t="str">
        <f>IF(A452="", "", VLOOKUP(A452, BASE!$A$4:$B$10003, 2, FALSE))</f>
        <v/>
      </c>
      <c r="C452" t="str">
        <f>IF(A452="", "", VLOOKUP(A452, BASE!$A$4:$C$10003, 3, FALSE))</f>
        <v/>
      </c>
      <c r="D452" t="str">
        <f>IF(A452="", "", VLOOKUP(A452, BASE!$A$4:$D$10003, 4, FALSE))</f>
        <v/>
      </c>
      <c r="E452" t="str">
        <f>IF(A452="", "", VLOOKUP(A452, BASE!$A$4:$E$10003, 5, FALSE))</f>
        <v/>
      </c>
      <c r="F452" t="str">
        <f t="shared" si="7"/>
        <v/>
      </c>
    </row>
    <row r="453" spans="1:6">
      <c r="A453" t="str">
        <f>IFERROR(INDEX(BASE!$A$4:$A$10003, SMALL(IF(BASE!$F$4:$F$10003="CARREGADO", ROW(BASE!$A$4:$A$10003)-ROW(BASE!$A$4)+1), ROW(A452))), "")</f>
        <v/>
      </c>
      <c r="B453" t="str">
        <f>IF(A453="", "", VLOOKUP(A453, BASE!$A$4:$B$10003, 2, FALSE))</f>
        <v/>
      </c>
      <c r="C453" t="str">
        <f>IF(A453="", "", VLOOKUP(A453, BASE!$A$4:$C$10003, 3, FALSE))</f>
        <v/>
      </c>
      <c r="D453" t="str">
        <f>IF(A453="", "", VLOOKUP(A453, BASE!$A$4:$D$10003, 4, FALSE))</f>
        <v/>
      </c>
      <c r="E453" t="str">
        <f>IF(A453="", "", VLOOKUP(A453, BASE!$A$4:$E$10003, 5, FALSE))</f>
        <v/>
      </c>
      <c r="F453" t="str">
        <f t="shared" si="7"/>
        <v/>
      </c>
    </row>
    <row r="454" spans="1:6">
      <c r="A454" t="str">
        <f>IFERROR(INDEX(BASE!$A$4:$A$10003, SMALL(IF(BASE!$F$4:$F$10003="CARREGADO", ROW(BASE!$A$4:$A$10003)-ROW(BASE!$A$4)+1), ROW(A453))), "")</f>
        <v/>
      </c>
      <c r="B454" t="str">
        <f>IF(A454="", "", VLOOKUP(A454, BASE!$A$4:$B$10003, 2, FALSE))</f>
        <v/>
      </c>
      <c r="C454" t="str">
        <f>IF(A454="", "", VLOOKUP(A454, BASE!$A$4:$C$10003, 3, FALSE))</f>
        <v/>
      </c>
      <c r="D454" t="str">
        <f>IF(A454="", "", VLOOKUP(A454, BASE!$A$4:$D$10003, 4, FALSE))</f>
        <v/>
      </c>
      <c r="E454" t="str">
        <f>IF(A454="", "", VLOOKUP(A454, BASE!$A$4:$E$10003, 5, FALSE))</f>
        <v/>
      </c>
      <c r="F454" t="str">
        <f t="shared" si="7"/>
        <v/>
      </c>
    </row>
    <row r="455" spans="1:6">
      <c r="A455" t="str">
        <f>IFERROR(INDEX(BASE!$A$4:$A$10003, SMALL(IF(BASE!$F$4:$F$10003="CARREGADO", ROW(BASE!$A$4:$A$10003)-ROW(BASE!$A$4)+1), ROW(A454))), "")</f>
        <v/>
      </c>
      <c r="B455" t="str">
        <f>IF(A455="", "", VLOOKUP(A455, BASE!$A$4:$B$10003, 2, FALSE))</f>
        <v/>
      </c>
      <c r="C455" t="str">
        <f>IF(A455="", "", VLOOKUP(A455, BASE!$A$4:$C$10003, 3, FALSE))</f>
        <v/>
      </c>
      <c r="D455" t="str">
        <f>IF(A455="", "", VLOOKUP(A455, BASE!$A$4:$D$10003, 4, FALSE))</f>
        <v/>
      </c>
      <c r="E455" t="str">
        <f>IF(A455="", "", VLOOKUP(A455, BASE!$A$4:$E$10003, 5, FALSE))</f>
        <v/>
      </c>
      <c r="F455" t="str">
        <f t="shared" si="7"/>
        <v/>
      </c>
    </row>
    <row r="456" spans="1:6">
      <c r="A456" t="str">
        <f>IFERROR(INDEX(BASE!$A$4:$A$10003, SMALL(IF(BASE!$F$4:$F$10003="CARREGADO", ROW(BASE!$A$4:$A$10003)-ROW(BASE!$A$4)+1), ROW(A455))), "")</f>
        <v/>
      </c>
      <c r="B456" t="str">
        <f>IF(A456="", "", VLOOKUP(A456, BASE!$A$4:$B$10003, 2, FALSE))</f>
        <v/>
      </c>
      <c r="C456" t="str">
        <f>IF(A456="", "", VLOOKUP(A456, BASE!$A$4:$C$10003, 3, FALSE))</f>
        <v/>
      </c>
      <c r="D456" t="str">
        <f>IF(A456="", "", VLOOKUP(A456, BASE!$A$4:$D$10003, 4, FALSE))</f>
        <v/>
      </c>
      <c r="E456" t="str">
        <f>IF(A456="", "", VLOOKUP(A456, BASE!$A$4:$E$10003, 5, FALSE))</f>
        <v/>
      </c>
      <c r="F456" t="str">
        <f t="shared" si="7"/>
        <v/>
      </c>
    </row>
    <row r="457" spans="1:6">
      <c r="A457" t="str">
        <f>IFERROR(INDEX(BASE!$A$4:$A$10003, SMALL(IF(BASE!$F$4:$F$10003="CARREGADO", ROW(BASE!$A$4:$A$10003)-ROW(BASE!$A$4)+1), ROW(A456))), "")</f>
        <v/>
      </c>
      <c r="B457" t="str">
        <f>IF(A457="", "", VLOOKUP(A457, BASE!$A$4:$B$10003, 2, FALSE))</f>
        <v/>
      </c>
      <c r="C457" t="str">
        <f>IF(A457="", "", VLOOKUP(A457, BASE!$A$4:$C$10003, 3, FALSE))</f>
        <v/>
      </c>
      <c r="D457" t="str">
        <f>IF(A457="", "", VLOOKUP(A457, BASE!$A$4:$D$10003, 4, FALSE))</f>
        <v/>
      </c>
      <c r="E457" t="str">
        <f>IF(A457="", "", VLOOKUP(A457, BASE!$A$4:$E$10003, 5, FALSE))</f>
        <v/>
      </c>
      <c r="F457" t="str">
        <f t="shared" si="7"/>
        <v/>
      </c>
    </row>
    <row r="458" spans="1:6">
      <c r="A458" t="str">
        <f>IFERROR(INDEX(BASE!$A$4:$A$10003, SMALL(IF(BASE!$F$4:$F$10003="CARREGADO", ROW(BASE!$A$4:$A$10003)-ROW(BASE!$A$4)+1), ROW(A457))), "")</f>
        <v/>
      </c>
      <c r="B458" t="str">
        <f>IF(A458="", "", VLOOKUP(A458, BASE!$A$4:$B$10003, 2, FALSE))</f>
        <v/>
      </c>
      <c r="C458" t="str">
        <f>IF(A458="", "", VLOOKUP(A458, BASE!$A$4:$C$10003, 3, FALSE))</f>
        <v/>
      </c>
      <c r="D458" t="str">
        <f>IF(A458="", "", VLOOKUP(A458, BASE!$A$4:$D$10003, 4, FALSE))</f>
        <v/>
      </c>
      <c r="E458" t="str">
        <f>IF(A458="", "", VLOOKUP(A458, BASE!$A$4:$E$10003, 5, FALSE))</f>
        <v/>
      </c>
      <c r="F458" t="str">
        <f t="shared" si="7"/>
        <v/>
      </c>
    </row>
    <row r="459" spans="1:6">
      <c r="A459" t="str">
        <f>IFERROR(INDEX(BASE!$A$4:$A$10003, SMALL(IF(BASE!$F$4:$F$10003="CARREGADO", ROW(BASE!$A$4:$A$10003)-ROW(BASE!$A$4)+1), ROW(A458))), "")</f>
        <v/>
      </c>
      <c r="B459" t="str">
        <f>IF(A459="", "", VLOOKUP(A459, BASE!$A$4:$B$10003, 2, FALSE))</f>
        <v/>
      </c>
      <c r="C459" t="str">
        <f>IF(A459="", "", VLOOKUP(A459, BASE!$A$4:$C$10003, 3, FALSE))</f>
        <v/>
      </c>
      <c r="D459" t="str">
        <f>IF(A459="", "", VLOOKUP(A459, BASE!$A$4:$D$10003, 4, FALSE))</f>
        <v/>
      </c>
      <c r="E459" t="str">
        <f>IF(A459="", "", VLOOKUP(A459, BASE!$A$4:$E$10003, 5, FALSE))</f>
        <v/>
      </c>
      <c r="F459" t="str">
        <f t="shared" si="7"/>
        <v/>
      </c>
    </row>
    <row r="460" spans="1:6">
      <c r="A460" t="str">
        <f>IFERROR(INDEX(BASE!$A$4:$A$10003, SMALL(IF(BASE!$F$4:$F$10003="CARREGADO", ROW(BASE!$A$4:$A$10003)-ROW(BASE!$A$4)+1), ROW(A459))), "")</f>
        <v/>
      </c>
      <c r="B460" t="str">
        <f>IF(A460="", "", VLOOKUP(A460, BASE!$A$4:$B$10003, 2, FALSE))</f>
        <v/>
      </c>
      <c r="C460" t="str">
        <f>IF(A460="", "", VLOOKUP(A460, BASE!$A$4:$C$10003, 3, FALSE))</f>
        <v/>
      </c>
      <c r="D460" t="str">
        <f>IF(A460="", "", VLOOKUP(A460, BASE!$A$4:$D$10003, 4, FALSE))</f>
        <v/>
      </c>
      <c r="E460" t="str">
        <f>IF(A460="", "", VLOOKUP(A460, BASE!$A$4:$E$10003, 5, FALSE))</f>
        <v/>
      </c>
      <c r="F460" t="str">
        <f t="shared" si="7"/>
        <v/>
      </c>
    </row>
    <row r="461" spans="1:6">
      <c r="A461" t="str">
        <f>IFERROR(INDEX(BASE!$A$4:$A$10003, SMALL(IF(BASE!$F$4:$F$10003="CARREGADO", ROW(BASE!$A$4:$A$10003)-ROW(BASE!$A$4)+1), ROW(A460))), "")</f>
        <v/>
      </c>
      <c r="B461" t="str">
        <f>IF(A461="", "", VLOOKUP(A461, BASE!$A$4:$B$10003, 2, FALSE))</f>
        <v/>
      </c>
      <c r="C461" t="str">
        <f>IF(A461="", "", VLOOKUP(A461, BASE!$A$4:$C$10003, 3, FALSE))</f>
        <v/>
      </c>
      <c r="D461" t="str">
        <f>IF(A461="", "", VLOOKUP(A461, BASE!$A$4:$D$10003, 4, FALSE))</f>
        <v/>
      </c>
      <c r="E461" t="str">
        <f>IF(A461="", "", VLOOKUP(A461, BASE!$A$4:$E$10003, 5, FALSE))</f>
        <v/>
      </c>
      <c r="F461" t="str">
        <f t="shared" si="7"/>
        <v/>
      </c>
    </row>
    <row r="462" spans="1:6">
      <c r="A462" t="str">
        <f>IFERROR(INDEX(BASE!$A$4:$A$10003, SMALL(IF(BASE!$F$4:$F$10003="CARREGADO", ROW(BASE!$A$4:$A$10003)-ROW(BASE!$A$4)+1), ROW(A461))), "")</f>
        <v/>
      </c>
      <c r="B462" t="str">
        <f>IF(A462="", "", VLOOKUP(A462, BASE!$A$4:$B$10003, 2, FALSE))</f>
        <v/>
      </c>
      <c r="C462" t="str">
        <f>IF(A462="", "", VLOOKUP(A462, BASE!$A$4:$C$10003, 3, FALSE))</f>
        <v/>
      </c>
      <c r="D462" t="str">
        <f>IF(A462="", "", VLOOKUP(A462, BASE!$A$4:$D$10003, 4, FALSE))</f>
        <v/>
      </c>
      <c r="E462" t="str">
        <f>IF(A462="", "", VLOOKUP(A462, BASE!$A$4:$E$10003, 5, FALSE))</f>
        <v/>
      </c>
      <c r="F462" t="str">
        <f t="shared" si="7"/>
        <v/>
      </c>
    </row>
    <row r="463" spans="1:6">
      <c r="A463" t="str">
        <f>IFERROR(INDEX(BASE!$A$4:$A$10003, SMALL(IF(BASE!$F$4:$F$10003="CARREGADO", ROW(BASE!$A$4:$A$10003)-ROW(BASE!$A$4)+1), ROW(A462))), "")</f>
        <v/>
      </c>
      <c r="B463" t="str">
        <f>IF(A463="", "", VLOOKUP(A463, BASE!$A$4:$B$10003, 2, FALSE))</f>
        <v/>
      </c>
      <c r="C463" t="str">
        <f>IF(A463="", "", VLOOKUP(A463, BASE!$A$4:$C$10003, 3, FALSE))</f>
        <v/>
      </c>
      <c r="D463" t="str">
        <f>IF(A463="", "", VLOOKUP(A463, BASE!$A$4:$D$10003, 4, FALSE))</f>
        <v/>
      </c>
      <c r="E463" t="str">
        <f>IF(A463="", "", VLOOKUP(A463, BASE!$A$4:$E$10003, 5, FALSE))</f>
        <v/>
      </c>
      <c r="F463" t="str">
        <f t="shared" si="7"/>
        <v/>
      </c>
    </row>
    <row r="464" spans="1:6">
      <c r="A464" t="str">
        <f>IFERROR(INDEX(BASE!$A$4:$A$10003, SMALL(IF(BASE!$F$4:$F$10003="CARREGADO", ROW(BASE!$A$4:$A$10003)-ROW(BASE!$A$4)+1), ROW(A463))), "")</f>
        <v/>
      </c>
      <c r="B464" t="str">
        <f>IF(A464="", "", VLOOKUP(A464, BASE!$A$4:$B$10003, 2, FALSE))</f>
        <v/>
      </c>
      <c r="C464" t="str">
        <f>IF(A464="", "", VLOOKUP(A464, BASE!$A$4:$C$10003, 3, FALSE))</f>
        <v/>
      </c>
      <c r="D464" t="str">
        <f>IF(A464="", "", VLOOKUP(A464, BASE!$A$4:$D$10003, 4, FALSE))</f>
        <v/>
      </c>
      <c r="E464" t="str">
        <f>IF(A464="", "", VLOOKUP(A464, BASE!$A$4:$E$10003, 5, FALSE))</f>
        <v/>
      </c>
      <c r="F464" t="str">
        <f t="shared" si="7"/>
        <v/>
      </c>
    </row>
    <row r="465" spans="1:6">
      <c r="A465" t="str">
        <f>IFERROR(INDEX(BASE!$A$4:$A$10003, SMALL(IF(BASE!$F$4:$F$10003="CARREGADO", ROW(BASE!$A$4:$A$10003)-ROW(BASE!$A$4)+1), ROW(A464))), "")</f>
        <v/>
      </c>
      <c r="B465" t="str">
        <f>IF(A465="", "", VLOOKUP(A465, BASE!$A$4:$B$10003, 2, FALSE))</f>
        <v/>
      </c>
      <c r="C465" t="str">
        <f>IF(A465="", "", VLOOKUP(A465, BASE!$A$4:$C$10003, 3, FALSE))</f>
        <v/>
      </c>
      <c r="D465" t="str">
        <f>IF(A465="", "", VLOOKUP(A465, BASE!$A$4:$D$10003, 4, FALSE))</f>
        <v/>
      </c>
      <c r="E465" t="str">
        <f>IF(A465="", "", VLOOKUP(A465, BASE!$A$4:$E$10003, 5, FALSE))</f>
        <v/>
      </c>
      <c r="F465" t="str">
        <f t="shared" si="7"/>
        <v/>
      </c>
    </row>
    <row r="466" spans="1:6">
      <c r="A466" t="str">
        <f>IFERROR(INDEX(BASE!$A$4:$A$10003, SMALL(IF(BASE!$F$4:$F$10003="CARREGADO", ROW(BASE!$A$4:$A$10003)-ROW(BASE!$A$4)+1), ROW(A465))), "")</f>
        <v/>
      </c>
      <c r="B466" t="str">
        <f>IF(A466="", "", VLOOKUP(A466, BASE!$A$4:$B$10003, 2, FALSE))</f>
        <v/>
      </c>
      <c r="C466" t="str">
        <f>IF(A466="", "", VLOOKUP(A466, BASE!$A$4:$C$10003, 3, FALSE))</f>
        <v/>
      </c>
      <c r="D466" t="str">
        <f>IF(A466="", "", VLOOKUP(A466, BASE!$A$4:$D$10003, 4, FALSE))</f>
        <v/>
      </c>
      <c r="E466" t="str">
        <f>IF(A466="", "", VLOOKUP(A466, BASE!$A$4:$E$10003, 5, FALSE))</f>
        <v/>
      </c>
      <c r="F466" t="str">
        <f t="shared" si="7"/>
        <v/>
      </c>
    </row>
    <row r="467" spans="1:6">
      <c r="A467" t="str">
        <f>IFERROR(INDEX(BASE!$A$4:$A$10003, SMALL(IF(BASE!$F$4:$F$10003="CARREGADO", ROW(BASE!$A$4:$A$10003)-ROW(BASE!$A$4)+1), ROW(A466))), "")</f>
        <v/>
      </c>
      <c r="B467" t="str">
        <f>IF(A467="", "", VLOOKUP(A467, BASE!$A$4:$B$10003, 2, FALSE))</f>
        <v/>
      </c>
      <c r="C467" t="str">
        <f>IF(A467="", "", VLOOKUP(A467, BASE!$A$4:$C$10003, 3, FALSE))</f>
        <v/>
      </c>
      <c r="D467" t="str">
        <f>IF(A467="", "", VLOOKUP(A467, BASE!$A$4:$D$10003, 4, FALSE))</f>
        <v/>
      </c>
      <c r="E467" t="str">
        <f>IF(A467="", "", VLOOKUP(A467, BASE!$A$4:$E$10003, 5, FALSE))</f>
        <v/>
      </c>
      <c r="F467" t="str">
        <f t="shared" si="7"/>
        <v/>
      </c>
    </row>
    <row r="468" spans="1:6">
      <c r="A468" t="str">
        <f>IFERROR(INDEX(BASE!$A$4:$A$10003, SMALL(IF(BASE!$F$4:$F$10003="CARREGADO", ROW(BASE!$A$4:$A$10003)-ROW(BASE!$A$4)+1), ROW(A467))), "")</f>
        <v/>
      </c>
      <c r="B468" t="str">
        <f>IF(A468="", "", VLOOKUP(A468, BASE!$A$4:$B$10003, 2, FALSE))</f>
        <v/>
      </c>
      <c r="C468" t="str">
        <f>IF(A468="", "", VLOOKUP(A468, BASE!$A$4:$C$10003, 3, FALSE))</f>
        <v/>
      </c>
      <c r="D468" t="str">
        <f>IF(A468="", "", VLOOKUP(A468, BASE!$A$4:$D$10003, 4, FALSE))</f>
        <v/>
      </c>
      <c r="E468" t="str">
        <f>IF(A468="", "", VLOOKUP(A468, BASE!$A$4:$E$10003, 5, FALSE))</f>
        <v/>
      </c>
      <c r="F468" t="str">
        <f t="shared" si="7"/>
        <v/>
      </c>
    </row>
    <row r="469" spans="1:6">
      <c r="A469" t="str">
        <f>IFERROR(INDEX(BASE!$A$4:$A$10003, SMALL(IF(BASE!$F$4:$F$10003="CARREGADO", ROW(BASE!$A$4:$A$10003)-ROW(BASE!$A$4)+1), ROW(A468))), "")</f>
        <v/>
      </c>
      <c r="B469" t="str">
        <f>IF(A469="", "", VLOOKUP(A469, BASE!$A$4:$B$10003, 2, FALSE))</f>
        <v/>
      </c>
      <c r="C469" t="str">
        <f>IF(A469="", "", VLOOKUP(A469, BASE!$A$4:$C$10003, 3, FALSE))</f>
        <v/>
      </c>
      <c r="D469" t="str">
        <f>IF(A469="", "", VLOOKUP(A469, BASE!$A$4:$D$10003, 4, FALSE))</f>
        <v/>
      </c>
      <c r="E469" t="str">
        <f>IF(A469="", "", VLOOKUP(A469, BASE!$A$4:$E$10003, 5, FALSE))</f>
        <v/>
      </c>
      <c r="F469" t="str">
        <f t="shared" si="7"/>
        <v/>
      </c>
    </row>
    <row r="470" spans="1:6">
      <c r="A470" t="str">
        <f>IFERROR(INDEX(BASE!$A$4:$A$10003, SMALL(IF(BASE!$F$4:$F$10003="CARREGADO", ROW(BASE!$A$4:$A$10003)-ROW(BASE!$A$4)+1), ROW(A469))), "")</f>
        <v/>
      </c>
      <c r="B470" t="str">
        <f>IF(A470="", "", VLOOKUP(A470, BASE!$A$4:$B$10003, 2, FALSE))</f>
        <v/>
      </c>
      <c r="C470" t="str">
        <f>IF(A470="", "", VLOOKUP(A470, BASE!$A$4:$C$10003, 3, FALSE))</f>
        <v/>
      </c>
      <c r="D470" t="str">
        <f>IF(A470="", "", VLOOKUP(A470, BASE!$A$4:$D$10003, 4, FALSE))</f>
        <v/>
      </c>
      <c r="E470" t="str">
        <f>IF(A470="", "", VLOOKUP(A470, BASE!$A$4:$E$10003, 5, FALSE))</f>
        <v/>
      </c>
      <c r="F470" t="str">
        <f t="shared" si="7"/>
        <v/>
      </c>
    </row>
    <row r="471" spans="1:6">
      <c r="A471" t="str">
        <f>IFERROR(INDEX(BASE!$A$4:$A$10003, SMALL(IF(BASE!$F$4:$F$10003="CARREGADO", ROW(BASE!$A$4:$A$10003)-ROW(BASE!$A$4)+1), ROW(A470))), "")</f>
        <v/>
      </c>
      <c r="B471" t="str">
        <f>IF(A471="", "", VLOOKUP(A471, BASE!$A$4:$B$10003, 2, FALSE))</f>
        <v/>
      </c>
      <c r="C471" t="str">
        <f>IF(A471="", "", VLOOKUP(A471, BASE!$A$4:$C$10003, 3, FALSE))</f>
        <v/>
      </c>
      <c r="D471" t="str">
        <f>IF(A471="", "", VLOOKUP(A471, BASE!$A$4:$D$10003, 4, FALSE))</f>
        <v/>
      </c>
      <c r="E471" t="str">
        <f>IF(A471="", "", VLOOKUP(A471, BASE!$A$4:$E$10003, 5, FALSE))</f>
        <v/>
      </c>
      <c r="F471" t="str">
        <f t="shared" si="7"/>
        <v/>
      </c>
    </row>
    <row r="472" spans="1:6">
      <c r="A472" t="str">
        <f>IFERROR(INDEX(BASE!$A$4:$A$10003, SMALL(IF(BASE!$F$4:$F$10003="CARREGADO", ROW(BASE!$A$4:$A$10003)-ROW(BASE!$A$4)+1), ROW(A471))), "")</f>
        <v/>
      </c>
      <c r="B472" t="str">
        <f>IF(A472="", "", VLOOKUP(A472, BASE!$A$4:$B$10003, 2, FALSE))</f>
        <v/>
      </c>
      <c r="C472" t="str">
        <f>IF(A472="", "", VLOOKUP(A472, BASE!$A$4:$C$10003, 3, FALSE))</f>
        <v/>
      </c>
      <c r="D472" t="str">
        <f>IF(A472="", "", VLOOKUP(A472, BASE!$A$4:$D$10003, 4, FALSE))</f>
        <v/>
      </c>
      <c r="E472" t="str">
        <f>IF(A472="", "", VLOOKUP(A472, BASE!$A$4:$E$10003, 5, FALSE))</f>
        <v/>
      </c>
      <c r="F472" t="str">
        <f t="shared" si="7"/>
        <v/>
      </c>
    </row>
    <row r="473" spans="1:6">
      <c r="A473" t="str">
        <f>IFERROR(INDEX(BASE!$A$4:$A$10003, SMALL(IF(BASE!$F$4:$F$10003="CARREGADO", ROW(BASE!$A$4:$A$10003)-ROW(BASE!$A$4)+1), ROW(A472))), "")</f>
        <v/>
      </c>
      <c r="B473" t="str">
        <f>IF(A473="", "", VLOOKUP(A473, BASE!$A$4:$B$10003, 2, FALSE))</f>
        <v/>
      </c>
      <c r="C473" t="str">
        <f>IF(A473="", "", VLOOKUP(A473, BASE!$A$4:$C$10003, 3, FALSE))</f>
        <v/>
      </c>
      <c r="D473" t="str">
        <f>IF(A473="", "", VLOOKUP(A473, BASE!$A$4:$D$10003, 4, FALSE))</f>
        <v/>
      </c>
      <c r="E473" t="str">
        <f>IF(A473="", "", VLOOKUP(A473, BASE!$A$4:$E$10003, 5, FALSE))</f>
        <v/>
      </c>
      <c r="F473" t="str">
        <f t="shared" si="7"/>
        <v/>
      </c>
    </row>
    <row r="474" spans="1:6">
      <c r="A474" t="str">
        <f>IFERROR(INDEX(BASE!$A$4:$A$10003, SMALL(IF(BASE!$F$4:$F$10003="CARREGADO", ROW(BASE!$A$4:$A$10003)-ROW(BASE!$A$4)+1), ROW(A473))), "")</f>
        <v/>
      </c>
      <c r="B474" t="str">
        <f>IF(A474="", "", VLOOKUP(A474, BASE!$A$4:$B$10003, 2, FALSE))</f>
        <v/>
      </c>
      <c r="C474" t="str">
        <f>IF(A474="", "", VLOOKUP(A474, BASE!$A$4:$C$10003, 3, FALSE))</f>
        <v/>
      </c>
      <c r="D474" t="str">
        <f>IF(A474="", "", VLOOKUP(A474, BASE!$A$4:$D$10003, 4, FALSE))</f>
        <v/>
      </c>
      <c r="E474" t="str">
        <f>IF(A474="", "", VLOOKUP(A474, BASE!$A$4:$E$10003, 5, FALSE))</f>
        <v/>
      </c>
      <c r="F474" t="str">
        <f t="shared" si="7"/>
        <v/>
      </c>
    </row>
    <row r="475" spans="1:6">
      <c r="A475" t="str">
        <f>IFERROR(INDEX(BASE!$A$4:$A$10003, SMALL(IF(BASE!$F$4:$F$10003="CARREGADO", ROW(BASE!$A$4:$A$10003)-ROW(BASE!$A$4)+1), ROW(A474))), "")</f>
        <v/>
      </c>
      <c r="B475" t="str">
        <f>IF(A475="", "", VLOOKUP(A475, BASE!$A$4:$B$10003, 2, FALSE))</f>
        <v/>
      </c>
      <c r="C475" t="str">
        <f>IF(A475="", "", VLOOKUP(A475, BASE!$A$4:$C$10003, 3, FALSE))</f>
        <v/>
      </c>
      <c r="D475" t="str">
        <f>IF(A475="", "", VLOOKUP(A475, BASE!$A$4:$D$10003, 4, FALSE))</f>
        <v/>
      </c>
      <c r="E475" t="str">
        <f>IF(A475="", "", VLOOKUP(A475, BASE!$A$4:$E$10003, 5, FALSE))</f>
        <v/>
      </c>
      <c r="F475" t="str">
        <f t="shared" si="7"/>
        <v/>
      </c>
    </row>
    <row r="476" spans="1:6">
      <c r="A476" t="str">
        <f>IFERROR(INDEX(BASE!$A$4:$A$10003, SMALL(IF(BASE!$F$4:$F$10003="CARREGADO", ROW(BASE!$A$4:$A$10003)-ROW(BASE!$A$4)+1), ROW(A475))), "")</f>
        <v/>
      </c>
      <c r="B476" t="str">
        <f>IF(A476="", "", VLOOKUP(A476, BASE!$A$4:$B$10003, 2, FALSE))</f>
        <v/>
      </c>
      <c r="C476" t="str">
        <f>IF(A476="", "", VLOOKUP(A476, BASE!$A$4:$C$10003, 3, FALSE))</f>
        <v/>
      </c>
      <c r="D476" t="str">
        <f>IF(A476="", "", VLOOKUP(A476, BASE!$A$4:$D$10003, 4, FALSE))</f>
        <v/>
      </c>
      <c r="E476" t="str">
        <f>IF(A476="", "", VLOOKUP(A476, BASE!$A$4:$E$10003, 5, FALSE))</f>
        <v/>
      </c>
      <c r="F476" t="str">
        <f t="shared" si="7"/>
        <v/>
      </c>
    </row>
    <row r="477" spans="1:6">
      <c r="A477" t="str">
        <f>IFERROR(INDEX(BASE!$A$4:$A$10003, SMALL(IF(BASE!$F$4:$F$10003="CARREGADO", ROW(BASE!$A$4:$A$10003)-ROW(BASE!$A$4)+1), ROW(A476))), "")</f>
        <v/>
      </c>
      <c r="B477" t="str">
        <f>IF(A477="", "", VLOOKUP(A477, BASE!$A$4:$B$10003, 2, FALSE))</f>
        <v/>
      </c>
      <c r="C477" t="str">
        <f>IF(A477="", "", VLOOKUP(A477, BASE!$A$4:$C$10003, 3, FALSE))</f>
        <v/>
      </c>
      <c r="D477" t="str">
        <f>IF(A477="", "", VLOOKUP(A477, BASE!$A$4:$D$10003, 4, FALSE))</f>
        <v/>
      </c>
      <c r="E477" t="str">
        <f>IF(A477="", "", VLOOKUP(A477, BASE!$A$4:$E$10003, 5, FALSE))</f>
        <v/>
      </c>
      <c r="F477" t="str">
        <f t="shared" si="7"/>
        <v/>
      </c>
    </row>
    <row r="478" spans="1:6">
      <c r="A478" t="str">
        <f>IFERROR(INDEX(BASE!$A$4:$A$10003, SMALL(IF(BASE!$F$4:$F$10003="CARREGADO", ROW(BASE!$A$4:$A$10003)-ROW(BASE!$A$4)+1), ROW(A477))), "")</f>
        <v/>
      </c>
      <c r="B478" t="str">
        <f>IF(A478="", "", VLOOKUP(A478, BASE!$A$4:$B$10003, 2, FALSE))</f>
        <v/>
      </c>
      <c r="C478" t="str">
        <f>IF(A478="", "", VLOOKUP(A478, BASE!$A$4:$C$10003, 3, FALSE))</f>
        <v/>
      </c>
      <c r="D478" t="str">
        <f>IF(A478="", "", VLOOKUP(A478, BASE!$A$4:$D$10003, 4, FALSE))</f>
        <v/>
      </c>
      <c r="E478" t="str">
        <f>IF(A478="", "", VLOOKUP(A478, BASE!$A$4:$E$10003, 5, FALSE))</f>
        <v/>
      </c>
      <c r="F478" t="str">
        <f t="shared" si="7"/>
        <v/>
      </c>
    </row>
    <row r="479" spans="1:6">
      <c r="A479" t="str">
        <f>IFERROR(INDEX(BASE!$A$4:$A$10003, SMALL(IF(BASE!$F$4:$F$10003="CARREGADO", ROW(BASE!$A$4:$A$10003)-ROW(BASE!$A$4)+1), ROW(A478))), "")</f>
        <v/>
      </c>
      <c r="B479" t="str">
        <f>IF(A479="", "", VLOOKUP(A479, BASE!$A$4:$B$10003, 2, FALSE))</f>
        <v/>
      </c>
      <c r="C479" t="str">
        <f>IF(A479="", "", VLOOKUP(A479, BASE!$A$4:$C$10003, 3, FALSE))</f>
        <v/>
      </c>
      <c r="D479" t="str">
        <f>IF(A479="", "", VLOOKUP(A479, BASE!$A$4:$D$10003, 4, FALSE))</f>
        <v/>
      </c>
      <c r="E479" t="str">
        <f>IF(A479="", "", VLOOKUP(A479, BASE!$A$4:$E$10003, 5, FALSE))</f>
        <v/>
      </c>
      <c r="F479" t="str">
        <f t="shared" si="7"/>
        <v/>
      </c>
    </row>
    <row r="480" spans="1:6">
      <c r="A480" t="str">
        <f>IFERROR(INDEX(BASE!$A$4:$A$10003, SMALL(IF(BASE!$F$4:$F$10003="CARREGADO", ROW(BASE!$A$4:$A$10003)-ROW(BASE!$A$4)+1), ROW(A479))), "")</f>
        <v/>
      </c>
      <c r="B480" t="str">
        <f>IF(A480="", "", VLOOKUP(A480, BASE!$A$4:$B$10003, 2, FALSE))</f>
        <v/>
      </c>
      <c r="C480" t="str">
        <f>IF(A480="", "", VLOOKUP(A480, BASE!$A$4:$C$10003, 3, FALSE))</f>
        <v/>
      </c>
      <c r="D480" t="str">
        <f>IF(A480="", "", VLOOKUP(A480, BASE!$A$4:$D$10003, 4, FALSE))</f>
        <v/>
      </c>
      <c r="E480" t="str">
        <f>IF(A480="", "", VLOOKUP(A480, BASE!$A$4:$E$10003, 5, FALSE))</f>
        <v/>
      </c>
      <c r="F480" t="str">
        <f t="shared" si="7"/>
        <v/>
      </c>
    </row>
    <row r="481" spans="1:6">
      <c r="A481" t="str">
        <f>IFERROR(INDEX(BASE!$A$4:$A$10003, SMALL(IF(BASE!$F$4:$F$10003="CARREGADO", ROW(BASE!$A$4:$A$10003)-ROW(BASE!$A$4)+1), ROW(A480))), "")</f>
        <v/>
      </c>
      <c r="B481" t="str">
        <f>IF(A481="", "", VLOOKUP(A481, BASE!$A$4:$B$10003, 2, FALSE))</f>
        <v/>
      </c>
      <c r="C481" t="str">
        <f>IF(A481="", "", VLOOKUP(A481, BASE!$A$4:$C$10003, 3, FALSE))</f>
        <v/>
      </c>
      <c r="D481" t="str">
        <f>IF(A481="", "", VLOOKUP(A481, BASE!$A$4:$D$10003, 4, FALSE))</f>
        <v/>
      </c>
      <c r="E481" t="str">
        <f>IF(A481="", "", VLOOKUP(A481, BASE!$A$4:$E$10003, 5, FALSE))</f>
        <v/>
      </c>
      <c r="F481" t="str">
        <f t="shared" si="7"/>
        <v/>
      </c>
    </row>
    <row r="482" spans="1:6">
      <c r="A482" t="str">
        <f>IFERROR(INDEX(BASE!$A$4:$A$10003, SMALL(IF(BASE!$F$4:$F$10003="CARREGADO", ROW(BASE!$A$4:$A$10003)-ROW(BASE!$A$4)+1), ROW(A481))), "")</f>
        <v/>
      </c>
      <c r="B482" t="str">
        <f>IF(A482="", "", VLOOKUP(A482, BASE!$A$4:$B$10003, 2, FALSE))</f>
        <v/>
      </c>
      <c r="C482" t="str">
        <f>IF(A482="", "", VLOOKUP(A482, BASE!$A$4:$C$10003, 3, FALSE))</f>
        <v/>
      </c>
      <c r="D482" t="str">
        <f>IF(A482="", "", VLOOKUP(A482, BASE!$A$4:$D$10003, 4, FALSE))</f>
        <v/>
      </c>
      <c r="E482" t="str">
        <f>IF(A482="", "", VLOOKUP(A482, BASE!$A$4:$E$10003, 5, FALSE))</f>
        <v/>
      </c>
      <c r="F482" t="str">
        <f t="shared" si="7"/>
        <v/>
      </c>
    </row>
    <row r="483" spans="1:6">
      <c r="A483" t="str">
        <f>IFERROR(INDEX(BASE!$A$4:$A$10003, SMALL(IF(BASE!$F$4:$F$10003="CARREGADO", ROW(BASE!$A$4:$A$10003)-ROW(BASE!$A$4)+1), ROW(A482))), "")</f>
        <v/>
      </c>
      <c r="B483" t="str">
        <f>IF(A483="", "", VLOOKUP(A483, BASE!$A$4:$B$10003, 2, FALSE))</f>
        <v/>
      </c>
      <c r="C483" t="str">
        <f>IF(A483="", "", VLOOKUP(A483, BASE!$A$4:$C$10003, 3, FALSE))</f>
        <v/>
      </c>
      <c r="D483" t="str">
        <f>IF(A483="", "", VLOOKUP(A483, BASE!$A$4:$D$10003, 4, FALSE))</f>
        <v/>
      </c>
      <c r="E483" t="str">
        <f>IF(A483="", "", VLOOKUP(A483, BASE!$A$4:$E$10003, 5, FALSE))</f>
        <v/>
      </c>
      <c r="F483" t="str">
        <f t="shared" si="7"/>
        <v/>
      </c>
    </row>
    <row r="484" spans="1:6">
      <c r="A484" t="str">
        <f>IFERROR(INDEX(BASE!$A$4:$A$10003, SMALL(IF(BASE!$F$4:$F$10003="CARREGADO", ROW(BASE!$A$4:$A$10003)-ROW(BASE!$A$4)+1), ROW(A483))), "")</f>
        <v/>
      </c>
      <c r="B484" t="str">
        <f>IF(A484="", "", VLOOKUP(A484, BASE!$A$4:$B$10003, 2, FALSE))</f>
        <v/>
      </c>
      <c r="C484" t="str">
        <f>IF(A484="", "", VLOOKUP(A484, BASE!$A$4:$C$10003, 3, FALSE))</f>
        <v/>
      </c>
      <c r="D484" t="str">
        <f>IF(A484="", "", VLOOKUP(A484, BASE!$A$4:$D$10003, 4, FALSE))</f>
        <v/>
      </c>
      <c r="E484" t="str">
        <f>IF(A484="", "", VLOOKUP(A484, BASE!$A$4:$E$10003, 5, FALSE))</f>
        <v/>
      </c>
      <c r="F484" t="str">
        <f t="shared" si="7"/>
        <v/>
      </c>
    </row>
    <row r="485" spans="1:6">
      <c r="A485" t="str">
        <f>IFERROR(INDEX(BASE!$A$4:$A$10003, SMALL(IF(BASE!$F$4:$F$10003="CARREGADO", ROW(BASE!$A$4:$A$10003)-ROW(BASE!$A$4)+1), ROW(A484))), "")</f>
        <v/>
      </c>
      <c r="B485" t="str">
        <f>IF(A485="", "", VLOOKUP(A485, BASE!$A$4:$B$10003, 2, FALSE))</f>
        <v/>
      </c>
      <c r="C485" t="str">
        <f>IF(A485="", "", VLOOKUP(A485, BASE!$A$4:$C$10003, 3, FALSE))</f>
        <v/>
      </c>
      <c r="D485" t="str">
        <f>IF(A485="", "", VLOOKUP(A485, BASE!$A$4:$D$10003, 4, FALSE))</f>
        <v/>
      </c>
      <c r="E485" t="str">
        <f>IF(A485="", "", VLOOKUP(A485, BASE!$A$4:$E$10003, 5, FALSE))</f>
        <v/>
      </c>
      <c r="F485" t="str">
        <f t="shared" si="7"/>
        <v/>
      </c>
    </row>
    <row r="486" spans="1:6">
      <c r="A486" t="str">
        <f>IFERROR(INDEX(BASE!$A$4:$A$10003, SMALL(IF(BASE!$F$4:$F$10003="CARREGADO", ROW(BASE!$A$4:$A$10003)-ROW(BASE!$A$4)+1), ROW(A485))), "")</f>
        <v/>
      </c>
      <c r="B486" t="str">
        <f>IF(A486="", "", VLOOKUP(A486, BASE!$A$4:$B$10003, 2, FALSE))</f>
        <v/>
      </c>
      <c r="C486" t="str">
        <f>IF(A486="", "", VLOOKUP(A486, BASE!$A$4:$C$10003, 3, FALSE))</f>
        <v/>
      </c>
      <c r="D486" t="str">
        <f>IF(A486="", "", VLOOKUP(A486, BASE!$A$4:$D$10003, 4, FALSE))</f>
        <v/>
      </c>
      <c r="E486" t="str">
        <f>IF(A486="", "", VLOOKUP(A486, BASE!$A$4:$E$10003, 5, FALSE))</f>
        <v/>
      </c>
      <c r="F486" t="str">
        <f t="shared" si="7"/>
        <v/>
      </c>
    </row>
    <row r="487" spans="1:6">
      <c r="A487" t="str">
        <f>IFERROR(INDEX(BASE!$A$4:$A$10003, SMALL(IF(BASE!$F$4:$F$10003="CARREGADO", ROW(BASE!$A$4:$A$10003)-ROW(BASE!$A$4)+1), ROW(A486))), "")</f>
        <v/>
      </c>
      <c r="B487" t="str">
        <f>IF(A487="", "", VLOOKUP(A487, BASE!$A$4:$B$10003, 2, FALSE))</f>
        <v/>
      </c>
      <c r="C487" t="str">
        <f>IF(A487="", "", VLOOKUP(A487, BASE!$A$4:$C$10003, 3, FALSE))</f>
        <v/>
      </c>
      <c r="D487" t="str">
        <f>IF(A487="", "", VLOOKUP(A487, BASE!$A$4:$D$10003, 4, FALSE))</f>
        <v/>
      </c>
      <c r="E487" t="str">
        <f>IF(A487="", "", VLOOKUP(A487, BASE!$A$4:$E$10003, 5, FALSE))</f>
        <v/>
      </c>
      <c r="F487" t="str">
        <f t="shared" si="7"/>
        <v/>
      </c>
    </row>
    <row r="488" spans="1:6">
      <c r="A488" t="str">
        <f>IFERROR(INDEX(BASE!$A$4:$A$10003, SMALL(IF(BASE!$F$4:$F$10003="CARREGADO", ROW(BASE!$A$4:$A$10003)-ROW(BASE!$A$4)+1), ROW(A487))), "")</f>
        <v/>
      </c>
      <c r="B488" t="str">
        <f>IF(A488="", "", VLOOKUP(A488, BASE!$A$4:$B$10003, 2, FALSE))</f>
        <v/>
      </c>
      <c r="C488" t="str">
        <f>IF(A488="", "", VLOOKUP(A488, BASE!$A$4:$C$10003, 3, FALSE))</f>
        <v/>
      </c>
      <c r="D488" t="str">
        <f>IF(A488="", "", VLOOKUP(A488, BASE!$A$4:$D$10003, 4, FALSE))</f>
        <v/>
      </c>
      <c r="E488" t="str">
        <f>IF(A488="", "", VLOOKUP(A488, BASE!$A$4:$E$10003, 5, FALSE))</f>
        <v/>
      </c>
      <c r="F488" t="str">
        <f t="shared" si="7"/>
        <v/>
      </c>
    </row>
    <row r="489" spans="1:6">
      <c r="A489" t="str">
        <f>IFERROR(INDEX(BASE!$A$4:$A$10003, SMALL(IF(BASE!$F$4:$F$10003="CARREGADO", ROW(BASE!$A$4:$A$10003)-ROW(BASE!$A$4)+1), ROW(A488))), "")</f>
        <v/>
      </c>
      <c r="B489" t="str">
        <f>IF(A489="", "", VLOOKUP(A489, BASE!$A$4:$B$10003, 2, FALSE))</f>
        <v/>
      </c>
      <c r="C489" t="str">
        <f>IF(A489="", "", VLOOKUP(A489, BASE!$A$4:$C$10003, 3, FALSE))</f>
        <v/>
      </c>
      <c r="D489" t="str">
        <f>IF(A489="", "", VLOOKUP(A489, BASE!$A$4:$D$10003, 4, FALSE))</f>
        <v/>
      </c>
      <c r="E489" t="str">
        <f>IF(A489="", "", VLOOKUP(A489, BASE!$A$4:$E$10003, 5, FALSE))</f>
        <v/>
      </c>
      <c r="F489" t="str">
        <f t="shared" si="7"/>
        <v/>
      </c>
    </row>
    <row r="490" spans="1:6">
      <c r="A490" t="str">
        <f>IFERROR(INDEX(BASE!$A$4:$A$10003, SMALL(IF(BASE!$F$4:$F$10003="CARREGADO", ROW(BASE!$A$4:$A$10003)-ROW(BASE!$A$4)+1), ROW(A489))), "")</f>
        <v/>
      </c>
      <c r="B490" t="str">
        <f>IF(A490="", "", VLOOKUP(A490, BASE!$A$4:$B$10003, 2, FALSE))</f>
        <v/>
      </c>
      <c r="C490" t="str">
        <f>IF(A490="", "", VLOOKUP(A490, BASE!$A$4:$C$10003, 3, FALSE))</f>
        <v/>
      </c>
      <c r="D490" t="str">
        <f>IF(A490="", "", VLOOKUP(A490, BASE!$A$4:$D$10003, 4, FALSE))</f>
        <v/>
      </c>
      <c r="E490" t="str">
        <f>IF(A490="", "", VLOOKUP(A490, BASE!$A$4:$E$10003, 5, FALSE))</f>
        <v/>
      </c>
      <c r="F490" t="str">
        <f t="shared" si="7"/>
        <v/>
      </c>
    </row>
    <row r="491" spans="1:6">
      <c r="A491" t="str">
        <f>IFERROR(INDEX(BASE!$A$4:$A$10003, SMALL(IF(BASE!$F$4:$F$10003="CARREGADO", ROW(BASE!$A$4:$A$10003)-ROW(BASE!$A$4)+1), ROW(A490))), "")</f>
        <v/>
      </c>
      <c r="B491" t="str">
        <f>IF(A491="", "", VLOOKUP(A491, BASE!$A$4:$B$10003, 2, FALSE))</f>
        <v/>
      </c>
      <c r="C491" t="str">
        <f>IF(A491="", "", VLOOKUP(A491, BASE!$A$4:$C$10003, 3, FALSE))</f>
        <v/>
      </c>
      <c r="D491" t="str">
        <f>IF(A491="", "", VLOOKUP(A491, BASE!$A$4:$D$10003, 4, FALSE))</f>
        <v/>
      </c>
      <c r="E491" t="str">
        <f>IF(A491="", "", VLOOKUP(A491, BASE!$A$4:$E$10003, 5, FALSE))</f>
        <v/>
      </c>
      <c r="F491" t="str">
        <f t="shared" si="7"/>
        <v/>
      </c>
    </row>
    <row r="492" spans="1:6">
      <c r="A492" t="str">
        <f>IFERROR(INDEX(BASE!$A$4:$A$10003, SMALL(IF(BASE!$F$4:$F$10003="CARREGADO", ROW(BASE!$A$4:$A$10003)-ROW(BASE!$A$4)+1), ROW(A491))), "")</f>
        <v/>
      </c>
      <c r="B492" t="str">
        <f>IF(A492="", "", VLOOKUP(A492, BASE!$A$4:$B$10003, 2, FALSE))</f>
        <v/>
      </c>
      <c r="C492" t="str">
        <f>IF(A492="", "", VLOOKUP(A492, BASE!$A$4:$C$10003, 3, FALSE))</f>
        <v/>
      </c>
      <c r="D492" t="str">
        <f>IF(A492="", "", VLOOKUP(A492, BASE!$A$4:$D$10003, 4, FALSE))</f>
        <v/>
      </c>
      <c r="E492" t="str">
        <f>IF(A492="", "", VLOOKUP(A492, BASE!$A$4:$E$10003, 5, FALSE))</f>
        <v/>
      </c>
      <c r="F492" t="str">
        <f t="shared" si="7"/>
        <v/>
      </c>
    </row>
    <row r="493" spans="1:6">
      <c r="A493" t="str">
        <f>IFERROR(INDEX(BASE!$A$4:$A$10003, SMALL(IF(BASE!$F$4:$F$10003="CARREGADO", ROW(BASE!$A$4:$A$10003)-ROW(BASE!$A$4)+1), ROW(A492))), "")</f>
        <v/>
      </c>
      <c r="B493" t="str">
        <f>IF(A493="", "", VLOOKUP(A493, BASE!$A$4:$B$10003, 2, FALSE))</f>
        <v/>
      </c>
      <c r="C493" t="str">
        <f>IF(A493="", "", VLOOKUP(A493, BASE!$A$4:$C$10003, 3, FALSE))</f>
        <v/>
      </c>
      <c r="D493" t="str">
        <f>IF(A493="", "", VLOOKUP(A493, BASE!$A$4:$D$10003, 4, FALSE))</f>
        <v/>
      </c>
      <c r="E493" t="str">
        <f>IF(A493="", "", VLOOKUP(A493, BASE!$A$4:$E$10003, 5, FALSE))</f>
        <v/>
      </c>
      <c r="F493" t="str">
        <f t="shared" si="7"/>
        <v/>
      </c>
    </row>
    <row r="494" spans="1:6">
      <c r="A494" t="str">
        <f>IFERROR(INDEX(BASE!$A$4:$A$10003, SMALL(IF(BASE!$F$4:$F$10003="CARREGADO", ROW(BASE!$A$4:$A$10003)-ROW(BASE!$A$4)+1), ROW(A493))), "")</f>
        <v/>
      </c>
      <c r="B494" t="str">
        <f>IF(A494="", "", VLOOKUP(A494, BASE!$A$4:$B$10003, 2, FALSE))</f>
        <v/>
      </c>
      <c r="C494" t="str">
        <f>IF(A494="", "", VLOOKUP(A494, BASE!$A$4:$C$10003, 3, FALSE))</f>
        <v/>
      </c>
      <c r="D494" t="str">
        <f>IF(A494="", "", VLOOKUP(A494, BASE!$A$4:$D$10003, 4, FALSE))</f>
        <v/>
      </c>
      <c r="E494" t="str">
        <f>IF(A494="", "", VLOOKUP(A494, BASE!$A$4:$E$10003, 5, FALSE))</f>
        <v/>
      </c>
      <c r="F494" t="str">
        <f t="shared" si="7"/>
        <v/>
      </c>
    </row>
    <row r="495" spans="1:6">
      <c r="A495" t="str">
        <f>IFERROR(INDEX(BASE!$A$4:$A$10003, SMALL(IF(BASE!$F$4:$F$10003="CARREGADO", ROW(BASE!$A$4:$A$10003)-ROW(BASE!$A$4)+1), ROW(A494))), "")</f>
        <v/>
      </c>
      <c r="B495" t="str">
        <f>IF(A495="", "", VLOOKUP(A495, BASE!$A$4:$B$10003, 2, FALSE))</f>
        <v/>
      </c>
      <c r="C495" t="str">
        <f>IF(A495="", "", VLOOKUP(A495, BASE!$A$4:$C$10003, 3, FALSE))</f>
        <v/>
      </c>
      <c r="D495" t="str">
        <f>IF(A495="", "", VLOOKUP(A495, BASE!$A$4:$D$10003, 4, FALSE))</f>
        <v/>
      </c>
      <c r="E495" t="str">
        <f>IF(A495="", "", VLOOKUP(A495, BASE!$A$4:$E$10003, 5, FALSE))</f>
        <v/>
      </c>
      <c r="F495" t="str">
        <f t="shared" si="7"/>
        <v/>
      </c>
    </row>
    <row r="496" spans="1:6">
      <c r="A496" t="str">
        <f>IFERROR(INDEX(BASE!$A$4:$A$10003, SMALL(IF(BASE!$F$4:$F$10003="CARREGADO", ROW(BASE!$A$4:$A$10003)-ROW(BASE!$A$4)+1), ROW(A495))), "")</f>
        <v/>
      </c>
      <c r="B496" t="str">
        <f>IF(A496="", "", VLOOKUP(A496, BASE!$A$4:$B$10003, 2, FALSE))</f>
        <v/>
      </c>
      <c r="C496" t="str">
        <f>IF(A496="", "", VLOOKUP(A496, BASE!$A$4:$C$10003, 3, FALSE))</f>
        <v/>
      </c>
      <c r="D496" t="str">
        <f>IF(A496="", "", VLOOKUP(A496, BASE!$A$4:$D$10003, 4, FALSE))</f>
        <v/>
      </c>
      <c r="E496" t="str">
        <f>IF(A496="", "", VLOOKUP(A496, BASE!$A$4:$E$10003, 5, FALSE))</f>
        <v/>
      </c>
      <c r="F496" t="str">
        <f t="shared" si="7"/>
        <v/>
      </c>
    </row>
    <row r="497" spans="1:6">
      <c r="A497" t="str">
        <f>IFERROR(INDEX(BASE!$A$4:$A$10003, SMALL(IF(BASE!$F$4:$F$10003="CARREGADO", ROW(BASE!$A$4:$A$10003)-ROW(BASE!$A$4)+1), ROW(A496))), "")</f>
        <v/>
      </c>
      <c r="B497" t="str">
        <f>IF(A497="", "", VLOOKUP(A497, BASE!$A$4:$B$10003, 2, FALSE))</f>
        <v/>
      </c>
      <c r="C497" t="str">
        <f>IF(A497="", "", VLOOKUP(A497, BASE!$A$4:$C$10003, 3, FALSE))</f>
        <v/>
      </c>
      <c r="D497" t="str">
        <f>IF(A497="", "", VLOOKUP(A497, BASE!$A$4:$D$10003, 4, FALSE))</f>
        <v/>
      </c>
      <c r="E497" t="str">
        <f>IF(A497="", "", VLOOKUP(A497, BASE!$A$4:$E$10003, 5, FALSE))</f>
        <v/>
      </c>
      <c r="F497" t="str">
        <f t="shared" si="7"/>
        <v/>
      </c>
    </row>
    <row r="498" spans="1:6">
      <c r="A498" t="str">
        <f>IFERROR(INDEX(BASE!$A$4:$A$10003, SMALL(IF(BASE!$F$4:$F$10003="CARREGADO", ROW(BASE!$A$4:$A$10003)-ROW(BASE!$A$4)+1), ROW(A497))), "")</f>
        <v/>
      </c>
      <c r="B498" t="str">
        <f>IF(A498="", "", VLOOKUP(A498, BASE!$A$4:$B$10003, 2, FALSE))</f>
        <v/>
      </c>
      <c r="C498" t="str">
        <f>IF(A498="", "", VLOOKUP(A498, BASE!$A$4:$C$10003, 3, FALSE))</f>
        <v/>
      </c>
      <c r="D498" t="str">
        <f>IF(A498="", "", VLOOKUP(A498, BASE!$A$4:$D$10003, 4, FALSE))</f>
        <v/>
      </c>
      <c r="E498" t="str">
        <f>IF(A498="", "", VLOOKUP(A498, BASE!$A$4:$E$10003, 5, FALSE))</f>
        <v/>
      </c>
      <c r="F498" t="str">
        <f t="shared" si="7"/>
        <v/>
      </c>
    </row>
    <row r="499" spans="1:6">
      <c r="A499" t="str">
        <f>IFERROR(INDEX(BASE!$A$4:$A$10003, SMALL(IF(BASE!$F$4:$F$10003="CARREGADO", ROW(BASE!$A$4:$A$10003)-ROW(BASE!$A$4)+1), ROW(A498))), "")</f>
        <v/>
      </c>
      <c r="B499" t="str">
        <f>IF(A499="", "", VLOOKUP(A499, BASE!$A$4:$B$10003, 2, FALSE))</f>
        <v/>
      </c>
      <c r="C499" t="str">
        <f>IF(A499="", "", VLOOKUP(A499, BASE!$A$4:$C$10003, 3, FALSE))</f>
        <v/>
      </c>
      <c r="D499" t="str">
        <f>IF(A499="", "", VLOOKUP(A499, BASE!$A$4:$D$10003, 4, FALSE))</f>
        <v/>
      </c>
      <c r="E499" t="str">
        <f>IF(A499="", "", VLOOKUP(A499, BASE!$A$4:$E$10003, 5, FALSE))</f>
        <v/>
      </c>
      <c r="F499" t="str">
        <f t="shared" si="7"/>
        <v/>
      </c>
    </row>
    <row r="500" spans="1:6">
      <c r="A500" t="str">
        <f>IFERROR(INDEX(BASE!$A$4:$A$10003, SMALL(IF(BASE!$F$4:$F$10003="CARREGADO", ROW(BASE!$A$4:$A$10003)-ROW(BASE!$A$4)+1), ROW(A499))), "")</f>
        <v/>
      </c>
      <c r="B500" t="str">
        <f>IF(A500="", "", VLOOKUP(A500, BASE!$A$4:$B$10003, 2, FALSE))</f>
        <v/>
      </c>
      <c r="C500" t="str">
        <f>IF(A500="", "", VLOOKUP(A500, BASE!$A$4:$C$10003, 3, FALSE))</f>
        <v/>
      </c>
      <c r="D500" t="str">
        <f>IF(A500="", "", VLOOKUP(A500, BASE!$A$4:$D$10003, 4, FALSE))</f>
        <v/>
      </c>
      <c r="E500" t="str">
        <f>IF(A500="", "", VLOOKUP(A500, BASE!$A$4:$E$10003, 5, FALSE))</f>
        <v/>
      </c>
      <c r="F500" t="str">
        <f t="shared" si="7"/>
        <v/>
      </c>
    </row>
    <row r="501" spans="1:6">
      <c r="A501" t="str">
        <f>IFERROR(INDEX(BASE!$A$4:$A$10003, SMALL(IF(BASE!$F$4:$F$10003="CARREGADO", ROW(BASE!$A$4:$A$10003)-ROW(BASE!$A$4)+1), ROW(A500))), "")</f>
        <v/>
      </c>
      <c r="B501" t="str">
        <f>IF(A501="", "", VLOOKUP(A501, BASE!$A$4:$B$10003, 2, FALSE))</f>
        <v/>
      </c>
      <c r="C501" t="str">
        <f>IF(A501="", "", VLOOKUP(A501, BASE!$A$4:$C$10003, 3, FALSE))</f>
        <v/>
      </c>
      <c r="D501" t="str">
        <f>IF(A501="", "", VLOOKUP(A501, BASE!$A$4:$D$10003, 4, FALSE))</f>
        <v/>
      </c>
      <c r="E501" t="str">
        <f>IF(A501="", "", VLOOKUP(A501, BASE!$A$4:$E$10003, 5, FALSE))</f>
        <v/>
      </c>
      <c r="F501" t="str">
        <f t="shared" si="7"/>
        <v/>
      </c>
    </row>
    <row r="502" spans="1:6">
      <c r="A502" t="str">
        <f>IFERROR(INDEX(BASE!$A$4:$A$10003, SMALL(IF(BASE!$F$4:$F$10003="CARREGADO", ROW(BASE!$A$4:$A$10003)-ROW(BASE!$A$4)+1), ROW(A501))), "")</f>
        <v/>
      </c>
      <c r="B502" t="str">
        <f>IF(A502="", "", VLOOKUP(A502, BASE!$A$4:$B$10003, 2, FALSE))</f>
        <v/>
      </c>
      <c r="C502" t="str">
        <f>IF(A502="", "", VLOOKUP(A502, BASE!$A$4:$C$10003, 3, FALSE))</f>
        <v/>
      </c>
      <c r="D502" t="str">
        <f>IF(A502="", "", VLOOKUP(A502, BASE!$A$4:$D$10003, 4, FALSE))</f>
        <v/>
      </c>
      <c r="E502" t="str">
        <f>IF(A502="", "", VLOOKUP(A502, BASE!$A$4:$E$10003, 5, FALSE))</f>
        <v/>
      </c>
      <c r="F502" t="str">
        <f t="shared" si="7"/>
        <v/>
      </c>
    </row>
    <row r="503" spans="1:6">
      <c r="A503" t="str">
        <f>IFERROR(INDEX(BASE!$A$4:$A$10003, SMALL(IF(BASE!$F$4:$F$10003="CARREGADO", ROW(BASE!$A$4:$A$10003)-ROW(BASE!$A$4)+1), ROW(A502))), "")</f>
        <v/>
      </c>
      <c r="B503" t="str">
        <f>IF(A503="", "", VLOOKUP(A503, BASE!$A$4:$B$10003, 2, FALSE))</f>
        <v/>
      </c>
      <c r="C503" t="str">
        <f>IF(A503="", "", VLOOKUP(A503, BASE!$A$4:$C$10003, 3, FALSE))</f>
        <v/>
      </c>
      <c r="D503" t="str">
        <f>IF(A503="", "", VLOOKUP(A503, BASE!$A$4:$D$10003, 4, FALSE))</f>
        <v/>
      </c>
      <c r="E503" t="str">
        <f>IF(A503="", "", VLOOKUP(A503, BASE!$A$4:$E$10003, 5, FALSE))</f>
        <v/>
      </c>
      <c r="F503" t="str">
        <f t="shared" si="7"/>
        <v/>
      </c>
    </row>
    <row r="504" spans="1:6">
      <c r="A504" t="str">
        <f>IFERROR(INDEX(BASE!$A$4:$A$10003, SMALL(IF(BASE!$F$4:$F$10003="CARREGADO", ROW(BASE!$A$4:$A$10003)-ROW(BASE!$A$4)+1), ROW(A503))), "")</f>
        <v/>
      </c>
      <c r="B504" t="str">
        <f>IF(A504="", "", VLOOKUP(A504, BASE!$A$4:$B$10003, 2, FALSE))</f>
        <v/>
      </c>
      <c r="C504" t="str">
        <f>IF(A504="", "", VLOOKUP(A504, BASE!$A$4:$C$10003, 3, FALSE))</f>
        <v/>
      </c>
      <c r="D504" t="str">
        <f>IF(A504="", "", VLOOKUP(A504, BASE!$A$4:$D$10003, 4, FALSE))</f>
        <v/>
      </c>
      <c r="E504" t="str">
        <f>IF(A504="", "", VLOOKUP(A504, BASE!$A$4:$E$10003, 5, FALSE))</f>
        <v/>
      </c>
      <c r="F504" t="str">
        <f t="shared" si="7"/>
        <v/>
      </c>
    </row>
    <row r="505" spans="1:6">
      <c r="A505" t="str">
        <f>IFERROR(INDEX(BASE!$A$4:$A$10003, SMALL(IF(BASE!$F$4:$F$10003="CARREGADO", ROW(BASE!$A$4:$A$10003)-ROW(BASE!$A$4)+1), ROW(A504))), "")</f>
        <v/>
      </c>
      <c r="B505" t="str">
        <f>IF(A505="", "", VLOOKUP(A505, BASE!$A$4:$B$10003, 2, FALSE))</f>
        <v/>
      </c>
      <c r="C505" t="str">
        <f>IF(A505="", "", VLOOKUP(A505, BASE!$A$4:$C$10003, 3, FALSE))</f>
        <v/>
      </c>
      <c r="D505" t="str">
        <f>IF(A505="", "", VLOOKUP(A505, BASE!$A$4:$D$10003, 4, FALSE))</f>
        <v/>
      </c>
      <c r="E505" t="str">
        <f>IF(A505="", "", VLOOKUP(A505, BASE!$A$4:$E$10003, 5, FALSE))</f>
        <v/>
      </c>
      <c r="F505" t="str">
        <f t="shared" si="7"/>
        <v/>
      </c>
    </row>
    <row r="506" spans="1:6">
      <c r="A506" t="str">
        <f>IFERROR(INDEX(BASE!$A$4:$A$10003, SMALL(IF(BASE!$F$4:$F$10003="CARREGADO", ROW(BASE!$A$4:$A$10003)-ROW(BASE!$A$4)+1), ROW(A505))), "")</f>
        <v/>
      </c>
      <c r="B506" t="str">
        <f>IF(A506="", "", VLOOKUP(A506, BASE!$A$4:$B$10003, 2, FALSE))</f>
        <v/>
      </c>
      <c r="C506" t="str">
        <f>IF(A506="", "", VLOOKUP(A506, BASE!$A$4:$C$10003, 3, FALSE))</f>
        <v/>
      </c>
      <c r="D506" t="str">
        <f>IF(A506="", "", VLOOKUP(A506, BASE!$A$4:$D$10003, 4, FALSE))</f>
        <v/>
      </c>
      <c r="E506" t="str">
        <f>IF(A506="", "", VLOOKUP(A506, BASE!$A$4:$E$10003, 5, FALSE))</f>
        <v/>
      </c>
      <c r="F506" t="str">
        <f t="shared" si="7"/>
        <v/>
      </c>
    </row>
    <row r="507" spans="1:6">
      <c r="A507" t="str">
        <f>IFERROR(INDEX(BASE!$A$4:$A$10003, SMALL(IF(BASE!$F$4:$F$10003="CARREGADO", ROW(BASE!$A$4:$A$10003)-ROW(BASE!$A$4)+1), ROW(A506))), "")</f>
        <v/>
      </c>
      <c r="B507" t="str">
        <f>IF(A507="", "", VLOOKUP(A507, BASE!$A$4:$B$10003, 2, FALSE))</f>
        <v/>
      </c>
      <c r="C507" t="str">
        <f>IF(A507="", "", VLOOKUP(A507, BASE!$A$4:$C$10003, 3, FALSE))</f>
        <v/>
      </c>
      <c r="D507" t="str">
        <f>IF(A507="", "", VLOOKUP(A507, BASE!$A$4:$D$10003, 4, FALSE))</f>
        <v/>
      </c>
      <c r="E507" t="str">
        <f>IF(A507="", "", VLOOKUP(A507, BASE!$A$4:$E$10003, 5, FALSE))</f>
        <v/>
      </c>
      <c r="F507" t="str">
        <f t="shared" si="7"/>
        <v/>
      </c>
    </row>
    <row r="508" spans="1:6">
      <c r="A508" t="str">
        <f>IFERROR(INDEX(BASE!$A$4:$A$10003, SMALL(IF(BASE!$F$4:$F$10003="CARREGADO", ROW(BASE!$A$4:$A$10003)-ROW(BASE!$A$4)+1), ROW(A507))), "")</f>
        <v/>
      </c>
      <c r="B508" t="str">
        <f>IF(A508="", "", VLOOKUP(A508, BASE!$A$4:$B$10003, 2, FALSE))</f>
        <v/>
      </c>
      <c r="C508" t="str">
        <f>IF(A508="", "", VLOOKUP(A508, BASE!$A$4:$C$10003, 3, FALSE))</f>
        <v/>
      </c>
      <c r="D508" t="str">
        <f>IF(A508="", "", VLOOKUP(A508, BASE!$A$4:$D$10003, 4, FALSE))</f>
        <v/>
      </c>
      <c r="E508" t="str">
        <f>IF(A508="", "", VLOOKUP(A508, BASE!$A$4:$E$10003, 5, FALSE))</f>
        <v/>
      </c>
      <c r="F508" t="str">
        <f t="shared" si="7"/>
        <v/>
      </c>
    </row>
    <row r="509" spans="1:6">
      <c r="A509" t="str">
        <f>IFERROR(INDEX(BASE!$A$4:$A$10003, SMALL(IF(BASE!$F$4:$F$10003="CARREGADO", ROW(BASE!$A$4:$A$10003)-ROW(BASE!$A$4)+1), ROW(A508))), "")</f>
        <v/>
      </c>
      <c r="B509" t="str">
        <f>IF(A509="", "", VLOOKUP(A509, BASE!$A$4:$B$10003, 2, FALSE))</f>
        <v/>
      </c>
      <c r="C509" t="str">
        <f>IF(A509="", "", VLOOKUP(A509, BASE!$A$4:$C$10003, 3, FALSE))</f>
        <v/>
      </c>
      <c r="D509" t="str">
        <f>IF(A509="", "", VLOOKUP(A509, BASE!$A$4:$D$10003, 4, FALSE))</f>
        <v/>
      </c>
      <c r="E509" t="str">
        <f>IF(A509="", "", VLOOKUP(A509, BASE!$A$4:$E$10003, 5, FALSE))</f>
        <v/>
      </c>
      <c r="F509" t="str">
        <f t="shared" si="7"/>
        <v/>
      </c>
    </row>
    <row r="510" spans="1:6">
      <c r="A510" t="str">
        <f>IFERROR(INDEX(BASE!$A$4:$A$10003, SMALL(IF(BASE!$F$4:$F$10003="CARREGADO", ROW(BASE!$A$4:$A$10003)-ROW(BASE!$A$4)+1), ROW(A509))), "")</f>
        <v/>
      </c>
      <c r="B510" t="str">
        <f>IF(A510="", "", VLOOKUP(A510, BASE!$A$4:$B$10003, 2, FALSE))</f>
        <v/>
      </c>
      <c r="C510" t="str">
        <f>IF(A510="", "", VLOOKUP(A510, BASE!$A$4:$C$10003, 3, FALSE))</f>
        <v/>
      </c>
      <c r="D510" t="str">
        <f>IF(A510="", "", VLOOKUP(A510, BASE!$A$4:$D$10003, 4, FALSE))</f>
        <v/>
      </c>
      <c r="E510" t="str">
        <f>IF(A510="", "", VLOOKUP(A510, BASE!$A$4:$E$10003, 5, FALSE))</f>
        <v/>
      </c>
      <c r="F510" t="str">
        <f t="shared" si="7"/>
        <v/>
      </c>
    </row>
    <row r="511" spans="1:6">
      <c r="A511" t="str">
        <f>IFERROR(INDEX(BASE!$A$4:$A$10003, SMALL(IF(BASE!$F$4:$F$10003="CARREGADO", ROW(BASE!$A$4:$A$10003)-ROW(BASE!$A$4)+1), ROW(A510))), "")</f>
        <v/>
      </c>
      <c r="B511" t="str">
        <f>IF(A511="", "", VLOOKUP(A511, BASE!$A$4:$B$10003, 2, FALSE))</f>
        <v/>
      </c>
      <c r="C511" t="str">
        <f>IF(A511="", "", VLOOKUP(A511, BASE!$A$4:$C$10003, 3, FALSE))</f>
        <v/>
      </c>
      <c r="D511" t="str">
        <f>IF(A511="", "", VLOOKUP(A511, BASE!$A$4:$D$10003, 4, FALSE))</f>
        <v/>
      </c>
      <c r="E511" t="str">
        <f>IF(A511="", "", VLOOKUP(A511, BASE!$A$4:$E$10003, 5, FALSE))</f>
        <v/>
      </c>
      <c r="F511" t="str">
        <f t="shared" si="7"/>
        <v/>
      </c>
    </row>
    <row r="512" spans="1:6">
      <c r="A512" t="str">
        <f>IFERROR(INDEX(BASE!$A$4:$A$10003, SMALL(IF(BASE!$F$4:$F$10003="CARREGADO", ROW(BASE!$A$4:$A$10003)-ROW(BASE!$A$4)+1), ROW(A511))), "")</f>
        <v/>
      </c>
      <c r="B512" t="str">
        <f>IF(A512="", "", VLOOKUP(A512, BASE!$A$4:$B$10003, 2, FALSE))</f>
        <v/>
      </c>
      <c r="C512" t="str">
        <f>IF(A512="", "", VLOOKUP(A512, BASE!$A$4:$C$10003, 3, FALSE))</f>
        <v/>
      </c>
      <c r="D512" t="str">
        <f>IF(A512="", "", VLOOKUP(A512, BASE!$A$4:$D$10003, 4, FALSE))</f>
        <v/>
      </c>
      <c r="E512" t="str">
        <f>IF(A512="", "", VLOOKUP(A512, BASE!$A$4:$E$10003, 5, FALSE))</f>
        <v/>
      </c>
      <c r="F512" t="str">
        <f t="shared" si="7"/>
        <v/>
      </c>
    </row>
    <row r="513" spans="1:6">
      <c r="A513" t="str">
        <f>IFERROR(INDEX(BASE!$A$4:$A$10003, SMALL(IF(BASE!$F$4:$F$10003="CARREGADO", ROW(BASE!$A$4:$A$10003)-ROW(BASE!$A$4)+1), ROW(A512))), "")</f>
        <v/>
      </c>
      <c r="B513" t="str">
        <f>IF(A513="", "", VLOOKUP(A513, BASE!$A$4:$B$10003, 2, FALSE))</f>
        <v/>
      </c>
      <c r="C513" t="str">
        <f>IF(A513="", "", VLOOKUP(A513, BASE!$A$4:$C$10003, 3, FALSE))</f>
        <v/>
      </c>
      <c r="D513" t="str">
        <f>IF(A513="", "", VLOOKUP(A513, BASE!$A$4:$D$10003, 4, FALSE))</f>
        <v/>
      </c>
      <c r="E513" t="str">
        <f>IF(A513="", "", VLOOKUP(A513, BASE!$A$4:$E$10003, 5, FALSE))</f>
        <v/>
      </c>
      <c r="F513" t="str">
        <f t="shared" si="7"/>
        <v/>
      </c>
    </row>
    <row r="514" spans="1:6">
      <c r="A514" t="str">
        <f>IFERROR(INDEX(BASE!$A$4:$A$10003, SMALL(IF(BASE!$F$4:$F$10003="CARREGADO", ROW(BASE!$A$4:$A$10003)-ROW(BASE!$A$4)+1), ROW(A513))), "")</f>
        <v/>
      </c>
      <c r="B514" t="str">
        <f>IF(A514="", "", VLOOKUP(A514, BASE!$A$4:$B$10003, 2, FALSE))</f>
        <v/>
      </c>
      <c r="C514" t="str">
        <f>IF(A514="", "", VLOOKUP(A514, BASE!$A$4:$C$10003, 3, FALSE))</f>
        <v/>
      </c>
      <c r="D514" t="str">
        <f>IF(A514="", "", VLOOKUP(A514, BASE!$A$4:$D$10003, 4, FALSE))</f>
        <v/>
      </c>
      <c r="E514" t="str">
        <f>IF(A514="", "", VLOOKUP(A514, BASE!$A$4:$E$10003, 5, FALSE))</f>
        <v/>
      </c>
      <c r="F514" t="str">
        <f t="shared" ref="F514:F577" si="8">IF(A514="", "", "CARREGADO")</f>
        <v/>
      </c>
    </row>
    <row r="515" spans="1:6">
      <c r="A515" t="str">
        <f>IFERROR(INDEX(BASE!$A$4:$A$10003, SMALL(IF(BASE!$F$4:$F$10003="CARREGADO", ROW(BASE!$A$4:$A$10003)-ROW(BASE!$A$4)+1), ROW(A514))), "")</f>
        <v/>
      </c>
      <c r="B515" t="str">
        <f>IF(A515="", "", VLOOKUP(A515, BASE!$A$4:$B$10003, 2, FALSE))</f>
        <v/>
      </c>
      <c r="C515" t="str">
        <f>IF(A515="", "", VLOOKUP(A515, BASE!$A$4:$C$10003, 3, FALSE))</f>
        <v/>
      </c>
      <c r="D515" t="str">
        <f>IF(A515="", "", VLOOKUP(A515, BASE!$A$4:$D$10003, 4, FALSE))</f>
        <v/>
      </c>
      <c r="E515" t="str">
        <f>IF(A515="", "", VLOOKUP(A515, BASE!$A$4:$E$10003, 5, FALSE))</f>
        <v/>
      </c>
      <c r="F515" t="str">
        <f t="shared" si="8"/>
        <v/>
      </c>
    </row>
    <row r="516" spans="1:6">
      <c r="A516" t="str">
        <f>IFERROR(INDEX(BASE!$A$4:$A$10003, SMALL(IF(BASE!$F$4:$F$10003="CARREGADO", ROW(BASE!$A$4:$A$10003)-ROW(BASE!$A$4)+1), ROW(A515))), "")</f>
        <v/>
      </c>
      <c r="B516" t="str">
        <f>IF(A516="", "", VLOOKUP(A516, BASE!$A$4:$B$10003, 2, FALSE))</f>
        <v/>
      </c>
      <c r="C516" t="str">
        <f>IF(A516="", "", VLOOKUP(A516, BASE!$A$4:$C$10003, 3, FALSE))</f>
        <v/>
      </c>
      <c r="D516" t="str">
        <f>IF(A516="", "", VLOOKUP(A516, BASE!$A$4:$D$10003, 4, FALSE))</f>
        <v/>
      </c>
      <c r="E516" t="str">
        <f>IF(A516="", "", VLOOKUP(A516, BASE!$A$4:$E$10003, 5, FALSE))</f>
        <v/>
      </c>
      <c r="F516" t="str">
        <f t="shared" si="8"/>
        <v/>
      </c>
    </row>
    <row r="517" spans="1:6">
      <c r="A517" t="str">
        <f>IFERROR(INDEX(BASE!$A$4:$A$10003, SMALL(IF(BASE!$F$4:$F$10003="CARREGADO", ROW(BASE!$A$4:$A$10003)-ROW(BASE!$A$4)+1), ROW(A516))), "")</f>
        <v/>
      </c>
      <c r="B517" t="str">
        <f>IF(A517="", "", VLOOKUP(A517, BASE!$A$4:$B$10003, 2, FALSE))</f>
        <v/>
      </c>
      <c r="C517" t="str">
        <f>IF(A517="", "", VLOOKUP(A517, BASE!$A$4:$C$10003, 3, FALSE))</f>
        <v/>
      </c>
      <c r="D517" t="str">
        <f>IF(A517="", "", VLOOKUP(A517, BASE!$A$4:$D$10003, 4, FALSE))</f>
        <v/>
      </c>
      <c r="E517" t="str">
        <f>IF(A517="", "", VLOOKUP(A517, BASE!$A$4:$E$10003, 5, FALSE))</f>
        <v/>
      </c>
      <c r="F517" t="str">
        <f t="shared" si="8"/>
        <v/>
      </c>
    </row>
    <row r="518" spans="1:6">
      <c r="A518" t="str">
        <f>IFERROR(INDEX(BASE!$A$4:$A$10003, SMALL(IF(BASE!$F$4:$F$10003="CARREGADO", ROW(BASE!$A$4:$A$10003)-ROW(BASE!$A$4)+1), ROW(A517))), "")</f>
        <v/>
      </c>
      <c r="B518" t="str">
        <f>IF(A518="", "", VLOOKUP(A518, BASE!$A$4:$B$10003, 2, FALSE))</f>
        <v/>
      </c>
      <c r="C518" t="str">
        <f>IF(A518="", "", VLOOKUP(A518, BASE!$A$4:$C$10003, 3, FALSE))</f>
        <v/>
      </c>
      <c r="D518" t="str">
        <f>IF(A518="", "", VLOOKUP(A518, BASE!$A$4:$D$10003, 4, FALSE))</f>
        <v/>
      </c>
      <c r="E518" t="str">
        <f>IF(A518="", "", VLOOKUP(A518, BASE!$A$4:$E$10003, 5, FALSE))</f>
        <v/>
      </c>
      <c r="F518" t="str">
        <f t="shared" si="8"/>
        <v/>
      </c>
    </row>
    <row r="519" spans="1:6">
      <c r="A519" t="str">
        <f>IFERROR(INDEX(BASE!$A$4:$A$10003, SMALL(IF(BASE!$F$4:$F$10003="CARREGADO", ROW(BASE!$A$4:$A$10003)-ROW(BASE!$A$4)+1), ROW(A518))), "")</f>
        <v/>
      </c>
      <c r="B519" t="str">
        <f>IF(A519="", "", VLOOKUP(A519, BASE!$A$4:$B$10003, 2, FALSE))</f>
        <v/>
      </c>
      <c r="C519" t="str">
        <f>IF(A519="", "", VLOOKUP(A519, BASE!$A$4:$C$10003, 3, FALSE))</f>
        <v/>
      </c>
      <c r="D519" t="str">
        <f>IF(A519="", "", VLOOKUP(A519, BASE!$A$4:$D$10003, 4, FALSE))</f>
        <v/>
      </c>
      <c r="E519" t="str">
        <f>IF(A519="", "", VLOOKUP(A519, BASE!$A$4:$E$10003, 5, FALSE))</f>
        <v/>
      </c>
      <c r="F519" t="str">
        <f t="shared" si="8"/>
        <v/>
      </c>
    </row>
    <row r="520" spans="1:6">
      <c r="A520" t="str">
        <f>IFERROR(INDEX(BASE!$A$4:$A$10003, SMALL(IF(BASE!$F$4:$F$10003="CARREGADO", ROW(BASE!$A$4:$A$10003)-ROW(BASE!$A$4)+1), ROW(A519))), "")</f>
        <v/>
      </c>
      <c r="B520" t="str">
        <f>IF(A520="", "", VLOOKUP(A520, BASE!$A$4:$B$10003, 2, FALSE))</f>
        <v/>
      </c>
      <c r="C520" t="str">
        <f>IF(A520="", "", VLOOKUP(A520, BASE!$A$4:$C$10003, 3, FALSE))</f>
        <v/>
      </c>
      <c r="D520" t="str">
        <f>IF(A520="", "", VLOOKUP(A520, BASE!$A$4:$D$10003, 4, FALSE))</f>
        <v/>
      </c>
      <c r="E520" t="str">
        <f>IF(A520="", "", VLOOKUP(A520, BASE!$A$4:$E$10003, 5, FALSE))</f>
        <v/>
      </c>
      <c r="F520" t="str">
        <f t="shared" si="8"/>
        <v/>
      </c>
    </row>
    <row r="521" spans="1:6">
      <c r="A521" t="str">
        <f>IFERROR(INDEX(BASE!$A$4:$A$10003, SMALL(IF(BASE!$F$4:$F$10003="CARREGADO", ROW(BASE!$A$4:$A$10003)-ROW(BASE!$A$4)+1), ROW(A520))), "")</f>
        <v/>
      </c>
      <c r="B521" t="str">
        <f>IF(A521="", "", VLOOKUP(A521, BASE!$A$4:$B$10003, 2, FALSE))</f>
        <v/>
      </c>
      <c r="C521" t="str">
        <f>IF(A521="", "", VLOOKUP(A521, BASE!$A$4:$C$10003, 3, FALSE))</f>
        <v/>
      </c>
      <c r="D521" t="str">
        <f>IF(A521="", "", VLOOKUP(A521, BASE!$A$4:$D$10003, 4, FALSE))</f>
        <v/>
      </c>
      <c r="E521" t="str">
        <f>IF(A521="", "", VLOOKUP(A521, BASE!$A$4:$E$10003, 5, FALSE))</f>
        <v/>
      </c>
      <c r="F521" t="str">
        <f t="shared" si="8"/>
        <v/>
      </c>
    </row>
    <row r="522" spans="1:6">
      <c r="A522" t="str">
        <f>IFERROR(INDEX(BASE!$A$4:$A$10003, SMALL(IF(BASE!$F$4:$F$10003="CARREGADO", ROW(BASE!$A$4:$A$10003)-ROW(BASE!$A$4)+1), ROW(A521))), "")</f>
        <v/>
      </c>
      <c r="B522" t="str">
        <f>IF(A522="", "", VLOOKUP(A522, BASE!$A$4:$B$10003, 2, FALSE))</f>
        <v/>
      </c>
      <c r="C522" t="str">
        <f>IF(A522="", "", VLOOKUP(A522, BASE!$A$4:$C$10003, 3, FALSE))</f>
        <v/>
      </c>
      <c r="D522" t="str">
        <f>IF(A522="", "", VLOOKUP(A522, BASE!$A$4:$D$10003, 4, FALSE))</f>
        <v/>
      </c>
      <c r="E522" t="str">
        <f>IF(A522="", "", VLOOKUP(A522, BASE!$A$4:$E$10003, 5, FALSE))</f>
        <v/>
      </c>
      <c r="F522" t="str">
        <f t="shared" si="8"/>
        <v/>
      </c>
    </row>
    <row r="523" spans="1:6">
      <c r="A523" t="str">
        <f>IFERROR(INDEX(BASE!$A$4:$A$10003, SMALL(IF(BASE!$F$4:$F$10003="CARREGADO", ROW(BASE!$A$4:$A$10003)-ROW(BASE!$A$4)+1), ROW(A522))), "")</f>
        <v/>
      </c>
      <c r="B523" t="str">
        <f>IF(A523="", "", VLOOKUP(A523, BASE!$A$4:$B$10003, 2, FALSE))</f>
        <v/>
      </c>
      <c r="C523" t="str">
        <f>IF(A523="", "", VLOOKUP(A523, BASE!$A$4:$C$10003, 3, FALSE))</f>
        <v/>
      </c>
      <c r="D523" t="str">
        <f>IF(A523="", "", VLOOKUP(A523, BASE!$A$4:$D$10003, 4, FALSE))</f>
        <v/>
      </c>
      <c r="E523" t="str">
        <f>IF(A523="", "", VLOOKUP(A523, BASE!$A$4:$E$10003, 5, FALSE))</f>
        <v/>
      </c>
      <c r="F523" t="str">
        <f t="shared" si="8"/>
        <v/>
      </c>
    </row>
    <row r="524" spans="1:6">
      <c r="A524" t="str">
        <f>IFERROR(INDEX(BASE!$A$4:$A$10003, SMALL(IF(BASE!$F$4:$F$10003="CARREGADO", ROW(BASE!$A$4:$A$10003)-ROW(BASE!$A$4)+1), ROW(A523))), "")</f>
        <v/>
      </c>
      <c r="B524" t="str">
        <f>IF(A524="", "", VLOOKUP(A524, BASE!$A$4:$B$10003, 2, FALSE))</f>
        <v/>
      </c>
      <c r="C524" t="str">
        <f>IF(A524="", "", VLOOKUP(A524, BASE!$A$4:$C$10003, 3, FALSE))</f>
        <v/>
      </c>
      <c r="D524" t="str">
        <f>IF(A524="", "", VLOOKUP(A524, BASE!$A$4:$D$10003, 4, FALSE))</f>
        <v/>
      </c>
      <c r="E524" t="str">
        <f>IF(A524="", "", VLOOKUP(A524, BASE!$A$4:$E$10003, 5, FALSE))</f>
        <v/>
      </c>
      <c r="F524" t="str">
        <f t="shared" si="8"/>
        <v/>
      </c>
    </row>
    <row r="525" spans="1:6">
      <c r="A525" t="str">
        <f>IFERROR(INDEX(BASE!$A$4:$A$10003, SMALL(IF(BASE!$F$4:$F$10003="CARREGADO", ROW(BASE!$A$4:$A$10003)-ROW(BASE!$A$4)+1), ROW(A524))), "")</f>
        <v/>
      </c>
      <c r="B525" t="str">
        <f>IF(A525="", "", VLOOKUP(A525, BASE!$A$4:$B$10003, 2, FALSE))</f>
        <v/>
      </c>
      <c r="C525" t="str">
        <f>IF(A525="", "", VLOOKUP(A525, BASE!$A$4:$C$10003, 3, FALSE))</f>
        <v/>
      </c>
      <c r="D525" t="str">
        <f>IF(A525="", "", VLOOKUP(A525, BASE!$A$4:$D$10003, 4, FALSE))</f>
        <v/>
      </c>
      <c r="E525" t="str">
        <f>IF(A525="", "", VLOOKUP(A525, BASE!$A$4:$E$10003, 5, FALSE))</f>
        <v/>
      </c>
      <c r="F525" t="str">
        <f t="shared" si="8"/>
        <v/>
      </c>
    </row>
    <row r="526" spans="1:6">
      <c r="A526" t="str">
        <f>IFERROR(INDEX(BASE!$A$4:$A$10003, SMALL(IF(BASE!$F$4:$F$10003="CARREGADO", ROW(BASE!$A$4:$A$10003)-ROW(BASE!$A$4)+1), ROW(A525))), "")</f>
        <v/>
      </c>
      <c r="B526" t="str">
        <f>IF(A526="", "", VLOOKUP(A526, BASE!$A$4:$B$10003, 2, FALSE))</f>
        <v/>
      </c>
      <c r="C526" t="str">
        <f>IF(A526="", "", VLOOKUP(A526, BASE!$A$4:$C$10003, 3, FALSE))</f>
        <v/>
      </c>
      <c r="D526" t="str">
        <f>IF(A526="", "", VLOOKUP(A526, BASE!$A$4:$D$10003, 4, FALSE))</f>
        <v/>
      </c>
      <c r="E526" t="str">
        <f>IF(A526="", "", VLOOKUP(A526, BASE!$A$4:$E$10003, 5, FALSE))</f>
        <v/>
      </c>
      <c r="F526" t="str">
        <f t="shared" si="8"/>
        <v/>
      </c>
    </row>
    <row r="527" spans="1:6">
      <c r="A527" t="str">
        <f>IFERROR(INDEX(BASE!$A$4:$A$10003, SMALL(IF(BASE!$F$4:$F$10003="CARREGADO", ROW(BASE!$A$4:$A$10003)-ROW(BASE!$A$4)+1), ROW(A526))), "")</f>
        <v/>
      </c>
      <c r="B527" t="str">
        <f>IF(A527="", "", VLOOKUP(A527, BASE!$A$4:$B$10003, 2, FALSE))</f>
        <v/>
      </c>
      <c r="C527" t="str">
        <f>IF(A527="", "", VLOOKUP(A527, BASE!$A$4:$C$10003, 3, FALSE))</f>
        <v/>
      </c>
      <c r="D527" t="str">
        <f>IF(A527="", "", VLOOKUP(A527, BASE!$A$4:$D$10003, 4, FALSE))</f>
        <v/>
      </c>
      <c r="E527" t="str">
        <f>IF(A527="", "", VLOOKUP(A527, BASE!$A$4:$E$10003, 5, FALSE))</f>
        <v/>
      </c>
      <c r="F527" t="str">
        <f t="shared" si="8"/>
        <v/>
      </c>
    </row>
    <row r="528" spans="1:6">
      <c r="A528" t="str">
        <f>IFERROR(INDEX(BASE!$A$4:$A$10003, SMALL(IF(BASE!$F$4:$F$10003="CARREGADO", ROW(BASE!$A$4:$A$10003)-ROW(BASE!$A$4)+1), ROW(A527))), "")</f>
        <v/>
      </c>
      <c r="B528" t="str">
        <f>IF(A528="", "", VLOOKUP(A528, BASE!$A$4:$B$10003, 2, FALSE))</f>
        <v/>
      </c>
      <c r="C528" t="str">
        <f>IF(A528="", "", VLOOKUP(A528, BASE!$A$4:$C$10003, 3, FALSE))</f>
        <v/>
      </c>
      <c r="D528" t="str">
        <f>IF(A528="", "", VLOOKUP(A528, BASE!$A$4:$D$10003, 4, FALSE))</f>
        <v/>
      </c>
      <c r="E528" t="str">
        <f>IF(A528="", "", VLOOKUP(A528, BASE!$A$4:$E$10003, 5, FALSE))</f>
        <v/>
      </c>
      <c r="F528" t="str">
        <f t="shared" si="8"/>
        <v/>
      </c>
    </row>
    <row r="529" spans="1:6">
      <c r="A529" t="str">
        <f>IFERROR(INDEX(BASE!$A$4:$A$10003, SMALL(IF(BASE!$F$4:$F$10003="CARREGADO", ROW(BASE!$A$4:$A$10003)-ROW(BASE!$A$4)+1), ROW(A528))), "")</f>
        <v/>
      </c>
      <c r="B529" t="str">
        <f>IF(A529="", "", VLOOKUP(A529, BASE!$A$4:$B$10003, 2, FALSE))</f>
        <v/>
      </c>
      <c r="C529" t="str">
        <f>IF(A529="", "", VLOOKUP(A529, BASE!$A$4:$C$10003, 3, FALSE))</f>
        <v/>
      </c>
      <c r="D529" t="str">
        <f>IF(A529="", "", VLOOKUP(A529, BASE!$A$4:$D$10003, 4, FALSE))</f>
        <v/>
      </c>
      <c r="E529" t="str">
        <f>IF(A529="", "", VLOOKUP(A529, BASE!$A$4:$E$10003, 5, FALSE))</f>
        <v/>
      </c>
      <c r="F529" t="str">
        <f t="shared" si="8"/>
        <v/>
      </c>
    </row>
    <row r="530" spans="1:6">
      <c r="A530" t="str">
        <f>IFERROR(INDEX(BASE!$A$4:$A$10003, SMALL(IF(BASE!$F$4:$F$10003="CARREGADO", ROW(BASE!$A$4:$A$10003)-ROW(BASE!$A$4)+1), ROW(A529))), "")</f>
        <v/>
      </c>
      <c r="B530" t="str">
        <f>IF(A530="", "", VLOOKUP(A530, BASE!$A$4:$B$10003, 2, FALSE))</f>
        <v/>
      </c>
      <c r="C530" t="str">
        <f>IF(A530="", "", VLOOKUP(A530, BASE!$A$4:$C$10003, 3, FALSE))</f>
        <v/>
      </c>
      <c r="D530" t="str">
        <f>IF(A530="", "", VLOOKUP(A530, BASE!$A$4:$D$10003, 4, FALSE))</f>
        <v/>
      </c>
      <c r="E530" t="str">
        <f>IF(A530="", "", VLOOKUP(A530, BASE!$A$4:$E$10003, 5, FALSE))</f>
        <v/>
      </c>
      <c r="F530" t="str">
        <f t="shared" si="8"/>
        <v/>
      </c>
    </row>
    <row r="531" spans="1:6">
      <c r="A531" t="str">
        <f>IFERROR(INDEX(BASE!$A$4:$A$10003, SMALL(IF(BASE!$F$4:$F$10003="CARREGADO", ROW(BASE!$A$4:$A$10003)-ROW(BASE!$A$4)+1), ROW(A530))), "")</f>
        <v/>
      </c>
      <c r="B531" t="str">
        <f>IF(A531="", "", VLOOKUP(A531, BASE!$A$4:$B$10003, 2, FALSE))</f>
        <v/>
      </c>
      <c r="C531" t="str">
        <f>IF(A531="", "", VLOOKUP(A531, BASE!$A$4:$C$10003, 3, FALSE))</f>
        <v/>
      </c>
      <c r="D531" t="str">
        <f>IF(A531="", "", VLOOKUP(A531, BASE!$A$4:$D$10003, 4, FALSE))</f>
        <v/>
      </c>
      <c r="E531" t="str">
        <f>IF(A531="", "", VLOOKUP(A531, BASE!$A$4:$E$10003, 5, FALSE))</f>
        <v/>
      </c>
      <c r="F531" t="str">
        <f t="shared" si="8"/>
        <v/>
      </c>
    </row>
    <row r="532" spans="1:6">
      <c r="A532" t="str">
        <f>IFERROR(INDEX(BASE!$A$4:$A$10003, SMALL(IF(BASE!$F$4:$F$10003="CARREGADO", ROW(BASE!$A$4:$A$10003)-ROW(BASE!$A$4)+1), ROW(A531))), "")</f>
        <v/>
      </c>
      <c r="B532" t="str">
        <f>IF(A532="", "", VLOOKUP(A532, BASE!$A$4:$B$10003, 2, FALSE))</f>
        <v/>
      </c>
      <c r="C532" t="str">
        <f>IF(A532="", "", VLOOKUP(A532, BASE!$A$4:$C$10003, 3, FALSE))</f>
        <v/>
      </c>
      <c r="D532" t="str">
        <f>IF(A532="", "", VLOOKUP(A532, BASE!$A$4:$D$10003, 4, FALSE))</f>
        <v/>
      </c>
      <c r="E532" t="str">
        <f>IF(A532="", "", VLOOKUP(A532, BASE!$A$4:$E$10003, 5, FALSE))</f>
        <v/>
      </c>
      <c r="F532" t="str">
        <f t="shared" si="8"/>
        <v/>
      </c>
    </row>
    <row r="533" spans="1:6">
      <c r="A533" t="str">
        <f>IFERROR(INDEX(BASE!$A$4:$A$10003, SMALL(IF(BASE!$F$4:$F$10003="CARREGADO", ROW(BASE!$A$4:$A$10003)-ROW(BASE!$A$4)+1), ROW(A532))), "")</f>
        <v/>
      </c>
      <c r="B533" t="str">
        <f>IF(A533="", "", VLOOKUP(A533, BASE!$A$4:$B$10003, 2, FALSE))</f>
        <v/>
      </c>
      <c r="C533" t="str">
        <f>IF(A533="", "", VLOOKUP(A533, BASE!$A$4:$C$10003, 3, FALSE))</f>
        <v/>
      </c>
      <c r="D533" t="str">
        <f>IF(A533="", "", VLOOKUP(A533, BASE!$A$4:$D$10003, 4, FALSE))</f>
        <v/>
      </c>
      <c r="E533" t="str">
        <f>IF(A533="", "", VLOOKUP(A533, BASE!$A$4:$E$10003, 5, FALSE))</f>
        <v/>
      </c>
      <c r="F533" t="str">
        <f t="shared" si="8"/>
        <v/>
      </c>
    </row>
    <row r="534" spans="1:6">
      <c r="A534" t="str">
        <f>IFERROR(INDEX(BASE!$A$4:$A$10003, SMALL(IF(BASE!$F$4:$F$10003="CARREGADO", ROW(BASE!$A$4:$A$10003)-ROW(BASE!$A$4)+1), ROW(A533))), "")</f>
        <v/>
      </c>
      <c r="B534" t="str">
        <f>IF(A534="", "", VLOOKUP(A534, BASE!$A$4:$B$10003, 2, FALSE))</f>
        <v/>
      </c>
      <c r="C534" t="str">
        <f>IF(A534="", "", VLOOKUP(A534, BASE!$A$4:$C$10003, 3, FALSE))</f>
        <v/>
      </c>
      <c r="D534" t="str">
        <f>IF(A534="", "", VLOOKUP(A534, BASE!$A$4:$D$10003, 4, FALSE))</f>
        <v/>
      </c>
      <c r="E534" t="str">
        <f>IF(A534="", "", VLOOKUP(A534, BASE!$A$4:$E$10003, 5, FALSE))</f>
        <v/>
      </c>
      <c r="F534" t="str">
        <f t="shared" si="8"/>
        <v/>
      </c>
    </row>
    <row r="535" spans="1:6">
      <c r="A535" t="str">
        <f>IFERROR(INDEX(BASE!$A$4:$A$10003, SMALL(IF(BASE!$F$4:$F$10003="CARREGADO", ROW(BASE!$A$4:$A$10003)-ROW(BASE!$A$4)+1), ROW(A534))), "")</f>
        <v/>
      </c>
      <c r="B535" t="str">
        <f>IF(A535="", "", VLOOKUP(A535, BASE!$A$4:$B$10003, 2, FALSE))</f>
        <v/>
      </c>
      <c r="C535" t="str">
        <f>IF(A535="", "", VLOOKUP(A535, BASE!$A$4:$C$10003, 3, FALSE))</f>
        <v/>
      </c>
      <c r="D535" t="str">
        <f>IF(A535="", "", VLOOKUP(A535, BASE!$A$4:$D$10003, 4, FALSE))</f>
        <v/>
      </c>
      <c r="E535" t="str">
        <f>IF(A535="", "", VLOOKUP(A535, BASE!$A$4:$E$10003, 5, FALSE))</f>
        <v/>
      </c>
      <c r="F535" t="str">
        <f t="shared" si="8"/>
        <v/>
      </c>
    </row>
    <row r="536" spans="1:6">
      <c r="A536" t="str">
        <f>IFERROR(INDEX(BASE!$A$4:$A$10003, SMALL(IF(BASE!$F$4:$F$10003="CARREGADO", ROW(BASE!$A$4:$A$10003)-ROW(BASE!$A$4)+1), ROW(A535))), "")</f>
        <v/>
      </c>
      <c r="B536" t="str">
        <f>IF(A536="", "", VLOOKUP(A536, BASE!$A$4:$B$10003, 2, FALSE))</f>
        <v/>
      </c>
      <c r="C536" t="str">
        <f>IF(A536="", "", VLOOKUP(A536, BASE!$A$4:$C$10003, 3, FALSE))</f>
        <v/>
      </c>
      <c r="D536" t="str">
        <f>IF(A536="", "", VLOOKUP(A536, BASE!$A$4:$D$10003, 4, FALSE))</f>
        <v/>
      </c>
      <c r="E536" t="str">
        <f>IF(A536="", "", VLOOKUP(A536, BASE!$A$4:$E$10003, 5, FALSE))</f>
        <v/>
      </c>
      <c r="F536" t="str">
        <f t="shared" si="8"/>
        <v/>
      </c>
    </row>
    <row r="537" spans="1:6">
      <c r="A537" t="str">
        <f>IFERROR(INDEX(BASE!$A$4:$A$10003, SMALL(IF(BASE!$F$4:$F$10003="CARREGADO", ROW(BASE!$A$4:$A$10003)-ROW(BASE!$A$4)+1), ROW(A536))), "")</f>
        <v/>
      </c>
      <c r="B537" t="str">
        <f>IF(A537="", "", VLOOKUP(A537, BASE!$A$4:$B$10003, 2, FALSE))</f>
        <v/>
      </c>
      <c r="C537" t="str">
        <f>IF(A537="", "", VLOOKUP(A537, BASE!$A$4:$C$10003, 3, FALSE))</f>
        <v/>
      </c>
      <c r="D537" t="str">
        <f>IF(A537="", "", VLOOKUP(A537, BASE!$A$4:$D$10003, 4, FALSE))</f>
        <v/>
      </c>
      <c r="E537" t="str">
        <f>IF(A537="", "", VLOOKUP(A537, BASE!$A$4:$E$10003, 5, FALSE))</f>
        <v/>
      </c>
      <c r="F537" t="str">
        <f t="shared" si="8"/>
        <v/>
      </c>
    </row>
    <row r="538" spans="1:6">
      <c r="A538" t="str">
        <f>IFERROR(INDEX(BASE!$A$4:$A$10003, SMALL(IF(BASE!$F$4:$F$10003="CARREGADO", ROW(BASE!$A$4:$A$10003)-ROW(BASE!$A$4)+1), ROW(A537))), "")</f>
        <v/>
      </c>
      <c r="B538" t="str">
        <f>IF(A538="", "", VLOOKUP(A538, BASE!$A$4:$B$10003, 2, FALSE))</f>
        <v/>
      </c>
      <c r="C538" t="str">
        <f>IF(A538="", "", VLOOKUP(A538, BASE!$A$4:$C$10003, 3, FALSE))</f>
        <v/>
      </c>
      <c r="D538" t="str">
        <f>IF(A538="", "", VLOOKUP(A538, BASE!$A$4:$D$10003, 4, FALSE))</f>
        <v/>
      </c>
      <c r="E538" t="str">
        <f>IF(A538="", "", VLOOKUP(A538, BASE!$A$4:$E$10003, 5, FALSE))</f>
        <v/>
      </c>
      <c r="F538" t="str">
        <f t="shared" si="8"/>
        <v/>
      </c>
    </row>
    <row r="539" spans="1:6">
      <c r="A539" t="str">
        <f>IFERROR(INDEX(BASE!$A$4:$A$10003, SMALL(IF(BASE!$F$4:$F$10003="CARREGADO", ROW(BASE!$A$4:$A$10003)-ROW(BASE!$A$4)+1), ROW(A538))), "")</f>
        <v/>
      </c>
      <c r="B539" t="str">
        <f>IF(A539="", "", VLOOKUP(A539, BASE!$A$4:$B$10003, 2, FALSE))</f>
        <v/>
      </c>
      <c r="C539" t="str">
        <f>IF(A539="", "", VLOOKUP(A539, BASE!$A$4:$C$10003, 3, FALSE))</f>
        <v/>
      </c>
      <c r="D539" t="str">
        <f>IF(A539="", "", VLOOKUP(A539, BASE!$A$4:$D$10003, 4, FALSE))</f>
        <v/>
      </c>
      <c r="E539" t="str">
        <f>IF(A539="", "", VLOOKUP(A539, BASE!$A$4:$E$10003, 5, FALSE))</f>
        <v/>
      </c>
      <c r="F539" t="str">
        <f t="shared" si="8"/>
        <v/>
      </c>
    </row>
    <row r="540" spans="1:6">
      <c r="A540" t="str">
        <f>IFERROR(INDEX(BASE!$A$4:$A$10003, SMALL(IF(BASE!$F$4:$F$10003="CARREGADO", ROW(BASE!$A$4:$A$10003)-ROW(BASE!$A$4)+1), ROW(A539))), "")</f>
        <v/>
      </c>
      <c r="B540" t="str">
        <f>IF(A540="", "", VLOOKUP(A540, BASE!$A$4:$B$10003, 2, FALSE))</f>
        <v/>
      </c>
      <c r="C540" t="str">
        <f>IF(A540="", "", VLOOKUP(A540, BASE!$A$4:$C$10003, 3, FALSE))</f>
        <v/>
      </c>
      <c r="D540" t="str">
        <f>IF(A540="", "", VLOOKUP(A540, BASE!$A$4:$D$10003, 4, FALSE))</f>
        <v/>
      </c>
      <c r="E540" t="str">
        <f>IF(A540="", "", VLOOKUP(A540, BASE!$A$4:$E$10003, 5, FALSE))</f>
        <v/>
      </c>
      <c r="F540" t="str">
        <f t="shared" si="8"/>
        <v/>
      </c>
    </row>
    <row r="541" spans="1:6">
      <c r="A541" t="str">
        <f>IFERROR(INDEX(BASE!$A$4:$A$10003, SMALL(IF(BASE!$F$4:$F$10003="CARREGADO", ROW(BASE!$A$4:$A$10003)-ROW(BASE!$A$4)+1), ROW(A540))), "")</f>
        <v/>
      </c>
      <c r="B541" t="str">
        <f>IF(A541="", "", VLOOKUP(A541, BASE!$A$4:$B$10003, 2, FALSE))</f>
        <v/>
      </c>
      <c r="C541" t="str">
        <f>IF(A541="", "", VLOOKUP(A541, BASE!$A$4:$C$10003, 3, FALSE))</f>
        <v/>
      </c>
      <c r="D541" t="str">
        <f>IF(A541="", "", VLOOKUP(A541, BASE!$A$4:$D$10003, 4, FALSE))</f>
        <v/>
      </c>
      <c r="E541" t="str">
        <f>IF(A541="", "", VLOOKUP(A541, BASE!$A$4:$E$10003, 5, FALSE))</f>
        <v/>
      </c>
      <c r="F541" t="str">
        <f t="shared" si="8"/>
        <v/>
      </c>
    </row>
    <row r="542" spans="1:6">
      <c r="A542" t="str">
        <f>IFERROR(INDEX(BASE!$A$4:$A$10003, SMALL(IF(BASE!$F$4:$F$10003="CARREGADO", ROW(BASE!$A$4:$A$10003)-ROW(BASE!$A$4)+1), ROW(A541))), "")</f>
        <v/>
      </c>
      <c r="B542" t="str">
        <f>IF(A542="", "", VLOOKUP(A542, BASE!$A$4:$B$10003, 2, FALSE))</f>
        <v/>
      </c>
      <c r="C542" t="str">
        <f>IF(A542="", "", VLOOKUP(A542, BASE!$A$4:$C$10003, 3, FALSE))</f>
        <v/>
      </c>
      <c r="D542" t="str">
        <f>IF(A542="", "", VLOOKUP(A542, BASE!$A$4:$D$10003, 4, FALSE))</f>
        <v/>
      </c>
      <c r="E542" t="str">
        <f>IF(A542="", "", VLOOKUP(A542, BASE!$A$4:$E$10003, 5, FALSE))</f>
        <v/>
      </c>
      <c r="F542" t="str">
        <f t="shared" si="8"/>
        <v/>
      </c>
    </row>
    <row r="543" spans="1:6">
      <c r="A543" t="str">
        <f>IFERROR(INDEX(BASE!$A$4:$A$10003, SMALL(IF(BASE!$F$4:$F$10003="CARREGADO", ROW(BASE!$A$4:$A$10003)-ROW(BASE!$A$4)+1), ROW(A542))), "")</f>
        <v/>
      </c>
      <c r="B543" t="str">
        <f>IF(A543="", "", VLOOKUP(A543, BASE!$A$4:$B$10003, 2, FALSE))</f>
        <v/>
      </c>
      <c r="C543" t="str">
        <f>IF(A543="", "", VLOOKUP(A543, BASE!$A$4:$C$10003, 3, FALSE))</f>
        <v/>
      </c>
      <c r="D543" t="str">
        <f>IF(A543="", "", VLOOKUP(A543, BASE!$A$4:$D$10003, 4, FALSE))</f>
        <v/>
      </c>
      <c r="E543" t="str">
        <f>IF(A543="", "", VLOOKUP(A543, BASE!$A$4:$E$10003, 5, FALSE))</f>
        <v/>
      </c>
      <c r="F543" t="str">
        <f t="shared" si="8"/>
        <v/>
      </c>
    </row>
    <row r="544" spans="1:6">
      <c r="A544" t="str">
        <f>IFERROR(INDEX(BASE!$A$4:$A$10003, SMALL(IF(BASE!$F$4:$F$10003="CARREGADO", ROW(BASE!$A$4:$A$10003)-ROW(BASE!$A$4)+1), ROW(A543))), "")</f>
        <v/>
      </c>
      <c r="B544" t="str">
        <f>IF(A544="", "", VLOOKUP(A544, BASE!$A$4:$B$10003, 2, FALSE))</f>
        <v/>
      </c>
      <c r="C544" t="str">
        <f>IF(A544="", "", VLOOKUP(A544, BASE!$A$4:$C$10003, 3, FALSE))</f>
        <v/>
      </c>
      <c r="D544" t="str">
        <f>IF(A544="", "", VLOOKUP(A544, BASE!$A$4:$D$10003, 4, FALSE))</f>
        <v/>
      </c>
      <c r="E544" t="str">
        <f>IF(A544="", "", VLOOKUP(A544, BASE!$A$4:$E$10003, 5, FALSE))</f>
        <v/>
      </c>
      <c r="F544" t="str">
        <f t="shared" si="8"/>
        <v/>
      </c>
    </row>
    <row r="545" spans="1:6">
      <c r="A545" t="str">
        <f>IFERROR(INDEX(BASE!$A$4:$A$10003, SMALL(IF(BASE!$F$4:$F$10003="CARREGADO", ROW(BASE!$A$4:$A$10003)-ROW(BASE!$A$4)+1), ROW(A544))), "")</f>
        <v/>
      </c>
      <c r="B545" t="str">
        <f>IF(A545="", "", VLOOKUP(A545, BASE!$A$4:$B$10003, 2, FALSE))</f>
        <v/>
      </c>
      <c r="C545" t="str">
        <f>IF(A545="", "", VLOOKUP(A545, BASE!$A$4:$C$10003, 3, FALSE))</f>
        <v/>
      </c>
      <c r="D545" t="str">
        <f>IF(A545="", "", VLOOKUP(A545, BASE!$A$4:$D$10003, 4, FALSE))</f>
        <v/>
      </c>
      <c r="E545" t="str">
        <f>IF(A545="", "", VLOOKUP(A545, BASE!$A$4:$E$10003, 5, FALSE))</f>
        <v/>
      </c>
      <c r="F545" t="str">
        <f t="shared" si="8"/>
        <v/>
      </c>
    </row>
    <row r="546" spans="1:6">
      <c r="A546" t="str">
        <f>IFERROR(INDEX(BASE!$A$4:$A$10003, SMALL(IF(BASE!$F$4:$F$10003="CARREGADO", ROW(BASE!$A$4:$A$10003)-ROW(BASE!$A$4)+1), ROW(A545))), "")</f>
        <v/>
      </c>
      <c r="B546" t="str">
        <f>IF(A546="", "", VLOOKUP(A546, BASE!$A$4:$B$10003, 2, FALSE))</f>
        <v/>
      </c>
      <c r="C546" t="str">
        <f>IF(A546="", "", VLOOKUP(A546, BASE!$A$4:$C$10003, 3, FALSE))</f>
        <v/>
      </c>
      <c r="D546" t="str">
        <f>IF(A546="", "", VLOOKUP(A546, BASE!$A$4:$D$10003, 4, FALSE))</f>
        <v/>
      </c>
      <c r="E546" t="str">
        <f>IF(A546="", "", VLOOKUP(A546, BASE!$A$4:$E$10003, 5, FALSE))</f>
        <v/>
      </c>
      <c r="F546" t="str">
        <f t="shared" si="8"/>
        <v/>
      </c>
    </row>
    <row r="547" spans="1:6">
      <c r="A547" t="str">
        <f>IFERROR(INDEX(BASE!$A$4:$A$10003, SMALL(IF(BASE!$F$4:$F$10003="CARREGADO", ROW(BASE!$A$4:$A$10003)-ROW(BASE!$A$4)+1), ROW(A546))), "")</f>
        <v/>
      </c>
      <c r="B547" t="str">
        <f>IF(A547="", "", VLOOKUP(A547, BASE!$A$4:$B$10003, 2, FALSE))</f>
        <v/>
      </c>
      <c r="C547" t="str">
        <f>IF(A547="", "", VLOOKUP(A547, BASE!$A$4:$C$10003, 3, FALSE))</f>
        <v/>
      </c>
      <c r="D547" t="str">
        <f>IF(A547="", "", VLOOKUP(A547, BASE!$A$4:$D$10003, 4, FALSE))</f>
        <v/>
      </c>
      <c r="E547" t="str">
        <f>IF(A547="", "", VLOOKUP(A547, BASE!$A$4:$E$10003, 5, FALSE))</f>
        <v/>
      </c>
      <c r="F547" t="str">
        <f t="shared" si="8"/>
        <v/>
      </c>
    </row>
    <row r="548" spans="1:6">
      <c r="A548" t="str">
        <f>IFERROR(INDEX(BASE!$A$4:$A$10003, SMALL(IF(BASE!$F$4:$F$10003="CARREGADO", ROW(BASE!$A$4:$A$10003)-ROW(BASE!$A$4)+1), ROW(A547))), "")</f>
        <v/>
      </c>
      <c r="B548" t="str">
        <f>IF(A548="", "", VLOOKUP(A548, BASE!$A$4:$B$10003, 2, FALSE))</f>
        <v/>
      </c>
      <c r="C548" t="str">
        <f>IF(A548="", "", VLOOKUP(A548, BASE!$A$4:$C$10003, 3, FALSE))</f>
        <v/>
      </c>
      <c r="D548" t="str">
        <f>IF(A548="", "", VLOOKUP(A548, BASE!$A$4:$D$10003, 4, FALSE))</f>
        <v/>
      </c>
      <c r="E548" t="str">
        <f>IF(A548="", "", VLOOKUP(A548, BASE!$A$4:$E$10003, 5, FALSE))</f>
        <v/>
      </c>
      <c r="F548" t="str">
        <f t="shared" si="8"/>
        <v/>
      </c>
    </row>
    <row r="549" spans="1:6">
      <c r="A549" t="str">
        <f>IFERROR(INDEX(BASE!$A$4:$A$10003, SMALL(IF(BASE!$F$4:$F$10003="CARREGADO", ROW(BASE!$A$4:$A$10003)-ROW(BASE!$A$4)+1), ROW(A548))), "")</f>
        <v/>
      </c>
      <c r="B549" t="str">
        <f>IF(A549="", "", VLOOKUP(A549, BASE!$A$4:$B$10003, 2, FALSE))</f>
        <v/>
      </c>
      <c r="C549" t="str">
        <f>IF(A549="", "", VLOOKUP(A549, BASE!$A$4:$C$10003, 3, FALSE))</f>
        <v/>
      </c>
      <c r="D549" t="str">
        <f>IF(A549="", "", VLOOKUP(A549, BASE!$A$4:$D$10003, 4, FALSE))</f>
        <v/>
      </c>
      <c r="E549" t="str">
        <f>IF(A549="", "", VLOOKUP(A549, BASE!$A$4:$E$10003, 5, FALSE))</f>
        <v/>
      </c>
      <c r="F549" t="str">
        <f t="shared" si="8"/>
        <v/>
      </c>
    </row>
    <row r="550" spans="1:6">
      <c r="A550" t="str">
        <f>IFERROR(INDEX(BASE!$A$4:$A$10003, SMALL(IF(BASE!$F$4:$F$10003="CARREGADO", ROW(BASE!$A$4:$A$10003)-ROW(BASE!$A$4)+1), ROW(A549))), "")</f>
        <v/>
      </c>
      <c r="B550" t="str">
        <f>IF(A550="", "", VLOOKUP(A550, BASE!$A$4:$B$10003, 2, FALSE))</f>
        <v/>
      </c>
      <c r="C550" t="str">
        <f>IF(A550="", "", VLOOKUP(A550, BASE!$A$4:$C$10003, 3, FALSE))</f>
        <v/>
      </c>
      <c r="D550" t="str">
        <f>IF(A550="", "", VLOOKUP(A550, BASE!$A$4:$D$10003, 4, FALSE))</f>
        <v/>
      </c>
      <c r="E550" t="str">
        <f>IF(A550="", "", VLOOKUP(A550, BASE!$A$4:$E$10003, 5, FALSE))</f>
        <v/>
      </c>
      <c r="F550" t="str">
        <f t="shared" si="8"/>
        <v/>
      </c>
    </row>
    <row r="551" spans="1:6">
      <c r="A551" t="str">
        <f>IFERROR(INDEX(BASE!$A$4:$A$10003, SMALL(IF(BASE!$F$4:$F$10003="CARREGADO", ROW(BASE!$A$4:$A$10003)-ROW(BASE!$A$4)+1), ROW(A550))), "")</f>
        <v/>
      </c>
      <c r="B551" t="str">
        <f>IF(A551="", "", VLOOKUP(A551, BASE!$A$4:$B$10003, 2, FALSE))</f>
        <v/>
      </c>
      <c r="C551" t="str">
        <f>IF(A551="", "", VLOOKUP(A551, BASE!$A$4:$C$10003, 3, FALSE))</f>
        <v/>
      </c>
      <c r="D551" t="str">
        <f>IF(A551="", "", VLOOKUP(A551, BASE!$A$4:$D$10003, 4, FALSE))</f>
        <v/>
      </c>
      <c r="E551" t="str">
        <f>IF(A551="", "", VLOOKUP(A551, BASE!$A$4:$E$10003, 5, FALSE))</f>
        <v/>
      </c>
      <c r="F551" t="str">
        <f t="shared" si="8"/>
        <v/>
      </c>
    </row>
    <row r="552" spans="1:6">
      <c r="A552" t="str">
        <f>IFERROR(INDEX(BASE!$A$4:$A$10003, SMALL(IF(BASE!$F$4:$F$10003="CARREGADO", ROW(BASE!$A$4:$A$10003)-ROW(BASE!$A$4)+1), ROW(A551))), "")</f>
        <v/>
      </c>
      <c r="B552" t="str">
        <f>IF(A552="", "", VLOOKUP(A552, BASE!$A$4:$B$10003, 2, FALSE))</f>
        <v/>
      </c>
      <c r="C552" t="str">
        <f>IF(A552="", "", VLOOKUP(A552, BASE!$A$4:$C$10003, 3, FALSE))</f>
        <v/>
      </c>
      <c r="D552" t="str">
        <f>IF(A552="", "", VLOOKUP(A552, BASE!$A$4:$D$10003, 4, FALSE))</f>
        <v/>
      </c>
      <c r="E552" t="str">
        <f>IF(A552="", "", VLOOKUP(A552, BASE!$A$4:$E$10003, 5, FALSE))</f>
        <v/>
      </c>
      <c r="F552" t="str">
        <f t="shared" si="8"/>
        <v/>
      </c>
    </row>
    <row r="553" spans="1:6">
      <c r="A553" t="str">
        <f>IFERROR(INDEX(BASE!$A$4:$A$10003, SMALL(IF(BASE!$F$4:$F$10003="CARREGADO", ROW(BASE!$A$4:$A$10003)-ROW(BASE!$A$4)+1), ROW(A552))), "")</f>
        <v/>
      </c>
      <c r="B553" t="str">
        <f>IF(A553="", "", VLOOKUP(A553, BASE!$A$4:$B$10003, 2, FALSE))</f>
        <v/>
      </c>
      <c r="C553" t="str">
        <f>IF(A553="", "", VLOOKUP(A553, BASE!$A$4:$C$10003, 3, FALSE))</f>
        <v/>
      </c>
      <c r="D553" t="str">
        <f>IF(A553="", "", VLOOKUP(A553, BASE!$A$4:$D$10003, 4, FALSE))</f>
        <v/>
      </c>
      <c r="E553" t="str">
        <f>IF(A553="", "", VLOOKUP(A553, BASE!$A$4:$E$10003, 5, FALSE))</f>
        <v/>
      </c>
      <c r="F553" t="str">
        <f t="shared" si="8"/>
        <v/>
      </c>
    </row>
    <row r="554" spans="1:6">
      <c r="A554" t="str">
        <f>IFERROR(INDEX(BASE!$A$4:$A$10003, SMALL(IF(BASE!$F$4:$F$10003="CARREGADO", ROW(BASE!$A$4:$A$10003)-ROW(BASE!$A$4)+1), ROW(A553))), "")</f>
        <v/>
      </c>
      <c r="B554" t="str">
        <f>IF(A554="", "", VLOOKUP(A554, BASE!$A$4:$B$10003, 2, FALSE))</f>
        <v/>
      </c>
      <c r="C554" t="str">
        <f>IF(A554="", "", VLOOKUP(A554, BASE!$A$4:$C$10003, 3, FALSE))</f>
        <v/>
      </c>
      <c r="D554" t="str">
        <f>IF(A554="", "", VLOOKUP(A554, BASE!$A$4:$D$10003, 4, FALSE))</f>
        <v/>
      </c>
      <c r="E554" t="str">
        <f>IF(A554="", "", VLOOKUP(A554, BASE!$A$4:$E$10003, 5, FALSE))</f>
        <v/>
      </c>
      <c r="F554" t="str">
        <f t="shared" si="8"/>
        <v/>
      </c>
    </row>
    <row r="555" spans="1:6">
      <c r="A555" t="str">
        <f>IFERROR(INDEX(BASE!$A$4:$A$10003, SMALL(IF(BASE!$F$4:$F$10003="CARREGADO", ROW(BASE!$A$4:$A$10003)-ROW(BASE!$A$4)+1), ROW(A554))), "")</f>
        <v/>
      </c>
      <c r="B555" t="str">
        <f>IF(A555="", "", VLOOKUP(A555, BASE!$A$4:$B$10003, 2, FALSE))</f>
        <v/>
      </c>
      <c r="C555" t="str">
        <f>IF(A555="", "", VLOOKUP(A555, BASE!$A$4:$C$10003, 3, FALSE))</f>
        <v/>
      </c>
      <c r="D555" t="str">
        <f>IF(A555="", "", VLOOKUP(A555, BASE!$A$4:$D$10003, 4, FALSE))</f>
        <v/>
      </c>
      <c r="E555" t="str">
        <f>IF(A555="", "", VLOOKUP(A555, BASE!$A$4:$E$10003, 5, FALSE))</f>
        <v/>
      </c>
      <c r="F555" t="str">
        <f t="shared" si="8"/>
        <v/>
      </c>
    </row>
    <row r="556" spans="1:6">
      <c r="A556" t="str">
        <f>IFERROR(INDEX(BASE!$A$4:$A$10003, SMALL(IF(BASE!$F$4:$F$10003="CARREGADO", ROW(BASE!$A$4:$A$10003)-ROW(BASE!$A$4)+1), ROW(A555))), "")</f>
        <v/>
      </c>
      <c r="B556" t="str">
        <f>IF(A556="", "", VLOOKUP(A556, BASE!$A$4:$B$10003, 2, FALSE))</f>
        <v/>
      </c>
      <c r="C556" t="str">
        <f>IF(A556="", "", VLOOKUP(A556, BASE!$A$4:$C$10003, 3, FALSE))</f>
        <v/>
      </c>
      <c r="D556" t="str">
        <f>IF(A556="", "", VLOOKUP(A556, BASE!$A$4:$D$10003, 4, FALSE))</f>
        <v/>
      </c>
      <c r="E556" t="str">
        <f>IF(A556="", "", VLOOKUP(A556, BASE!$A$4:$E$10003, 5, FALSE))</f>
        <v/>
      </c>
      <c r="F556" t="str">
        <f t="shared" si="8"/>
        <v/>
      </c>
    </row>
    <row r="557" spans="1:6">
      <c r="A557" t="str">
        <f>IFERROR(INDEX(BASE!$A$4:$A$10003, SMALL(IF(BASE!$F$4:$F$10003="CARREGADO", ROW(BASE!$A$4:$A$10003)-ROW(BASE!$A$4)+1), ROW(A556))), "")</f>
        <v/>
      </c>
      <c r="B557" t="str">
        <f>IF(A557="", "", VLOOKUP(A557, BASE!$A$4:$B$10003, 2, FALSE))</f>
        <v/>
      </c>
      <c r="C557" t="str">
        <f>IF(A557="", "", VLOOKUP(A557, BASE!$A$4:$C$10003, 3, FALSE))</f>
        <v/>
      </c>
      <c r="D557" t="str">
        <f>IF(A557="", "", VLOOKUP(A557, BASE!$A$4:$D$10003, 4, FALSE))</f>
        <v/>
      </c>
      <c r="E557" t="str">
        <f>IF(A557="", "", VLOOKUP(A557, BASE!$A$4:$E$10003, 5, FALSE))</f>
        <v/>
      </c>
      <c r="F557" t="str">
        <f t="shared" si="8"/>
        <v/>
      </c>
    </row>
    <row r="558" spans="1:6">
      <c r="A558" t="str">
        <f>IFERROR(INDEX(BASE!$A$4:$A$10003, SMALL(IF(BASE!$F$4:$F$10003="CARREGADO", ROW(BASE!$A$4:$A$10003)-ROW(BASE!$A$4)+1), ROW(A557))), "")</f>
        <v/>
      </c>
      <c r="B558" t="str">
        <f>IF(A558="", "", VLOOKUP(A558, BASE!$A$4:$B$10003, 2, FALSE))</f>
        <v/>
      </c>
      <c r="C558" t="str">
        <f>IF(A558="", "", VLOOKUP(A558, BASE!$A$4:$C$10003, 3, FALSE))</f>
        <v/>
      </c>
      <c r="D558" t="str">
        <f>IF(A558="", "", VLOOKUP(A558, BASE!$A$4:$D$10003, 4, FALSE))</f>
        <v/>
      </c>
      <c r="E558" t="str">
        <f>IF(A558="", "", VLOOKUP(A558, BASE!$A$4:$E$10003, 5, FALSE))</f>
        <v/>
      </c>
      <c r="F558" t="str">
        <f t="shared" si="8"/>
        <v/>
      </c>
    </row>
    <row r="559" spans="1:6">
      <c r="A559" t="str">
        <f>IFERROR(INDEX(BASE!$A$4:$A$10003, SMALL(IF(BASE!$F$4:$F$10003="CARREGADO", ROW(BASE!$A$4:$A$10003)-ROW(BASE!$A$4)+1), ROW(A558))), "")</f>
        <v/>
      </c>
      <c r="B559" t="str">
        <f>IF(A559="", "", VLOOKUP(A559, BASE!$A$4:$B$10003, 2, FALSE))</f>
        <v/>
      </c>
      <c r="C559" t="str">
        <f>IF(A559="", "", VLOOKUP(A559, BASE!$A$4:$C$10003, 3, FALSE))</f>
        <v/>
      </c>
      <c r="D559" t="str">
        <f>IF(A559="", "", VLOOKUP(A559, BASE!$A$4:$D$10003, 4, FALSE))</f>
        <v/>
      </c>
      <c r="E559" t="str">
        <f>IF(A559="", "", VLOOKUP(A559, BASE!$A$4:$E$10003, 5, FALSE))</f>
        <v/>
      </c>
      <c r="F559" t="str">
        <f t="shared" si="8"/>
        <v/>
      </c>
    </row>
    <row r="560" spans="1:6">
      <c r="A560" t="str">
        <f>IFERROR(INDEX(BASE!$A$4:$A$10003, SMALL(IF(BASE!$F$4:$F$10003="CARREGADO", ROW(BASE!$A$4:$A$10003)-ROW(BASE!$A$4)+1), ROW(A559))), "")</f>
        <v/>
      </c>
      <c r="B560" t="str">
        <f>IF(A560="", "", VLOOKUP(A560, BASE!$A$4:$B$10003, 2, FALSE))</f>
        <v/>
      </c>
      <c r="C560" t="str">
        <f>IF(A560="", "", VLOOKUP(A560, BASE!$A$4:$C$10003, 3, FALSE))</f>
        <v/>
      </c>
      <c r="D560" t="str">
        <f>IF(A560="", "", VLOOKUP(A560, BASE!$A$4:$D$10003, 4, FALSE))</f>
        <v/>
      </c>
      <c r="E560" t="str">
        <f>IF(A560="", "", VLOOKUP(A560, BASE!$A$4:$E$10003, 5, FALSE))</f>
        <v/>
      </c>
      <c r="F560" t="str">
        <f t="shared" si="8"/>
        <v/>
      </c>
    </row>
    <row r="561" spans="1:6">
      <c r="A561" t="str">
        <f>IFERROR(INDEX(BASE!$A$4:$A$10003, SMALL(IF(BASE!$F$4:$F$10003="CARREGADO", ROW(BASE!$A$4:$A$10003)-ROW(BASE!$A$4)+1), ROW(A560))), "")</f>
        <v/>
      </c>
      <c r="B561" t="str">
        <f>IF(A561="", "", VLOOKUP(A561, BASE!$A$4:$B$10003, 2, FALSE))</f>
        <v/>
      </c>
      <c r="C561" t="str">
        <f>IF(A561="", "", VLOOKUP(A561, BASE!$A$4:$C$10003, 3, FALSE))</f>
        <v/>
      </c>
      <c r="D561" t="str">
        <f>IF(A561="", "", VLOOKUP(A561, BASE!$A$4:$D$10003, 4, FALSE))</f>
        <v/>
      </c>
      <c r="E561" t="str">
        <f>IF(A561="", "", VLOOKUP(A561, BASE!$A$4:$E$10003, 5, FALSE))</f>
        <v/>
      </c>
      <c r="F561" t="str">
        <f t="shared" si="8"/>
        <v/>
      </c>
    </row>
    <row r="562" spans="1:6">
      <c r="A562" t="str">
        <f>IFERROR(INDEX(BASE!$A$4:$A$10003, SMALL(IF(BASE!$F$4:$F$10003="CARREGADO", ROW(BASE!$A$4:$A$10003)-ROW(BASE!$A$4)+1), ROW(A561))), "")</f>
        <v/>
      </c>
      <c r="B562" t="str">
        <f>IF(A562="", "", VLOOKUP(A562, BASE!$A$4:$B$10003, 2, FALSE))</f>
        <v/>
      </c>
      <c r="C562" t="str">
        <f>IF(A562="", "", VLOOKUP(A562, BASE!$A$4:$C$10003, 3, FALSE))</f>
        <v/>
      </c>
      <c r="D562" t="str">
        <f>IF(A562="", "", VLOOKUP(A562, BASE!$A$4:$D$10003, 4, FALSE))</f>
        <v/>
      </c>
      <c r="E562" t="str">
        <f>IF(A562="", "", VLOOKUP(A562, BASE!$A$4:$E$10003, 5, FALSE))</f>
        <v/>
      </c>
      <c r="F562" t="str">
        <f t="shared" si="8"/>
        <v/>
      </c>
    </row>
    <row r="563" spans="1:6">
      <c r="A563" t="str">
        <f>IFERROR(INDEX(BASE!$A$4:$A$10003, SMALL(IF(BASE!$F$4:$F$10003="CARREGADO", ROW(BASE!$A$4:$A$10003)-ROW(BASE!$A$4)+1), ROW(A562))), "")</f>
        <v/>
      </c>
      <c r="B563" t="str">
        <f>IF(A563="", "", VLOOKUP(A563, BASE!$A$4:$B$10003, 2, FALSE))</f>
        <v/>
      </c>
      <c r="C563" t="str">
        <f>IF(A563="", "", VLOOKUP(A563, BASE!$A$4:$C$10003, 3, FALSE))</f>
        <v/>
      </c>
      <c r="D563" t="str">
        <f>IF(A563="", "", VLOOKUP(A563, BASE!$A$4:$D$10003, 4, FALSE))</f>
        <v/>
      </c>
      <c r="E563" t="str">
        <f>IF(A563="", "", VLOOKUP(A563, BASE!$A$4:$E$10003, 5, FALSE))</f>
        <v/>
      </c>
      <c r="F563" t="str">
        <f t="shared" si="8"/>
        <v/>
      </c>
    </row>
    <row r="564" spans="1:6">
      <c r="A564" t="str">
        <f>IFERROR(INDEX(BASE!$A$4:$A$10003, SMALL(IF(BASE!$F$4:$F$10003="CARREGADO", ROW(BASE!$A$4:$A$10003)-ROW(BASE!$A$4)+1), ROW(A563))), "")</f>
        <v/>
      </c>
      <c r="B564" t="str">
        <f>IF(A564="", "", VLOOKUP(A564, BASE!$A$4:$B$10003, 2, FALSE))</f>
        <v/>
      </c>
      <c r="C564" t="str">
        <f>IF(A564="", "", VLOOKUP(A564, BASE!$A$4:$C$10003, 3, FALSE))</f>
        <v/>
      </c>
      <c r="D564" t="str">
        <f>IF(A564="", "", VLOOKUP(A564, BASE!$A$4:$D$10003, 4, FALSE))</f>
        <v/>
      </c>
      <c r="E564" t="str">
        <f>IF(A564="", "", VLOOKUP(A564, BASE!$A$4:$E$10003, 5, FALSE))</f>
        <v/>
      </c>
      <c r="F564" t="str">
        <f t="shared" si="8"/>
        <v/>
      </c>
    </row>
    <row r="565" spans="1:6">
      <c r="A565" t="str">
        <f>IFERROR(INDEX(BASE!$A$4:$A$10003, SMALL(IF(BASE!$F$4:$F$10003="CARREGADO", ROW(BASE!$A$4:$A$10003)-ROW(BASE!$A$4)+1), ROW(A564))), "")</f>
        <v/>
      </c>
      <c r="B565" t="str">
        <f>IF(A565="", "", VLOOKUP(A565, BASE!$A$4:$B$10003, 2, FALSE))</f>
        <v/>
      </c>
      <c r="C565" t="str">
        <f>IF(A565="", "", VLOOKUP(A565, BASE!$A$4:$C$10003, 3, FALSE))</f>
        <v/>
      </c>
      <c r="D565" t="str">
        <f>IF(A565="", "", VLOOKUP(A565, BASE!$A$4:$D$10003, 4, FALSE))</f>
        <v/>
      </c>
      <c r="E565" t="str">
        <f>IF(A565="", "", VLOOKUP(A565, BASE!$A$4:$E$10003, 5, FALSE))</f>
        <v/>
      </c>
      <c r="F565" t="str">
        <f t="shared" si="8"/>
        <v/>
      </c>
    </row>
    <row r="566" spans="1:6">
      <c r="A566" t="str">
        <f>IFERROR(INDEX(BASE!$A$4:$A$10003, SMALL(IF(BASE!$F$4:$F$10003="CARREGADO", ROW(BASE!$A$4:$A$10003)-ROW(BASE!$A$4)+1), ROW(A565))), "")</f>
        <v/>
      </c>
      <c r="B566" t="str">
        <f>IF(A566="", "", VLOOKUP(A566, BASE!$A$4:$B$10003, 2, FALSE))</f>
        <v/>
      </c>
      <c r="C566" t="str">
        <f>IF(A566="", "", VLOOKUP(A566, BASE!$A$4:$C$10003, 3, FALSE))</f>
        <v/>
      </c>
      <c r="D566" t="str">
        <f>IF(A566="", "", VLOOKUP(A566, BASE!$A$4:$D$10003, 4, FALSE))</f>
        <v/>
      </c>
      <c r="E566" t="str">
        <f>IF(A566="", "", VLOOKUP(A566, BASE!$A$4:$E$10003, 5, FALSE))</f>
        <v/>
      </c>
      <c r="F566" t="str">
        <f t="shared" si="8"/>
        <v/>
      </c>
    </row>
    <row r="567" spans="1:6">
      <c r="A567" t="str">
        <f>IFERROR(INDEX(BASE!$A$4:$A$10003, SMALL(IF(BASE!$F$4:$F$10003="CARREGADO", ROW(BASE!$A$4:$A$10003)-ROW(BASE!$A$4)+1), ROW(A566))), "")</f>
        <v/>
      </c>
      <c r="B567" t="str">
        <f>IF(A567="", "", VLOOKUP(A567, BASE!$A$4:$B$10003, 2, FALSE))</f>
        <v/>
      </c>
      <c r="C567" t="str">
        <f>IF(A567="", "", VLOOKUP(A567, BASE!$A$4:$C$10003, 3, FALSE))</f>
        <v/>
      </c>
      <c r="D567" t="str">
        <f>IF(A567="", "", VLOOKUP(A567, BASE!$A$4:$D$10003, 4, FALSE))</f>
        <v/>
      </c>
      <c r="E567" t="str">
        <f>IF(A567="", "", VLOOKUP(A567, BASE!$A$4:$E$10003, 5, FALSE))</f>
        <v/>
      </c>
      <c r="F567" t="str">
        <f t="shared" si="8"/>
        <v/>
      </c>
    </row>
    <row r="568" spans="1:6">
      <c r="A568" t="str">
        <f>IFERROR(INDEX(BASE!$A$4:$A$10003, SMALL(IF(BASE!$F$4:$F$10003="CARREGADO", ROW(BASE!$A$4:$A$10003)-ROW(BASE!$A$4)+1), ROW(A567))), "")</f>
        <v/>
      </c>
      <c r="B568" t="str">
        <f>IF(A568="", "", VLOOKUP(A568, BASE!$A$4:$B$10003, 2, FALSE))</f>
        <v/>
      </c>
      <c r="C568" t="str">
        <f>IF(A568="", "", VLOOKUP(A568, BASE!$A$4:$C$10003, 3, FALSE))</f>
        <v/>
      </c>
      <c r="D568" t="str">
        <f>IF(A568="", "", VLOOKUP(A568, BASE!$A$4:$D$10003, 4, FALSE))</f>
        <v/>
      </c>
      <c r="E568" t="str">
        <f>IF(A568="", "", VLOOKUP(A568, BASE!$A$4:$E$10003, 5, FALSE))</f>
        <v/>
      </c>
      <c r="F568" t="str">
        <f t="shared" si="8"/>
        <v/>
      </c>
    </row>
    <row r="569" spans="1:6">
      <c r="A569" t="str">
        <f>IFERROR(INDEX(BASE!$A$4:$A$10003, SMALL(IF(BASE!$F$4:$F$10003="CARREGADO", ROW(BASE!$A$4:$A$10003)-ROW(BASE!$A$4)+1), ROW(A568))), "")</f>
        <v/>
      </c>
      <c r="B569" t="str">
        <f>IF(A569="", "", VLOOKUP(A569, BASE!$A$4:$B$10003, 2, FALSE))</f>
        <v/>
      </c>
      <c r="C569" t="str">
        <f>IF(A569="", "", VLOOKUP(A569, BASE!$A$4:$C$10003, 3, FALSE))</f>
        <v/>
      </c>
      <c r="D569" t="str">
        <f>IF(A569="", "", VLOOKUP(A569, BASE!$A$4:$D$10003, 4, FALSE))</f>
        <v/>
      </c>
      <c r="E569" t="str">
        <f>IF(A569="", "", VLOOKUP(A569, BASE!$A$4:$E$10003, 5, FALSE))</f>
        <v/>
      </c>
      <c r="F569" t="str">
        <f t="shared" si="8"/>
        <v/>
      </c>
    </row>
    <row r="570" spans="1:6">
      <c r="A570" t="str">
        <f>IFERROR(INDEX(BASE!$A$4:$A$10003, SMALL(IF(BASE!$F$4:$F$10003="CARREGADO", ROW(BASE!$A$4:$A$10003)-ROW(BASE!$A$4)+1), ROW(A569))), "")</f>
        <v/>
      </c>
      <c r="B570" t="str">
        <f>IF(A570="", "", VLOOKUP(A570, BASE!$A$4:$B$10003, 2, FALSE))</f>
        <v/>
      </c>
      <c r="C570" t="str">
        <f>IF(A570="", "", VLOOKUP(A570, BASE!$A$4:$C$10003, 3, FALSE))</f>
        <v/>
      </c>
      <c r="D570" t="str">
        <f>IF(A570="", "", VLOOKUP(A570, BASE!$A$4:$D$10003, 4, FALSE))</f>
        <v/>
      </c>
      <c r="E570" t="str">
        <f>IF(A570="", "", VLOOKUP(A570, BASE!$A$4:$E$10003, 5, FALSE))</f>
        <v/>
      </c>
      <c r="F570" t="str">
        <f t="shared" si="8"/>
        <v/>
      </c>
    </row>
    <row r="571" spans="1:6">
      <c r="A571" t="str">
        <f>IFERROR(INDEX(BASE!$A$4:$A$10003, SMALL(IF(BASE!$F$4:$F$10003="CARREGADO", ROW(BASE!$A$4:$A$10003)-ROW(BASE!$A$4)+1), ROW(A570))), "")</f>
        <v/>
      </c>
      <c r="B571" t="str">
        <f>IF(A571="", "", VLOOKUP(A571, BASE!$A$4:$B$10003, 2, FALSE))</f>
        <v/>
      </c>
      <c r="C571" t="str">
        <f>IF(A571="", "", VLOOKUP(A571, BASE!$A$4:$C$10003, 3, FALSE))</f>
        <v/>
      </c>
      <c r="D571" t="str">
        <f>IF(A571="", "", VLOOKUP(A571, BASE!$A$4:$D$10003, 4, FALSE))</f>
        <v/>
      </c>
      <c r="E571" t="str">
        <f>IF(A571="", "", VLOOKUP(A571, BASE!$A$4:$E$10003, 5, FALSE))</f>
        <v/>
      </c>
      <c r="F571" t="str">
        <f t="shared" si="8"/>
        <v/>
      </c>
    </row>
    <row r="572" spans="1:6">
      <c r="A572" t="str">
        <f>IFERROR(INDEX(BASE!$A$4:$A$10003, SMALL(IF(BASE!$F$4:$F$10003="CARREGADO", ROW(BASE!$A$4:$A$10003)-ROW(BASE!$A$4)+1), ROW(A571))), "")</f>
        <v/>
      </c>
      <c r="B572" t="str">
        <f>IF(A572="", "", VLOOKUP(A572, BASE!$A$4:$B$10003, 2, FALSE))</f>
        <v/>
      </c>
      <c r="C572" t="str">
        <f>IF(A572="", "", VLOOKUP(A572, BASE!$A$4:$C$10003, 3, FALSE))</f>
        <v/>
      </c>
      <c r="D572" t="str">
        <f>IF(A572="", "", VLOOKUP(A572, BASE!$A$4:$D$10003, 4, FALSE))</f>
        <v/>
      </c>
      <c r="E572" t="str">
        <f>IF(A572="", "", VLOOKUP(A572, BASE!$A$4:$E$10003, 5, FALSE))</f>
        <v/>
      </c>
      <c r="F572" t="str">
        <f t="shared" si="8"/>
        <v/>
      </c>
    </row>
    <row r="573" spans="1:6">
      <c r="A573" t="str">
        <f>IFERROR(INDEX(BASE!$A$4:$A$10003, SMALL(IF(BASE!$F$4:$F$10003="CARREGADO", ROW(BASE!$A$4:$A$10003)-ROW(BASE!$A$4)+1), ROW(A572))), "")</f>
        <v/>
      </c>
      <c r="B573" t="str">
        <f>IF(A573="", "", VLOOKUP(A573, BASE!$A$4:$B$10003, 2, FALSE))</f>
        <v/>
      </c>
      <c r="C573" t="str">
        <f>IF(A573="", "", VLOOKUP(A573, BASE!$A$4:$C$10003, 3, FALSE))</f>
        <v/>
      </c>
      <c r="D573" t="str">
        <f>IF(A573="", "", VLOOKUP(A573, BASE!$A$4:$D$10003, 4, FALSE))</f>
        <v/>
      </c>
      <c r="E573" t="str">
        <f>IF(A573="", "", VLOOKUP(A573, BASE!$A$4:$E$10003, 5, FALSE))</f>
        <v/>
      </c>
      <c r="F573" t="str">
        <f t="shared" si="8"/>
        <v/>
      </c>
    </row>
    <row r="574" spans="1:6">
      <c r="A574" t="str">
        <f>IFERROR(INDEX(BASE!$A$4:$A$10003, SMALL(IF(BASE!$F$4:$F$10003="CARREGADO", ROW(BASE!$A$4:$A$10003)-ROW(BASE!$A$4)+1), ROW(A573))), "")</f>
        <v/>
      </c>
      <c r="B574" t="str">
        <f>IF(A574="", "", VLOOKUP(A574, BASE!$A$4:$B$10003, 2, FALSE))</f>
        <v/>
      </c>
      <c r="C574" t="str">
        <f>IF(A574="", "", VLOOKUP(A574, BASE!$A$4:$C$10003, 3, FALSE))</f>
        <v/>
      </c>
      <c r="D574" t="str">
        <f>IF(A574="", "", VLOOKUP(A574, BASE!$A$4:$D$10003, 4, FALSE))</f>
        <v/>
      </c>
      <c r="E574" t="str">
        <f>IF(A574="", "", VLOOKUP(A574, BASE!$A$4:$E$10003, 5, FALSE))</f>
        <v/>
      </c>
      <c r="F574" t="str">
        <f t="shared" si="8"/>
        <v/>
      </c>
    </row>
    <row r="575" spans="1:6">
      <c r="A575" t="str">
        <f>IFERROR(INDEX(BASE!$A$4:$A$10003, SMALL(IF(BASE!$F$4:$F$10003="CARREGADO", ROW(BASE!$A$4:$A$10003)-ROW(BASE!$A$4)+1), ROW(A574))), "")</f>
        <v/>
      </c>
      <c r="B575" t="str">
        <f>IF(A575="", "", VLOOKUP(A575, BASE!$A$4:$B$10003, 2, FALSE))</f>
        <v/>
      </c>
      <c r="C575" t="str">
        <f>IF(A575="", "", VLOOKUP(A575, BASE!$A$4:$C$10003, 3, FALSE))</f>
        <v/>
      </c>
      <c r="D575" t="str">
        <f>IF(A575="", "", VLOOKUP(A575, BASE!$A$4:$D$10003, 4, FALSE))</f>
        <v/>
      </c>
      <c r="E575" t="str">
        <f>IF(A575="", "", VLOOKUP(A575, BASE!$A$4:$E$10003, 5, FALSE))</f>
        <v/>
      </c>
      <c r="F575" t="str">
        <f t="shared" si="8"/>
        <v/>
      </c>
    </row>
    <row r="576" spans="1:6">
      <c r="A576" t="str">
        <f>IFERROR(INDEX(BASE!$A$4:$A$10003, SMALL(IF(BASE!$F$4:$F$10003="CARREGADO", ROW(BASE!$A$4:$A$10003)-ROW(BASE!$A$4)+1), ROW(A575))), "")</f>
        <v/>
      </c>
      <c r="B576" t="str">
        <f>IF(A576="", "", VLOOKUP(A576, BASE!$A$4:$B$10003, 2, FALSE))</f>
        <v/>
      </c>
      <c r="C576" t="str">
        <f>IF(A576="", "", VLOOKUP(A576, BASE!$A$4:$C$10003, 3, FALSE))</f>
        <v/>
      </c>
      <c r="D576" t="str">
        <f>IF(A576="", "", VLOOKUP(A576, BASE!$A$4:$D$10003, 4, FALSE))</f>
        <v/>
      </c>
      <c r="E576" t="str">
        <f>IF(A576="", "", VLOOKUP(A576, BASE!$A$4:$E$10003, 5, FALSE))</f>
        <v/>
      </c>
      <c r="F576" t="str">
        <f t="shared" si="8"/>
        <v/>
      </c>
    </row>
    <row r="577" spans="1:6">
      <c r="A577" t="str">
        <f>IFERROR(INDEX(BASE!$A$4:$A$10003, SMALL(IF(BASE!$F$4:$F$10003="CARREGADO", ROW(BASE!$A$4:$A$10003)-ROW(BASE!$A$4)+1), ROW(A576))), "")</f>
        <v/>
      </c>
      <c r="B577" t="str">
        <f>IF(A577="", "", VLOOKUP(A577, BASE!$A$4:$B$10003, 2, FALSE))</f>
        <v/>
      </c>
      <c r="C577" t="str">
        <f>IF(A577="", "", VLOOKUP(A577, BASE!$A$4:$C$10003, 3, FALSE))</f>
        <v/>
      </c>
      <c r="D577" t="str">
        <f>IF(A577="", "", VLOOKUP(A577, BASE!$A$4:$D$10003, 4, FALSE))</f>
        <v/>
      </c>
      <c r="E577" t="str">
        <f>IF(A577="", "", VLOOKUP(A577, BASE!$A$4:$E$10003, 5, FALSE))</f>
        <v/>
      </c>
      <c r="F577" t="str">
        <f t="shared" si="8"/>
        <v/>
      </c>
    </row>
    <row r="578" spans="1:6">
      <c r="A578" t="str">
        <f>IFERROR(INDEX(BASE!$A$4:$A$10003, SMALL(IF(BASE!$F$4:$F$10003="CARREGADO", ROW(BASE!$A$4:$A$10003)-ROW(BASE!$A$4)+1), ROW(A577))), "")</f>
        <v/>
      </c>
      <c r="B578" t="str">
        <f>IF(A578="", "", VLOOKUP(A578, BASE!$A$4:$B$10003, 2, FALSE))</f>
        <v/>
      </c>
      <c r="C578" t="str">
        <f>IF(A578="", "", VLOOKUP(A578, BASE!$A$4:$C$10003, 3, FALSE))</f>
        <v/>
      </c>
      <c r="D578" t="str">
        <f>IF(A578="", "", VLOOKUP(A578, BASE!$A$4:$D$10003, 4, FALSE))</f>
        <v/>
      </c>
      <c r="E578" t="str">
        <f>IF(A578="", "", VLOOKUP(A578, BASE!$A$4:$E$10003, 5, FALSE))</f>
        <v/>
      </c>
      <c r="F578" t="str">
        <f t="shared" ref="F578:F641" si="9">IF(A578="", "", "CARREGADO")</f>
        <v/>
      </c>
    </row>
    <row r="579" spans="1:6">
      <c r="A579" t="str">
        <f>IFERROR(INDEX(BASE!$A$4:$A$10003, SMALL(IF(BASE!$F$4:$F$10003="CARREGADO", ROW(BASE!$A$4:$A$10003)-ROW(BASE!$A$4)+1), ROW(A578))), "")</f>
        <v/>
      </c>
      <c r="B579" t="str">
        <f>IF(A579="", "", VLOOKUP(A579, BASE!$A$4:$B$10003, 2, FALSE))</f>
        <v/>
      </c>
      <c r="C579" t="str">
        <f>IF(A579="", "", VLOOKUP(A579, BASE!$A$4:$C$10003, 3, FALSE))</f>
        <v/>
      </c>
      <c r="D579" t="str">
        <f>IF(A579="", "", VLOOKUP(A579, BASE!$A$4:$D$10003, 4, FALSE))</f>
        <v/>
      </c>
      <c r="E579" t="str">
        <f>IF(A579="", "", VLOOKUP(A579, BASE!$A$4:$E$10003, 5, FALSE))</f>
        <v/>
      </c>
      <c r="F579" t="str">
        <f t="shared" si="9"/>
        <v/>
      </c>
    </row>
    <row r="580" spans="1:6">
      <c r="A580" t="str">
        <f>IFERROR(INDEX(BASE!$A$4:$A$10003, SMALL(IF(BASE!$F$4:$F$10003="CARREGADO", ROW(BASE!$A$4:$A$10003)-ROW(BASE!$A$4)+1), ROW(A579))), "")</f>
        <v/>
      </c>
      <c r="B580" t="str">
        <f>IF(A580="", "", VLOOKUP(A580, BASE!$A$4:$B$10003, 2, FALSE))</f>
        <v/>
      </c>
      <c r="C580" t="str">
        <f>IF(A580="", "", VLOOKUP(A580, BASE!$A$4:$C$10003, 3, FALSE))</f>
        <v/>
      </c>
      <c r="D580" t="str">
        <f>IF(A580="", "", VLOOKUP(A580, BASE!$A$4:$D$10003, 4, FALSE))</f>
        <v/>
      </c>
      <c r="E580" t="str">
        <f>IF(A580="", "", VLOOKUP(A580, BASE!$A$4:$E$10003, 5, FALSE))</f>
        <v/>
      </c>
      <c r="F580" t="str">
        <f t="shared" si="9"/>
        <v/>
      </c>
    </row>
    <row r="581" spans="1:6">
      <c r="A581" t="str">
        <f>IFERROR(INDEX(BASE!$A$4:$A$10003, SMALL(IF(BASE!$F$4:$F$10003="CARREGADO", ROW(BASE!$A$4:$A$10003)-ROW(BASE!$A$4)+1), ROW(A580))), "")</f>
        <v/>
      </c>
      <c r="B581" t="str">
        <f>IF(A581="", "", VLOOKUP(A581, BASE!$A$4:$B$10003, 2, FALSE))</f>
        <v/>
      </c>
      <c r="C581" t="str">
        <f>IF(A581="", "", VLOOKUP(A581, BASE!$A$4:$C$10003, 3, FALSE))</f>
        <v/>
      </c>
      <c r="D581" t="str">
        <f>IF(A581="", "", VLOOKUP(A581, BASE!$A$4:$D$10003, 4, FALSE))</f>
        <v/>
      </c>
      <c r="E581" t="str">
        <f>IF(A581="", "", VLOOKUP(A581, BASE!$A$4:$E$10003, 5, FALSE))</f>
        <v/>
      </c>
      <c r="F581" t="str">
        <f t="shared" si="9"/>
        <v/>
      </c>
    </row>
    <row r="582" spans="1:6">
      <c r="A582" t="str">
        <f>IFERROR(INDEX(BASE!$A$4:$A$10003, SMALL(IF(BASE!$F$4:$F$10003="CARREGADO", ROW(BASE!$A$4:$A$10003)-ROW(BASE!$A$4)+1), ROW(A581))), "")</f>
        <v/>
      </c>
      <c r="B582" t="str">
        <f>IF(A582="", "", VLOOKUP(A582, BASE!$A$4:$B$10003, 2, FALSE))</f>
        <v/>
      </c>
      <c r="C582" t="str">
        <f>IF(A582="", "", VLOOKUP(A582, BASE!$A$4:$C$10003, 3, FALSE))</f>
        <v/>
      </c>
      <c r="D582" t="str">
        <f>IF(A582="", "", VLOOKUP(A582, BASE!$A$4:$D$10003, 4, FALSE))</f>
        <v/>
      </c>
      <c r="E582" t="str">
        <f>IF(A582="", "", VLOOKUP(A582, BASE!$A$4:$E$10003, 5, FALSE))</f>
        <v/>
      </c>
      <c r="F582" t="str">
        <f t="shared" si="9"/>
        <v/>
      </c>
    </row>
    <row r="583" spans="1:6">
      <c r="A583" t="str">
        <f>IFERROR(INDEX(BASE!$A$4:$A$10003, SMALL(IF(BASE!$F$4:$F$10003="CARREGADO", ROW(BASE!$A$4:$A$10003)-ROW(BASE!$A$4)+1), ROW(A582))), "")</f>
        <v/>
      </c>
      <c r="B583" t="str">
        <f>IF(A583="", "", VLOOKUP(A583, BASE!$A$4:$B$10003, 2, FALSE))</f>
        <v/>
      </c>
      <c r="C583" t="str">
        <f>IF(A583="", "", VLOOKUP(A583, BASE!$A$4:$C$10003, 3, FALSE))</f>
        <v/>
      </c>
      <c r="D583" t="str">
        <f>IF(A583="", "", VLOOKUP(A583, BASE!$A$4:$D$10003, 4, FALSE))</f>
        <v/>
      </c>
      <c r="E583" t="str">
        <f>IF(A583="", "", VLOOKUP(A583, BASE!$A$4:$E$10003, 5, FALSE))</f>
        <v/>
      </c>
      <c r="F583" t="str">
        <f t="shared" si="9"/>
        <v/>
      </c>
    </row>
    <row r="584" spans="1:6">
      <c r="A584" t="str">
        <f>IFERROR(INDEX(BASE!$A$4:$A$10003, SMALL(IF(BASE!$F$4:$F$10003="CARREGADO", ROW(BASE!$A$4:$A$10003)-ROW(BASE!$A$4)+1), ROW(A583))), "")</f>
        <v/>
      </c>
      <c r="B584" t="str">
        <f>IF(A584="", "", VLOOKUP(A584, BASE!$A$4:$B$10003, 2, FALSE))</f>
        <v/>
      </c>
      <c r="C584" t="str">
        <f>IF(A584="", "", VLOOKUP(A584, BASE!$A$4:$C$10003, 3, FALSE))</f>
        <v/>
      </c>
      <c r="D584" t="str">
        <f>IF(A584="", "", VLOOKUP(A584, BASE!$A$4:$D$10003, 4, FALSE))</f>
        <v/>
      </c>
      <c r="E584" t="str">
        <f>IF(A584="", "", VLOOKUP(A584, BASE!$A$4:$E$10003, 5, FALSE))</f>
        <v/>
      </c>
      <c r="F584" t="str">
        <f t="shared" si="9"/>
        <v/>
      </c>
    </row>
    <row r="585" spans="1:6">
      <c r="A585" t="str">
        <f>IFERROR(INDEX(BASE!$A$4:$A$10003, SMALL(IF(BASE!$F$4:$F$10003="CARREGADO", ROW(BASE!$A$4:$A$10003)-ROW(BASE!$A$4)+1), ROW(A584))), "")</f>
        <v/>
      </c>
      <c r="B585" t="str">
        <f>IF(A585="", "", VLOOKUP(A585, BASE!$A$4:$B$10003, 2, FALSE))</f>
        <v/>
      </c>
      <c r="C585" t="str">
        <f>IF(A585="", "", VLOOKUP(A585, BASE!$A$4:$C$10003, 3, FALSE))</f>
        <v/>
      </c>
      <c r="D585" t="str">
        <f>IF(A585="", "", VLOOKUP(A585, BASE!$A$4:$D$10003, 4, FALSE))</f>
        <v/>
      </c>
      <c r="E585" t="str">
        <f>IF(A585="", "", VLOOKUP(A585, BASE!$A$4:$E$10003, 5, FALSE))</f>
        <v/>
      </c>
      <c r="F585" t="str">
        <f t="shared" si="9"/>
        <v/>
      </c>
    </row>
    <row r="586" spans="1:6">
      <c r="A586" t="str">
        <f>IFERROR(INDEX(BASE!$A$4:$A$10003, SMALL(IF(BASE!$F$4:$F$10003="CARREGADO", ROW(BASE!$A$4:$A$10003)-ROW(BASE!$A$4)+1), ROW(A585))), "")</f>
        <v/>
      </c>
      <c r="B586" t="str">
        <f>IF(A586="", "", VLOOKUP(A586, BASE!$A$4:$B$10003, 2, FALSE))</f>
        <v/>
      </c>
      <c r="C586" t="str">
        <f>IF(A586="", "", VLOOKUP(A586, BASE!$A$4:$C$10003, 3, FALSE))</f>
        <v/>
      </c>
      <c r="D586" t="str">
        <f>IF(A586="", "", VLOOKUP(A586, BASE!$A$4:$D$10003, 4, FALSE))</f>
        <v/>
      </c>
      <c r="E586" t="str">
        <f>IF(A586="", "", VLOOKUP(A586, BASE!$A$4:$E$10003, 5, FALSE))</f>
        <v/>
      </c>
      <c r="F586" t="str">
        <f t="shared" si="9"/>
        <v/>
      </c>
    </row>
    <row r="587" spans="1:6">
      <c r="A587" t="str">
        <f>IFERROR(INDEX(BASE!$A$4:$A$10003, SMALL(IF(BASE!$F$4:$F$10003="CARREGADO", ROW(BASE!$A$4:$A$10003)-ROW(BASE!$A$4)+1), ROW(A586))), "")</f>
        <v/>
      </c>
      <c r="B587" t="str">
        <f>IF(A587="", "", VLOOKUP(A587, BASE!$A$4:$B$10003, 2, FALSE))</f>
        <v/>
      </c>
      <c r="C587" t="str">
        <f>IF(A587="", "", VLOOKUP(A587, BASE!$A$4:$C$10003, 3, FALSE))</f>
        <v/>
      </c>
      <c r="D587" t="str">
        <f>IF(A587="", "", VLOOKUP(A587, BASE!$A$4:$D$10003, 4, FALSE))</f>
        <v/>
      </c>
      <c r="E587" t="str">
        <f>IF(A587="", "", VLOOKUP(A587, BASE!$A$4:$E$10003, 5, FALSE))</f>
        <v/>
      </c>
      <c r="F587" t="str">
        <f t="shared" si="9"/>
        <v/>
      </c>
    </row>
    <row r="588" spans="1:6">
      <c r="A588" t="str">
        <f>IFERROR(INDEX(BASE!$A$4:$A$10003, SMALL(IF(BASE!$F$4:$F$10003="CARREGADO", ROW(BASE!$A$4:$A$10003)-ROW(BASE!$A$4)+1), ROW(A587))), "")</f>
        <v/>
      </c>
      <c r="B588" t="str">
        <f>IF(A588="", "", VLOOKUP(A588, BASE!$A$4:$B$10003, 2, FALSE))</f>
        <v/>
      </c>
      <c r="C588" t="str">
        <f>IF(A588="", "", VLOOKUP(A588, BASE!$A$4:$C$10003, 3, FALSE))</f>
        <v/>
      </c>
      <c r="D588" t="str">
        <f>IF(A588="", "", VLOOKUP(A588, BASE!$A$4:$D$10003, 4, FALSE))</f>
        <v/>
      </c>
      <c r="E588" t="str">
        <f>IF(A588="", "", VLOOKUP(A588, BASE!$A$4:$E$10003, 5, FALSE))</f>
        <v/>
      </c>
      <c r="F588" t="str">
        <f t="shared" si="9"/>
        <v/>
      </c>
    </row>
    <row r="589" spans="1:6">
      <c r="A589" t="str">
        <f>IFERROR(INDEX(BASE!$A$4:$A$10003, SMALL(IF(BASE!$F$4:$F$10003="CARREGADO", ROW(BASE!$A$4:$A$10003)-ROW(BASE!$A$4)+1), ROW(A588))), "")</f>
        <v/>
      </c>
      <c r="B589" t="str">
        <f>IF(A589="", "", VLOOKUP(A589, BASE!$A$4:$B$10003, 2, FALSE))</f>
        <v/>
      </c>
      <c r="C589" t="str">
        <f>IF(A589="", "", VLOOKUP(A589, BASE!$A$4:$C$10003, 3, FALSE))</f>
        <v/>
      </c>
      <c r="D589" t="str">
        <f>IF(A589="", "", VLOOKUP(A589, BASE!$A$4:$D$10003, 4, FALSE))</f>
        <v/>
      </c>
      <c r="E589" t="str">
        <f>IF(A589="", "", VLOOKUP(A589, BASE!$A$4:$E$10003, 5, FALSE))</f>
        <v/>
      </c>
      <c r="F589" t="str">
        <f t="shared" si="9"/>
        <v/>
      </c>
    </row>
    <row r="590" spans="1:6">
      <c r="A590" t="str">
        <f>IFERROR(INDEX(BASE!$A$4:$A$10003, SMALL(IF(BASE!$F$4:$F$10003="CARREGADO", ROW(BASE!$A$4:$A$10003)-ROW(BASE!$A$4)+1), ROW(A589))), "")</f>
        <v/>
      </c>
      <c r="B590" t="str">
        <f>IF(A590="", "", VLOOKUP(A590, BASE!$A$4:$B$10003, 2, FALSE))</f>
        <v/>
      </c>
      <c r="C590" t="str">
        <f>IF(A590="", "", VLOOKUP(A590, BASE!$A$4:$C$10003, 3, FALSE))</f>
        <v/>
      </c>
      <c r="D590" t="str">
        <f>IF(A590="", "", VLOOKUP(A590, BASE!$A$4:$D$10003, 4, FALSE))</f>
        <v/>
      </c>
      <c r="E590" t="str">
        <f>IF(A590="", "", VLOOKUP(A590, BASE!$A$4:$E$10003, 5, FALSE))</f>
        <v/>
      </c>
      <c r="F590" t="str">
        <f t="shared" si="9"/>
        <v/>
      </c>
    </row>
    <row r="591" spans="1:6">
      <c r="A591" t="str">
        <f>IFERROR(INDEX(BASE!$A$4:$A$10003, SMALL(IF(BASE!$F$4:$F$10003="CARREGADO", ROW(BASE!$A$4:$A$10003)-ROW(BASE!$A$4)+1), ROW(A590))), "")</f>
        <v/>
      </c>
      <c r="B591" t="str">
        <f>IF(A591="", "", VLOOKUP(A591, BASE!$A$4:$B$10003, 2, FALSE))</f>
        <v/>
      </c>
      <c r="C591" t="str">
        <f>IF(A591="", "", VLOOKUP(A591, BASE!$A$4:$C$10003, 3, FALSE))</f>
        <v/>
      </c>
      <c r="D591" t="str">
        <f>IF(A591="", "", VLOOKUP(A591, BASE!$A$4:$D$10003, 4, FALSE))</f>
        <v/>
      </c>
      <c r="E591" t="str">
        <f>IF(A591="", "", VLOOKUP(A591, BASE!$A$4:$E$10003, 5, FALSE))</f>
        <v/>
      </c>
      <c r="F591" t="str">
        <f t="shared" si="9"/>
        <v/>
      </c>
    </row>
    <row r="592" spans="1:6">
      <c r="A592" t="str">
        <f>IFERROR(INDEX(BASE!$A$4:$A$10003, SMALL(IF(BASE!$F$4:$F$10003="CARREGADO", ROW(BASE!$A$4:$A$10003)-ROW(BASE!$A$4)+1), ROW(A591))), "")</f>
        <v/>
      </c>
      <c r="B592" t="str">
        <f>IF(A592="", "", VLOOKUP(A592, BASE!$A$4:$B$10003, 2, FALSE))</f>
        <v/>
      </c>
      <c r="C592" t="str">
        <f>IF(A592="", "", VLOOKUP(A592, BASE!$A$4:$C$10003, 3, FALSE))</f>
        <v/>
      </c>
      <c r="D592" t="str">
        <f>IF(A592="", "", VLOOKUP(A592, BASE!$A$4:$D$10003, 4, FALSE))</f>
        <v/>
      </c>
      <c r="E592" t="str">
        <f>IF(A592="", "", VLOOKUP(A592, BASE!$A$4:$E$10003, 5, FALSE))</f>
        <v/>
      </c>
      <c r="F592" t="str">
        <f t="shared" si="9"/>
        <v/>
      </c>
    </row>
    <row r="593" spans="1:6">
      <c r="A593" t="str">
        <f>IFERROR(INDEX(BASE!$A$4:$A$10003, SMALL(IF(BASE!$F$4:$F$10003="CARREGADO", ROW(BASE!$A$4:$A$10003)-ROW(BASE!$A$4)+1), ROW(A592))), "")</f>
        <v/>
      </c>
      <c r="B593" t="str">
        <f>IF(A593="", "", VLOOKUP(A593, BASE!$A$4:$B$10003, 2, FALSE))</f>
        <v/>
      </c>
      <c r="C593" t="str">
        <f>IF(A593="", "", VLOOKUP(A593, BASE!$A$4:$C$10003, 3, FALSE))</f>
        <v/>
      </c>
      <c r="D593" t="str">
        <f>IF(A593="", "", VLOOKUP(A593, BASE!$A$4:$D$10003, 4, FALSE))</f>
        <v/>
      </c>
      <c r="E593" t="str">
        <f>IF(A593="", "", VLOOKUP(A593, BASE!$A$4:$E$10003, 5, FALSE))</f>
        <v/>
      </c>
      <c r="F593" t="str">
        <f t="shared" si="9"/>
        <v/>
      </c>
    </row>
    <row r="594" spans="1:6">
      <c r="A594" t="str">
        <f>IFERROR(INDEX(BASE!$A$4:$A$10003, SMALL(IF(BASE!$F$4:$F$10003="CARREGADO", ROW(BASE!$A$4:$A$10003)-ROW(BASE!$A$4)+1), ROW(A593))), "")</f>
        <v/>
      </c>
      <c r="B594" t="str">
        <f>IF(A594="", "", VLOOKUP(A594, BASE!$A$4:$B$10003, 2, FALSE))</f>
        <v/>
      </c>
      <c r="C594" t="str">
        <f>IF(A594="", "", VLOOKUP(A594, BASE!$A$4:$C$10003, 3, FALSE))</f>
        <v/>
      </c>
      <c r="D594" t="str">
        <f>IF(A594="", "", VLOOKUP(A594, BASE!$A$4:$D$10003, 4, FALSE))</f>
        <v/>
      </c>
      <c r="E594" t="str">
        <f>IF(A594="", "", VLOOKUP(A594, BASE!$A$4:$E$10003, 5, FALSE))</f>
        <v/>
      </c>
      <c r="F594" t="str">
        <f t="shared" si="9"/>
        <v/>
      </c>
    </row>
    <row r="595" spans="1:6">
      <c r="A595" t="str">
        <f>IFERROR(INDEX(BASE!$A$4:$A$10003, SMALL(IF(BASE!$F$4:$F$10003="CARREGADO", ROW(BASE!$A$4:$A$10003)-ROW(BASE!$A$4)+1), ROW(A594))), "")</f>
        <v/>
      </c>
      <c r="B595" t="str">
        <f>IF(A595="", "", VLOOKUP(A595, BASE!$A$4:$B$10003, 2, FALSE))</f>
        <v/>
      </c>
      <c r="C595" t="str">
        <f>IF(A595="", "", VLOOKUP(A595, BASE!$A$4:$C$10003, 3, FALSE))</f>
        <v/>
      </c>
      <c r="D595" t="str">
        <f>IF(A595="", "", VLOOKUP(A595, BASE!$A$4:$D$10003, 4, FALSE))</f>
        <v/>
      </c>
      <c r="E595" t="str">
        <f>IF(A595="", "", VLOOKUP(A595, BASE!$A$4:$E$10003, 5, FALSE))</f>
        <v/>
      </c>
      <c r="F595" t="str">
        <f t="shared" si="9"/>
        <v/>
      </c>
    </row>
    <row r="596" spans="1:6">
      <c r="A596" t="str">
        <f>IFERROR(INDEX(BASE!$A$4:$A$10003, SMALL(IF(BASE!$F$4:$F$10003="CARREGADO", ROW(BASE!$A$4:$A$10003)-ROW(BASE!$A$4)+1), ROW(A595))), "")</f>
        <v/>
      </c>
      <c r="B596" t="str">
        <f>IF(A596="", "", VLOOKUP(A596, BASE!$A$4:$B$10003, 2, FALSE))</f>
        <v/>
      </c>
      <c r="C596" t="str">
        <f>IF(A596="", "", VLOOKUP(A596, BASE!$A$4:$C$10003, 3, FALSE))</f>
        <v/>
      </c>
      <c r="D596" t="str">
        <f>IF(A596="", "", VLOOKUP(A596, BASE!$A$4:$D$10003, 4, FALSE))</f>
        <v/>
      </c>
      <c r="E596" t="str">
        <f>IF(A596="", "", VLOOKUP(A596, BASE!$A$4:$E$10003, 5, FALSE))</f>
        <v/>
      </c>
      <c r="F596" t="str">
        <f t="shared" si="9"/>
        <v/>
      </c>
    </row>
    <row r="597" spans="1:6">
      <c r="A597" t="str">
        <f>IFERROR(INDEX(BASE!$A$4:$A$10003, SMALL(IF(BASE!$F$4:$F$10003="CARREGADO", ROW(BASE!$A$4:$A$10003)-ROW(BASE!$A$4)+1), ROW(A596))), "")</f>
        <v/>
      </c>
      <c r="B597" t="str">
        <f>IF(A597="", "", VLOOKUP(A597, BASE!$A$4:$B$10003, 2, FALSE))</f>
        <v/>
      </c>
      <c r="C597" t="str">
        <f>IF(A597="", "", VLOOKUP(A597, BASE!$A$4:$C$10003, 3, FALSE))</f>
        <v/>
      </c>
      <c r="D597" t="str">
        <f>IF(A597="", "", VLOOKUP(A597, BASE!$A$4:$D$10003, 4, FALSE))</f>
        <v/>
      </c>
      <c r="E597" t="str">
        <f>IF(A597="", "", VLOOKUP(A597, BASE!$A$4:$E$10003, 5, FALSE))</f>
        <v/>
      </c>
      <c r="F597" t="str">
        <f t="shared" si="9"/>
        <v/>
      </c>
    </row>
    <row r="598" spans="1:6">
      <c r="A598" t="str">
        <f>IFERROR(INDEX(BASE!$A$4:$A$10003, SMALL(IF(BASE!$F$4:$F$10003="CARREGADO", ROW(BASE!$A$4:$A$10003)-ROW(BASE!$A$4)+1), ROW(A597))), "")</f>
        <v/>
      </c>
      <c r="B598" t="str">
        <f>IF(A598="", "", VLOOKUP(A598, BASE!$A$4:$B$10003, 2, FALSE))</f>
        <v/>
      </c>
      <c r="C598" t="str">
        <f>IF(A598="", "", VLOOKUP(A598, BASE!$A$4:$C$10003, 3, FALSE))</f>
        <v/>
      </c>
      <c r="D598" t="str">
        <f>IF(A598="", "", VLOOKUP(A598, BASE!$A$4:$D$10003, 4, FALSE))</f>
        <v/>
      </c>
      <c r="E598" t="str">
        <f>IF(A598="", "", VLOOKUP(A598, BASE!$A$4:$E$10003, 5, FALSE))</f>
        <v/>
      </c>
      <c r="F598" t="str">
        <f t="shared" si="9"/>
        <v/>
      </c>
    </row>
    <row r="599" spans="1:6">
      <c r="A599" t="str">
        <f>IFERROR(INDEX(BASE!$A$4:$A$10003, SMALL(IF(BASE!$F$4:$F$10003="CARREGADO", ROW(BASE!$A$4:$A$10003)-ROW(BASE!$A$4)+1), ROW(A598))), "")</f>
        <v/>
      </c>
      <c r="B599" t="str">
        <f>IF(A599="", "", VLOOKUP(A599, BASE!$A$4:$B$10003, 2, FALSE))</f>
        <v/>
      </c>
      <c r="C599" t="str">
        <f>IF(A599="", "", VLOOKUP(A599, BASE!$A$4:$C$10003, 3, FALSE))</f>
        <v/>
      </c>
      <c r="D599" t="str">
        <f>IF(A599="", "", VLOOKUP(A599, BASE!$A$4:$D$10003, 4, FALSE))</f>
        <v/>
      </c>
      <c r="E599" t="str">
        <f>IF(A599="", "", VLOOKUP(A599, BASE!$A$4:$E$10003, 5, FALSE))</f>
        <v/>
      </c>
      <c r="F599" t="str">
        <f t="shared" si="9"/>
        <v/>
      </c>
    </row>
    <row r="600" spans="1:6">
      <c r="A600" t="str">
        <f>IFERROR(INDEX(BASE!$A$4:$A$10003, SMALL(IF(BASE!$F$4:$F$10003="CARREGADO", ROW(BASE!$A$4:$A$10003)-ROW(BASE!$A$4)+1), ROW(A599))), "")</f>
        <v/>
      </c>
      <c r="B600" t="str">
        <f>IF(A600="", "", VLOOKUP(A600, BASE!$A$4:$B$10003, 2, FALSE))</f>
        <v/>
      </c>
      <c r="C600" t="str">
        <f>IF(A600="", "", VLOOKUP(A600, BASE!$A$4:$C$10003, 3, FALSE))</f>
        <v/>
      </c>
      <c r="D600" t="str">
        <f>IF(A600="", "", VLOOKUP(A600, BASE!$A$4:$D$10003, 4, FALSE))</f>
        <v/>
      </c>
      <c r="E600" t="str">
        <f>IF(A600="", "", VLOOKUP(A600, BASE!$A$4:$E$10003, 5, FALSE))</f>
        <v/>
      </c>
      <c r="F600" t="str">
        <f t="shared" si="9"/>
        <v/>
      </c>
    </row>
    <row r="601" spans="1:6">
      <c r="A601" t="str">
        <f>IFERROR(INDEX(BASE!$A$4:$A$10003, SMALL(IF(BASE!$F$4:$F$10003="CARREGADO", ROW(BASE!$A$4:$A$10003)-ROW(BASE!$A$4)+1), ROW(A600))), "")</f>
        <v/>
      </c>
      <c r="B601" t="str">
        <f>IF(A601="", "", VLOOKUP(A601, BASE!$A$4:$B$10003, 2, FALSE))</f>
        <v/>
      </c>
      <c r="C601" t="str">
        <f>IF(A601="", "", VLOOKUP(A601, BASE!$A$4:$C$10003, 3, FALSE))</f>
        <v/>
      </c>
      <c r="D601" t="str">
        <f>IF(A601="", "", VLOOKUP(A601, BASE!$A$4:$D$10003, 4, FALSE))</f>
        <v/>
      </c>
      <c r="E601" t="str">
        <f>IF(A601="", "", VLOOKUP(A601, BASE!$A$4:$E$10003, 5, FALSE))</f>
        <v/>
      </c>
      <c r="F601" t="str">
        <f t="shared" si="9"/>
        <v/>
      </c>
    </row>
    <row r="602" spans="1:6">
      <c r="A602" t="str">
        <f>IFERROR(INDEX(BASE!$A$4:$A$10003, SMALL(IF(BASE!$F$4:$F$10003="CARREGADO", ROW(BASE!$A$4:$A$10003)-ROW(BASE!$A$4)+1), ROW(A601))), "")</f>
        <v/>
      </c>
      <c r="B602" t="str">
        <f>IF(A602="", "", VLOOKUP(A602, BASE!$A$4:$B$10003, 2, FALSE))</f>
        <v/>
      </c>
      <c r="C602" t="str">
        <f>IF(A602="", "", VLOOKUP(A602, BASE!$A$4:$C$10003, 3, FALSE))</f>
        <v/>
      </c>
      <c r="D602" t="str">
        <f>IF(A602="", "", VLOOKUP(A602, BASE!$A$4:$D$10003, 4, FALSE))</f>
        <v/>
      </c>
      <c r="E602" t="str">
        <f>IF(A602="", "", VLOOKUP(A602, BASE!$A$4:$E$10003, 5, FALSE))</f>
        <v/>
      </c>
      <c r="F602" t="str">
        <f t="shared" si="9"/>
        <v/>
      </c>
    </row>
    <row r="603" spans="1:6">
      <c r="A603" t="str">
        <f>IFERROR(INDEX(BASE!$A$4:$A$10003, SMALL(IF(BASE!$F$4:$F$10003="CARREGADO", ROW(BASE!$A$4:$A$10003)-ROW(BASE!$A$4)+1), ROW(A602))), "")</f>
        <v/>
      </c>
      <c r="B603" t="str">
        <f>IF(A603="", "", VLOOKUP(A603, BASE!$A$4:$B$10003, 2, FALSE))</f>
        <v/>
      </c>
      <c r="C603" t="str">
        <f>IF(A603="", "", VLOOKUP(A603, BASE!$A$4:$C$10003, 3, FALSE))</f>
        <v/>
      </c>
      <c r="D603" t="str">
        <f>IF(A603="", "", VLOOKUP(A603, BASE!$A$4:$D$10003, 4, FALSE))</f>
        <v/>
      </c>
      <c r="E603" t="str">
        <f>IF(A603="", "", VLOOKUP(A603, BASE!$A$4:$E$10003, 5, FALSE))</f>
        <v/>
      </c>
      <c r="F603" t="str">
        <f t="shared" si="9"/>
        <v/>
      </c>
    </row>
    <row r="604" spans="1:6">
      <c r="A604" t="str">
        <f>IFERROR(INDEX(BASE!$A$4:$A$10003, SMALL(IF(BASE!$F$4:$F$10003="CARREGADO", ROW(BASE!$A$4:$A$10003)-ROW(BASE!$A$4)+1), ROW(A603))), "")</f>
        <v/>
      </c>
      <c r="B604" t="str">
        <f>IF(A604="", "", VLOOKUP(A604, BASE!$A$4:$B$10003, 2, FALSE))</f>
        <v/>
      </c>
      <c r="C604" t="str">
        <f>IF(A604="", "", VLOOKUP(A604, BASE!$A$4:$C$10003, 3, FALSE))</f>
        <v/>
      </c>
      <c r="D604" t="str">
        <f>IF(A604="", "", VLOOKUP(A604, BASE!$A$4:$D$10003, 4, FALSE))</f>
        <v/>
      </c>
      <c r="E604" t="str">
        <f>IF(A604="", "", VLOOKUP(A604, BASE!$A$4:$E$10003, 5, FALSE))</f>
        <v/>
      </c>
      <c r="F604" t="str">
        <f t="shared" si="9"/>
        <v/>
      </c>
    </row>
    <row r="605" spans="1:6">
      <c r="A605" t="str">
        <f>IFERROR(INDEX(BASE!$A$4:$A$10003, SMALL(IF(BASE!$F$4:$F$10003="CARREGADO", ROW(BASE!$A$4:$A$10003)-ROW(BASE!$A$4)+1), ROW(A604))), "")</f>
        <v/>
      </c>
      <c r="B605" t="str">
        <f>IF(A605="", "", VLOOKUP(A605, BASE!$A$4:$B$10003, 2, FALSE))</f>
        <v/>
      </c>
      <c r="C605" t="str">
        <f>IF(A605="", "", VLOOKUP(A605, BASE!$A$4:$C$10003, 3, FALSE))</f>
        <v/>
      </c>
      <c r="D605" t="str">
        <f>IF(A605="", "", VLOOKUP(A605, BASE!$A$4:$D$10003, 4, FALSE))</f>
        <v/>
      </c>
      <c r="E605" t="str">
        <f>IF(A605="", "", VLOOKUP(A605, BASE!$A$4:$E$10003, 5, FALSE))</f>
        <v/>
      </c>
      <c r="F605" t="str">
        <f t="shared" si="9"/>
        <v/>
      </c>
    </row>
    <row r="606" spans="1:6">
      <c r="A606" t="str">
        <f>IFERROR(INDEX(BASE!$A$4:$A$10003, SMALL(IF(BASE!$F$4:$F$10003="CARREGADO", ROW(BASE!$A$4:$A$10003)-ROW(BASE!$A$4)+1), ROW(A605))), "")</f>
        <v/>
      </c>
      <c r="B606" t="str">
        <f>IF(A606="", "", VLOOKUP(A606, BASE!$A$4:$B$10003, 2, FALSE))</f>
        <v/>
      </c>
      <c r="C606" t="str">
        <f>IF(A606="", "", VLOOKUP(A606, BASE!$A$4:$C$10003, 3, FALSE))</f>
        <v/>
      </c>
      <c r="D606" t="str">
        <f>IF(A606="", "", VLOOKUP(A606, BASE!$A$4:$D$10003, 4, FALSE))</f>
        <v/>
      </c>
      <c r="E606" t="str">
        <f>IF(A606="", "", VLOOKUP(A606, BASE!$A$4:$E$10003, 5, FALSE))</f>
        <v/>
      </c>
      <c r="F606" t="str">
        <f t="shared" si="9"/>
        <v/>
      </c>
    </row>
    <row r="607" spans="1:6">
      <c r="A607" t="str">
        <f>IFERROR(INDEX(BASE!$A$4:$A$10003, SMALL(IF(BASE!$F$4:$F$10003="CARREGADO", ROW(BASE!$A$4:$A$10003)-ROW(BASE!$A$4)+1), ROW(A606))), "")</f>
        <v/>
      </c>
      <c r="B607" t="str">
        <f>IF(A607="", "", VLOOKUP(A607, BASE!$A$4:$B$10003, 2, FALSE))</f>
        <v/>
      </c>
      <c r="C607" t="str">
        <f>IF(A607="", "", VLOOKUP(A607, BASE!$A$4:$C$10003, 3, FALSE))</f>
        <v/>
      </c>
      <c r="D607" t="str">
        <f>IF(A607="", "", VLOOKUP(A607, BASE!$A$4:$D$10003, 4, FALSE))</f>
        <v/>
      </c>
      <c r="E607" t="str">
        <f>IF(A607="", "", VLOOKUP(A607, BASE!$A$4:$E$10003, 5, FALSE))</f>
        <v/>
      </c>
      <c r="F607" t="str">
        <f t="shared" si="9"/>
        <v/>
      </c>
    </row>
    <row r="608" spans="1:6">
      <c r="A608" t="str">
        <f>IFERROR(INDEX(BASE!$A$4:$A$10003, SMALL(IF(BASE!$F$4:$F$10003="CARREGADO", ROW(BASE!$A$4:$A$10003)-ROW(BASE!$A$4)+1), ROW(A607))), "")</f>
        <v/>
      </c>
      <c r="B608" t="str">
        <f>IF(A608="", "", VLOOKUP(A608, BASE!$A$4:$B$10003, 2, FALSE))</f>
        <v/>
      </c>
      <c r="C608" t="str">
        <f>IF(A608="", "", VLOOKUP(A608, BASE!$A$4:$C$10003, 3, FALSE))</f>
        <v/>
      </c>
      <c r="D608" t="str">
        <f>IF(A608="", "", VLOOKUP(A608, BASE!$A$4:$D$10003, 4, FALSE))</f>
        <v/>
      </c>
      <c r="E608" t="str">
        <f>IF(A608="", "", VLOOKUP(A608, BASE!$A$4:$E$10003, 5, FALSE))</f>
        <v/>
      </c>
      <c r="F608" t="str">
        <f t="shared" si="9"/>
        <v/>
      </c>
    </row>
    <row r="609" spans="1:6">
      <c r="A609" t="str">
        <f>IFERROR(INDEX(BASE!$A$4:$A$10003, SMALL(IF(BASE!$F$4:$F$10003="CARREGADO", ROW(BASE!$A$4:$A$10003)-ROW(BASE!$A$4)+1), ROW(A608))), "")</f>
        <v/>
      </c>
      <c r="B609" t="str">
        <f>IF(A609="", "", VLOOKUP(A609, BASE!$A$4:$B$10003, 2, FALSE))</f>
        <v/>
      </c>
      <c r="C609" t="str">
        <f>IF(A609="", "", VLOOKUP(A609, BASE!$A$4:$C$10003, 3, FALSE))</f>
        <v/>
      </c>
      <c r="D609" t="str">
        <f>IF(A609="", "", VLOOKUP(A609, BASE!$A$4:$D$10003, 4, FALSE))</f>
        <v/>
      </c>
      <c r="E609" t="str">
        <f>IF(A609="", "", VLOOKUP(A609, BASE!$A$4:$E$10003, 5, FALSE))</f>
        <v/>
      </c>
      <c r="F609" t="str">
        <f t="shared" si="9"/>
        <v/>
      </c>
    </row>
    <row r="610" spans="1:6">
      <c r="A610" t="str">
        <f>IFERROR(INDEX(BASE!$A$4:$A$10003, SMALL(IF(BASE!$F$4:$F$10003="CARREGADO", ROW(BASE!$A$4:$A$10003)-ROW(BASE!$A$4)+1), ROW(A609))), "")</f>
        <v/>
      </c>
      <c r="B610" t="str">
        <f>IF(A610="", "", VLOOKUP(A610, BASE!$A$4:$B$10003, 2, FALSE))</f>
        <v/>
      </c>
      <c r="C610" t="str">
        <f>IF(A610="", "", VLOOKUP(A610, BASE!$A$4:$C$10003, 3, FALSE))</f>
        <v/>
      </c>
      <c r="D610" t="str">
        <f>IF(A610="", "", VLOOKUP(A610, BASE!$A$4:$D$10003, 4, FALSE))</f>
        <v/>
      </c>
      <c r="E610" t="str">
        <f>IF(A610="", "", VLOOKUP(A610, BASE!$A$4:$E$10003, 5, FALSE))</f>
        <v/>
      </c>
      <c r="F610" t="str">
        <f t="shared" si="9"/>
        <v/>
      </c>
    </row>
    <row r="611" spans="1:6">
      <c r="A611" t="str">
        <f>IFERROR(INDEX(BASE!$A$4:$A$10003, SMALL(IF(BASE!$F$4:$F$10003="CARREGADO", ROW(BASE!$A$4:$A$10003)-ROW(BASE!$A$4)+1), ROW(A610))), "")</f>
        <v/>
      </c>
      <c r="B611" t="str">
        <f>IF(A611="", "", VLOOKUP(A611, BASE!$A$4:$B$10003, 2, FALSE))</f>
        <v/>
      </c>
      <c r="C611" t="str">
        <f>IF(A611="", "", VLOOKUP(A611, BASE!$A$4:$C$10003, 3, FALSE))</f>
        <v/>
      </c>
      <c r="D611" t="str">
        <f>IF(A611="", "", VLOOKUP(A611, BASE!$A$4:$D$10003, 4, FALSE))</f>
        <v/>
      </c>
      <c r="E611" t="str">
        <f>IF(A611="", "", VLOOKUP(A611, BASE!$A$4:$E$10003, 5, FALSE))</f>
        <v/>
      </c>
      <c r="F611" t="str">
        <f t="shared" si="9"/>
        <v/>
      </c>
    </row>
    <row r="612" spans="1:6">
      <c r="A612" t="str">
        <f>IFERROR(INDEX(BASE!$A$4:$A$10003, SMALL(IF(BASE!$F$4:$F$10003="CARREGADO", ROW(BASE!$A$4:$A$10003)-ROW(BASE!$A$4)+1), ROW(A611))), "")</f>
        <v/>
      </c>
      <c r="B612" t="str">
        <f>IF(A612="", "", VLOOKUP(A612, BASE!$A$4:$B$10003, 2, FALSE))</f>
        <v/>
      </c>
      <c r="C612" t="str">
        <f>IF(A612="", "", VLOOKUP(A612, BASE!$A$4:$C$10003, 3, FALSE))</f>
        <v/>
      </c>
      <c r="D612" t="str">
        <f>IF(A612="", "", VLOOKUP(A612, BASE!$A$4:$D$10003, 4, FALSE))</f>
        <v/>
      </c>
      <c r="E612" t="str">
        <f>IF(A612="", "", VLOOKUP(A612, BASE!$A$4:$E$10003, 5, FALSE))</f>
        <v/>
      </c>
      <c r="F612" t="str">
        <f t="shared" si="9"/>
        <v/>
      </c>
    </row>
    <row r="613" spans="1:6">
      <c r="A613" t="str">
        <f>IFERROR(INDEX(BASE!$A$4:$A$10003, SMALL(IF(BASE!$F$4:$F$10003="CARREGADO", ROW(BASE!$A$4:$A$10003)-ROW(BASE!$A$4)+1), ROW(A612))), "")</f>
        <v/>
      </c>
      <c r="B613" t="str">
        <f>IF(A613="", "", VLOOKUP(A613, BASE!$A$4:$B$10003, 2, FALSE))</f>
        <v/>
      </c>
      <c r="C613" t="str">
        <f>IF(A613="", "", VLOOKUP(A613, BASE!$A$4:$C$10003, 3, FALSE))</f>
        <v/>
      </c>
      <c r="D613" t="str">
        <f>IF(A613="", "", VLOOKUP(A613, BASE!$A$4:$D$10003, 4, FALSE))</f>
        <v/>
      </c>
      <c r="E613" t="str">
        <f>IF(A613="", "", VLOOKUP(A613, BASE!$A$4:$E$10003, 5, FALSE))</f>
        <v/>
      </c>
      <c r="F613" t="str">
        <f t="shared" si="9"/>
        <v/>
      </c>
    </row>
    <row r="614" spans="1:6">
      <c r="A614" t="str">
        <f>IFERROR(INDEX(BASE!$A$4:$A$10003, SMALL(IF(BASE!$F$4:$F$10003="CARREGADO", ROW(BASE!$A$4:$A$10003)-ROW(BASE!$A$4)+1), ROW(A613))), "")</f>
        <v/>
      </c>
      <c r="B614" t="str">
        <f>IF(A614="", "", VLOOKUP(A614, BASE!$A$4:$B$10003, 2, FALSE))</f>
        <v/>
      </c>
      <c r="C614" t="str">
        <f>IF(A614="", "", VLOOKUP(A614, BASE!$A$4:$C$10003, 3, FALSE))</f>
        <v/>
      </c>
      <c r="D614" t="str">
        <f>IF(A614="", "", VLOOKUP(A614, BASE!$A$4:$D$10003, 4, FALSE))</f>
        <v/>
      </c>
      <c r="E614" t="str">
        <f>IF(A614="", "", VLOOKUP(A614, BASE!$A$4:$E$10003, 5, FALSE))</f>
        <v/>
      </c>
      <c r="F614" t="str">
        <f t="shared" si="9"/>
        <v/>
      </c>
    </row>
    <row r="615" spans="1:6">
      <c r="A615" t="str">
        <f>IFERROR(INDEX(BASE!$A$4:$A$10003, SMALL(IF(BASE!$F$4:$F$10003="CARREGADO", ROW(BASE!$A$4:$A$10003)-ROW(BASE!$A$4)+1), ROW(A614))), "")</f>
        <v/>
      </c>
      <c r="B615" t="str">
        <f>IF(A615="", "", VLOOKUP(A615, BASE!$A$4:$B$10003, 2, FALSE))</f>
        <v/>
      </c>
      <c r="C615" t="str">
        <f>IF(A615="", "", VLOOKUP(A615, BASE!$A$4:$C$10003, 3, FALSE))</f>
        <v/>
      </c>
      <c r="D615" t="str">
        <f>IF(A615="", "", VLOOKUP(A615, BASE!$A$4:$D$10003, 4, FALSE))</f>
        <v/>
      </c>
      <c r="E615" t="str">
        <f>IF(A615="", "", VLOOKUP(A615, BASE!$A$4:$E$10003, 5, FALSE))</f>
        <v/>
      </c>
      <c r="F615" t="str">
        <f t="shared" si="9"/>
        <v/>
      </c>
    </row>
    <row r="616" spans="1:6">
      <c r="A616" t="str">
        <f>IFERROR(INDEX(BASE!$A$4:$A$10003, SMALL(IF(BASE!$F$4:$F$10003="CARREGADO", ROW(BASE!$A$4:$A$10003)-ROW(BASE!$A$4)+1), ROW(A615))), "")</f>
        <v/>
      </c>
      <c r="B616" t="str">
        <f>IF(A616="", "", VLOOKUP(A616, BASE!$A$4:$B$10003, 2, FALSE))</f>
        <v/>
      </c>
      <c r="C616" t="str">
        <f>IF(A616="", "", VLOOKUP(A616, BASE!$A$4:$C$10003, 3, FALSE))</f>
        <v/>
      </c>
      <c r="D616" t="str">
        <f>IF(A616="", "", VLOOKUP(A616, BASE!$A$4:$D$10003, 4, FALSE))</f>
        <v/>
      </c>
      <c r="E616" t="str">
        <f>IF(A616="", "", VLOOKUP(A616, BASE!$A$4:$E$10003, 5, FALSE))</f>
        <v/>
      </c>
      <c r="F616" t="str">
        <f t="shared" si="9"/>
        <v/>
      </c>
    </row>
    <row r="617" spans="1:6">
      <c r="A617" t="str">
        <f>IFERROR(INDEX(BASE!$A$4:$A$10003, SMALL(IF(BASE!$F$4:$F$10003="CARREGADO", ROW(BASE!$A$4:$A$10003)-ROW(BASE!$A$4)+1), ROW(A616))), "")</f>
        <v/>
      </c>
      <c r="B617" t="str">
        <f>IF(A617="", "", VLOOKUP(A617, BASE!$A$4:$B$10003, 2, FALSE))</f>
        <v/>
      </c>
      <c r="C617" t="str">
        <f>IF(A617="", "", VLOOKUP(A617, BASE!$A$4:$C$10003, 3, FALSE))</f>
        <v/>
      </c>
      <c r="D617" t="str">
        <f>IF(A617="", "", VLOOKUP(A617, BASE!$A$4:$D$10003, 4, FALSE))</f>
        <v/>
      </c>
      <c r="E617" t="str">
        <f>IF(A617="", "", VLOOKUP(A617, BASE!$A$4:$E$10003, 5, FALSE))</f>
        <v/>
      </c>
      <c r="F617" t="str">
        <f t="shared" si="9"/>
        <v/>
      </c>
    </row>
    <row r="618" spans="1:6">
      <c r="A618" t="str">
        <f>IFERROR(INDEX(BASE!$A$4:$A$10003, SMALL(IF(BASE!$F$4:$F$10003="CARREGADO", ROW(BASE!$A$4:$A$10003)-ROW(BASE!$A$4)+1), ROW(A617))), "")</f>
        <v/>
      </c>
      <c r="B618" t="str">
        <f>IF(A618="", "", VLOOKUP(A618, BASE!$A$4:$B$10003, 2, FALSE))</f>
        <v/>
      </c>
      <c r="C618" t="str">
        <f>IF(A618="", "", VLOOKUP(A618, BASE!$A$4:$C$10003, 3, FALSE))</f>
        <v/>
      </c>
      <c r="D618" t="str">
        <f>IF(A618="", "", VLOOKUP(A618, BASE!$A$4:$D$10003, 4, FALSE))</f>
        <v/>
      </c>
      <c r="E618" t="str">
        <f>IF(A618="", "", VLOOKUP(A618, BASE!$A$4:$E$10003, 5, FALSE))</f>
        <v/>
      </c>
      <c r="F618" t="str">
        <f t="shared" si="9"/>
        <v/>
      </c>
    </row>
    <row r="619" spans="1:6">
      <c r="A619" t="str">
        <f>IFERROR(INDEX(BASE!$A$4:$A$10003, SMALL(IF(BASE!$F$4:$F$10003="CARREGADO", ROW(BASE!$A$4:$A$10003)-ROW(BASE!$A$4)+1), ROW(A618))), "")</f>
        <v/>
      </c>
      <c r="B619" t="str">
        <f>IF(A619="", "", VLOOKUP(A619, BASE!$A$4:$B$10003, 2, FALSE))</f>
        <v/>
      </c>
      <c r="C619" t="str">
        <f>IF(A619="", "", VLOOKUP(A619, BASE!$A$4:$C$10003, 3, FALSE))</f>
        <v/>
      </c>
      <c r="D619" t="str">
        <f>IF(A619="", "", VLOOKUP(A619, BASE!$A$4:$D$10003, 4, FALSE))</f>
        <v/>
      </c>
      <c r="E619" t="str">
        <f>IF(A619="", "", VLOOKUP(A619, BASE!$A$4:$E$10003, 5, FALSE))</f>
        <v/>
      </c>
      <c r="F619" t="str">
        <f t="shared" si="9"/>
        <v/>
      </c>
    </row>
    <row r="620" spans="1:6">
      <c r="A620" t="str">
        <f>IFERROR(INDEX(BASE!$A$4:$A$10003, SMALL(IF(BASE!$F$4:$F$10003="CARREGADO", ROW(BASE!$A$4:$A$10003)-ROW(BASE!$A$4)+1), ROW(A619))), "")</f>
        <v/>
      </c>
      <c r="B620" t="str">
        <f>IF(A620="", "", VLOOKUP(A620, BASE!$A$4:$B$10003, 2, FALSE))</f>
        <v/>
      </c>
      <c r="C620" t="str">
        <f>IF(A620="", "", VLOOKUP(A620, BASE!$A$4:$C$10003, 3, FALSE))</f>
        <v/>
      </c>
      <c r="D620" t="str">
        <f>IF(A620="", "", VLOOKUP(A620, BASE!$A$4:$D$10003, 4, FALSE))</f>
        <v/>
      </c>
      <c r="E620" t="str">
        <f>IF(A620="", "", VLOOKUP(A620, BASE!$A$4:$E$10003, 5, FALSE))</f>
        <v/>
      </c>
      <c r="F620" t="str">
        <f t="shared" si="9"/>
        <v/>
      </c>
    </row>
    <row r="621" spans="1:6">
      <c r="A621" t="str">
        <f>IFERROR(INDEX(BASE!$A$4:$A$10003, SMALL(IF(BASE!$F$4:$F$10003="CARREGADO", ROW(BASE!$A$4:$A$10003)-ROW(BASE!$A$4)+1), ROW(A620))), "")</f>
        <v/>
      </c>
      <c r="B621" t="str">
        <f>IF(A621="", "", VLOOKUP(A621, BASE!$A$4:$B$10003, 2, FALSE))</f>
        <v/>
      </c>
      <c r="C621" t="str">
        <f>IF(A621="", "", VLOOKUP(A621, BASE!$A$4:$C$10003, 3, FALSE))</f>
        <v/>
      </c>
      <c r="D621" t="str">
        <f>IF(A621="", "", VLOOKUP(A621, BASE!$A$4:$D$10003, 4, FALSE))</f>
        <v/>
      </c>
      <c r="E621" t="str">
        <f>IF(A621="", "", VLOOKUP(A621, BASE!$A$4:$E$10003, 5, FALSE))</f>
        <v/>
      </c>
      <c r="F621" t="str">
        <f t="shared" si="9"/>
        <v/>
      </c>
    </row>
    <row r="622" spans="1:6">
      <c r="A622" t="str">
        <f>IFERROR(INDEX(BASE!$A$4:$A$10003, SMALL(IF(BASE!$F$4:$F$10003="CARREGADO", ROW(BASE!$A$4:$A$10003)-ROW(BASE!$A$4)+1), ROW(A621))), "")</f>
        <v/>
      </c>
      <c r="B622" t="str">
        <f>IF(A622="", "", VLOOKUP(A622, BASE!$A$4:$B$10003, 2, FALSE))</f>
        <v/>
      </c>
      <c r="C622" t="str">
        <f>IF(A622="", "", VLOOKUP(A622, BASE!$A$4:$C$10003, 3, FALSE))</f>
        <v/>
      </c>
      <c r="D622" t="str">
        <f>IF(A622="", "", VLOOKUP(A622, BASE!$A$4:$D$10003, 4, FALSE))</f>
        <v/>
      </c>
      <c r="E622" t="str">
        <f>IF(A622="", "", VLOOKUP(A622, BASE!$A$4:$E$10003, 5, FALSE))</f>
        <v/>
      </c>
      <c r="F622" t="str">
        <f t="shared" si="9"/>
        <v/>
      </c>
    </row>
    <row r="623" spans="1:6">
      <c r="A623" t="str">
        <f>IFERROR(INDEX(BASE!$A$4:$A$10003, SMALL(IF(BASE!$F$4:$F$10003="CARREGADO", ROW(BASE!$A$4:$A$10003)-ROW(BASE!$A$4)+1), ROW(A622))), "")</f>
        <v/>
      </c>
      <c r="B623" t="str">
        <f>IF(A623="", "", VLOOKUP(A623, BASE!$A$4:$B$10003, 2, FALSE))</f>
        <v/>
      </c>
      <c r="C623" t="str">
        <f>IF(A623="", "", VLOOKUP(A623, BASE!$A$4:$C$10003, 3, FALSE))</f>
        <v/>
      </c>
      <c r="D623" t="str">
        <f>IF(A623="", "", VLOOKUP(A623, BASE!$A$4:$D$10003, 4, FALSE))</f>
        <v/>
      </c>
      <c r="E623" t="str">
        <f>IF(A623="", "", VLOOKUP(A623, BASE!$A$4:$E$10003, 5, FALSE))</f>
        <v/>
      </c>
      <c r="F623" t="str">
        <f t="shared" si="9"/>
        <v/>
      </c>
    </row>
    <row r="624" spans="1:6">
      <c r="A624" t="str">
        <f>IFERROR(INDEX(BASE!$A$4:$A$10003, SMALL(IF(BASE!$F$4:$F$10003="CARREGADO", ROW(BASE!$A$4:$A$10003)-ROW(BASE!$A$4)+1), ROW(A623))), "")</f>
        <v/>
      </c>
      <c r="B624" t="str">
        <f>IF(A624="", "", VLOOKUP(A624, BASE!$A$4:$B$10003, 2, FALSE))</f>
        <v/>
      </c>
      <c r="C624" t="str">
        <f>IF(A624="", "", VLOOKUP(A624, BASE!$A$4:$C$10003, 3, FALSE))</f>
        <v/>
      </c>
      <c r="D624" t="str">
        <f>IF(A624="", "", VLOOKUP(A624, BASE!$A$4:$D$10003, 4, FALSE))</f>
        <v/>
      </c>
      <c r="E624" t="str">
        <f>IF(A624="", "", VLOOKUP(A624, BASE!$A$4:$E$10003, 5, FALSE))</f>
        <v/>
      </c>
      <c r="F624" t="str">
        <f t="shared" si="9"/>
        <v/>
      </c>
    </row>
    <row r="625" spans="1:6">
      <c r="A625" t="str">
        <f>IFERROR(INDEX(BASE!$A$4:$A$10003, SMALL(IF(BASE!$F$4:$F$10003="CARREGADO", ROW(BASE!$A$4:$A$10003)-ROW(BASE!$A$4)+1), ROW(A624))), "")</f>
        <v/>
      </c>
      <c r="B625" t="str">
        <f>IF(A625="", "", VLOOKUP(A625, BASE!$A$4:$B$10003, 2, FALSE))</f>
        <v/>
      </c>
      <c r="C625" t="str">
        <f>IF(A625="", "", VLOOKUP(A625, BASE!$A$4:$C$10003, 3, FALSE))</f>
        <v/>
      </c>
      <c r="D625" t="str">
        <f>IF(A625="", "", VLOOKUP(A625, BASE!$A$4:$D$10003, 4, FALSE))</f>
        <v/>
      </c>
      <c r="E625" t="str">
        <f>IF(A625="", "", VLOOKUP(A625, BASE!$A$4:$E$10003, 5, FALSE))</f>
        <v/>
      </c>
      <c r="F625" t="str">
        <f t="shared" si="9"/>
        <v/>
      </c>
    </row>
    <row r="626" spans="1:6">
      <c r="A626" t="str">
        <f>IFERROR(INDEX(BASE!$A$4:$A$10003, SMALL(IF(BASE!$F$4:$F$10003="CARREGADO", ROW(BASE!$A$4:$A$10003)-ROW(BASE!$A$4)+1), ROW(A625))), "")</f>
        <v/>
      </c>
      <c r="B626" t="str">
        <f>IF(A626="", "", VLOOKUP(A626, BASE!$A$4:$B$10003, 2, FALSE))</f>
        <v/>
      </c>
      <c r="C626" t="str">
        <f>IF(A626="", "", VLOOKUP(A626, BASE!$A$4:$C$10003, 3, FALSE))</f>
        <v/>
      </c>
      <c r="D626" t="str">
        <f>IF(A626="", "", VLOOKUP(A626, BASE!$A$4:$D$10003, 4, FALSE))</f>
        <v/>
      </c>
      <c r="E626" t="str">
        <f>IF(A626="", "", VLOOKUP(A626, BASE!$A$4:$E$10003, 5, FALSE))</f>
        <v/>
      </c>
      <c r="F626" t="str">
        <f t="shared" si="9"/>
        <v/>
      </c>
    </row>
    <row r="627" spans="1:6">
      <c r="A627" t="str">
        <f>IFERROR(INDEX(BASE!$A$4:$A$10003, SMALL(IF(BASE!$F$4:$F$10003="CARREGADO", ROW(BASE!$A$4:$A$10003)-ROW(BASE!$A$4)+1), ROW(A626))), "")</f>
        <v/>
      </c>
      <c r="B627" t="str">
        <f>IF(A627="", "", VLOOKUP(A627, BASE!$A$4:$B$10003, 2, FALSE))</f>
        <v/>
      </c>
      <c r="C627" t="str">
        <f>IF(A627="", "", VLOOKUP(A627, BASE!$A$4:$C$10003, 3, FALSE))</f>
        <v/>
      </c>
      <c r="D627" t="str">
        <f>IF(A627="", "", VLOOKUP(A627, BASE!$A$4:$D$10003, 4, FALSE))</f>
        <v/>
      </c>
      <c r="E627" t="str">
        <f>IF(A627="", "", VLOOKUP(A627, BASE!$A$4:$E$10003, 5, FALSE))</f>
        <v/>
      </c>
      <c r="F627" t="str">
        <f t="shared" si="9"/>
        <v/>
      </c>
    </row>
    <row r="628" spans="1:6">
      <c r="A628" t="str">
        <f>IFERROR(INDEX(BASE!$A$4:$A$10003, SMALL(IF(BASE!$F$4:$F$10003="CARREGADO", ROW(BASE!$A$4:$A$10003)-ROW(BASE!$A$4)+1), ROW(A627))), "")</f>
        <v/>
      </c>
      <c r="B628" t="str">
        <f>IF(A628="", "", VLOOKUP(A628, BASE!$A$4:$B$10003, 2, FALSE))</f>
        <v/>
      </c>
      <c r="C628" t="str">
        <f>IF(A628="", "", VLOOKUP(A628, BASE!$A$4:$C$10003, 3, FALSE))</f>
        <v/>
      </c>
      <c r="D628" t="str">
        <f>IF(A628="", "", VLOOKUP(A628, BASE!$A$4:$D$10003, 4, FALSE))</f>
        <v/>
      </c>
      <c r="E628" t="str">
        <f>IF(A628="", "", VLOOKUP(A628, BASE!$A$4:$E$10003, 5, FALSE))</f>
        <v/>
      </c>
      <c r="F628" t="str">
        <f t="shared" si="9"/>
        <v/>
      </c>
    </row>
    <row r="629" spans="1:6">
      <c r="A629" t="str">
        <f>IFERROR(INDEX(BASE!$A$4:$A$10003, SMALL(IF(BASE!$F$4:$F$10003="CARREGADO", ROW(BASE!$A$4:$A$10003)-ROW(BASE!$A$4)+1), ROW(A628))), "")</f>
        <v/>
      </c>
      <c r="B629" t="str">
        <f>IF(A629="", "", VLOOKUP(A629, BASE!$A$4:$B$10003, 2, FALSE))</f>
        <v/>
      </c>
      <c r="C629" t="str">
        <f>IF(A629="", "", VLOOKUP(A629, BASE!$A$4:$C$10003, 3, FALSE))</f>
        <v/>
      </c>
      <c r="D629" t="str">
        <f>IF(A629="", "", VLOOKUP(A629, BASE!$A$4:$D$10003, 4, FALSE))</f>
        <v/>
      </c>
      <c r="E629" t="str">
        <f>IF(A629="", "", VLOOKUP(A629, BASE!$A$4:$E$10003, 5, FALSE))</f>
        <v/>
      </c>
      <c r="F629" t="str">
        <f t="shared" si="9"/>
        <v/>
      </c>
    </row>
    <row r="630" spans="1:6">
      <c r="A630" t="str">
        <f>IFERROR(INDEX(BASE!$A$4:$A$10003, SMALL(IF(BASE!$F$4:$F$10003="CARREGADO", ROW(BASE!$A$4:$A$10003)-ROW(BASE!$A$4)+1), ROW(A629))), "")</f>
        <v/>
      </c>
      <c r="B630" t="str">
        <f>IF(A630="", "", VLOOKUP(A630, BASE!$A$4:$B$10003, 2, FALSE))</f>
        <v/>
      </c>
      <c r="C630" t="str">
        <f>IF(A630="", "", VLOOKUP(A630, BASE!$A$4:$C$10003, 3, FALSE))</f>
        <v/>
      </c>
      <c r="D630" t="str">
        <f>IF(A630="", "", VLOOKUP(A630, BASE!$A$4:$D$10003, 4, FALSE))</f>
        <v/>
      </c>
      <c r="E630" t="str">
        <f>IF(A630="", "", VLOOKUP(A630, BASE!$A$4:$E$10003, 5, FALSE))</f>
        <v/>
      </c>
      <c r="F630" t="str">
        <f t="shared" si="9"/>
        <v/>
      </c>
    </row>
    <row r="631" spans="1:6">
      <c r="A631" t="str">
        <f>IFERROR(INDEX(BASE!$A$4:$A$10003, SMALL(IF(BASE!$F$4:$F$10003="CARREGADO", ROW(BASE!$A$4:$A$10003)-ROW(BASE!$A$4)+1), ROW(A630))), "")</f>
        <v/>
      </c>
      <c r="B631" t="str">
        <f>IF(A631="", "", VLOOKUP(A631, BASE!$A$4:$B$10003, 2, FALSE))</f>
        <v/>
      </c>
      <c r="C631" t="str">
        <f>IF(A631="", "", VLOOKUP(A631, BASE!$A$4:$C$10003, 3, FALSE))</f>
        <v/>
      </c>
      <c r="D631" t="str">
        <f>IF(A631="", "", VLOOKUP(A631, BASE!$A$4:$D$10003, 4, FALSE))</f>
        <v/>
      </c>
      <c r="E631" t="str">
        <f>IF(A631="", "", VLOOKUP(A631, BASE!$A$4:$E$10003, 5, FALSE))</f>
        <v/>
      </c>
      <c r="F631" t="str">
        <f t="shared" si="9"/>
        <v/>
      </c>
    </row>
    <row r="632" spans="1:6">
      <c r="A632" t="str">
        <f>IFERROR(INDEX(BASE!$A$4:$A$10003, SMALL(IF(BASE!$F$4:$F$10003="CARREGADO", ROW(BASE!$A$4:$A$10003)-ROW(BASE!$A$4)+1), ROW(A631))), "")</f>
        <v/>
      </c>
      <c r="B632" t="str">
        <f>IF(A632="", "", VLOOKUP(A632, BASE!$A$4:$B$10003, 2, FALSE))</f>
        <v/>
      </c>
      <c r="C632" t="str">
        <f>IF(A632="", "", VLOOKUP(A632, BASE!$A$4:$C$10003, 3, FALSE))</f>
        <v/>
      </c>
      <c r="D632" t="str">
        <f>IF(A632="", "", VLOOKUP(A632, BASE!$A$4:$D$10003, 4, FALSE))</f>
        <v/>
      </c>
      <c r="E632" t="str">
        <f>IF(A632="", "", VLOOKUP(A632, BASE!$A$4:$E$10003, 5, FALSE))</f>
        <v/>
      </c>
      <c r="F632" t="str">
        <f t="shared" si="9"/>
        <v/>
      </c>
    </row>
    <row r="633" spans="1:6">
      <c r="A633" t="str">
        <f>IFERROR(INDEX(BASE!$A$4:$A$10003, SMALL(IF(BASE!$F$4:$F$10003="CARREGADO", ROW(BASE!$A$4:$A$10003)-ROW(BASE!$A$4)+1), ROW(A632))), "")</f>
        <v/>
      </c>
      <c r="B633" t="str">
        <f>IF(A633="", "", VLOOKUP(A633, BASE!$A$4:$B$10003, 2, FALSE))</f>
        <v/>
      </c>
      <c r="C633" t="str">
        <f>IF(A633="", "", VLOOKUP(A633, BASE!$A$4:$C$10003, 3, FALSE))</f>
        <v/>
      </c>
      <c r="D633" t="str">
        <f>IF(A633="", "", VLOOKUP(A633, BASE!$A$4:$D$10003, 4, FALSE))</f>
        <v/>
      </c>
      <c r="E633" t="str">
        <f>IF(A633="", "", VLOOKUP(A633, BASE!$A$4:$E$10003, 5, FALSE))</f>
        <v/>
      </c>
      <c r="F633" t="str">
        <f t="shared" si="9"/>
        <v/>
      </c>
    </row>
    <row r="634" spans="1:6">
      <c r="A634" t="str">
        <f>IFERROR(INDEX(BASE!$A$4:$A$10003, SMALL(IF(BASE!$F$4:$F$10003="CARREGADO", ROW(BASE!$A$4:$A$10003)-ROW(BASE!$A$4)+1), ROW(A633))), "")</f>
        <v/>
      </c>
      <c r="B634" t="str">
        <f>IF(A634="", "", VLOOKUP(A634, BASE!$A$4:$B$10003, 2, FALSE))</f>
        <v/>
      </c>
      <c r="C634" t="str">
        <f>IF(A634="", "", VLOOKUP(A634, BASE!$A$4:$C$10003, 3, FALSE))</f>
        <v/>
      </c>
      <c r="D634" t="str">
        <f>IF(A634="", "", VLOOKUP(A634, BASE!$A$4:$D$10003, 4, FALSE))</f>
        <v/>
      </c>
      <c r="E634" t="str">
        <f>IF(A634="", "", VLOOKUP(A634, BASE!$A$4:$E$10003, 5, FALSE))</f>
        <v/>
      </c>
      <c r="F634" t="str">
        <f t="shared" si="9"/>
        <v/>
      </c>
    </row>
    <row r="635" spans="1:6">
      <c r="A635" t="str">
        <f>IFERROR(INDEX(BASE!$A$4:$A$10003, SMALL(IF(BASE!$F$4:$F$10003="CARREGADO", ROW(BASE!$A$4:$A$10003)-ROW(BASE!$A$4)+1), ROW(A634))), "")</f>
        <v/>
      </c>
      <c r="B635" t="str">
        <f>IF(A635="", "", VLOOKUP(A635, BASE!$A$4:$B$10003, 2, FALSE))</f>
        <v/>
      </c>
      <c r="C635" t="str">
        <f>IF(A635="", "", VLOOKUP(A635, BASE!$A$4:$C$10003, 3, FALSE))</f>
        <v/>
      </c>
      <c r="D635" t="str">
        <f>IF(A635="", "", VLOOKUP(A635, BASE!$A$4:$D$10003, 4, FALSE))</f>
        <v/>
      </c>
      <c r="E635" t="str">
        <f>IF(A635="", "", VLOOKUP(A635, BASE!$A$4:$E$10003, 5, FALSE))</f>
        <v/>
      </c>
      <c r="F635" t="str">
        <f t="shared" si="9"/>
        <v/>
      </c>
    </row>
    <row r="636" spans="1:6">
      <c r="A636" t="str">
        <f>IFERROR(INDEX(BASE!$A$4:$A$10003, SMALL(IF(BASE!$F$4:$F$10003="CARREGADO", ROW(BASE!$A$4:$A$10003)-ROW(BASE!$A$4)+1), ROW(A635))), "")</f>
        <v/>
      </c>
      <c r="B636" t="str">
        <f>IF(A636="", "", VLOOKUP(A636, BASE!$A$4:$B$10003, 2, FALSE))</f>
        <v/>
      </c>
      <c r="C636" t="str">
        <f>IF(A636="", "", VLOOKUP(A636, BASE!$A$4:$C$10003, 3, FALSE))</f>
        <v/>
      </c>
      <c r="D636" t="str">
        <f>IF(A636="", "", VLOOKUP(A636, BASE!$A$4:$D$10003, 4, FALSE))</f>
        <v/>
      </c>
      <c r="E636" t="str">
        <f>IF(A636="", "", VLOOKUP(A636, BASE!$A$4:$E$10003, 5, FALSE))</f>
        <v/>
      </c>
      <c r="F636" t="str">
        <f t="shared" si="9"/>
        <v/>
      </c>
    </row>
    <row r="637" spans="1:6">
      <c r="A637" t="str">
        <f>IFERROR(INDEX(BASE!$A$4:$A$10003, SMALL(IF(BASE!$F$4:$F$10003="CARREGADO", ROW(BASE!$A$4:$A$10003)-ROW(BASE!$A$4)+1), ROW(A636))), "")</f>
        <v/>
      </c>
      <c r="B637" t="str">
        <f>IF(A637="", "", VLOOKUP(A637, BASE!$A$4:$B$10003, 2, FALSE))</f>
        <v/>
      </c>
      <c r="C637" t="str">
        <f>IF(A637="", "", VLOOKUP(A637, BASE!$A$4:$C$10003, 3, FALSE))</f>
        <v/>
      </c>
      <c r="D637" t="str">
        <f>IF(A637="", "", VLOOKUP(A637, BASE!$A$4:$D$10003, 4, FALSE))</f>
        <v/>
      </c>
      <c r="E637" t="str">
        <f>IF(A637="", "", VLOOKUP(A637, BASE!$A$4:$E$10003, 5, FALSE))</f>
        <v/>
      </c>
      <c r="F637" t="str">
        <f t="shared" si="9"/>
        <v/>
      </c>
    </row>
    <row r="638" spans="1:6">
      <c r="A638" t="str">
        <f>IFERROR(INDEX(BASE!$A$4:$A$10003, SMALL(IF(BASE!$F$4:$F$10003="CARREGADO", ROW(BASE!$A$4:$A$10003)-ROW(BASE!$A$4)+1), ROW(A637))), "")</f>
        <v/>
      </c>
      <c r="B638" t="str">
        <f>IF(A638="", "", VLOOKUP(A638, BASE!$A$4:$B$10003, 2, FALSE))</f>
        <v/>
      </c>
      <c r="C638" t="str">
        <f>IF(A638="", "", VLOOKUP(A638, BASE!$A$4:$C$10003, 3, FALSE))</f>
        <v/>
      </c>
      <c r="D638" t="str">
        <f>IF(A638="", "", VLOOKUP(A638, BASE!$A$4:$D$10003, 4, FALSE))</f>
        <v/>
      </c>
      <c r="E638" t="str">
        <f>IF(A638="", "", VLOOKUP(A638, BASE!$A$4:$E$10003, 5, FALSE))</f>
        <v/>
      </c>
      <c r="F638" t="str">
        <f t="shared" si="9"/>
        <v/>
      </c>
    </row>
    <row r="639" spans="1:6">
      <c r="A639" t="str">
        <f>IFERROR(INDEX(BASE!$A$4:$A$10003, SMALL(IF(BASE!$F$4:$F$10003="CARREGADO", ROW(BASE!$A$4:$A$10003)-ROW(BASE!$A$4)+1), ROW(A638))), "")</f>
        <v/>
      </c>
      <c r="B639" t="str">
        <f>IF(A639="", "", VLOOKUP(A639, BASE!$A$4:$B$10003, 2, FALSE))</f>
        <v/>
      </c>
      <c r="C639" t="str">
        <f>IF(A639="", "", VLOOKUP(A639, BASE!$A$4:$C$10003, 3, FALSE))</f>
        <v/>
      </c>
      <c r="D639" t="str">
        <f>IF(A639="", "", VLOOKUP(A639, BASE!$A$4:$D$10003, 4, FALSE))</f>
        <v/>
      </c>
      <c r="E639" t="str">
        <f>IF(A639="", "", VLOOKUP(A639, BASE!$A$4:$E$10003, 5, FALSE))</f>
        <v/>
      </c>
      <c r="F639" t="str">
        <f t="shared" si="9"/>
        <v/>
      </c>
    </row>
    <row r="640" spans="1:6">
      <c r="A640" t="str">
        <f>IFERROR(INDEX(BASE!$A$4:$A$10003, SMALL(IF(BASE!$F$4:$F$10003="CARREGADO", ROW(BASE!$A$4:$A$10003)-ROW(BASE!$A$4)+1), ROW(A639))), "")</f>
        <v/>
      </c>
      <c r="B640" t="str">
        <f>IF(A640="", "", VLOOKUP(A640, BASE!$A$4:$B$10003, 2, FALSE))</f>
        <v/>
      </c>
      <c r="C640" t="str">
        <f>IF(A640="", "", VLOOKUP(A640, BASE!$A$4:$C$10003, 3, FALSE))</f>
        <v/>
      </c>
      <c r="D640" t="str">
        <f>IF(A640="", "", VLOOKUP(A640, BASE!$A$4:$D$10003, 4, FALSE))</f>
        <v/>
      </c>
      <c r="E640" t="str">
        <f>IF(A640="", "", VLOOKUP(A640, BASE!$A$4:$E$10003, 5, FALSE))</f>
        <v/>
      </c>
      <c r="F640" t="str">
        <f t="shared" si="9"/>
        <v/>
      </c>
    </row>
    <row r="641" spans="1:6">
      <c r="A641" t="str">
        <f>IFERROR(INDEX(BASE!$A$4:$A$10003, SMALL(IF(BASE!$F$4:$F$10003="CARREGADO", ROW(BASE!$A$4:$A$10003)-ROW(BASE!$A$4)+1), ROW(A640))), "")</f>
        <v/>
      </c>
      <c r="B641" t="str">
        <f>IF(A641="", "", VLOOKUP(A641, BASE!$A$4:$B$10003, 2, FALSE))</f>
        <v/>
      </c>
      <c r="C641" t="str">
        <f>IF(A641="", "", VLOOKUP(A641, BASE!$A$4:$C$10003, 3, FALSE))</f>
        <v/>
      </c>
      <c r="D641" t="str">
        <f>IF(A641="", "", VLOOKUP(A641, BASE!$A$4:$D$10003, 4, FALSE))</f>
        <v/>
      </c>
      <c r="E641" t="str">
        <f>IF(A641="", "", VLOOKUP(A641, BASE!$A$4:$E$10003, 5, FALSE))</f>
        <v/>
      </c>
      <c r="F641" t="str">
        <f t="shared" si="9"/>
        <v/>
      </c>
    </row>
    <row r="642" spans="1:6">
      <c r="A642" t="str">
        <f>IFERROR(INDEX(BASE!$A$4:$A$10003, SMALL(IF(BASE!$F$4:$F$10003="CARREGADO", ROW(BASE!$A$4:$A$10003)-ROW(BASE!$A$4)+1), ROW(A641))), "")</f>
        <v/>
      </c>
      <c r="B642" t="str">
        <f>IF(A642="", "", VLOOKUP(A642, BASE!$A$4:$B$10003, 2, FALSE))</f>
        <v/>
      </c>
      <c r="C642" t="str">
        <f>IF(A642="", "", VLOOKUP(A642, BASE!$A$4:$C$10003, 3, FALSE))</f>
        <v/>
      </c>
      <c r="D642" t="str">
        <f>IF(A642="", "", VLOOKUP(A642, BASE!$A$4:$D$10003, 4, FALSE))</f>
        <v/>
      </c>
      <c r="E642" t="str">
        <f>IF(A642="", "", VLOOKUP(A642, BASE!$A$4:$E$10003, 5, FALSE))</f>
        <v/>
      </c>
      <c r="F642" t="str">
        <f t="shared" ref="F642:F705" si="10">IF(A642="", "", "CARREGADO")</f>
        <v/>
      </c>
    </row>
    <row r="643" spans="1:6">
      <c r="A643" t="str">
        <f>IFERROR(INDEX(BASE!$A$4:$A$10003, SMALL(IF(BASE!$F$4:$F$10003="CARREGADO", ROW(BASE!$A$4:$A$10003)-ROW(BASE!$A$4)+1), ROW(A642))), "")</f>
        <v/>
      </c>
      <c r="B643" t="str">
        <f>IF(A643="", "", VLOOKUP(A643, BASE!$A$4:$B$10003, 2, FALSE))</f>
        <v/>
      </c>
      <c r="C643" t="str">
        <f>IF(A643="", "", VLOOKUP(A643, BASE!$A$4:$C$10003, 3, FALSE))</f>
        <v/>
      </c>
      <c r="D643" t="str">
        <f>IF(A643="", "", VLOOKUP(A643, BASE!$A$4:$D$10003, 4, FALSE))</f>
        <v/>
      </c>
      <c r="E643" t="str">
        <f>IF(A643="", "", VLOOKUP(A643, BASE!$A$4:$E$10003, 5, FALSE))</f>
        <v/>
      </c>
      <c r="F643" t="str">
        <f t="shared" si="10"/>
        <v/>
      </c>
    </row>
    <row r="644" spans="1:6">
      <c r="A644" t="str">
        <f>IFERROR(INDEX(BASE!$A$4:$A$10003, SMALL(IF(BASE!$F$4:$F$10003="CARREGADO", ROW(BASE!$A$4:$A$10003)-ROW(BASE!$A$4)+1), ROW(A643))), "")</f>
        <v/>
      </c>
      <c r="B644" t="str">
        <f>IF(A644="", "", VLOOKUP(A644, BASE!$A$4:$B$10003, 2, FALSE))</f>
        <v/>
      </c>
      <c r="C644" t="str">
        <f>IF(A644="", "", VLOOKUP(A644, BASE!$A$4:$C$10003, 3, FALSE))</f>
        <v/>
      </c>
      <c r="D644" t="str">
        <f>IF(A644="", "", VLOOKUP(A644, BASE!$A$4:$D$10003, 4, FALSE))</f>
        <v/>
      </c>
      <c r="E644" t="str">
        <f>IF(A644="", "", VLOOKUP(A644, BASE!$A$4:$E$10003, 5, FALSE))</f>
        <v/>
      </c>
      <c r="F644" t="str">
        <f t="shared" si="10"/>
        <v/>
      </c>
    </row>
    <row r="645" spans="1:6">
      <c r="A645" t="str">
        <f>IFERROR(INDEX(BASE!$A$4:$A$10003, SMALL(IF(BASE!$F$4:$F$10003="CARREGADO", ROW(BASE!$A$4:$A$10003)-ROW(BASE!$A$4)+1), ROW(A644))), "")</f>
        <v/>
      </c>
      <c r="B645" t="str">
        <f>IF(A645="", "", VLOOKUP(A645, BASE!$A$4:$B$10003, 2, FALSE))</f>
        <v/>
      </c>
      <c r="C645" t="str">
        <f>IF(A645="", "", VLOOKUP(A645, BASE!$A$4:$C$10003, 3, FALSE))</f>
        <v/>
      </c>
      <c r="D645" t="str">
        <f>IF(A645="", "", VLOOKUP(A645, BASE!$A$4:$D$10003, 4, FALSE))</f>
        <v/>
      </c>
      <c r="E645" t="str">
        <f>IF(A645="", "", VLOOKUP(A645, BASE!$A$4:$E$10003, 5, FALSE))</f>
        <v/>
      </c>
      <c r="F645" t="str">
        <f t="shared" si="10"/>
        <v/>
      </c>
    </row>
    <row r="646" spans="1:6">
      <c r="A646" t="str">
        <f>IFERROR(INDEX(BASE!$A$4:$A$10003, SMALL(IF(BASE!$F$4:$F$10003="CARREGADO", ROW(BASE!$A$4:$A$10003)-ROW(BASE!$A$4)+1), ROW(A645))), "")</f>
        <v/>
      </c>
      <c r="B646" t="str">
        <f>IF(A646="", "", VLOOKUP(A646, BASE!$A$4:$B$10003, 2, FALSE))</f>
        <v/>
      </c>
      <c r="C646" t="str">
        <f>IF(A646="", "", VLOOKUP(A646, BASE!$A$4:$C$10003, 3, FALSE))</f>
        <v/>
      </c>
      <c r="D646" t="str">
        <f>IF(A646="", "", VLOOKUP(A646, BASE!$A$4:$D$10003, 4, FALSE))</f>
        <v/>
      </c>
      <c r="E646" t="str">
        <f>IF(A646="", "", VLOOKUP(A646, BASE!$A$4:$E$10003, 5, FALSE))</f>
        <v/>
      </c>
      <c r="F646" t="str">
        <f t="shared" si="10"/>
        <v/>
      </c>
    </row>
    <row r="647" spans="1:6">
      <c r="A647" t="str">
        <f>IFERROR(INDEX(BASE!$A$4:$A$10003, SMALL(IF(BASE!$F$4:$F$10003="CARREGADO", ROW(BASE!$A$4:$A$10003)-ROW(BASE!$A$4)+1), ROW(A646))), "")</f>
        <v/>
      </c>
      <c r="B647" t="str">
        <f>IF(A647="", "", VLOOKUP(A647, BASE!$A$4:$B$10003, 2, FALSE))</f>
        <v/>
      </c>
      <c r="C647" t="str">
        <f>IF(A647="", "", VLOOKUP(A647, BASE!$A$4:$C$10003, 3, FALSE))</f>
        <v/>
      </c>
      <c r="D647" t="str">
        <f>IF(A647="", "", VLOOKUP(A647, BASE!$A$4:$D$10003, 4, FALSE))</f>
        <v/>
      </c>
      <c r="E647" t="str">
        <f>IF(A647="", "", VLOOKUP(A647, BASE!$A$4:$E$10003, 5, FALSE))</f>
        <v/>
      </c>
      <c r="F647" t="str">
        <f t="shared" si="10"/>
        <v/>
      </c>
    </row>
    <row r="648" spans="1:6">
      <c r="A648" t="str">
        <f>IFERROR(INDEX(BASE!$A$4:$A$10003, SMALL(IF(BASE!$F$4:$F$10003="CARREGADO", ROW(BASE!$A$4:$A$10003)-ROW(BASE!$A$4)+1), ROW(A647))), "")</f>
        <v/>
      </c>
      <c r="B648" t="str">
        <f>IF(A648="", "", VLOOKUP(A648, BASE!$A$4:$B$10003, 2, FALSE))</f>
        <v/>
      </c>
      <c r="C648" t="str">
        <f>IF(A648="", "", VLOOKUP(A648, BASE!$A$4:$C$10003, 3, FALSE))</f>
        <v/>
      </c>
      <c r="D648" t="str">
        <f>IF(A648="", "", VLOOKUP(A648, BASE!$A$4:$D$10003, 4, FALSE))</f>
        <v/>
      </c>
      <c r="E648" t="str">
        <f>IF(A648="", "", VLOOKUP(A648, BASE!$A$4:$E$10003, 5, FALSE))</f>
        <v/>
      </c>
      <c r="F648" t="str">
        <f t="shared" si="10"/>
        <v/>
      </c>
    </row>
    <row r="649" spans="1:6">
      <c r="A649" t="str">
        <f>IFERROR(INDEX(BASE!$A$4:$A$10003, SMALL(IF(BASE!$F$4:$F$10003="CARREGADO", ROW(BASE!$A$4:$A$10003)-ROW(BASE!$A$4)+1), ROW(A648))), "")</f>
        <v/>
      </c>
      <c r="B649" t="str">
        <f>IF(A649="", "", VLOOKUP(A649, BASE!$A$4:$B$10003, 2, FALSE))</f>
        <v/>
      </c>
      <c r="C649" t="str">
        <f>IF(A649="", "", VLOOKUP(A649, BASE!$A$4:$C$10003, 3, FALSE))</f>
        <v/>
      </c>
      <c r="D649" t="str">
        <f>IF(A649="", "", VLOOKUP(A649, BASE!$A$4:$D$10003, 4, FALSE))</f>
        <v/>
      </c>
      <c r="E649" t="str">
        <f>IF(A649="", "", VLOOKUP(A649, BASE!$A$4:$E$10003, 5, FALSE))</f>
        <v/>
      </c>
      <c r="F649" t="str">
        <f t="shared" si="10"/>
        <v/>
      </c>
    </row>
    <row r="650" spans="1:6">
      <c r="A650" t="str">
        <f>IFERROR(INDEX(BASE!$A$4:$A$10003, SMALL(IF(BASE!$F$4:$F$10003="CARREGADO", ROW(BASE!$A$4:$A$10003)-ROW(BASE!$A$4)+1), ROW(A649))), "")</f>
        <v/>
      </c>
      <c r="B650" t="str">
        <f>IF(A650="", "", VLOOKUP(A650, BASE!$A$4:$B$10003, 2, FALSE))</f>
        <v/>
      </c>
      <c r="C650" t="str">
        <f>IF(A650="", "", VLOOKUP(A650, BASE!$A$4:$C$10003, 3, FALSE))</f>
        <v/>
      </c>
      <c r="D650" t="str">
        <f>IF(A650="", "", VLOOKUP(A650, BASE!$A$4:$D$10003, 4, FALSE))</f>
        <v/>
      </c>
      <c r="E650" t="str">
        <f>IF(A650="", "", VLOOKUP(A650, BASE!$A$4:$E$10003, 5, FALSE))</f>
        <v/>
      </c>
      <c r="F650" t="str">
        <f t="shared" si="10"/>
        <v/>
      </c>
    </row>
    <row r="651" spans="1:6">
      <c r="A651" t="str">
        <f>IFERROR(INDEX(BASE!$A$4:$A$10003, SMALL(IF(BASE!$F$4:$F$10003="CARREGADO", ROW(BASE!$A$4:$A$10003)-ROW(BASE!$A$4)+1), ROW(A650))), "")</f>
        <v/>
      </c>
      <c r="B651" t="str">
        <f>IF(A651="", "", VLOOKUP(A651, BASE!$A$4:$B$10003, 2, FALSE))</f>
        <v/>
      </c>
      <c r="C651" t="str">
        <f>IF(A651="", "", VLOOKUP(A651, BASE!$A$4:$C$10003, 3, FALSE))</f>
        <v/>
      </c>
      <c r="D651" t="str">
        <f>IF(A651="", "", VLOOKUP(A651, BASE!$A$4:$D$10003, 4, FALSE))</f>
        <v/>
      </c>
      <c r="E651" t="str">
        <f>IF(A651="", "", VLOOKUP(A651, BASE!$A$4:$E$10003, 5, FALSE))</f>
        <v/>
      </c>
      <c r="F651" t="str">
        <f t="shared" si="10"/>
        <v/>
      </c>
    </row>
    <row r="652" spans="1:6">
      <c r="A652" t="str">
        <f>IFERROR(INDEX(BASE!$A$4:$A$10003, SMALL(IF(BASE!$F$4:$F$10003="CARREGADO", ROW(BASE!$A$4:$A$10003)-ROW(BASE!$A$4)+1), ROW(A651))), "")</f>
        <v/>
      </c>
      <c r="B652" t="str">
        <f>IF(A652="", "", VLOOKUP(A652, BASE!$A$4:$B$10003, 2, FALSE))</f>
        <v/>
      </c>
      <c r="C652" t="str">
        <f>IF(A652="", "", VLOOKUP(A652, BASE!$A$4:$C$10003, 3, FALSE))</f>
        <v/>
      </c>
      <c r="D652" t="str">
        <f>IF(A652="", "", VLOOKUP(A652, BASE!$A$4:$D$10003, 4, FALSE))</f>
        <v/>
      </c>
      <c r="E652" t="str">
        <f>IF(A652="", "", VLOOKUP(A652, BASE!$A$4:$E$10003, 5, FALSE))</f>
        <v/>
      </c>
      <c r="F652" t="str">
        <f t="shared" si="10"/>
        <v/>
      </c>
    </row>
    <row r="653" spans="1:6">
      <c r="A653" t="str">
        <f>IFERROR(INDEX(BASE!$A$4:$A$10003, SMALL(IF(BASE!$F$4:$F$10003="CARREGADO", ROW(BASE!$A$4:$A$10003)-ROW(BASE!$A$4)+1), ROW(A652))), "")</f>
        <v/>
      </c>
      <c r="B653" t="str">
        <f>IF(A653="", "", VLOOKUP(A653, BASE!$A$4:$B$10003, 2, FALSE))</f>
        <v/>
      </c>
      <c r="C653" t="str">
        <f>IF(A653="", "", VLOOKUP(A653, BASE!$A$4:$C$10003, 3, FALSE))</f>
        <v/>
      </c>
      <c r="D653" t="str">
        <f>IF(A653="", "", VLOOKUP(A653, BASE!$A$4:$D$10003, 4, FALSE))</f>
        <v/>
      </c>
      <c r="E653" t="str">
        <f>IF(A653="", "", VLOOKUP(A653, BASE!$A$4:$E$10003, 5, FALSE))</f>
        <v/>
      </c>
      <c r="F653" t="str">
        <f t="shared" si="10"/>
        <v/>
      </c>
    </row>
    <row r="654" spans="1:6">
      <c r="A654" t="str">
        <f>IFERROR(INDEX(BASE!$A$4:$A$10003, SMALL(IF(BASE!$F$4:$F$10003="CARREGADO", ROW(BASE!$A$4:$A$10003)-ROW(BASE!$A$4)+1), ROW(A653))), "")</f>
        <v/>
      </c>
      <c r="B654" t="str">
        <f>IF(A654="", "", VLOOKUP(A654, BASE!$A$4:$B$10003, 2, FALSE))</f>
        <v/>
      </c>
      <c r="C654" t="str">
        <f>IF(A654="", "", VLOOKUP(A654, BASE!$A$4:$C$10003, 3, FALSE))</f>
        <v/>
      </c>
      <c r="D654" t="str">
        <f>IF(A654="", "", VLOOKUP(A654, BASE!$A$4:$D$10003, 4, FALSE))</f>
        <v/>
      </c>
      <c r="E654" t="str">
        <f>IF(A654="", "", VLOOKUP(A654, BASE!$A$4:$E$10003, 5, FALSE))</f>
        <v/>
      </c>
      <c r="F654" t="str">
        <f t="shared" si="10"/>
        <v/>
      </c>
    </row>
    <row r="655" spans="1:6">
      <c r="A655" t="str">
        <f>IFERROR(INDEX(BASE!$A$4:$A$10003, SMALL(IF(BASE!$F$4:$F$10003="CARREGADO", ROW(BASE!$A$4:$A$10003)-ROW(BASE!$A$4)+1), ROW(A654))), "")</f>
        <v/>
      </c>
      <c r="B655" t="str">
        <f>IF(A655="", "", VLOOKUP(A655, BASE!$A$4:$B$10003, 2, FALSE))</f>
        <v/>
      </c>
      <c r="C655" t="str">
        <f>IF(A655="", "", VLOOKUP(A655, BASE!$A$4:$C$10003, 3, FALSE))</f>
        <v/>
      </c>
      <c r="D655" t="str">
        <f>IF(A655="", "", VLOOKUP(A655, BASE!$A$4:$D$10003, 4, FALSE))</f>
        <v/>
      </c>
      <c r="E655" t="str">
        <f>IF(A655="", "", VLOOKUP(A655, BASE!$A$4:$E$10003, 5, FALSE))</f>
        <v/>
      </c>
      <c r="F655" t="str">
        <f t="shared" si="10"/>
        <v/>
      </c>
    </row>
    <row r="656" spans="1:6">
      <c r="A656" t="str">
        <f>IFERROR(INDEX(BASE!$A$4:$A$10003, SMALL(IF(BASE!$F$4:$F$10003="CARREGADO", ROW(BASE!$A$4:$A$10003)-ROW(BASE!$A$4)+1), ROW(A655))), "")</f>
        <v/>
      </c>
      <c r="B656" t="str">
        <f>IF(A656="", "", VLOOKUP(A656, BASE!$A$4:$B$10003, 2, FALSE))</f>
        <v/>
      </c>
      <c r="C656" t="str">
        <f>IF(A656="", "", VLOOKUP(A656, BASE!$A$4:$C$10003, 3, FALSE))</f>
        <v/>
      </c>
      <c r="D656" t="str">
        <f>IF(A656="", "", VLOOKUP(A656, BASE!$A$4:$D$10003, 4, FALSE))</f>
        <v/>
      </c>
      <c r="E656" t="str">
        <f>IF(A656="", "", VLOOKUP(A656, BASE!$A$4:$E$10003, 5, FALSE))</f>
        <v/>
      </c>
      <c r="F656" t="str">
        <f t="shared" si="10"/>
        <v/>
      </c>
    </row>
    <row r="657" spans="1:6">
      <c r="A657" t="str">
        <f>IFERROR(INDEX(BASE!$A$4:$A$10003, SMALL(IF(BASE!$F$4:$F$10003="CARREGADO", ROW(BASE!$A$4:$A$10003)-ROW(BASE!$A$4)+1), ROW(A656))), "")</f>
        <v/>
      </c>
      <c r="B657" t="str">
        <f>IF(A657="", "", VLOOKUP(A657, BASE!$A$4:$B$10003, 2, FALSE))</f>
        <v/>
      </c>
      <c r="C657" t="str">
        <f>IF(A657="", "", VLOOKUP(A657, BASE!$A$4:$C$10003, 3, FALSE))</f>
        <v/>
      </c>
      <c r="D657" t="str">
        <f>IF(A657="", "", VLOOKUP(A657, BASE!$A$4:$D$10003, 4, FALSE))</f>
        <v/>
      </c>
      <c r="E657" t="str">
        <f>IF(A657="", "", VLOOKUP(A657, BASE!$A$4:$E$10003, 5, FALSE))</f>
        <v/>
      </c>
      <c r="F657" t="str">
        <f t="shared" si="10"/>
        <v/>
      </c>
    </row>
    <row r="658" spans="1:6">
      <c r="A658" t="str">
        <f>IFERROR(INDEX(BASE!$A$4:$A$10003, SMALL(IF(BASE!$F$4:$F$10003="CARREGADO", ROW(BASE!$A$4:$A$10003)-ROW(BASE!$A$4)+1), ROW(A657))), "")</f>
        <v/>
      </c>
      <c r="B658" t="str">
        <f>IF(A658="", "", VLOOKUP(A658, BASE!$A$4:$B$10003, 2, FALSE))</f>
        <v/>
      </c>
      <c r="C658" t="str">
        <f>IF(A658="", "", VLOOKUP(A658, BASE!$A$4:$C$10003, 3, FALSE))</f>
        <v/>
      </c>
      <c r="D658" t="str">
        <f>IF(A658="", "", VLOOKUP(A658, BASE!$A$4:$D$10003, 4, FALSE))</f>
        <v/>
      </c>
      <c r="E658" t="str">
        <f>IF(A658="", "", VLOOKUP(A658, BASE!$A$4:$E$10003, 5, FALSE))</f>
        <v/>
      </c>
      <c r="F658" t="str">
        <f t="shared" si="10"/>
        <v/>
      </c>
    </row>
    <row r="659" spans="1:6">
      <c r="A659" t="str">
        <f>IFERROR(INDEX(BASE!$A$4:$A$10003, SMALL(IF(BASE!$F$4:$F$10003="CARREGADO", ROW(BASE!$A$4:$A$10003)-ROW(BASE!$A$4)+1), ROW(A658))), "")</f>
        <v/>
      </c>
      <c r="B659" t="str">
        <f>IF(A659="", "", VLOOKUP(A659, BASE!$A$4:$B$10003, 2, FALSE))</f>
        <v/>
      </c>
      <c r="C659" t="str">
        <f>IF(A659="", "", VLOOKUP(A659, BASE!$A$4:$C$10003, 3, FALSE))</f>
        <v/>
      </c>
      <c r="D659" t="str">
        <f>IF(A659="", "", VLOOKUP(A659, BASE!$A$4:$D$10003, 4, FALSE))</f>
        <v/>
      </c>
      <c r="E659" t="str">
        <f>IF(A659="", "", VLOOKUP(A659, BASE!$A$4:$E$10003, 5, FALSE))</f>
        <v/>
      </c>
      <c r="F659" t="str">
        <f t="shared" si="10"/>
        <v/>
      </c>
    </row>
    <row r="660" spans="1:6">
      <c r="A660" t="str">
        <f>IFERROR(INDEX(BASE!$A$4:$A$10003, SMALL(IF(BASE!$F$4:$F$10003="CARREGADO", ROW(BASE!$A$4:$A$10003)-ROW(BASE!$A$4)+1), ROW(A659))), "")</f>
        <v/>
      </c>
      <c r="B660" t="str">
        <f>IF(A660="", "", VLOOKUP(A660, BASE!$A$4:$B$10003, 2, FALSE))</f>
        <v/>
      </c>
      <c r="C660" t="str">
        <f>IF(A660="", "", VLOOKUP(A660, BASE!$A$4:$C$10003, 3, FALSE))</f>
        <v/>
      </c>
      <c r="D660" t="str">
        <f>IF(A660="", "", VLOOKUP(A660, BASE!$A$4:$D$10003, 4, FALSE))</f>
        <v/>
      </c>
      <c r="E660" t="str">
        <f>IF(A660="", "", VLOOKUP(A660, BASE!$A$4:$E$10003, 5, FALSE))</f>
        <v/>
      </c>
      <c r="F660" t="str">
        <f t="shared" si="10"/>
        <v/>
      </c>
    </row>
    <row r="661" spans="1:6">
      <c r="A661" t="str">
        <f>IFERROR(INDEX(BASE!$A$4:$A$10003, SMALL(IF(BASE!$F$4:$F$10003="CARREGADO", ROW(BASE!$A$4:$A$10003)-ROW(BASE!$A$4)+1), ROW(A660))), "")</f>
        <v/>
      </c>
      <c r="B661" t="str">
        <f>IF(A661="", "", VLOOKUP(A661, BASE!$A$4:$B$10003, 2, FALSE))</f>
        <v/>
      </c>
      <c r="C661" t="str">
        <f>IF(A661="", "", VLOOKUP(A661, BASE!$A$4:$C$10003, 3, FALSE))</f>
        <v/>
      </c>
      <c r="D661" t="str">
        <f>IF(A661="", "", VLOOKUP(A661, BASE!$A$4:$D$10003, 4, FALSE))</f>
        <v/>
      </c>
      <c r="E661" t="str">
        <f>IF(A661="", "", VLOOKUP(A661, BASE!$A$4:$E$10003, 5, FALSE))</f>
        <v/>
      </c>
      <c r="F661" t="str">
        <f t="shared" si="10"/>
        <v/>
      </c>
    </row>
    <row r="662" spans="1:6">
      <c r="A662" t="str">
        <f>IFERROR(INDEX(BASE!$A$4:$A$10003, SMALL(IF(BASE!$F$4:$F$10003="CARREGADO", ROW(BASE!$A$4:$A$10003)-ROW(BASE!$A$4)+1), ROW(A661))), "")</f>
        <v/>
      </c>
      <c r="B662" t="str">
        <f>IF(A662="", "", VLOOKUP(A662, BASE!$A$4:$B$10003, 2, FALSE))</f>
        <v/>
      </c>
      <c r="C662" t="str">
        <f>IF(A662="", "", VLOOKUP(A662, BASE!$A$4:$C$10003, 3, FALSE))</f>
        <v/>
      </c>
      <c r="D662" t="str">
        <f>IF(A662="", "", VLOOKUP(A662, BASE!$A$4:$D$10003, 4, FALSE))</f>
        <v/>
      </c>
      <c r="E662" t="str">
        <f>IF(A662="", "", VLOOKUP(A662, BASE!$A$4:$E$10003, 5, FALSE))</f>
        <v/>
      </c>
      <c r="F662" t="str">
        <f t="shared" si="10"/>
        <v/>
      </c>
    </row>
    <row r="663" spans="1:6">
      <c r="A663" t="str">
        <f>IFERROR(INDEX(BASE!$A$4:$A$10003, SMALL(IF(BASE!$F$4:$F$10003="CARREGADO", ROW(BASE!$A$4:$A$10003)-ROW(BASE!$A$4)+1), ROW(A662))), "")</f>
        <v/>
      </c>
      <c r="B663" t="str">
        <f>IF(A663="", "", VLOOKUP(A663, BASE!$A$4:$B$10003, 2, FALSE))</f>
        <v/>
      </c>
      <c r="C663" t="str">
        <f>IF(A663="", "", VLOOKUP(A663, BASE!$A$4:$C$10003, 3, FALSE))</f>
        <v/>
      </c>
      <c r="D663" t="str">
        <f>IF(A663="", "", VLOOKUP(A663, BASE!$A$4:$D$10003, 4, FALSE))</f>
        <v/>
      </c>
      <c r="E663" t="str">
        <f>IF(A663="", "", VLOOKUP(A663, BASE!$A$4:$E$10003, 5, FALSE))</f>
        <v/>
      </c>
      <c r="F663" t="str">
        <f t="shared" si="10"/>
        <v/>
      </c>
    </row>
    <row r="664" spans="1:6">
      <c r="A664" t="str">
        <f>IFERROR(INDEX(BASE!$A$4:$A$10003, SMALL(IF(BASE!$F$4:$F$10003="CARREGADO", ROW(BASE!$A$4:$A$10003)-ROW(BASE!$A$4)+1), ROW(A663))), "")</f>
        <v/>
      </c>
      <c r="B664" t="str">
        <f>IF(A664="", "", VLOOKUP(A664, BASE!$A$4:$B$10003, 2, FALSE))</f>
        <v/>
      </c>
      <c r="C664" t="str">
        <f>IF(A664="", "", VLOOKUP(A664, BASE!$A$4:$C$10003, 3, FALSE))</f>
        <v/>
      </c>
      <c r="D664" t="str">
        <f>IF(A664="", "", VLOOKUP(A664, BASE!$A$4:$D$10003, 4, FALSE))</f>
        <v/>
      </c>
      <c r="E664" t="str">
        <f>IF(A664="", "", VLOOKUP(A664, BASE!$A$4:$E$10003, 5, FALSE))</f>
        <v/>
      </c>
      <c r="F664" t="str">
        <f t="shared" si="10"/>
        <v/>
      </c>
    </row>
    <row r="665" spans="1:6">
      <c r="A665" t="str">
        <f>IFERROR(INDEX(BASE!$A$4:$A$10003, SMALL(IF(BASE!$F$4:$F$10003="CARREGADO", ROW(BASE!$A$4:$A$10003)-ROW(BASE!$A$4)+1), ROW(A664))), "")</f>
        <v/>
      </c>
      <c r="B665" t="str">
        <f>IF(A665="", "", VLOOKUP(A665, BASE!$A$4:$B$10003, 2, FALSE))</f>
        <v/>
      </c>
      <c r="C665" t="str">
        <f>IF(A665="", "", VLOOKUP(A665, BASE!$A$4:$C$10003, 3, FALSE))</f>
        <v/>
      </c>
      <c r="D665" t="str">
        <f>IF(A665="", "", VLOOKUP(A665, BASE!$A$4:$D$10003, 4, FALSE))</f>
        <v/>
      </c>
      <c r="E665" t="str">
        <f>IF(A665="", "", VLOOKUP(A665, BASE!$A$4:$E$10003, 5, FALSE))</f>
        <v/>
      </c>
      <c r="F665" t="str">
        <f t="shared" si="10"/>
        <v/>
      </c>
    </row>
    <row r="666" spans="1:6">
      <c r="A666" t="str">
        <f>IFERROR(INDEX(BASE!$A$4:$A$10003, SMALL(IF(BASE!$F$4:$F$10003="CARREGADO", ROW(BASE!$A$4:$A$10003)-ROW(BASE!$A$4)+1), ROW(A665))), "")</f>
        <v/>
      </c>
      <c r="B666" t="str">
        <f>IF(A666="", "", VLOOKUP(A666, BASE!$A$4:$B$10003, 2, FALSE))</f>
        <v/>
      </c>
      <c r="C666" t="str">
        <f>IF(A666="", "", VLOOKUP(A666, BASE!$A$4:$C$10003, 3, FALSE))</f>
        <v/>
      </c>
      <c r="D666" t="str">
        <f>IF(A666="", "", VLOOKUP(A666, BASE!$A$4:$D$10003, 4, FALSE))</f>
        <v/>
      </c>
      <c r="E666" t="str">
        <f>IF(A666="", "", VLOOKUP(A666, BASE!$A$4:$E$10003, 5, FALSE))</f>
        <v/>
      </c>
      <c r="F666" t="str">
        <f t="shared" si="10"/>
        <v/>
      </c>
    </row>
    <row r="667" spans="1:6">
      <c r="A667" t="str">
        <f>IFERROR(INDEX(BASE!$A$4:$A$10003, SMALL(IF(BASE!$F$4:$F$10003="CARREGADO", ROW(BASE!$A$4:$A$10003)-ROW(BASE!$A$4)+1), ROW(A666))), "")</f>
        <v/>
      </c>
      <c r="B667" t="str">
        <f>IF(A667="", "", VLOOKUP(A667, BASE!$A$4:$B$10003, 2, FALSE))</f>
        <v/>
      </c>
      <c r="C667" t="str">
        <f>IF(A667="", "", VLOOKUP(A667, BASE!$A$4:$C$10003, 3, FALSE))</f>
        <v/>
      </c>
      <c r="D667" t="str">
        <f>IF(A667="", "", VLOOKUP(A667, BASE!$A$4:$D$10003, 4, FALSE))</f>
        <v/>
      </c>
      <c r="E667" t="str">
        <f>IF(A667="", "", VLOOKUP(A667, BASE!$A$4:$E$10003, 5, FALSE))</f>
        <v/>
      </c>
      <c r="F667" t="str">
        <f t="shared" si="10"/>
        <v/>
      </c>
    </row>
    <row r="668" spans="1:6">
      <c r="A668" t="str">
        <f>IFERROR(INDEX(BASE!$A$4:$A$10003, SMALL(IF(BASE!$F$4:$F$10003="CARREGADO", ROW(BASE!$A$4:$A$10003)-ROW(BASE!$A$4)+1), ROW(A667))), "")</f>
        <v/>
      </c>
      <c r="B668" t="str">
        <f>IF(A668="", "", VLOOKUP(A668, BASE!$A$4:$B$10003, 2, FALSE))</f>
        <v/>
      </c>
      <c r="C668" t="str">
        <f>IF(A668="", "", VLOOKUP(A668, BASE!$A$4:$C$10003, 3, FALSE))</f>
        <v/>
      </c>
      <c r="D668" t="str">
        <f>IF(A668="", "", VLOOKUP(A668, BASE!$A$4:$D$10003, 4, FALSE))</f>
        <v/>
      </c>
      <c r="E668" t="str">
        <f>IF(A668="", "", VLOOKUP(A668, BASE!$A$4:$E$10003, 5, FALSE))</f>
        <v/>
      </c>
      <c r="F668" t="str">
        <f t="shared" si="10"/>
        <v/>
      </c>
    </row>
    <row r="669" spans="1:6">
      <c r="A669" t="str">
        <f>IFERROR(INDEX(BASE!$A$4:$A$10003, SMALL(IF(BASE!$F$4:$F$10003="CARREGADO", ROW(BASE!$A$4:$A$10003)-ROW(BASE!$A$4)+1), ROW(A668))), "")</f>
        <v/>
      </c>
      <c r="B669" t="str">
        <f>IF(A669="", "", VLOOKUP(A669, BASE!$A$4:$B$10003, 2, FALSE))</f>
        <v/>
      </c>
      <c r="C669" t="str">
        <f>IF(A669="", "", VLOOKUP(A669, BASE!$A$4:$C$10003, 3, FALSE))</f>
        <v/>
      </c>
      <c r="D669" t="str">
        <f>IF(A669="", "", VLOOKUP(A669, BASE!$A$4:$D$10003, 4, FALSE))</f>
        <v/>
      </c>
      <c r="E669" t="str">
        <f>IF(A669="", "", VLOOKUP(A669, BASE!$A$4:$E$10003, 5, FALSE))</f>
        <v/>
      </c>
      <c r="F669" t="str">
        <f t="shared" si="10"/>
        <v/>
      </c>
    </row>
    <row r="670" spans="1:6">
      <c r="A670" t="str">
        <f>IFERROR(INDEX(BASE!$A$4:$A$10003, SMALL(IF(BASE!$F$4:$F$10003="CARREGADO", ROW(BASE!$A$4:$A$10003)-ROW(BASE!$A$4)+1), ROW(A669))), "")</f>
        <v/>
      </c>
      <c r="B670" t="str">
        <f>IF(A670="", "", VLOOKUP(A670, BASE!$A$4:$B$10003, 2, FALSE))</f>
        <v/>
      </c>
      <c r="C670" t="str">
        <f>IF(A670="", "", VLOOKUP(A670, BASE!$A$4:$C$10003, 3, FALSE))</f>
        <v/>
      </c>
      <c r="D670" t="str">
        <f>IF(A670="", "", VLOOKUP(A670, BASE!$A$4:$D$10003, 4, FALSE))</f>
        <v/>
      </c>
      <c r="E670" t="str">
        <f>IF(A670="", "", VLOOKUP(A670, BASE!$A$4:$E$10003, 5, FALSE))</f>
        <v/>
      </c>
      <c r="F670" t="str">
        <f t="shared" si="10"/>
        <v/>
      </c>
    </row>
    <row r="671" spans="1:6">
      <c r="A671" t="str">
        <f>IFERROR(INDEX(BASE!$A$4:$A$10003, SMALL(IF(BASE!$F$4:$F$10003="CARREGADO", ROW(BASE!$A$4:$A$10003)-ROW(BASE!$A$4)+1), ROW(A670))), "")</f>
        <v/>
      </c>
      <c r="B671" t="str">
        <f>IF(A671="", "", VLOOKUP(A671, BASE!$A$4:$B$10003, 2, FALSE))</f>
        <v/>
      </c>
      <c r="C671" t="str">
        <f>IF(A671="", "", VLOOKUP(A671, BASE!$A$4:$C$10003, 3, FALSE))</f>
        <v/>
      </c>
      <c r="D671" t="str">
        <f>IF(A671="", "", VLOOKUP(A671, BASE!$A$4:$D$10003, 4, FALSE))</f>
        <v/>
      </c>
      <c r="E671" t="str">
        <f>IF(A671="", "", VLOOKUP(A671, BASE!$A$4:$E$10003, 5, FALSE))</f>
        <v/>
      </c>
      <c r="F671" t="str">
        <f t="shared" si="10"/>
        <v/>
      </c>
    </row>
    <row r="672" spans="1:6">
      <c r="A672" t="str">
        <f>IFERROR(INDEX(BASE!$A$4:$A$10003, SMALL(IF(BASE!$F$4:$F$10003="CARREGADO", ROW(BASE!$A$4:$A$10003)-ROW(BASE!$A$4)+1), ROW(A671))), "")</f>
        <v/>
      </c>
      <c r="B672" t="str">
        <f>IF(A672="", "", VLOOKUP(A672, BASE!$A$4:$B$10003, 2, FALSE))</f>
        <v/>
      </c>
      <c r="C672" t="str">
        <f>IF(A672="", "", VLOOKUP(A672, BASE!$A$4:$C$10003, 3, FALSE))</f>
        <v/>
      </c>
      <c r="D672" t="str">
        <f>IF(A672="", "", VLOOKUP(A672, BASE!$A$4:$D$10003, 4, FALSE))</f>
        <v/>
      </c>
      <c r="E672" t="str">
        <f>IF(A672="", "", VLOOKUP(A672, BASE!$A$4:$E$10003, 5, FALSE))</f>
        <v/>
      </c>
      <c r="F672" t="str">
        <f t="shared" si="10"/>
        <v/>
      </c>
    </row>
    <row r="673" spans="1:6">
      <c r="A673" t="str">
        <f>IFERROR(INDEX(BASE!$A$4:$A$10003, SMALL(IF(BASE!$F$4:$F$10003="CARREGADO", ROW(BASE!$A$4:$A$10003)-ROW(BASE!$A$4)+1), ROW(A672))), "")</f>
        <v/>
      </c>
      <c r="B673" t="str">
        <f>IF(A673="", "", VLOOKUP(A673, BASE!$A$4:$B$10003, 2, FALSE))</f>
        <v/>
      </c>
      <c r="C673" t="str">
        <f>IF(A673="", "", VLOOKUP(A673, BASE!$A$4:$C$10003, 3, FALSE))</f>
        <v/>
      </c>
      <c r="D673" t="str">
        <f>IF(A673="", "", VLOOKUP(A673, BASE!$A$4:$D$10003, 4, FALSE))</f>
        <v/>
      </c>
      <c r="E673" t="str">
        <f>IF(A673="", "", VLOOKUP(A673, BASE!$A$4:$E$10003, 5, FALSE))</f>
        <v/>
      </c>
      <c r="F673" t="str">
        <f t="shared" si="10"/>
        <v/>
      </c>
    </row>
    <row r="674" spans="1:6">
      <c r="A674" t="str">
        <f>IFERROR(INDEX(BASE!$A$4:$A$10003, SMALL(IF(BASE!$F$4:$F$10003="CARREGADO", ROW(BASE!$A$4:$A$10003)-ROW(BASE!$A$4)+1), ROW(A673))), "")</f>
        <v/>
      </c>
      <c r="B674" t="str">
        <f>IF(A674="", "", VLOOKUP(A674, BASE!$A$4:$B$10003, 2, FALSE))</f>
        <v/>
      </c>
      <c r="C674" t="str">
        <f>IF(A674="", "", VLOOKUP(A674, BASE!$A$4:$C$10003, 3, FALSE))</f>
        <v/>
      </c>
      <c r="D674" t="str">
        <f>IF(A674="", "", VLOOKUP(A674, BASE!$A$4:$D$10003, 4, FALSE))</f>
        <v/>
      </c>
      <c r="E674" t="str">
        <f>IF(A674="", "", VLOOKUP(A674, BASE!$A$4:$E$10003, 5, FALSE))</f>
        <v/>
      </c>
      <c r="F674" t="str">
        <f t="shared" si="10"/>
        <v/>
      </c>
    </row>
    <row r="675" spans="1:6">
      <c r="A675" t="str">
        <f>IFERROR(INDEX(BASE!$A$4:$A$10003, SMALL(IF(BASE!$F$4:$F$10003="CARREGADO", ROW(BASE!$A$4:$A$10003)-ROW(BASE!$A$4)+1), ROW(A674))), "")</f>
        <v/>
      </c>
      <c r="B675" t="str">
        <f>IF(A675="", "", VLOOKUP(A675, BASE!$A$4:$B$10003, 2, FALSE))</f>
        <v/>
      </c>
      <c r="C675" t="str">
        <f>IF(A675="", "", VLOOKUP(A675, BASE!$A$4:$C$10003, 3, FALSE))</f>
        <v/>
      </c>
      <c r="D675" t="str">
        <f>IF(A675="", "", VLOOKUP(A675, BASE!$A$4:$D$10003, 4, FALSE))</f>
        <v/>
      </c>
      <c r="E675" t="str">
        <f>IF(A675="", "", VLOOKUP(A675, BASE!$A$4:$E$10003, 5, FALSE))</f>
        <v/>
      </c>
      <c r="F675" t="str">
        <f t="shared" si="10"/>
        <v/>
      </c>
    </row>
    <row r="676" spans="1:6">
      <c r="A676" t="str">
        <f>IFERROR(INDEX(BASE!$A$4:$A$10003, SMALL(IF(BASE!$F$4:$F$10003="CARREGADO", ROW(BASE!$A$4:$A$10003)-ROW(BASE!$A$4)+1), ROW(A675))), "")</f>
        <v/>
      </c>
      <c r="B676" t="str">
        <f>IF(A676="", "", VLOOKUP(A676, BASE!$A$4:$B$10003, 2, FALSE))</f>
        <v/>
      </c>
      <c r="C676" t="str">
        <f>IF(A676="", "", VLOOKUP(A676, BASE!$A$4:$C$10003, 3, FALSE))</f>
        <v/>
      </c>
      <c r="D676" t="str">
        <f>IF(A676="", "", VLOOKUP(A676, BASE!$A$4:$D$10003, 4, FALSE))</f>
        <v/>
      </c>
      <c r="E676" t="str">
        <f>IF(A676="", "", VLOOKUP(A676, BASE!$A$4:$E$10003, 5, FALSE))</f>
        <v/>
      </c>
      <c r="F676" t="str">
        <f t="shared" si="10"/>
        <v/>
      </c>
    </row>
    <row r="677" spans="1:6">
      <c r="A677" t="str">
        <f>IFERROR(INDEX(BASE!$A$4:$A$10003, SMALL(IF(BASE!$F$4:$F$10003="CARREGADO", ROW(BASE!$A$4:$A$10003)-ROW(BASE!$A$4)+1), ROW(A676))), "")</f>
        <v/>
      </c>
      <c r="B677" t="str">
        <f>IF(A677="", "", VLOOKUP(A677, BASE!$A$4:$B$10003, 2, FALSE))</f>
        <v/>
      </c>
      <c r="C677" t="str">
        <f>IF(A677="", "", VLOOKUP(A677, BASE!$A$4:$C$10003, 3, FALSE))</f>
        <v/>
      </c>
      <c r="D677" t="str">
        <f>IF(A677="", "", VLOOKUP(A677, BASE!$A$4:$D$10003, 4, FALSE))</f>
        <v/>
      </c>
      <c r="E677" t="str">
        <f>IF(A677="", "", VLOOKUP(A677, BASE!$A$4:$E$10003, 5, FALSE))</f>
        <v/>
      </c>
      <c r="F677" t="str">
        <f t="shared" si="10"/>
        <v/>
      </c>
    </row>
    <row r="678" spans="1:6">
      <c r="A678" t="str">
        <f>IFERROR(INDEX(BASE!$A$4:$A$10003, SMALL(IF(BASE!$F$4:$F$10003="CARREGADO", ROW(BASE!$A$4:$A$10003)-ROW(BASE!$A$4)+1), ROW(A677))), "")</f>
        <v/>
      </c>
      <c r="B678" t="str">
        <f>IF(A678="", "", VLOOKUP(A678, BASE!$A$4:$B$10003, 2, FALSE))</f>
        <v/>
      </c>
      <c r="C678" t="str">
        <f>IF(A678="", "", VLOOKUP(A678, BASE!$A$4:$C$10003, 3, FALSE))</f>
        <v/>
      </c>
      <c r="D678" t="str">
        <f>IF(A678="", "", VLOOKUP(A678, BASE!$A$4:$D$10003, 4, FALSE))</f>
        <v/>
      </c>
      <c r="E678" t="str">
        <f>IF(A678="", "", VLOOKUP(A678, BASE!$A$4:$E$10003, 5, FALSE))</f>
        <v/>
      </c>
      <c r="F678" t="str">
        <f t="shared" si="10"/>
        <v/>
      </c>
    </row>
    <row r="679" spans="1:6">
      <c r="A679" t="str">
        <f>IFERROR(INDEX(BASE!$A$4:$A$10003, SMALL(IF(BASE!$F$4:$F$10003="CARREGADO", ROW(BASE!$A$4:$A$10003)-ROW(BASE!$A$4)+1), ROW(A678))), "")</f>
        <v/>
      </c>
      <c r="B679" t="str">
        <f>IF(A679="", "", VLOOKUP(A679, BASE!$A$4:$B$10003, 2, FALSE))</f>
        <v/>
      </c>
      <c r="C679" t="str">
        <f>IF(A679="", "", VLOOKUP(A679, BASE!$A$4:$C$10003, 3, FALSE))</f>
        <v/>
      </c>
      <c r="D679" t="str">
        <f>IF(A679="", "", VLOOKUP(A679, BASE!$A$4:$D$10003, 4, FALSE))</f>
        <v/>
      </c>
      <c r="E679" t="str">
        <f>IF(A679="", "", VLOOKUP(A679, BASE!$A$4:$E$10003, 5, FALSE))</f>
        <v/>
      </c>
      <c r="F679" t="str">
        <f t="shared" si="10"/>
        <v/>
      </c>
    </row>
    <row r="680" spans="1:6">
      <c r="A680" t="str">
        <f>IFERROR(INDEX(BASE!$A$4:$A$10003, SMALL(IF(BASE!$F$4:$F$10003="CARREGADO", ROW(BASE!$A$4:$A$10003)-ROW(BASE!$A$4)+1), ROW(A679))), "")</f>
        <v/>
      </c>
      <c r="B680" t="str">
        <f>IF(A680="", "", VLOOKUP(A680, BASE!$A$4:$B$10003, 2, FALSE))</f>
        <v/>
      </c>
      <c r="C680" t="str">
        <f>IF(A680="", "", VLOOKUP(A680, BASE!$A$4:$C$10003, 3, FALSE))</f>
        <v/>
      </c>
      <c r="D680" t="str">
        <f>IF(A680="", "", VLOOKUP(A680, BASE!$A$4:$D$10003, 4, FALSE))</f>
        <v/>
      </c>
      <c r="E680" t="str">
        <f>IF(A680="", "", VLOOKUP(A680, BASE!$A$4:$E$10003, 5, FALSE))</f>
        <v/>
      </c>
      <c r="F680" t="str">
        <f t="shared" si="10"/>
        <v/>
      </c>
    </row>
    <row r="681" spans="1:6">
      <c r="A681" t="str">
        <f>IFERROR(INDEX(BASE!$A$4:$A$10003, SMALL(IF(BASE!$F$4:$F$10003="CARREGADO", ROW(BASE!$A$4:$A$10003)-ROW(BASE!$A$4)+1), ROW(A680))), "")</f>
        <v/>
      </c>
      <c r="B681" t="str">
        <f>IF(A681="", "", VLOOKUP(A681, BASE!$A$4:$B$10003, 2, FALSE))</f>
        <v/>
      </c>
      <c r="C681" t="str">
        <f>IF(A681="", "", VLOOKUP(A681, BASE!$A$4:$C$10003, 3, FALSE))</f>
        <v/>
      </c>
      <c r="D681" t="str">
        <f>IF(A681="", "", VLOOKUP(A681, BASE!$A$4:$D$10003, 4, FALSE))</f>
        <v/>
      </c>
      <c r="E681" t="str">
        <f>IF(A681="", "", VLOOKUP(A681, BASE!$A$4:$E$10003, 5, FALSE))</f>
        <v/>
      </c>
      <c r="F681" t="str">
        <f t="shared" si="10"/>
        <v/>
      </c>
    </row>
    <row r="682" spans="1:6">
      <c r="A682" t="str">
        <f>IFERROR(INDEX(BASE!$A$4:$A$10003, SMALL(IF(BASE!$F$4:$F$10003="CARREGADO", ROW(BASE!$A$4:$A$10003)-ROW(BASE!$A$4)+1), ROW(A681))), "")</f>
        <v/>
      </c>
      <c r="B682" t="str">
        <f>IF(A682="", "", VLOOKUP(A682, BASE!$A$4:$B$10003, 2, FALSE))</f>
        <v/>
      </c>
      <c r="C682" t="str">
        <f>IF(A682="", "", VLOOKUP(A682, BASE!$A$4:$C$10003, 3, FALSE))</f>
        <v/>
      </c>
      <c r="D682" t="str">
        <f>IF(A682="", "", VLOOKUP(A682, BASE!$A$4:$D$10003, 4, FALSE))</f>
        <v/>
      </c>
      <c r="E682" t="str">
        <f>IF(A682="", "", VLOOKUP(A682, BASE!$A$4:$E$10003, 5, FALSE))</f>
        <v/>
      </c>
      <c r="F682" t="str">
        <f t="shared" si="10"/>
        <v/>
      </c>
    </row>
    <row r="683" spans="1:6">
      <c r="A683" t="str">
        <f>IFERROR(INDEX(BASE!$A$4:$A$10003, SMALL(IF(BASE!$F$4:$F$10003="CARREGADO", ROW(BASE!$A$4:$A$10003)-ROW(BASE!$A$4)+1), ROW(A682))), "")</f>
        <v/>
      </c>
      <c r="B683" t="str">
        <f>IF(A683="", "", VLOOKUP(A683, BASE!$A$4:$B$10003, 2, FALSE))</f>
        <v/>
      </c>
      <c r="C683" t="str">
        <f>IF(A683="", "", VLOOKUP(A683, BASE!$A$4:$C$10003, 3, FALSE))</f>
        <v/>
      </c>
      <c r="D683" t="str">
        <f>IF(A683="", "", VLOOKUP(A683, BASE!$A$4:$D$10003, 4, FALSE))</f>
        <v/>
      </c>
      <c r="E683" t="str">
        <f>IF(A683="", "", VLOOKUP(A683, BASE!$A$4:$E$10003, 5, FALSE))</f>
        <v/>
      </c>
      <c r="F683" t="str">
        <f t="shared" si="10"/>
        <v/>
      </c>
    </row>
    <row r="684" spans="1:6">
      <c r="A684" t="str">
        <f>IFERROR(INDEX(BASE!$A$4:$A$10003, SMALL(IF(BASE!$F$4:$F$10003="CARREGADO", ROW(BASE!$A$4:$A$10003)-ROW(BASE!$A$4)+1), ROW(A683))), "")</f>
        <v/>
      </c>
      <c r="B684" t="str">
        <f>IF(A684="", "", VLOOKUP(A684, BASE!$A$4:$B$10003, 2, FALSE))</f>
        <v/>
      </c>
      <c r="C684" t="str">
        <f>IF(A684="", "", VLOOKUP(A684, BASE!$A$4:$C$10003, 3, FALSE))</f>
        <v/>
      </c>
      <c r="D684" t="str">
        <f>IF(A684="", "", VLOOKUP(A684, BASE!$A$4:$D$10003, 4, FALSE))</f>
        <v/>
      </c>
      <c r="E684" t="str">
        <f>IF(A684="", "", VLOOKUP(A684, BASE!$A$4:$E$10003, 5, FALSE))</f>
        <v/>
      </c>
      <c r="F684" t="str">
        <f t="shared" si="10"/>
        <v/>
      </c>
    </row>
    <row r="685" spans="1:6">
      <c r="A685" t="str">
        <f>IFERROR(INDEX(BASE!$A$4:$A$10003, SMALL(IF(BASE!$F$4:$F$10003="CARREGADO", ROW(BASE!$A$4:$A$10003)-ROW(BASE!$A$4)+1), ROW(A684))), "")</f>
        <v/>
      </c>
      <c r="B685" t="str">
        <f>IF(A685="", "", VLOOKUP(A685, BASE!$A$4:$B$10003, 2, FALSE))</f>
        <v/>
      </c>
      <c r="C685" t="str">
        <f>IF(A685="", "", VLOOKUP(A685, BASE!$A$4:$C$10003, 3, FALSE))</f>
        <v/>
      </c>
      <c r="D685" t="str">
        <f>IF(A685="", "", VLOOKUP(A685, BASE!$A$4:$D$10003, 4, FALSE))</f>
        <v/>
      </c>
      <c r="E685" t="str">
        <f>IF(A685="", "", VLOOKUP(A685, BASE!$A$4:$E$10003, 5, FALSE))</f>
        <v/>
      </c>
      <c r="F685" t="str">
        <f t="shared" si="10"/>
        <v/>
      </c>
    </row>
    <row r="686" spans="1:6">
      <c r="A686" t="str">
        <f>IFERROR(INDEX(BASE!$A$4:$A$10003, SMALL(IF(BASE!$F$4:$F$10003="CARREGADO", ROW(BASE!$A$4:$A$10003)-ROW(BASE!$A$4)+1), ROW(A685))), "")</f>
        <v/>
      </c>
      <c r="B686" t="str">
        <f>IF(A686="", "", VLOOKUP(A686, BASE!$A$4:$B$10003, 2, FALSE))</f>
        <v/>
      </c>
      <c r="C686" t="str">
        <f>IF(A686="", "", VLOOKUP(A686, BASE!$A$4:$C$10003, 3, FALSE))</f>
        <v/>
      </c>
      <c r="D686" t="str">
        <f>IF(A686="", "", VLOOKUP(A686, BASE!$A$4:$D$10003, 4, FALSE))</f>
        <v/>
      </c>
      <c r="E686" t="str">
        <f>IF(A686="", "", VLOOKUP(A686, BASE!$A$4:$E$10003, 5, FALSE))</f>
        <v/>
      </c>
      <c r="F686" t="str">
        <f t="shared" si="10"/>
        <v/>
      </c>
    </row>
    <row r="687" spans="1:6">
      <c r="A687" t="str">
        <f>IFERROR(INDEX(BASE!$A$4:$A$10003, SMALL(IF(BASE!$F$4:$F$10003="CARREGADO", ROW(BASE!$A$4:$A$10003)-ROW(BASE!$A$4)+1), ROW(A686))), "")</f>
        <v/>
      </c>
      <c r="B687" t="str">
        <f>IF(A687="", "", VLOOKUP(A687, BASE!$A$4:$B$10003, 2, FALSE))</f>
        <v/>
      </c>
      <c r="C687" t="str">
        <f>IF(A687="", "", VLOOKUP(A687, BASE!$A$4:$C$10003, 3, FALSE))</f>
        <v/>
      </c>
      <c r="D687" t="str">
        <f>IF(A687="", "", VLOOKUP(A687, BASE!$A$4:$D$10003, 4, FALSE))</f>
        <v/>
      </c>
      <c r="E687" t="str">
        <f>IF(A687="", "", VLOOKUP(A687, BASE!$A$4:$E$10003, 5, FALSE))</f>
        <v/>
      </c>
      <c r="F687" t="str">
        <f t="shared" si="10"/>
        <v/>
      </c>
    </row>
    <row r="688" spans="1:6">
      <c r="A688" t="str">
        <f>IFERROR(INDEX(BASE!$A$4:$A$10003, SMALL(IF(BASE!$F$4:$F$10003="CARREGADO", ROW(BASE!$A$4:$A$10003)-ROW(BASE!$A$4)+1), ROW(A687))), "")</f>
        <v/>
      </c>
      <c r="B688" t="str">
        <f>IF(A688="", "", VLOOKUP(A688, BASE!$A$4:$B$10003, 2, FALSE))</f>
        <v/>
      </c>
      <c r="C688" t="str">
        <f>IF(A688="", "", VLOOKUP(A688, BASE!$A$4:$C$10003, 3, FALSE))</f>
        <v/>
      </c>
      <c r="D688" t="str">
        <f>IF(A688="", "", VLOOKUP(A688, BASE!$A$4:$D$10003, 4, FALSE))</f>
        <v/>
      </c>
      <c r="E688" t="str">
        <f>IF(A688="", "", VLOOKUP(A688, BASE!$A$4:$E$10003, 5, FALSE))</f>
        <v/>
      </c>
      <c r="F688" t="str">
        <f t="shared" si="10"/>
        <v/>
      </c>
    </row>
    <row r="689" spans="1:6">
      <c r="A689" t="str">
        <f>IFERROR(INDEX(BASE!$A$4:$A$10003, SMALL(IF(BASE!$F$4:$F$10003="CARREGADO", ROW(BASE!$A$4:$A$10003)-ROW(BASE!$A$4)+1), ROW(A688))), "")</f>
        <v/>
      </c>
      <c r="B689" t="str">
        <f>IF(A689="", "", VLOOKUP(A689, BASE!$A$4:$B$10003, 2, FALSE))</f>
        <v/>
      </c>
      <c r="C689" t="str">
        <f>IF(A689="", "", VLOOKUP(A689, BASE!$A$4:$C$10003, 3, FALSE))</f>
        <v/>
      </c>
      <c r="D689" t="str">
        <f>IF(A689="", "", VLOOKUP(A689, BASE!$A$4:$D$10003, 4, FALSE))</f>
        <v/>
      </c>
      <c r="E689" t="str">
        <f>IF(A689="", "", VLOOKUP(A689, BASE!$A$4:$E$10003, 5, FALSE))</f>
        <v/>
      </c>
      <c r="F689" t="str">
        <f t="shared" si="10"/>
        <v/>
      </c>
    </row>
    <row r="690" spans="1:6">
      <c r="A690" t="str">
        <f>IFERROR(INDEX(BASE!$A$4:$A$10003, SMALL(IF(BASE!$F$4:$F$10003="CARREGADO", ROW(BASE!$A$4:$A$10003)-ROW(BASE!$A$4)+1), ROW(A689))), "")</f>
        <v/>
      </c>
      <c r="B690" t="str">
        <f>IF(A690="", "", VLOOKUP(A690, BASE!$A$4:$B$10003, 2, FALSE))</f>
        <v/>
      </c>
      <c r="C690" t="str">
        <f>IF(A690="", "", VLOOKUP(A690, BASE!$A$4:$C$10003, 3, FALSE))</f>
        <v/>
      </c>
      <c r="D690" t="str">
        <f>IF(A690="", "", VLOOKUP(A690, BASE!$A$4:$D$10003, 4, FALSE))</f>
        <v/>
      </c>
      <c r="E690" t="str">
        <f>IF(A690="", "", VLOOKUP(A690, BASE!$A$4:$E$10003, 5, FALSE))</f>
        <v/>
      </c>
      <c r="F690" t="str">
        <f t="shared" si="10"/>
        <v/>
      </c>
    </row>
    <row r="691" spans="1:6">
      <c r="A691" t="str">
        <f>IFERROR(INDEX(BASE!$A$4:$A$10003, SMALL(IF(BASE!$F$4:$F$10003="CARREGADO", ROW(BASE!$A$4:$A$10003)-ROW(BASE!$A$4)+1), ROW(A690))), "")</f>
        <v/>
      </c>
      <c r="B691" t="str">
        <f>IF(A691="", "", VLOOKUP(A691, BASE!$A$4:$B$10003, 2, FALSE))</f>
        <v/>
      </c>
      <c r="C691" t="str">
        <f>IF(A691="", "", VLOOKUP(A691, BASE!$A$4:$C$10003, 3, FALSE))</f>
        <v/>
      </c>
      <c r="D691" t="str">
        <f>IF(A691="", "", VLOOKUP(A691, BASE!$A$4:$D$10003, 4, FALSE))</f>
        <v/>
      </c>
      <c r="E691" t="str">
        <f>IF(A691="", "", VLOOKUP(A691, BASE!$A$4:$E$10003, 5, FALSE))</f>
        <v/>
      </c>
      <c r="F691" t="str">
        <f t="shared" si="10"/>
        <v/>
      </c>
    </row>
    <row r="692" spans="1:6">
      <c r="A692" t="str">
        <f>IFERROR(INDEX(BASE!$A$4:$A$10003, SMALL(IF(BASE!$F$4:$F$10003="CARREGADO", ROW(BASE!$A$4:$A$10003)-ROW(BASE!$A$4)+1), ROW(A691))), "")</f>
        <v/>
      </c>
      <c r="B692" t="str">
        <f>IF(A692="", "", VLOOKUP(A692, BASE!$A$4:$B$10003, 2, FALSE))</f>
        <v/>
      </c>
      <c r="C692" t="str">
        <f>IF(A692="", "", VLOOKUP(A692, BASE!$A$4:$C$10003, 3, FALSE))</f>
        <v/>
      </c>
      <c r="D692" t="str">
        <f>IF(A692="", "", VLOOKUP(A692, BASE!$A$4:$D$10003, 4, FALSE))</f>
        <v/>
      </c>
      <c r="E692" t="str">
        <f>IF(A692="", "", VLOOKUP(A692, BASE!$A$4:$E$10003, 5, FALSE))</f>
        <v/>
      </c>
      <c r="F692" t="str">
        <f t="shared" si="10"/>
        <v/>
      </c>
    </row>
    <row r="693" spans="1:6">
      <c r="A693" t="str">
        <f>IFERROR(INDEX(BASE!$A$4:$A$10003, SMALL(IF(BASE!$F$4:$F$10003="CARREGADO", ROW(BASE!$A$4:$A$10003)-ROW(BASE!$A$4)+1), ROW(A692))), "")</f>
        <v/>
      </c>
      <c r="B693" t="str">
        <f>IF(A693="", "", VLOOKUP(A693, BASE!$A$4:$B$10003, 2, FALSE))</f>
        <v/>
      </c>
      <c r="C693" t="str">
        <f>IF(A693="", "", VLOOKUP(A693, BASE!$A$4:$C$10003, 3, FALSE))</f>
        <v/>
      </c>
      <c r="D693" t="str">
        <f>IF(A693="", "", VLOOKUP(A693, BASE!$A$4:$D$10003, 4, FALSE))</f>
        <v/>
      </c>
      <c r="E693" t="str">
        <f>IF(A693="", "", VLOOKUP(A693, BASE!$A$4:$E$10003, 5, FALSE))</f>
        <v/>
      </c>
      <c r="F693" t="str">
        <f t="shared" si="10"/>
        <v/>
      </c>
    </row>
    <row r="694" spans="1:6">
      <c r="A694" t="str">
        <f>IFERROR(INDEX(BASE!$A$4:$A$10003, SMALL(IF(BASE!$F$4:$F$10003="CARREGADO", ROW(BASE!$A$4:$A$10003)-ROW(BASE!$A$4)+1), ROW(A693))), "")</f>
        <v/>
      </c>
      <c r="B694" t="str">
        <f>IF(A694="", "", VLOOKUP(A694, BASE!$A$4:$B$10003, 2, FALSE))</f>
        <v/>
      </c>
      <c r="C694" t="str">
        <f>IF(A694="", "", VLOOKUP(A694, BASE!$A$4:$C$10003, 3, FALSE))</f>
        <v/>
      </c>
      <c r="D694" t="str">
        <f>IF(A694="", "", VLOOKUP(A694, BASE!$A$4:$D$10003, 4, FALSE))</f>
        <v/>
      </c>
      <c r="E694" t="str">
        <f>IF(A694="", "", VLOOKUP(A694, BASE!$A$4:$E$10003, 5, FALSE))</f>
        <v/>
      </c>
      <c r="F694" t="str">
        <f t="shared" si="10"/>
        <v/>
      </c>
    </row>
    <row r="695" spans="1:6">
      <c r="A695" t="str">
        <f>IFERROR(INDEX(BASE!$A$4:$A$10003, SMALL(IF(BASE!$F$4:$F$10003="CARREGADO", ROW(BASE!$A$4:$A$10003)-ROW(BASE!$A$4)+1), ROW(A694))), "")</f>
        <v/>
      </c>
      <c r="B695" t="str">
        <f>IF(A695="", "", VLOOKUP(A695, BASE!$A$4:$B$10003, 2, FALSE))</f>
        <v/>
      </c>
      <c r="C695" t="str">
        <f>IF(A695="", "", VLOOKUP(A695, BASE!$A$4:$C$10003, 3, FALSE))</f>
        <v/>
      </c>
      <c r="D695" t="str">
        <f>IF(A695="", "", VLOOKUP(A695, BASE!$A$4:$D$10003, 4, FALSE))</f>
        <v/>
      </c>
      <c r="E695" t="str">
        <f>IF(A695="", "", VLOOKUP(A695, BASE!$A$4:$E$10003, 5, FALSE))</f>
        <v/>
      </c>
      <c r="F695" t="str">
        <f t="shared" si="10"/>
        <v/>
      </c>
    </row>
    <row r="696" spans="1:6">
      <c r="A696" t="str">
        <f>IFERROR(INDEX(BASE!$A$4:$A$10003, SMALL(IF(BASE!$F$4:$F$10003="CARREGADO", ROW(BASE!$A$4:$A$10003)-ROW(BASE!$A$4)+1), ROW(A695))), "")</f>
        <v/>
      </c>
      <c r="B696" t="str">
        <f>IF(A696="", "", VLOOKUP(A696, BASE!$A$4:$B$10003, 2, FALSE))</f>
        <v/>
      </c>
      <c r="C696" t="str">
        <f>IF(A696="", "", VLOOKUP(A696, BASE!$A$4:$C$10003, 3, FALSE))</f>
        <v/>
      </c>
      <c r="D696" t="str">
        <f>IF(A696="", "", VLOOKUP(A696, BASE!$A$4:$D$10003, 4, FALSE))</f>
        <v/>
      </c>
      <c r="E696" t="str">
        <f>IF(A696="", "", VLOOKUP(A696, BASE!$A$4:$E$10003, 5, FALSE))</f>
        <v/>
      </c>
      <c r="F696" t="str">
        <f t="shared" si="10"/>
        <v/>
      </c>
    </row>
    <row r="697" spans="1:6">
      <c r="A697" t="str">
        <f>IFERROR(INDEX(BASE!$A$4:$A$10003, SMALL(IF(BASE!$F$4:$F$10003="CARREGADO", ROW(BASE!$A$4:$A$10003)-ROW(BASE!$A$4)+1), ROW(A696))), "")</f>
        <v/>
      </c>
      <c r="B697" t="str">
        <f>IF(A697="", "", VLOOKUP(A697, BASE!$A$4:$B$10003, 2, FALSE))</f>
        <v/>
      </c>
      <c r="C697" t="str">
        <f>IF(A697="", "", VLOOKUP(A697, BASE!$A$4:$C$10003, 3, FALSE))</f>
        <v/>
      </c>
      <c r="D697" t="str">
        <f>IF(A697="", "", VLOOKUP(A697, BASE!$A$4:$D$10003, 4, FALSE))</f>
        <v/>
      </c>
      <c r="E697" t="str">
        <f>IF(A697="", "", VLOOKUP(A697, BASE!$A$4:$E$10003, 5, FALSE))</f>
        <v/>
      </c>
      <c r="F697" t="str">
        <f t="shared" si="10"/>
        <v/>
      </c>
    </row>
    <row r="698" spans="1:6">
      <c r="A698" t="str">
        <f>IFERROR(INDEX(BASE!$A$4:$A$10003, SMALL(IF(BASE!$F$4:$F$10003="CARREGADO", ROW(BASE!$A$4:$A$10003)-ROW(BASE!$A$4)+1), ROW(A697))), "")</f>
        <v/>
      </c>
      <c r="B698" t="str">
        <f>IF(A698="", "", VLOOKUP(A698, BASE!$A$4:$B$10003, 2, FALSE))</f>
        <v/>
      </c>
      <c r="C698" t="str">
        <f>IF(A698="", "", VLOOKUP(A698, BASE!$A$4:$C$10003, 3, FALSE))</f>
        <v/>
      </c>
      <c r="D698" t="str">
        <f>IF(A698="", "", VLOOKUP(A698, BASE!$A$4:$D$10003, 4, FALSE))</f>
        <v/>
      </c>
      <c r="E698" t="str">
        <f>IF(A698="", "", VLOOKUP(A698, BASE!$A$4:$E$10003, 5, FALSE))</f>
        <v/>
      </c>
      <c r="F698" t="str">
        <f t="shared" si="10"/>
        <v/>
      </c>
    </row>
    <row r="699" spans="1:6">
      <c r="A699" t="str">
        <f>IFERROR(INDEX(BASE!$A$4:$A$10003, SMALL(IF(BASE!$F$4:$F$10003="CARREGADO", ROW(BASE!$A$4:$A$10003)-ROW(BASE!$A$4)+1), ROW(A698))), "")</f>
        <v/>
      </c>
      <c r="B699" t="str">
        <f>IF(A699="", "", VLOOKUP(A699, BASE!$A$4:$B$10003, 2, FALSE))</f>
        <v/>
      </c>
      <c r="C699" t="str">
        <f>IF(A699="", "", VLOOKUP(A699, BASE!$A$4:$C$10003, 3, FALSE))</f>
        <v/>
      </c>
      <c r="D699" t="str">
        <f>IF(A699="", "", VLOOKUP(A699, BASE!$A$4:$D$10003, 4, FALSE))</f>
        <v/>
      </c>
      <c r="E699" t="str">
        <f>IF(A699="", "", VLOOKUP(A699, BASE!$A$4:$E$10003, 5, FALSE))</f>
        <v/>
      </c>
      <c r="F699" t="str">
        <f t="shared" si="10"/>
        <v/>
      </c>
    </row>
    <row r="700" spans="1:6">
      <c r="A700" t="str">
        <f>IFERROR(INDEX(BASE!$A$4:$A$10003, SMALL(IF(BASE!$F$4:$F$10003="CARREGADO", ROW(BASE!$A$4:$A$10003)-ROW(BASE!$A$4)+1), ROW(A699))), "")</f>
        <v/>
      </c>
      <c r="B700" t="str">
        <f>IF(A700="", "", VLOOKUP(A700, BASE!$A$4:$B$10003, 2, FALSE))</f>
        <v/>
      </c>
      <c r="C700" t="str">
        <f>IF(A700="", "", VLOOKUP(A700, BASE!$A$4:$C$10003, 3, FALSE))</f>
        <v/>
      </c>
      <c r="D700" t="str">
        <f>IF(A700="", "", VLOOKUP(A700, BASE!$A$4:$D$10003, 4, FALSE))</f>
        <v/>
      </c>
      <c r="E700" t="str">
        <f>IF(A700="", "", VLOOKUP(A700, BASE!$A$4:$E$10003, 5, FALSE))</f>
        <v/>
      </c>
      <c r="F700" t="str">
        <f t="shared" si="10"/>
        <v/>
      </c>
    </row>
    <row r="701" spans="1:6">
      <c r="A701" t="str">
        <f>IFERROR(INDEX(BASE!$A$4:$A$10003, SMALL(IF(BASE!$F$4:$F$10003="CARREGADO", ROW(BASE!$A$4:$A$10003)-ROW(BASE!$A$4)+1), ROW(A700))), "")</f>
        <v/>
      </c>
      <c r="B701" t="str">
        <f>IF(A701="", "", VLOOKUP(A701, BASE!$A$4:$B$10003, 2, FALSE))</f>
        <v/>
      </c>
      <c r="C701" t="str">
        <f>IF(A701="", "", VLOOKUP(A701, BASE!$A$4:$C$10003, 3, FALSE))</f>
        <v/>
      </c>
      <c r="D701" t="str">
        <f>IF(A701="", "", VLOOKUP(A701, BASE!$A$4:$D$10003, 4, FALSE))</f>
        <v/>
      </c>
      <c r="E701" t="str">
        <f>IF(A701="", "", VLOOKUP(A701, BASE!$A$4:$E$10003, 5, FALSE))</f>
        <v/>
      </c>
      <c r="F701" t="str">
        <f t="shared" si="10"/>
        <v/>
      </c>
    </row>
    <row r="702" spans="1:6">
      <c r="A702" t="str">
        <f>IFERROR(INDEX(BASE!$A$4:$A$10003, SMALL(IF(BASE!$F$4:$F$10003="CARREGADO", ROW(BASE!$A$4:$A$10003)-ROW(BASE!$A$4)+1), ROW(A701))), "")</f>
        <v/>
      </c>
      <c r="B702" t="str">
        <f>IF(A702="", "", VLOOKUP(A702, BASE!$A$4:$B$10003, 2, FALSE))</f>
        <v/>
      </c>
      <c r="C702" t="str">
        <f>IF(A702="", "", VLOOKUP(A702, BASE!$A$4:$C$10003, 3, FALSE))</f>
        <v/>
      </c>
      <c r="D702" t="str">
        <f>IF(A702="", "", VLOOKUP(A702, BASE!$A$4:$D$10003, 4, FALSE))</f>
        <v/>
      </c>
      <c r="E702" t="str">
        <f>IF(A702="", "", VLOOKUP(A702, BASE!$A$4:$E$10003, 5, FALSE))</f>
        <v/>
      </c>
      <c r="F702" t="str">
        <f t="shared" si="10"/>
        <v/>
      </c>
    </row>
    <row r="703" spans="1:6">
      <c r="A703" t="str">
        <f>IFERROR(INDEX(BASE!$A$4:$A$10003, SMALL(IF(BASE!$F$4:$F$10003="CARREGADO", ROW(BASE!$A$4:$A$10003)-ROW(BASE!$A$4)+1), ROW(A702))), "")</f>
        <v/>
      </c>
      <c r="B703" t="str">
        <f>IF(A703="", "", VLOOKUP(A703, BASE!$A$4:$B$10003, 2, FALSE))</f>
        <v/>
      </c>
      <c r="C703" t="str">
        <f>IF(A703="", "", VLOOKUP(A703, BASE!$A$4:$C$10003, 3, FALSE))</f>
        <v/>
      </c>
      <c r="D703" t="str">
        <f>IF(A703="", "", VLOOKUP(A703, BASE!$A$4:$D$10003, 4, FALSE))</f>
        <v/>
      </c>
      <c r="E703" t="str">
        <f>IF(A703="", "", VLOOKUP(A703, BASE!$A$4:$E$10003, 5, FALSE))</f>
        <v/>
      </c>
      <c r="F703" t="str">
        <f t="shared" si="10"/>
        <v/>
      </c>
    </row>
    <row r="704" spans="1:6">
      <c r="A704" t="str">
        <f>IFERROR(INDEX(BASE!$A$4:$A$10003, SMALL(IF(BASE!$F$4:$F$10003="CARREGADO", ROW(BASE!$A$4:$A$10003)-ROW(BASE!$A$4)+1), ROW(A703))), "")</f>
        <v/>
      </c>
      <c r="B704" t="str">
        <f>IF(A704="", "", VLOOKUP(A704, BASE!$A$4:$B$10003, 2, FALSE))</f>
        <v/>
      </c>
      <c r="C704" t="str">
        <f>IF(A704="", "", VLOOKUP(A704, BASE!$A$4:$C$10003, 3, FALSE))</f>
        <v/>
      </c>
      <c r="D704" t="str">
        <f>IF(A704="", "", VLOOKUP(A704, BASE!$A$4:$D$10003, 4, FALSE))</f>
        <v/>
      </c>
      <c r="E704" t="str">
        <f>IF(A704="", "", VLOOKUP(A704, BASE!$A$4:$E$10003, 5, FALSE))</f>
        <v/>
      </c>
      <c r="F704" t="str">
        <f t="shared" si="10"/>
        <v/>
      </c>
    </row>
    <row r="705" spans="1:6">
      <c r="A705" t="str">
        <f>IFERROR(INDEX(BASE!$A$4:$A$10003, SMALL(IF(BASE!$F$4:$F$10003="CARREGADO", ROW(BASE!$A$4:$A$10003)-ROW(BASE!$A$4)+1), ROW(A704))), "")</f>
        <v/>
      </c>
      <c r="B705" t="str">
        <f>IF(A705="", "", VLOOKUP(A705, BASE!$A$4:$B$10003, 2, FALSE))</f>
        <v/>
      </c>
      <c r="C705" t="str">
        <f>IF(A705="", "", VLOOKUP(A705, BASE!$A$4:$C$10003, 3, FALSE))</f>
        <v/>
      </c>
      <c r="D705" t="str">
        <f>IF(A705="", "", VLOOKUP(A705, BASE!$A$4:$D$10003, 4, FALSE))</f>
        <v/>
      </c>
      <c r="E705" t="str">
        <f>IF(A705="", "", VLOOKUP(A705, BASE!$A$4:$E$10003, 5, FALSE))</f>
        <v/>
      </c>
      <c r="F705" t="str">
        <f t="shared" si="10"/>
        <v/>
      </c>
    </row>
    <row r="706" spans="1:6">
      <c r="A706" t="str">
        <f>IFERROR(INDEX(BASE!$A$4:$A$10003, SMALL(IF(BASE!$F$4:$F$10003="CARREGADO", ROW(BASE!$A$4:$A$10003)-ROW(BASE!$A$4)+1), ROW(A705))), "")</f>
        <v/>
      </c>
      <c r="B706" t="str">
        <f>IF(A706="", "", VLOOKUP(A706, BASE!$A$4:$B$10003, 2, FALSE))</f>
        <v/>
      </c>
      <c r="C706" t="str">
        <f>IF(A706="", "", VLOOKUP(A706, BASE!$A$4:$C$10003, 3, FALSE))</f>
        <v/>
      </c>
      <c r="D706" t="str">
        <f>IF(A706="", "", VLOOKUP(A706, BASE!$A$4:$D$10003, 4, FALSE))</f>
        <v/>
      </c>
      <c r="E706" t="str">
        <f>IF(A706="", "", VLOOKUP(A706, BASE!$A$4:$E$10003, 5, FALSE))</f>
        <v/>
      </c>
      <c r="F706" t="str">
        <f t="shared" ref="F706:F769" si="11">IF(A706="", "", "CARREGADO")</f>
        <v/>
      </c>
    </row>
    <row r="707" spans="1:6">
      <c r="A707" t="str">
        <f>IFERROR(INDEX(BASE!$A$4:$A$10003, SMALL(IF(BASE!$F$4:$F$10003="CARREGADO", ROW(BASE!$A$4:$A$10003)-ROW(BASE!$A$4)+1), ROW(A706))), "")</f>
        <v/>
      </c>
      <c r="B707" t="str">
        <f>IF(A707="", "", VLOOKUP(A707, BASE!$A$4:$B$10003, 2, FALSE))</f>
        <v/>
      </c>
      <c r="C707" t="str">
        <f>IF(A707="", "", VLOOKUP(A707, BASE!$A$4:$C$10003, 3, FALSE))</f>
        <v/>
      </c>
      <c r="D707" t="str">
        <f>IF(A707="", "", VLOOKUP(A707, BASE!$A$4:$D$10003, 4, FALSE))</f>
        <v/>
      </c>
      <c r="E707" t="str">
        <f>IF(A707="", "", VLOOKUP(A707, BASE!$A$4:$E$10003, 5, FALSE))</f>
        <v/>
      </c>
      <c r="F707" t="str">
        <f t="shared" si="11"/>
        <v/>
      </c>
    </row>
    <row r="708" spans="1:6">
      <c r="A708" t="str">
        <f>IFERROR(INDEX(BASE!$A$4:$A$10003, SMALL(IF(BASE!$F$4:$F$10003="CARREGADO", ROW(BASE!$A$4:$A$10003)-ROW(BASE!$A$4)+1), ROW(A707))), "")</f>
        <v/>
      </c>
      <c r="B708" t="str">
        <f>IF(A708="", "", VLOOKUP(A708, BASE!$A$4:$B$10003, 2, FALSE))</f>
        <v/>
      </c>
      <c r="C708" t="str">
        <f>IF(A708="", "", VLOOKUP(A708, BASE!$A$4:$C$10003, 3, FALSE))</f>
        <v/>
      </c>
      <c r="D708" t="str">
        <f>IF(A708="", "", VLOOKUP(A708, BASE!$A$4:$D$10003, 4, FALSE))</f>
        <v/>
      </c>
      <c r="E708" t="str">
        <f>IF(A708="", "", VLOOKUP(A708, BASE!$A$4:$E$10003, 5, FALSE))</f>
        <v/>
      </c>
      <c r="F708" t="str">
        <f t="shared" si="11"/>
        <v/>
      </c>
    </row>
    <row r="709" spans="1:6">
      <c r="A709" t="str">
        <f>IFERROR(INDEX(BASE!$A$4:$A$10003, SMALL(IF(BASE!$F$4:$F$10003="CARREGADO", ROW(BASE!$A$4:$A$10003)-ROW(BASE!$A$4)+1), ROW(A708))), "")</f>
        <v/>
      </c>
      <c r="B709" t="str">
        <f>IF(A709="", "", VLOOKUP(A709, BASE!$A$4:$B$10003, 2, FALSE))</f>
        <v/>
      </c>
      <c r="C709" t="str">
        <f>IF(A709="", "", VLOOKUP(A709, BASE!$A$4:$C$10003, 3, FALSE))</f>
        <v/>
      </c>
      <c r="D709" t="str">
        <f>IF(A709="", "", VLOOKUP(A709, BASE!$A$4:$D$10003, 4, FALSE))</f>
        <v/>
      </c>
      <c r="E709" t="str">
        <f>IF(A709="", "", VLOOKUP(A709, BASE!$A$4:$E$10003, 5, FALSE))</f>
        <v/>
      </c>
      <c r="F709" t="str">
        <f t="shared" si="11"/>
        <v/>
      </c>
    </row>
    <row r="710" spans="1:6">
      <c r="A710" t="str">
        <f>IFERROR(INDEX(BASE!$A$4:$A$10003, SMALL(IF(BASE!$F$4:$F$10003="CARREGADO", ROW(BASE!$A$4:$A$10003)-ROW(BASE!$A$4)+1), ROW(A709))), "")</f>
        <v/>
      </c>
      <c r="B710" t="str">
        <f>IF(A710="", "", VLOOKUP(A710, BASE!$A$4:$B$10003, 2, FALSE))</f>
        <v/>
      </c>
      <c r="C710" t="str">
        <f>IF(A710="", "", VLOOKUP(A710, BASE!$A$4:$C$10003, 3, FALSE))</f>
        <v/>
      </c>
      <c r="D710" t="str">
        <f>IF(A710="", "", VLOOKUP(A710, BASE!$A$4:$D$10003, 4, FALSE))</f>
        <v/>
      </c>
      <c r="E710" t="str">
        <f>IF(A710="", "", VLOOKUP(A710, BASE!$A$4:$E$10003, 5, FALSE))</f>
        <v/>
      </c>
      <c r="F710" t="str">
        <f t="shared" si="11"/>
        <v/>
      </c>
    </row>
    <row r="711" spans="1:6">
      <c r="A711" t="str">
        <f>IFERROR(INDEX(BASE!$A$4:$A$10003, SMALL(IF(BASE!$F$4:$F$10003="CARREGADO", ROW(BASE!$A$4:$A$10003)-ROW(BASE!$A$4)+1), ROW(A710))), "")</f>
        <v/>
      </c>
      <c r="B711" t="str">
        <f>IF(A711="", "", VLOOKUP(A711, BASE!$A$4:$B$10003, 2, FALSE))</f>
        <v/>
      </c>
      <c r="C711" t="str">
        <f>IF(A711="", "", VLOOKUP(A711, BASE!$A$4:$C$10003, 3, FALSE))</f>
        <v/>
      </c>
      <c r="D711" t="str">
        <f>IF(A711="", "", VLOOKUP(A711, BASE!$A$4:$D$10003, 4, FALSE))</f>
        <v/>
      </c>
      <c r="E711" t="str">
        <f>IF(A711="", "", VLOOKUP(A711, BASE!$A$4:$E$10003, 5, FALSE))</f>
        <v/>
      </c>
      <c r="F711" t="str">
        <f t="shared" si="11"/>
        <v/>
      </c>
    </row>
    <row r="712" spans="1:6">
      <c r="A712" t="str">
        <f>IFERROR(INDEX(BASE!$A$4:$A$10003, SMALL(IF(BASE!$F$4:$F$10003="CARREGADO", ROW(BASE!$A$4:$A$10003)-ROW(BASE!$A$4)+1), ROW(A711))), "")</f>
        <v/>
      </c>
      <c r="B712" t="str">
        <f>IF(A712="", "", VLOOKUP(A712, BASE!$A$4:$B$10003, 2, FALSE))</f>
        <v/>
      </c>
      <c r="C712" t="str">
        <f>IF(A712="", "", VLOOKUP(A712, BASE!$A$4:$C$10003, 3, FALSE))</f>
        <v/>
      </c>
      <c r="D712" t="str">
        <f>IF(A712="", "", VLOOKUP(A712, BASE!$A$4:$D$10003, 4, FALSE))</f>
        <v/>
      </c>
      <c r="E712" t="str">
        <f>IF(A712="", "", VLOOKUP(A712, BASE!$A$4:$E$10003, 5, FALSE))</f>
        <v/>
      </c>
      <c r="F712" t="str">
        <f t="shared" si="11"/>
        <v/>
      </c>
    </row>
    <row r="713" spans="1:6">
      <c r="A713" t="str">
        <f>IFERROR(INDEX(BASE!$A$4:$A$10003, SMALL(IF(BASE!$F$4:$F$10003="CARREGADO", ROW(BASE!$A$4:$A$10003)-ROW(BASE!$A$4)+1), ROW(A712))), "")</f>
        <v/>
      </c>
      <c r="B713" t="str">
        <f>IF(A713="", "", VLOOKUP(A713, BASE!$A$4:$B$10003, 2, FALSE))</f>
        <v/>
      </c>
      <c r="C713" t="str">
        <f>IF(A713="", "", VLOOKUP(A713, BASE!$A$4:$C$10003, 3, FALSE))</f>
        <v/>
      </c>
      <c r="D713" t="str">
        <f>IF(A713="", "", VLOOKUP(A713, BASE!$A$4:$D$10003, 4, FALSE))</f>
        <v/>
      </c>
      <c r="E713" t="str">
        <f>IF(A713="", "", VLOOKUP(A713, BASE!$A$4:$E$10003, 5, FALSE))</f>
        <v/>
      </c>
      <c r="F713" t="str">
        <f t="shared" si="11"/>
        <v/>
      </c>
    </row>
    <row r="714" spans="1:6">
      <c r="A714" t="str">
        <f>IFERROR(INDEX(BASE!$A$4:$A$10003, SMALL(IF(BASE!$F$4:$F$10003="CARREGADO", ROW(BASE!$A$4:$A$10003)-ROW(BASE!$A$4)+1), ROW(A713))), "")</f>
        <v/>
      </c>
      <c r="B714" t="str">
        <f>IF(A714="", "", VLOOKUP(A714, BASE!$A$4:$B$10003, 2, FALSE))</f>
        <v/>
      </c>
      <c r="C714" t="str">
        <f>IF(A714="", "", VLOOKUP(A714, BASE!$A$4:$C$10003, 3, FALSE))</f>
        <v/>
      </c>
      <c r="D714" t="str">
        <f>IF(A714="", "", VLOOKUP(A714, BASE!$A$4:$D$10003, 4, FALSE))</f>
        <v/>
      </c>
      <c r="E714" t="str">
        <f>IF(A714="", "", VLOOKUP(A714, BASE!$A$4:$E$10003, 5, FALSE))</f>
        <v/>
      </c>
      <c r="F714" t="str">
        <f t="shared" si="11"/>
        <v/>
      </c>
    </row>
    <row r="715" spans="1:6">
      <c r="A715" t="str">
        <f>IFERROR(INDEX(BASE!$A$4:$A$10003, SMALL(IF(BASE!$F$4:$F$10003="CARREGADO", ROW(BASE!$A$4:$A$10003)-ROW(BASE!$A$4)+1), ROW(A714))), "")</f>
        <v/>
      </c>
      <c r="B715" t="str">
        <f>IF(A715="", "", VLOOKUP(A715, BASE!$A$4:$B$10003, 2, FALSE))</f>
        <v/>
      </c>
      <c r="C715" t="str">
        <f>IF(A715="", "", VLOOKUP(A715, BASE!$A$4:$C$10003, 3, FALSE))</f>
        <v/>
      </c>
      <c r="D715" t="str">
        <f>IF(A715="", "", VLOOKUP(A715, BASE!$A$4:$D$10003, 4, FALSE))</f>
        <v/>
      </c>
      <c r="E715" t="str">
        <f>IF(A715="", "", VLOOKUP(A715, BASE!$A$4:$E$10003, 5, FALSE))</f>
        <v/>
      </c>
      <c r="F715" t="str">
        <f t="shared" si="11"/>
        <v/>
      </c>
    </row>
    <row r="716" spans="1:6">
      <c r="A716" t="str">
        <f>IFERROR(INDEX(BASE!$A$4:$A$10003, SMALL(IF(BASE!$F$4:$F$10003="CARREGADO", ROW(BASE!$A$4:$A$10003)-ROW(BASE!$A$4)+1), ROW(A715))), "")</f>
        <v/>
      </c>
      <c r="B716" t="str">
        <f>IF(A716="", "", VLOOKUP(A716, BASE!$A$4:$B$10003, 2, FALSE))</f>
        <v/>
      </c>
      <c r="C716" t="str">
        <f>IF(A716="", "", VLOOKUP(A716, BASE!$A$4:$C$10003, 3, FALSE))</f>
        <v/>
      </c>
      <c r="D716" t="str">
        <f>IF(A716="", "", VLOOKUP(A716, BASE!$A$4:$D$10003, 4, FALSE))</f>
        <v/>
      </c>
      <c r="E716" t="str">
        <f>IF(A716="", "", VLOOKUP(A716, BASE!$A$4:$E$10003, 5, FALSE))</f>
        <v/>
      </c>
      <c r="F716" t="str">
        <f t="shared" si="11"/>
        <v/>
      </c>
    </row>
    <row r="717" spans="1:6">
      <c r="A717" t="str">
        <f>IFERROR(INDEX(BASE!$A$4:$A$10003, SMALL(IF(BASE!$F$4:$F$10003="CARREGADO", ROW(BASE!$A$4:$A$10003)-ROW(BASE!$A$4)+1), ROW(A716))), "")</f>
        <v/>
      </c>
      <c r="B717" t="str">
        <f>IF(A717="", "", VLOOKUP(A717, BASE!$A$4:$B$10003, 2, FALSE))</f>
        <v/>
      </c>
      <c r="C717" t="str">
        <f>IF(A717="", "", VLOOKUP(A717, BASE!$A$4:$C$10003, 3, FALSE))</f>
        <v/>
      </c>
      <c r="D717" t="str">
        <f>IF(A717="", "", VLOOKUP(A717, BASE!$A$4:$D$10003, 4, FALSE))</f>
        <v/>
      </c>
      <c r="E717" t="str">
        <f>IF(A717="", "", VLOOKUP(A717, BASE!$A$4:$E$10003, 5, FALSE))</f>
        <v/>
      </c>
      <c r="F717" t="str">
        <f t="shared" si="11"/>
        <v/>
      </c>
    </row>
    <row r="718" spans="1:6">
      <c r="A718" t="str">
        <f>IFERROR(INDEX(BASE!$A$4:$A$10003, SMALL(IF(BASE!$F$4:$F$10003="CARREGADO", ROW(BASE!$A$4:$A$10003)-ROW(BASE!$A$4)+1), ROW(A717))), "")</f>
        <v/>
      </c>
      <c r="B718" t="str">
        <f>IF(A718="", "", VLOOKUP(A718, BASE!$A$4:$B$10003, 2, FALSE))</f>
        <v/>
      </c>
      <c r="C718" t="str">
        <f>IF(A718="", "", VLOOKUP(A718, BASE!$A$4:$C$10003, 3, FALSE))</f>
        <v/>
      </c>
      <c r="D718" t="str">
        <f>IF(A718="", "", VLOOKUP(A718, BASE!$A$4:$D$10003, 4, FALSE))</f>
        <v/>
      </c>
      <c r="E718" t="str">
        <f>IF(A718="", "", VLOOKUP(A718, BASE!$A$4:$E$10003, 5, FALSE))</f>
        <v/>
      </c>
      <c r="F718" t="str">
        <f t="shared" si="11"/>
        <v/>
      </c>
    </row>
    <row r="719" spans="1:6">
      <c r="A719" t="str">
        <f>IFERROR(INDEX(BASE!$A$4:$A$10003, SMALL(IF(BASE!$F$4:$F$10003="CARREGADO", ROW(BASE!$A$4:$A$10003)-ROW(BASE!$A$4)+1), ROW(A718))), "")</f>
        <v/>
      </c>
      <c r="B719" t="str">
        <f>IF(A719="", "", VLOOKUP(A719, BASE!$A$4:$B$10003, 2, FALSE))</f>
        <v/>
      </c>
      <c r="C719" t="str">
        <f>IF(A719="", "", VLOOKUP(A719, BASE!$A$4:$C$10003, 3, FALSE))</f>
        <v/>
      </c>
      <c r="D719" t="str">
        <f>IF(A719="", "", VLOOKUP(A719, BASE!$A$4:$D$10003, 4, FALSE))</f>
        <v/>
      </c>
      <c r="E719" t="str">
        <f>IF(A719="", "", VLOOKUP(A719, BASE!$A$4:$E$10003, 5, FALSE))</f>
        <v/>
      </c>
      <c r="F719" t="str">
        <f t="shared" si="11"/>
        <v/>
      </c>
    </row>
    <row r="720" spans="1:6">
      <c r="A720" t="str">
        <f>IFERROR(INDEX(BASE!$A$4:$A$10003, SMALL(IF(BASE!$F$4:$F$10003="CARREGADO", ROW(BASE!$A$4:$A$10003)-ROW(BASE!$A$4)+1), ROW(A719))), "")</f>
        <v/>
      </c>
      <c r="B720" t="str">
        <f>IF(A720="", "", VLOOKUP(A720, BASE!$A$4:$B$10003, 2, FALSE))</f>
        <v/>
      </c>
      <c r="C720" t="str">
        <f>IF(A720="", "", VLOOKUP(A720, BASE!$A$4:$C$10003, 3, FALSE))</f>
        <v/>
      </c>
      <c r="D720" t="str">
        <f>IF(A720="", "", VLOOKUP(A720, BASE!$A$4:$D$10003, 4, FALSE))</f>
        <v/>
      </c>
      <c r="E720" t="str">
        <f>IF(A720="", "", VLOOKUP(A720, BASE!$A$4:$E$10003, 5, FALSE))</f>
        <v/>
      </c>
      <c r="F720" t="str">
        <f t="shared" si="11"/>
        <v/>
      </c>
    </row>
    <row r="721" spans="1:6">
      <c r="A721" t="str">
        <f>IFERROR(INDEX(BASE!$A$4:$A$10003, SMALL(IF(BASE!$F$4:$F$10003="CARREGADO", ROW(BASE!$A$4:$A$10003)-ROW(BASE!$A$4)+1), ROW(A720))), "")</f>
        <v/>
      </c>
      <c r="B721" t="str">
        <f>IF(A721="", "", VLOOKUP(A721, BASE!$A$4:$B$10003, 2, FALSE))</f>
        <v/>
      </c>
      <c r="C721" t="str">
        <f>IF(A721="", "", VLOOKUP(A721, BASE!$A$4:$C$10003, 3, FALSE))</f>
        <v/>
      </c>
      <c r="D721" t="str">
        <f>IF(A721="", "", VLOOKUP(A721, BASE!$A$4:$D$10003, 4, FALSE))</f>
        <v/>
      </c>
      <c r="E721" t="str">
        <f>IF(A721="", "", VLOOKUP(A721, BASE!$A$4:$E$10003, 5, FALSE))</f>
        <v/>
      </c>
      <c r="F721" t="str">
        <f t="shared" si="11"/>
        <v/>
      </c>
    </row>
    <row r="722" spans="1:6">
      <c r="A722" t="str">
        <f>IFERROR(INDEX(BASE!$A$4:$A$10003, SMALL(IF(BASE!$F$4:$F$10003="CARREGADO", ROW(BASE!$A$4:$A$10003)-ROW(BASE!$A$4)+1), ROW(A721))), "")</f>
        <v/>
      </c>
      <c r="B722" t="str">
        <f>IF(A722="", "", VLOOKUP(A722, BASE!$A$4:$B$10003, 2, FALSE))</f>
        <v/>
      </c>
      <c r="C722" t="str">
        <f>IF(A722="", "", VLOOKUP(A722, BASE!$A$4:$C$10003, 3, FALSE))</f>
        <v/>
      </c>
      <c r="D722" t="str">
        <f>IF(A722="", "", VLOOKUP(A722, BASE!$A$4:$D$10003, 4, FALSE))</f>
        <v/>
      </c>
      <c r="E722" t="str">
        <f>IF(A722="", "", VLOOKUP(A722, BASE!$A$4:$E$10003, 5, FALSE))</f>
        <v/>
      </c>
      <c r="F722" t="str">
        <f t="shared" si="11"/>
        <v/>
      </c>
    </row>
    <row r="723" spans="1:6">
      <c r="A723" t="str">
        <f>IFERROR(INDEX(BASE!$A$4:$A$10003, SMALL(IF(BASE!$F$4:$F$10003="CARREGADO", ROW(BASE!$A$4:$A$10003)-ROW(BASE!$A$4)+1), ROW(A722))), "")</f>
        <v/>
      </c>
      <c r="B723" t="str">
        <f>IF(A723="", "", VLOOKUP(A723, BASE!$A$4:$B$10003, 2, FALSE))</f>
        <v/>
      </c>
      <c r="C723" t="str">
        <f>IF(A723="", "", VLOOKUP(A723, BASE!$A$4:$C$10003, 3, FALSE))</f>
        <v/>
      </c>
      <c r="D723" t="str">
        <f>IF(A723="", "", VLOOKUP(A723, BASE!$A$4:$D$10003, 4, FALSE))</f>
        <v/>
      </c>
      <c r="E723" t="str">
        <f>IF(A723="", "", VLOOKUP(A723, BASE!$A$4:$E$10003, 5, FALSE))</f>
        <v/>
      </c>
      <c r="F723" t="str">
        <f t="shared" si="11"/>
        <v/>
      </c>
    </row>
    <row r="724" spans="1:6">
      <c r="A724" t="str">
        <f>IFERROR(INDEX(BASE!$A$4:$A$10003, SMALL(IF(BASE!$F$4:$F$10003="CARREGADO", ROW(BASE!$A$4:$A$10003)-ROW(BASE!$A$4)+1), ROW(A723))), "")</f>
        <v/>
      </c>
      <c r="B724" t="str">
        <f>IF(A724="", "", VLOOKUP(A724, BASE!$A$4:$B$10003, 2, FALSE))</f>
        <v/>
      </c>
      <c r="C724" t="str">
        <f>IF(A724="", "", VLOOKUP(A724, BASE!$A$4:$C$10003, 3, FALSE))</f>
        <v/>
      </c>
      <c r="D724" t="str">
        <f>IF(A724="", "", VLOOKUP(A724, BASE!$A$4:$D$10003, 4, FALSE))</f>
        <v/>
      </c>
      <c r="E724" t="str">
        <f>IF(A724="", "", VLOOKUP(A724, BASE!$A$4:$E$10003, 5, FALSE))</f>
        <v/>
      </c>
      <c r="F724" t="str">
        <f t="shared" si="11"/>
        <v/>
      </c>
    </row>
    <row r="725" spans="1:6">
      <c r="A725" t="str">
        <f>IFERROR(INDEX(BASE!$A$4:$A$10003, SMALL(IF(BASE!$F$4:$F$10003="CARREGADO", ROW(BASE!$A$4:$A$10003)-ROW(BASE!$A$4)+1), ROW(A724))), "")</f>
        <v/>
      </c>
      <c r="B725" t="str">
        <f>IF(A725="", "", VLOOKUP(A725, BASE!$A$4:$B$10003, 2, FALSE))</f>
        <v/>
      </c>
      <c r="C725" t="str">
        <f>IF(A725="", "", VLOOKUP(A725, BASE!$A$4:$C$10003, 3, FALSE))</f>
        <v/>
      </c>
      <c r="D725" t="str">
        <f>IF(A725="", "", VLOOKUP(A725, BASE!$A$4:$D$10003, 4, FALSE))</f>
        <v/>
      </c>
      <c r="E725" t="str">
        <f>IF(A725="", "", VLOOKUP(A725, BASE!$A$4:$E$10003, 5, FALSE))</f>
        <v/>
      </c>
      <c r="F725" t="str">
        <f t="shared" si="11"/>
        <v/>
      </c>
    </row>
    <row r="726" spans="1:6">
      <c r="A726" t="str">
        <f>IFERROR(INDEX(BASE!$A$4:$A$10003, SMALL(IF(BASE!$F$4:$F$10003="CARREGADO", ROW(BASE!$A$4:$A$10003)-ROW(BASE!$A$4)+1), ROW(A725))), "")</f>
        <v/>
      </c>
      <c r="B726" t="str">
        <f>IF(A726="", "", VLOOKUP(A726, BASE!$A$4:$B$10003, 2, FALSE))</f>
        <v/>
      </c>
      <c r="C726" t="str">
        <f>IF(A726="", "", VLOOKUP(A726, BASE!$A$4:$C$10003, 3, FALSE))</f>
        <v/>
      </c>
      <c r="D726" t="str">
        <f>IF(A726="", "", VLOOKUP(A726, BASE!$A$4:$D$10003, 4, FALSE))</f>
        <v/>
      </c>
      <c r="E726" t="str">
        <f>IF(A726="", "", VLOOKUP(A726, BASE!$A$4:$E$10003, 5, FALSE))</f>
        <v/>
      </c>
      <c r="F726" t="str">
        <f t="shared" si="11"/>
        <v/>
      </c>
    </row>
    <row r="727" spans="1:6">
      <c r="A727" t="str">
        <f>IFERROR(INDEX(BASE!$A$4:$A$10003, SMALL(IF(BASE!$F$4:$F$10003="CARREGADO", ROW(BASE!$A$4:$A$10003)-ROW(BASE!$A$4)+1), ROW(A726))), "")</f>
        <v/>
      </c>
      <c r="B727" t="str">
        <f>IF(A727="", "", VLOOKUP(A727, BASE!$A$4:$B$10003, 2, FALSE))</f>
        <v/>
      </c>
      <c r="C727" t="str">
        <f>IF(A727="", "", VLOOKUP(A727, BASE!$A$4:$C$10003, 3, FALSE))</f>
        <v/>
      </c>
      <c r="D727" t="str">
        <f>IF(A727="", "", VLOOKUP(A727, BASE!$A$4:$D$10003, 4, FALSE))</f>
        <v/>
      </c>
      <c r="E727" t="str">
        <f>IF(A727="", "", VLOOKUP(A727, BASE!$A$4:$E$10003, 5, FALSE))</f>
        <v/>
      </c>
      <c r="F727" t="str">
        <f t="shared" si="11"/>
        <v/>
      </c>
    </row>
    <row r="728" spans="1:6">
      <c r="A728" t="str">
        <f>IFERROR(INDEX(BASE!$A$4:$A$10003, SMALL(IF(BASE!$F$4:$F$10003="CARREGADO", ROW(BASE!$A$4:$A$10003)-ROW(BASE!$A$4)+1), ROW(A727))), "")</f>
        <v/>
      </c>
      <c r="B728" t="str">
        <f>IF(A728="", "", VLOOKUP(A728, BASE!$A$4:$B$10003, 2, FALSE))</f>
        <v/>
      </c>
      <c r="C728" t="str">
        <f>IF(A728="", "", VLOOKUP(A728, BASE!$A$4:$C$10003, 3, FALSE))</f>
        <v/>
      </c>
      <c r="D728" t="str">
        <f>IF(A728="", "", VLOOKUP(A728, BASE!$A$4:$D$10003, 4, FALSE))</f>
        <v/>
      </c>
      <c r="E728" t="str">
        <f>IF(A728="", "", VLOOKUP(A728, BASE!$A$4:$E$10003, 5, FALSE))</f>
        <v/>
      </c>
      <c r="F728" t="str">
        <f t="shared" si="11"/>
        <v/>
      </c>
    </row>
    <row r="729" spans="1:6">
      <c r="A729" t="str">
        <f>IFERROR(INDEX(BASE!$A$4:$A$10003, SMALL(IF(BASE!$F$4:$F$10003="CARREGADO", ROW(BASE!$A$4:$A$10003)-ROW(BASE!$A$4)+1), ROW(A728))), "")</f>
        <v/>
      </c>
      <c r="B729" t="str">
        <f>IF(A729="", "", VLOOKUP(A729, BASE!$A$4:$B$10003, 2, FALSE))</f>
        <v/>
      </c>
      <c r="C729" t="str">
        <f>IF(A729="", "", VLOOKUP(A729, BASE!$A$4:$C$10003, 3, FALSE))</f>
        <v/>
      </c>
      <c r="D729" t="str">
        <f>IF(A729="", "", VLOOKUP(A729, BASE!$A$4:$D$10003, 4, FALSE))</f>
        <v/>
      </c>
      <c r="E729" t="str">
        <f>IF(A729="", "", VLOOKUP(A729, BASE!$A$4:$E$10003, 5, FALSE))</f>
        <v/>
      </c>
      <c r="F729" t="str">
        <f t="shared" si="11"/>
        <v/>
      </c>
    </row>
    <row r="730" spans="1:6">
      <c r="A730" t="str">
        <f>IFERROR(INDEX(BASE!$A$4:$A$10003, SMALL(IF(BASE!$F$4:$F$10003="CARREGADO", ROW(BASE!$A$4:$A$10003)-ROW(BASE!$A$4)+1), ROW(A729))), "")</f>
        <v/>
      </c>
      <c r="B730" t="str">
        <f>IF(A730="", "", VLOOKUP(A730, BASE!$A$4:$B$10003, 2, FALSE))</f>
        <v/>
      </c>
      <c r="C730" t="str">
        <f>IF(A730="", "", VLOOKUP(A730, BASE!$A$4:$C$10003, 3, FALSE))</f>
        <v/>
      </c>
      <c r="D730" t="str">
        <f>IF(A730="", "", VLOOKUP(A730, BASE!$A$4:$D$10003, 4, FALSE))</f>
        <v/>
      </c>
      <c r="E730" t="str">
        <f>IF(A730="", "", VLOOKUP(A730, BASE!$A$4:$E$10003, 5, FALSE))</f>
        <v/>
      </c>
      <c r="F730" t="str">
        <f t="shared" si="11"/>
        <v/>
      </c>
    </row>
    <row r="731" spans="1:6">
      <c r="A731" t="str">
        <f>IFERROR(INDEX(BASE!$A$4:$A$10003, SMALL(IF(BASE!$F$4:$F$10003="CARREGADO", ROW(BASE!$A$4:$A$10003)-ROW(BASE!$A$4)+1), ROW(A730))), "")</f>
        <v/>
      </c>
      <c r="B731" t="str">
        <f>IF(A731="", "", VLOOKUP(A731, BASE!$A$4:$B$10003, 2, FALSE))</f>
        <v/>
      </c>
      <c r="C731" t="str">
        <f>IF(A731="", "", VLOOKUP(A731, BASE!$A$4:$C$10003, 3, FALSE))</f>
        <v/>
      </c>
      <c r="D731" t="str">
        <f>IF(A731="", "", VLOOKUP(A731, BASE!$A$4:$D$10003, 4, FALSE))</f>
        <v/>
      </c>
      <c r="E731" t="str">
        <f>IF(A731="", "", VLOOKUP(A731, BASE!$A$4:$E$10003, 5, FALSE))</f>
        <v/>
      </c>
      <c r="F731" t="str">
        <f t="shared" si="11"/>
        <v/>
      </c>
    </row>
    <row r="732" spans="1:6">
      <c r="A732" t="str">
        <f>IFERROR(INDEX(BASE!$A$4:$A$10003, SMALL(IF(BASE!$F$4:$F$10003="CARREGADO", ROW(BASE!$A$4:$A$10003)-ROW(BASE!$A$4)+1), ROW(A731))), "")</f>
        <v/>
      </c>
      <c r="B732" t="str">
        <f>IF(A732="", "", VLOOKUP(A732, BASE!$A$4:$B$10003, 2, FALSE))</f>
        <v/>
      </c>
      <c r="C732" t="str">
        <f>IF(A732="", "", VLOOKUP(A732, BASE!$A$4:$C$10003, 3, FALSE))</f>
        <v/>
      </c>
      <c r="D732" t="str">
        <f>IF(A732="", "", VLOOKUP(A732, BASE!$A$4:$D$10003, 4, FALSE))</f>
        <v/>
      </c>
      <c r="E732" t="str">
        <f>IF(A732="", "", VLOOKUP(A732, BASE!$A$4:$E$10003, 5, FALSE))</f>
        <v/>
      </c>
      <c r="F732" t="str">
        <f t="shared" si="11"/>
        <v/>
      </c>
    </row>
    <row r="733" spans="1:6">
      <c r="A733" t="str">
        <f>IFERROR(INDEX(BASE!$A$4:$A$10003, SMALL(IF(BASE!$F$4:$F$10003="CARREGADO", ROW(BASE!$A$4:$A$10003)-ROW(BASE!$A$4)+1), ROW(A732))), "")</f>
        <v/>
      </c>
      <c r="B733" t="str">
        <f>IF(A733="", "", VLOOKUP(A733, BASE!$A$4:$B$10003, 2, FALSE))</f>
        <v/>
      </c>
      <c r="C733" t="str">
        <f>IF(A733="", "", VLOOKUP(A733, BASE!$A$4:$C$10003, 3, FALSE))</f>
        <v/>
      </c>
      <c r="D733" t="str">
        <f>IF(A733="", "", VLOOKUP(A733, BASE!$A$4:$D$10003, 4, FALSE))</f>
        <v/>
      </c>
      <c r="E733" t="str">
        <f>IF(A733="", "", VLOOKUP(A733, BASE!$A$4:$E$10003, 5, FALSE))</f>
        <v/>
      </c>
      <c r="F733" t="str">
        <f t="shared" si="11"/>
        <v/>
      </c>
    </row>
    <row r="734" spans="1:6">
      <c r="A734" t="str">
        <f>IFERROR(INDEX(BASE!$A$4:$A$10003, SMALL(IF(BASE!$F$4:$F$10003="CARREGADO", ROW(BASE!$A$4:$A$10003)-ROW(BASE!$A$4)+1), ROW(A733))), "")</f>
        <v/>
      </c>
      <c r="B734" t="str">
        <f>IF(A734="", "", VLOOKUP(A734, BASE!$A$4:$B$10003, 2, FALSE))</f>
        <v/>
      </c>
      <c r="C734" t="str">
        <f>IF(A734="", "", VLOOKUP(A734, BASE!$A$4:$C$10003, 3, FALSE))</f>
        <v/>
      </c>
      <c r="D734" t="str">
        <f>IF(A734="", "", VLOOKUP(A734, BASE!$A$4:$D$10003, 4, FALSE))</f>
        <v/>
      </c>
      <c r="E734" t="str">
        <f>IF(A734="", "", VLOOKUP(A734, BASE!$A$4:$E$10003, 5, FALSE))</f>
        <v/>
      </c>
      <c r="F734" t="str">
        <f t="shared" si="11"/>
        <v/>
      </c>
    </row>
    <row r="735" spans="1:6">
      <c r="A735" t="str">
        <f>IFERROR(INDEX(BASE!$A$4:$A$10003, SMALL(IF(BASE!$F$4:$F$10003="CARREGADO", ROW(BASE!$A$4:$A$10003)-ROW(BASE!$A$4)+1), ROW(A734))), "")</f>
        <v/>
      </c>
      <c r="B735" t="str">
        <f>IF(A735="", "", VLOOKUP(A735, BASE!$A$4:$B$10003, 2, FALSE))</f>
        <v/>
      </c>
      <c r="C735" t="str">
        <f>IF(A735="", "", VLOOKUP(A735, BASE!$A$4:$C$10003, 3, FALSE))</f>
        <v/>
      </c>
      <c r="D735" t="str">
        <f>IF(A735="", "", VLOOKUP(A735, BASE!$A$4:$D$10003, 4, FALSE))</f>
        <v/>
      </c>
      <c r="E735" t="str">
        <f>IF(A735="", "", VLOOKUP(A735, BASE!$A$4:$E$10003, 5, FALSE))</f>
        <v/>
      </c>
      <c r="F735" t="str">
        <f t="shared" si="11"/>
        <v/>
      </c>
    </row>
    <row r="736" spans="1:6">
      <c r="A736" t="str">
        <f>IFERROR(INDEX(BASE!$A$4:$A$10003, SMALL(IF(BASE!$F$4:$F$10003="CARREGADO", ROW(BASE!$A$4:$A$10003)-ROW(BASE!$A$4)+1), ROW(A735))), "")</f>
        <v/>
      </c>
      <c r="B736" t="str">
        <f>IF(A736="", "", VLOOKUP(A736, BASE!$A$4:$B$10003, 2, FALSE))</f>
        <v/>
      </c>
      <c r="C736" t="str">
        <f>IF(A736="", "", VLOOKUP(A736, BASE!$A$4:$C$10003, 3, FALSE))</f>
        <v/>
      </c>
      <c r="D736" t="str">
        <f>IF(A736="", "", VLOOKUP(A736, BASE!$A$4:$D$10003, 4, FALSE))</f>
        <v/>
      </c>
      <c r="E736" t="str">
        <f>IF(A736="", "", VLOOKUP(A736, BASE!$A$4:$E$10003, 5, FALSE))</f>
        <v/>
      </c>
      <c r="F736" t="str">
        <f t="shared" si="11"/>
        <v/>
      </c>
    </row>
    <row r="737" spans="1:6">
      <c r="A737" t="str">
        <f>IFERROR(INDEX(BASE!$A$4:$A$10003, SMALL(IF(BASE!$F$4:$F$10003="CARREGADO", ROW(BASE!$A$4:$A$10003)-ROW(BASE!$A$4)+1), ROW(A736))), "")</f>
        <v/>
      </c>
      <c r="B737" t="str">
        <f>IF(A737="", "", VLOOKUP(A737, BASE!$A$4:$B$10003, 2, FALSE))</f>
        <v/>
      </c>
      <c r="C737" t="str">
        <f>IF(A737="", "", VLOOKUP(A737, BASE!$A$4:$C$10003, 3, FALSE))</f>
        <v/>
      </c>
      <c r="D737" t="str">
        <f>IF(A737="", "", VLOOKUP(A737, BASE!$A$4:$D$10003, 4, FALSE))</f>
        <v/>
      </c>
      <c r="E737" t="str">
        <f>IF(A737="", "", VLOOKUP(A737, BASE!$A$4:$E$10003, 5, FALSE))</f>
        <v/>
      </c>
      <c r="F737" t="str">
        <f t="shared" si="11"/>
        <v/>
      </c>
    </row>
    <row r="738" spans="1:6">
      <c r="A738" t="str">
        <f>IFERROR(INDEX(BASE!$A$4:$A$10003, SMALL(IF(BASE!$F$4:$F$10003="CARREGADO", ROW(BASE!$A$4:$A$10003)-ROW(BASE!$A$4)+1), ROW(A737))), "")</f>
        <v/>
      </c>
      <c r="B738" t="str">
        <f>IF(A738="", "", VLOOKUP(A738, BASE!$A$4:$B$10003, 2, FALSE))</f>
        <v/>
      </c>
      <c r="C738" t="str">
        <f>IF(A738="", "", VLOOKUP(A738, BASE!$A$4:$C$10003, 3, FALSE))</f>
        <v/>
      </c>
      <c r="D738" t="str">
        <f>IF(A738="", "", VLOOKUP(A738, BASE!$A$4:$D$10003, 4, FALSE))</f>
        <v/>
      </c>
      <c r="E738" t="str">
        <f>IF(A738="", "", VLOOKUP(A738, BASE!$A$4:$E$10003, 5, FALSE))</f>
        <v/>
      </c>
      <c r="F738" t="str">
        <f t="shared" si="11"/>
        <v/>
      </c>
    </row>
    <row r="739" spans="1:6">
      <c r="A739" t="str">
        <f>IFERROR(INDEX(BASE!$A$4:$A$10003, SMALL(IF(BASE!$F$4:$F$10003="CARREGADO", ROW(BASE!$A$4:$A$10003)-ROW(BASE!$A$4)+1), ROW(A738))), "")</f>
        <v/>
      </c>
      <c r="B739" t="str">
        <f>IF(A739="", "", VLOOKUP(A739, BASE!$A$4:$B$10003, 2, FALSE))</f>
        <v/>
      </c>
      <c r="C739" t="str">
        <f>IF(A739="", "", VLOOKUP(A739, BASE!$A$4:$C$10003, 3, FALSE))</f>
        <v/>
      </c>
      <c r="D739" t="str">
        <f>IF(A739="", "", VLOOKUP(A739, BASE!$A$4:$D$10003, 4, FALSE))</f>
        <v/>
      </c>
      <c r="E739" t="str">
        <f>IF(A739="", "", VLOOKUP(A739, BASE!$A$4:$E$10003, 5, FALSE))</f>
        <v/>
      </c>
      <c r="F739" t="str">
        <f t="shared" si="11"/>
        <v/>
      </c>
    </row>
    <row r="740" spans="1:6">
      <c r="A740" t="str">
        <f>IFERROR(INDEX(BASE!$A$4:$A$10003, SMALL(IF(BASE!$F$4:$F$10003="CARREGADO", ROW(BASE!$A$4:$A$10003)-ROW(BASE!$A$4)+1), ROW(A739))), "")</f>
        <v/>
      </c>
      <c r="B740" t="str">
        <f>IF(A740="", "", VLOOKUP(A740, BASE!$A$4:$B$10003, 2, FALSE))</f>
        <v/>
      </c>
      <c r="C740" t="str">
        <f>IF(A740="", "", VLOOKUP(A740, BASE!$A$4:$C$10003, 3, FALSE))</f>
        <v/>
      </c>
      <c r="D740" t="str">
        <f>IF(A740="", "", VLOOKUP(A740, BASE!$A$4:$D$10003, 4, FALSE))</f>
        <v/>
      </c>
      <c r="E740" t="str">
        <f>IF(A740="", "", VLOOKUP(A740, BASE!$A$4:$E$10003, 5, FALSE))</f>
        <v/>
      </c>
      <c r="F740" t="str">
        <f t="shared" si="11"/>
        <v/>
      </c>
    </row>
    <row r="741" spans="1:6">
      <c r="A741" t="str">
        <f>IFERROR(INDEX(BASE!$A$4:$A$10003, SMALL(IF(BASE!$F$4:$F$10003="CARREGADO", ROW(BASE!$A$4:$A$10003)-ROW(BASE!$A$4)+1), ROW(A740))), "")</f>
        <v/>
      </c>
      <c r="B741" t="str">
        <f>IF(A741="", "", VLOOKUP(A741, BASE!$A$4:$B$10003, 2, FALSE))</f>
        <v/>
      </c>
      <c r="C741" t="str">
        <f>IF(A741="", "", VLOOKUP(A741, BASE!$A$4:$C$10003, 3, FALSE))</f>
        <v/>
      </c>
      <c r="D741" t="str">
        <f>IF(A741="", "", VLOOKUP(A741, BASE!$A$4:$D$10003, 4, FALSE))</f>
        <v/>
      </c>
      <c r="E741" t="str">
        <f>IF(A741="", "", VLOOKUP(A741, BASE!$A$4:$E$10003, 5, FALSE))</f>
        <v/>
      </c>
      <c r="F741" t="str">
        <f t="shared" si="11"/>
        <v/>
      </c>
    </row>
    <row r="742" spans="1:6">
      <c r="A742" t="str">
        <f>IFERROR(INDEX(BASE!$A$4:$A$10003, SMALL(IF(BASE!$F$4:$F$10003="CARREGADO", ROW(BASE!$A$4:$A$10003)-ROW(BASE!$A$4)+1), ROW(A741))), "")</f>
        <v/>
      </c>
      <c r="B742" t="str">
        <f>IF(A742="", "", VLOOKUP(A742, BASE!$A$4:$B$10003, 2, FALSE))</f>
        <v/>
      </c>
      <c r="C742" t="str">
        <f>IF(A742="", "", VLOOKUP(A742, BASE!$A$4:$C$10003, 3, FALSE))</f>
        <v/>
      </c>
      <c r="D742" t="str">
        <f>IF(A742="", "", VLOOKUP(A742, BASE!$A$4:$D$10003, 4, FALSE))</f>
        <v/>
      </c>
      <c r="E742" t="str">
        <f>IF(A742="", "", VLOOKUP(A742, BASE!$A$4:$E$10003, 5, FALSE))</f>
        <v/>
      </c>
      <c r="F742" t="str">
        <f t="shared" si="11"/>
        <v/>
      </c>
    </row>
    <row r="743" spans="1:6">
      <c r="A743" t="str">
        <f>IFERROR(INDEX(BASE!$A$4:$A$10003, SMALL(IF(BASE!$F$4:$F$10003="CARREGADO", ROW(BASE!$A$4:$A$10003)-ROW(BASE!$A$4)+1), ROW(A742))), "")</f>
        <v/>
      </c>
      <c r="B743" t="str">
        <f>IF(A743="", "", VLOOKUP(A743, BASE!$A$4:$B$10003, 2, FALSE))</f>
        <v/>
      </c>
      <c r="C743" t="str">
        <f>IF(A743="", "", VLOOKUP(A743, BASE!$A$4:$C$10003, 3, FALSE))</f>
        <v/>
      </c>
      <c r="D743" t="str">
        <f>IF(A743="", "", VLOOKUP(A743, BASE!$A$4:$D$10003, 4, FALSE))</f>
        <v/>
      </c>
      <c r="E743" t="str">
        <f>IF(A743="", "", VLOOKUP(A743, BASE!$A$4:$E$10003, 5, FALSE))</f>
        <v/>
      </c>
      <c r="F743" t="str">
        <f t="shared" si="11"/>
        <v/>
      </c>
    </row>
    <row r="744" spans="1:6">
      <c r="A744" t="str">
        <f>IFERROR(INDEX(BASE!$A$4:$A$10003, SMALL(IF(BASE!$F$4:$F$10003="CARREGADO", ROW(BASE!$A$4:$A$10003)-ROW(BASE!$A$4)+1), ROW(A743))), "")</f>
        <v/>
      </c>
      <c r="B744" t="str">
        <f>IF(A744="", "", VLOOKUP(A744, BASE!$A$4:$B$10003, 2, FALSE))</f>
        <v/>
      </c>
      <c r="C744" t="str">
        <f>IF(A744="", "", VLOOKUP(A744, BASE!$A$4:$C$10003, 3, FALSE))</f>
        <v/>
      </c>
      <c r="D744" t="str">
        <f>IF(A744="", "", VLOOKUP(A744, BASE!$A$4:$D$10003, 4, FALSE))</f>
        <v/>
      </c>
      <c r="E744" t="str">
        <f>IF(A744="", "", VLOOKUP(A744, BASE!$A$4:$E$10003, 5, FALSE))</f>
        <v/>
      </c>
      <c r="F744" t="str">
        <f t="shared" si="11"/>
        <v/>
      </c>
    </row>
    <row r="745" spans="1:6">
      <c r="A745" t="str">
        <f>IFERROR(INDEX(BASE!$A$4:$A$10003, SMALL(IF(BASE!$F$4:$F$10003="CARREGADO", ROW(BASE!$A$4:$A$10003)-ROW(BASE!$A$4)+1), ROW(A744))), "")</f>
        <v/>
      </c>
      <c r="B745" t="str">
        <f>IF(A745="", "", VLOOKUP(A745, BASE!$A$4:$B$10003, 2, FALSE))</f>
        <v/>
      </c>
      <c r="C745" t="str">
        <f>IF(A745="", "", VLOOKUP(A745, BASE!$A$4:$C$10003, 3, FALSE))</f>
        <v/>
      </c>
      <c r="D745" t="str">
        <f>IF(A745="", "", VLOOKUP(A745, BASE!$A$4:$D$10003, 4, FALSE))</f>
        <v/>
      </c>
      <c r="E745" t="str">
        <f>IF(A745="", "", VLOOKUP(A745, BASE!$A$4:$E$10003, 5, FALSE))</f>
        <v/>
      </c>
      <c r="F745" t="str">
        <f t="shared" si="11"/>
        <v/>
      </c>
    </row>
    <row r="746" spans="1:6">
      <c r="A746" t="str">
        <f>IFERROR(INDEX(BASE!$A$4:$A$10003, SMALL(IF(BASE!$F$4:$F$10003="CARREGADO", ROW(BASE!$A$4:$A$10003)-ROW(BASE!$A$4)+1), ROW(A745))), "")</f>
        <v/>
      </c>
      <c r="B746" t="str">
        <f>IF(A746="", "", VLOOKUP(A746, BASE!$A$4:$B$10003, 2, FALSE))</f>
        <v/>
      </c>
      <c r="C746" t="str">
        <f>IF(A746="", "", VLOOKUP(A746, BASE!$A$4:$C$10003, 3, FALSE))</f>
        <v/>
      </c>
      <c r="D746" t="str">
        <f>IF(A746="", "", VLOOKUP(A746, BASE!$A$4:$D$10003, 4, FALSE))</f>
        <v/>
      </c>
      <c r="E746" t="str">
        <f>IF(A746="", "", VLOOKUP(A746, BASE!$A$4:$E$10003, 5, FALSE))</f>
        <v/>
      </c>
      <c r="F746" t="str">
        <f t="shared" si="11"/>
        <v/>
      </c>
    </row>
    <row r="747" spans="1:6">
      <c r="A747" t="str">
        <f>IFERROR(INDEX(BASE!$A$4:$A$10003, SMALL(IF(BASE!$F$4:$F$10003="CARREGADO", ROW(BASE!$A$4:$A$10003)-ROW(BASE!$A$4)+1), ROW(A746))), "")</f>
        <v/>
      </c>
      <c r="B747" t="str">
        <f>IF(A747="", "", VLOOKUP(A747, BASE!$A$4:$B$10003, 2, FALSE))</f>
        <v/>
      </c>
      <c r="C747" t="str">
        <f>IF(A747="", "", VLOOKUP(A747, BASE!$A$4:$C$10003, 3, FALSE))</f>
        <v/>
      </c>
      <c r="D747" t="str">
        <f>IF(A747="", "", VLOOKUP(A747, BASE!$A$4:$D$10003, 4, FALSE))</f>
        <v/>
      </c>
      <c r="E747" t="str">
        <f>IF(A747="", "", VLOOKUP(A747, BASE!$A$4:$E$10003, 5, FALSE))</f>
        <v/>
      </c>
      <c r="F747" t="str">
        <f t="shared" si="11"/>
        <v/>
      </c>
    </row>
    <row r="748" spans="1:6">
      <c r="A748" t="str">
        <f>IFERROR(INDEX(BASE!$A$4:$A$10003, SMALL(IF(BASE!$F$4:$F$10003="CARREGADO", ROW(BASE!$A$4:$A$10003)-ROW(BASE!$A$4)+1), ROW(A747))), "")</f>
        <v/>
      </c>
      <c r="B748" t="str">
        <f>IF(A748="", "", VLOOKUP(A748, BASE!$A$4:$B$10003, 2, FALSE))</f>
        <v/>
      </c>
      <c r="C748" t="str">
        <f>IF(A748="", "", VLOOKUP(A748, BASE!$A$4:$C$10003, 3, FALSE))</f>
        <v/>
      </c>
      <c r="D748" t="str">
        <f>IF(A748="", "", VLOOKUP(A748, BASE!$A$4:$D$10003, 4, FALSE))</f>
        <v/>
      </c>
      <c r="E748" t="str">
        <f>IF(A748="", "", VLOOKUP(A748, BASE!$A$4:$E$10003, 5, FALSE))</f>
        <v/>
      </c>
      <c r="F748" t="str">
        <f t="shared" si="11"/>
        <v/>
      </c>
    </row>
    <row r="749" spans="1:6">
      <c r="A749" t="str">
        <f>IFERROR(INDEX(BASE!$A$4:$A$10003, SMALL(IF(BASE!$F$4:$F$10003="CARREGADO", ROW(BASE!$A$4:$A$10003)-ROW(BASE!$A$4)+1), ROW(A748))), "")</f>
        <v/>
      </c>
      <c r="B749" t="str">
        <f>IF(A749="", "", VLOOKUP(A749, BASE!$A$4:$B$10003, 2, FALSE))</f>
        <v/>
      </c>
      <c r="C749" t="str">
        <f>IF(A749="", "", VLOOKUP(A749, BASE!$A$4:$C$10003, 3, FALSE))</f>
        <v/>
      </c>
      <c r="D749" t="str">
        <f>IF(A749="", "", VLOOKUP(A749, BASE!$A$4:$D$10003, 4, FALSE))</f>
        <v/>
      </c>
      <c r="E749" t="str">
        <f>IF(A749="", "", VLOOKUP(A749, BASE!$A$4:$E$10003, 5, FALSE))</f>
        <v/>
      </c>
      <c r="F749" t="str">
        <f t="shared" si="11"/>
        <v/>
      </c>
    </row>
    <row r="750" spans="1:6">
      <c r="A750" t="str">
        <f>IFERROR(INDEX(BASE!$A$4:$A$10003, SMALL(IF(BASE!$F$4:$F$10003="CARREGADO", ROW(BASE!$A$4:$A$10003)-ROW(BASE!$A$4)+1), ROW(A749))), "")</f>
        <v/>
      </c>
      <c r="B750" t="str">
        <f>IF(A750="", "", VLOOKUP(A750, BASE!$A$4:$B$10003, 2, FALSE))</f>
        <v/>
      </c>
      <c r="C750" t="str">
        <f>IF(A750="", "", VLOOKUP(A750, BASE!$A$4:$C$10003, 3, FALSE))</f>
        <v/>
      </c>
      <c r="D750" t="str">
        <f>IF(A750="", "", VLOOKUP(A750, BASE!$A$4:$D$10003, 4, FALSE))</f>
        <v/>
      </c>
      <c r="E750" t="str">
        <f>IF(A750="", "", VLOOKUP(A750, BASE!$A$4:$E$10003, 5, FALSE))</f>
        <v/>
      </c>
      <c r="F750" t="str">
        <f t="shared" si="11"/>
        <v/>
      </c>
    </row>
    <row r="751" spans="1:6">
      <c r="A751" t="str">
        <f>IFERROR(INDEX(BASE!$A$4:$A$10003, SMALL(IF(BASE!$F$4:$F$10003="CARREGADO", ROW(BASE!$A$4:$A$10003)-ROW(BASE!$A$4)+1), ROW(A750))), "")</f>
        <v/>
      </c>
      <c r="B751" t="str">
        <f>IF(A751="", "", VLOOKUP(A751, BASE!$A$4:$B$10003, 2, FALSE))</f>
        <v/>
      </c>
      <c r="C751" t="str">
        <f>IF(A751="", "", VLOOKUP(A751, BASE!$A$4:$C$10003, 3, FALSE))</f>
        <v/>
      </c>
      <c r="D751" t="str">
        <f>IF(A751="", "", VLOOKUP(A751, BASE!$A$4:$D$10003, 4, FALSE))</f>
        <v/>
      </c>
      <c r="E751" t="str">
        <f>IF(A751="", "", VLOOKUP(A751, BASE!$A$4:$E$10003, 5, FALSE))</f>
        <v/>
      </c>
      <c r="F751" t="str">
        <f t="shared" si="11"/>
        <v/>
      </c>
    </row>
    <row r="752" spans="1:6">
      <c r="A752" t="str">
        <f>IFERROR(INDEX(BASE!$A$4:$A$10003, SMALL(IF(BASE!$F$4:$F$10003="CARREGADO", ROW(BASE!$A$4:$A$10003)-ROW(BASE!$A$4)+1), ROW(A751))), "")</f>
        <v/>
      </c>
      <c r="B752" t="str">
        <f>IF(A752="", "", VLOOKUP(A752, BASE!$A$4:$B$10003, 2, FALSE))</f>
        <v/>
      </c>
      <c r="C752" t="str">
        <f>IF(A752="", "", VLOOKUP(A752, BASE!$A$4:$C$10003, 3, FALSE))</f>
        <v/>
      </c>
      <c r="D752" t="str">
        <f>IF(A752="", "", VLOOKUP(A752, BASE!$A$4:$D$10003, 4, FALSE))</f>
        <v/>
      </c>
      <c r="E752" t="str">
        <f>IF(A752="", "", VLOOKUP(A752, BASE!$A$4:$E$10003, 5, FALSE))</f>
        <v/>
      </c>
      <c r="F752" t="str">
        <f t="shared" si="11"/>
        <v/>
      </c>
    </row>
    <row r="753" spans="1:6">
      <c r="A753" t="str">
        <f>IFERROR(INDEX(BASE!$A$4:$A$10003, SMALL(IF(BASE!$F$4:$F$10003="CARREGADO", ROW(BASE!$A$4:$A$10003)-ROW(BASE!$A$4)+1), ROW(A752))), "")</f>
        <v/>
      </c>
      <c r="B753" t="str">
        <f>IF(A753="", "", VLOOKUP(A753, BASE!$A$4:$B$10003, 2, FALSE))</f>
        <v/>
      </c>
      <c r="C753" t="str">
        <f>IF(A753="", "", VLOOKUP(A753, BASE!$A$4:$C$10003, 3, FALSE))</f>
        <v/>
      </c>
      <c r="D753" t="str">
        <f>IF(A753="", "", VLOOKUP(A753, BASE!$A$4:$D$10003, 4, FALSE))</f>
        <v/>
      </c>
      <c r="E753" t="str">
        <f>IF(A753="", "", VLOOKUP(A753, BASE!$A$4:$E$10003, 5, FALSE))</f>
        <v/>
      </c>
      <c r="F753" t="str">
        <f t="shared" si="11"/>
        <v/>
      </c>
    </row>
    <row r="754" spans="1:6">
      <c r="A754" t="str">
        <f>IFERROR(INDEX(BASE!$A$4:$A$10003, SMALL(IF(BASE!$F$4:$F$10003="CARREGADO", ROW(BASE!$A$4:$A$10003)-ROW(BASE!$A$4)+1), ROW(A753))), "")</f>
        <v/>
      </c>
      <c r="B754" t="str">
        <f>IF(A754="", "", VLOOKUP(A754, BASE!$A$4:$B$10003, 2, FALSE))</f>
        <v/>
      </c>
      <c r="C754" t="str">
        <f>IF(A754="", "", VLOOKUP(A754, BASE!$A$4:$C$10003, 3, FALSE))</f>
        <v/>
      </c>
      <c r="D754" t="str">
        <f>IF(A754="", "", VLOOKUP(A754, BASE!$A$4:$D$10003, 4, FALSE))</f>
        <v/>
      </c>
      <c r="E754" t="str">
        <f>IF(A754="", "", VLOOKUP(A754, BASE!$A$4:$E$10003, 5, FALSE))</f>
        <v/>
      </c>
      <c r="F754" t="str">
        <f t="shared" si="11"/>
        <v/>
      </c>
    </row>
    <row r="755" spans="1:6">
      <c r="A755" t="str">
        <f>IFERROR(INDEX(BASE!$A$4:$A$10003, SMALL(IF(BASE!$F$4:$F$10003="CARREGADO", ROW(BASE!$A$4:$A$10003)-ROW(BASE!$A$4)+1), ROW(A754))), "")</f>
        <v/>
      </c>
      <c r="B755" t="str">
        <f>IF(A755="", "", VLOOKUP(A755, BASE!$A$4:$B$10003, 2, FALSE))</f>
        <v/>
      </c>
      <c r="C755" t="str">
        <f>IF(A755="", "", VLOOKUP(A755, BASE!$A$4:$C$10003, 3, FALSE))</f>
        <v/>
      </c>
      <c r="D755" t="str">
        <f>IF(A755="", "", VLOOKUP(A755, BASE!$A$4:$D$10003, 4, FALSE))</f>
        <v/>
      </c>
      <c r="E755" t="str">
        <f>IF(A755="", "", VLOOKUP(A755, BASE!$A$4:$E$10003, 5, FALSE))</f>
        <v/>
      </c>
      <c r="F755" t="str">
        <f t="shared" si="11"/>
        <v/>
      </c>
    </row>
    <row r="756" spans="1:6">
      <c r="A756" t="str">
        <f>IFERROR(INDEX(BASE!$A$4:$A$10003, SMALL(IF(BASE!$F$4:$F$10003="CARREGADO", ROW(BASE!$A$4:$A$10003)-ROW(BASE!$A$4)+1), ROW(A755))), "")</f>
        <v/>
      </c>
      <c r="B756" t="str">
        <f>IF(A756="", "", VLOOKUP(A756, BASE!$A$4:$B$10003, 2, FALSE))</f>
        <v/>
      </c>
      <c r="C756" t="str">
        <f>IF(A756="", "", VLOOKUP(A756, BASE!$A$4:$C$10003, 3, FALSE))</f>
        <v/>
      </c>
      <c r="D756" t="str">
        <f>IF(A756="", "", VLOOKUP(A756, BASE!$A$4:$D$10003, 4, FALSE))</f>
        <v/>
      </c>
      <c r="E756" t="str">
        <f>IF(A756="", "", VLOOKUP(A756, BASE!$A$4:$E$10003, 5, FALSE))</f>
        <v/>
      </c>
      <c r="F756" t="str">
        <f t="shared" si="11"/>
        <v/>
      </c>
    </row>
    <row r="757" spans="1:6">
      <c r="A757" t="str">
        <f>IFERROR(INDEX(BASE!$A$4:$A$10003, SMALL(IF(BASE!$F$4:$F$10003="CARREGADO", ROW(BASE!$A$4:$A$10003)-ROW(BASE!$A$4)+1), ROW(A756))), "")</f>
        <v/>
      </c>
      <c r="B757" t="str">
        <f>IF(A757="", "", VLOOKUP(A757, BASE!$A$4:$B$10003, 2, FALSE))</f>
        <v/>
      </c>
      <c r="C757" t="str">
        <f>IF(A757="", "", VLOOKUP(A757, BASE!$A$4:$C$10003, 3, FALSE))</f>
        <v/>
      </c>
      <c r="D757" t="str">
        <f>IF(A757="", "", VLOOKUP(A757, BASE!$A$4:$D$10003, 4, FALSE))</f>
        <v/>
      </c>
      <c r="E757" t="str">
        <f>IF(A757="", "", VLOOKUP(A757, BASE!$A$4:$E$10003, 5, FALSE))</f>
        <v/>
      </c>
      <c r="F757" t="str">
        <f t="shared" si="11"/>
        <v/>
      </c>
    </row>
    <row r="758" spans="1:6">
      <c r="A758" t="str">
        <f>IFERROR(INDEX(BASE!$A$4:$A$10003, SMALL(IF(BASE!$F$4:$F$10003="CARREGADO", ROW(BASE!$A$4:$A$10003)-ROW(BASE!$A$4)+1), ROW(A757))), "")</f>
        <v/>
      </c>
      <c r="B758" t="str">
        <f>IF(A758="", "", VLOOKUP(A758, BASE!$A$4:$B$10003, 2, FALSE))</f>
        <v/>
      </c>
      <c r="C758" t="str">
        <f>IF(A758="", "", VLOOKUP(A758, BASE!$A$4:$C$10003, 3, FALSE))</f>
        <v/>
      </c>
      <c r="D758" t="str">
        <f>IF(A758="", "", VLOOKUP(A758, BASE!$A$4:$D$10003, 4, FALSE))</f>
        <v/>
      </c>
      <c r="E758" t="str">
        <f>IF(A758="", "", VLOOKUP(A758, BASE!$A$4:$E$10003, 5, FALSE))</f>
        <v/>
      </c>
      <c r="F758" t="str">
        <f t="shared" si="11"/>
        <v/>
      </c>
    </row>
    <row r="759" spans="1:6">
      <c r="A759" t="str">
        <f>IFERROR(INDEX(BASE!$A$4:$A$10003, SMALL(IF(BASE!$F$4:$F$10003="CARREGADO", ROW(BASE!$A$4:$A$10003)-ROW(BASE!$A$4)+1), ROW(A758))), "")</f>
        <v/>
      </c>
      <c r="B759" t="str">
        <f>IF(A759="", "", VLOOKUP(A759, BASE!$A$4:$B$10003, 2, FALSE))</f>
        <v/>
      </c>
      <c r="C759" t="str">
        <f>IF(A759="", "", VLOOKUP(A759, BASE!$A$4:$C$10003, 3, FALSE))</f>
        <v/>
      </c>
      <c r="D759" t="str">
        <f>IF(A759="", "", VLOOKUP(A759, BASE!$A$4:$D$10003, 4, FALSE))</f>
        <v/>
      </c>
      <c r="E759" t="str">
        <f>IF(A759="", "", VLOOKUP(A759, BASE!$A$4:$E$10003, 5, FALSE))</f>
        <v/>
      </c>
      <c r="F759" t="str">
        <f t="shared" si="11"/>
        <v/>
      </c>
    </row>
    <row r="760" spans="1:6">
      <c r="A760" t="str">
        <f>IFERROR(INDEX(BASE!$A$4:$A$10003, SMALL(IF(BASE!$F$4:$F$10003="CARREGADO", ROW(BASE!$A$4:$A$10003)-ROW(BASE!$A$4)+1), ROW(A759))), "")</f>
        <v/>
      </c>
      <c r="B760" t="str">
        <f>IF(A760="", "", VLOOKUP(A760, BASE!$A$4:$B$10003, 2, FALSE))</f>
        <v/>
      </c>
      <c r="C760" t="str">
        <f>IF(A760="", "", VLOOKUP(A760, BASE!$A$4:$C$10003, 3, FALSE))</f>
        <v/>
      </c>
      <c r="D760" t="str">
        <f>IF(A760="", "", VLOOKUP(A760, BASE!$A$4:$D$10003, 4, FALSE))</f>
        <v/>
      </c>
      <c r="E760" t="str">
        <f>IF(A760="", "", VLOOKUP(A760, BASE!$A$4:$E$10003, 5, FALSE))</f>
        <v/>
      </c>
      <c r="F760" t="str">
        <f t="shared" si="11"/>
        <v/>
      </c>
    </row>
    <row r="761" spans="1:6">
      <c r="A761" t="str">
        <f>IFERROR(INDEX(BASE!$A$4:$A$10003, SMALL(IF(BASE!$F$4:$F$10003="CARREGADO", ROW(BASE!$A$4:$A$10003)-ROW(BASE!$A$4)+1), ROW(A760))), "")</f>
        <v/>
      </c>
      <c r="B761" t="str">
        <f>IF(A761="", "", VLOOKUP(A761, BASE!$A$4:$B$10003, 2, FALSE))</f>
        <v/>
      </c>
      <c r="C761" t="str">
        <f>IF(A761="", "", VLOOKUP(A761, BASE!$A$4:$C$10003, 3, FALSE))</f>
        <v/>
      </c>
      <c r="D761" t="str">
        <f>IF(A761="", "", VLOOKUP(A761, BASE!$A$4:$D$10003, 4, FALSE))</f>
        <v/>
      </c>
      <c r="E761" t="str">
        <f>IF(A761="", "", VLOOKUP(A761, BASE!$A$4:$E$10003, 5, FALSE))</f>
        <v/>
      </c>
      <c r="F761" t="str">
        <f t="shared" si="11"/>
        <v/>
      </c>
    </row>
    <row r="762" spans="1:6">
      <c r="A762" t="str">
        <f>IFERROR(INDEX(BASE!$A$4:$A$10003, SMALL(IF(BASE!$F$4:$F$10003="CARREGADO", ROW(BASE!$A$4:$A$10003)-ROW(BASE!$A$4)+1), ROW(A761))), "")</f>
        <v/>
      </c>
      <c r="B762" t="str">
        <f>IF(A762="", "", VLOOKUP(A762, BASE!$A$4:$B$10003, 2, FALSE))</f>
        <v/>
      </c>
      <c r="C762" t="str">
        <f>IF(A762="", "", VLOOKUP(A762, BASE!$A$4:$C$10003, 3, FALSE))</f>
        <v/>
      </c>
      <c r="D762" t="str">
        <f>IF(A762="", "", VLOOKUP(A762, BASE!$A$4:$D$10003, 4, FALSE))</f>
        <v/>
      </c>
      <c r="E762" t="str">
        <f>IF(A762="", "", VLOOKUP(A762, BASE!$A$4:$E$10003, 5, FALSE))</f>
        <v/>
      </c>
      <c r="F762" t="str">
        <f t="shared" si="11"/>
        <v/>
      </c>
    </row>
    <row r="763" spans="1:6">
      <c r="A763" t="str">
        <f>IFERROR(INDEX(BASE!$A$4:$A$10003, SMALL(IF(BASE!$F$4:$F$10003="CARREGADO", ROW(BASE!$A$4:$A$10003)-ROW(BASE!$A$4)+1), ROW(A762))), "")</f>
        <v/>
      </c>
      <c r="B763" t="str">
        <f>IF(A763="", "", VLOOKUP(A763, BASE!$A$4:$B$10003, 2, FALSE))</f>
        <v/>
      </c>
      <c r="C763" t="str">
        <f>IF(A763="", "", VLOOKUP(A763, BASE!$A$4:$C$10003, 3, FALSE))</f>
        <v/>
      </c>
      <c r="D763" t="str">
        <f>IF(A763="", "", VLOOKUP(A763, BASE!$A$4:$D$10003, 4, FALSE))</f>
        <v/>
      </c>
      <c r="E763" t="str">
        <f>IF(A763="", "", VLOOKUP(A763, BASE!$A$4:$E$10003, 5, FALSE))</f>
        <v/>
      </c>
      <c r="F763" t="str">
        <f t="shared" si="11"/>
        <v/>
      </c>
    </row>
    <row r="764" spans="1:6">
      <c r="A764" t="str">
        <f>IFERROR(INDEX(BASE!$A$4:$A$10003, SMALL(IF(BASE!$F$4:$F$10003="CARREGADO", ROW(BASE!$A$4:$A$10003)-ROW(BASE!$A$4)+1), ROW(A763))), "")</f>
        <v/>
      </c>
      <c r="B764" t="str">
        <f>IF(A764="", "", VLOOKUP(A764, BASE!$A$4:$B$10003, 2, FALSE))</f>
        <v/>
      </c>
      <c r="C764" t="str">
        <f>IF(A764="", "", VLOOKUP(A764, BASE!$A$4:$C$10003, 3, FALSE))</f>
        <v/>
      </c>
      <c r="D764" t="str">
        <f>IF(A764="", "", VLOOKUP(A764, BASE!$A$4:$D$10003, 4, FALSE))</f>
        <v/>
      </c>
      <c r="E764" t="str">
        <f>IF(A764="", "", VLOOKUP(A764, BASE!$A$4:$E$10003, 5, FALSE))</f>
        <v/>
      </c>
      <c r="F764" t="str">
        <f t="shared" si="11"/>
        <v/>
      </c>
    </row>
    <row r="765" spans="1:6">
      <c r="A765" t="str">
        <f>IFERROR(INDEX(BASE!$A$4:$A$10003, SMALL(IF(BASE!$F$4:$F$10003="CARREGADO", ROW(BASE!$A$4:$A$10003)-ROW(BASE!$A$4)+1), ROW(A764))), "")</f>
        <v/>
      </c>
      <c r="B765" t="str">
        <f>IF(A765="", "", VLOOKUP(A765, BASE!$A$4:$B$10003, 2, FALSE))</f>
        <v/>
      </c>
      <c r="C765" t="str">
        <f>IF(A765="", "", VLOOKUP(A765, BASE!$A$4:$C$10003, 3, FALSE))</f>
        <v/>
      </c>
      <c r="D765" t="str">
        <f>IF(A765="", "", VLOOKUP(A765, BASE!$A$4:$D$10003, 4, FALSE))</f>
        <v/>
      </c>
      <c r="E765" t="str">
        <f>IF(A765="", "", VLOOKUP(A765, BASE!$A$4:$E$10003, 5, FALSE))</f>
        <v/>
      </c>
      <c r="F765" t="str">
        <f t="shared" si="11"/>
        <v/>
      </c>
    </row>
    <row r="766" spans="1:6">
      <c r="A766" t="str">
        <f>IFERROR(INDEX(BASE!$A$4:$A$10003, SMALL(IF(BASE!$F$4:$F$10003="CARREGADO", ROW(BASE!$A$4:$A$10003)-ROW(BASE!$A$4)+1), ROW(A765))), "")</f>
        <v/>
      </c>
      <c r="B766" t="str">
        <f>IF(A766="", "", VLOOKUP(A766, BASE!$A$4:$B$10003, 2, FALSE))</f>
        <v/>
      </c>
      <c r="C766" t="str">
        <f>IF(A766="", "", VLOOKUP(A766, BASE!$A$4:$C$10003, 3, FALSE))</f>
        <v/>
      </c>
      <c r="D766" t="str">
        <f>IF(A766="", "", VLOOKUP(A766, BASE!$A$4:$D$10003, 4, FALSE))</f>
        <v/>
      </c>
      <c r="E766" t="str">
        <f>IF(A766="", "", VLOOKUP(A766, BASE!$A$4:$E$10003, 5, FALSE))</f>
        <v/>
      </c>
      <c r="F766" t="str">
        <f t="shared" si="11"/>
        <v/>
      </c>
    </row>
    <row r="767" spans="1:6">
      <c r="A767" t="str">
        <f>IFERROR(INDEX(BASE!$A$4:$A$10003, SMALL(IF(BASE!$F$4:$F$10003="CARREGADO", ROW(BASE!$A$4:$A$10003)-ROW(BASE!$A$4)+1), ROW(A766))), "")</f>
        <v/>
      </c>
      <c r="B767" t="str">
        <f>IF(A767="", "", VLOOKUP(A767, BASE!$A$4:$B$10003, 2, FALSE))</f>
        <v/>
      </c>
      <c r="C767" t="str">
        <f>IF(A767="", "", VLOOKUP(A767, BASE!$A$4:$C$10003, 3, FALSE))</f>
        <v/>
      </c>
      <c r="D767" t="str">
        <f>IF(A767="", "", VLOOKUP(A767, BASE!$A$4:$D$10003, 4, FALSE))</f>
        <v/>
      </c>
      <c r="E767" t="str">
        <f>IF(A767="", "", VLOOKUP(A767, BASE!$A$4:$E$10003, 5, FALSE))</f>
        <v/>
      </c>
      <c r="F767" t="str">
        <f t="shared" si="11"/>
        <v/>
      </c>
    </row>
    <row r="768" spans="1:6">
      <c r="A768" t="str">
        <f>IFERROR(INDEX(BASE!$A$4:$A$10003, SMALL(IF(BASE!$F$4:$F$10003="CARREGADO", ROW(BASE!$A$4:$A$10003)-ROW(BASE!$A$4)+1), ROW(A767))), "")</f>
        <v/>
      </c>
      <c r="B768" t="str">
        <f>IF(A768="", "", VLOOKUP(A768, BASE!$A$4:$B$10003, 2, FALSE))</f>
        <v/>
      </c>
      <c r="C768" t="str">
        <f>IF(A768="", "", VLOOKUP(A768, BASE!$A$4:$C$10003, 3, FALSE))</f>
        <v/>
      </c>
      <c r="D768" t="str">
        <f>IF(A768="", "", VLOOKUP(A768, BASE!$A$4:$D$10003, 4, FALSE))</f>
        <v/>
      </c>
      <c r="E768" t="str">
        <f>IF(A768="", "", VLOOKUP(A768, BASE!$A$4:$E$10003, 5, FALSE))</f>
        <v/>
      </c>
      <c r="F768" t="str">
        <f t="shared" si="11"/>
        <v/>
      </c>
    </row>
    <row r="769" spans="1:6">
      <c r="A769" t="str">
        <f>IFERROR(INDEX(BASE!$A$4:$A$10003, SMALL(IF(BASE!$F$4:$F$10003="CARREGADO", ROW(BASE!$A$4:$A$10003)-ROW(BASE!$A$4)+1), ROW(A768))), "")</f>
        <v/>
      </c>
      <c r="B769" t="str">
        <f>IF(A769="", "", VLOOKUP(A769, BASE!$A$4:$B$10003, 2, FALSE))</f>
        <v/>
      </c>
      <c r="C769" t="str">
        <f>IF(A769="", "", VLOOKUP(A769, BASE!$A$4:$C$10003, 3, FALSE))</f>
        <v/>
      </c>
      <c r="D769" t="str">
        <f>IF(A769="", "", VLOOKUP(A769, BASE!$A$4:$D$10003, 4, FALSE))</f>
        <v/>
      </c>
      <c r="E769" t="str">
        <f>IF(A769="", "", VLOOKUP(A769, BASE!$A$4:$E$10003, 5, FALSE))</f>
        <v/>
      </c>
      <c r="F769" t="str">
        <f t="shared" si="11"/>
        <v/>
      </c>
    </row>
    <row r="770" spans="1:6">
      <c r="A770" t="str">
        <f>IFERROR(INDEX(BASE!$A$4:$A$10003, SMALL(IF(BASE!$F$4:$F$10003="CARREGADO", ROW(BASE!$A$4:$A$10003)-ROW(BASE!$A$4)+1), ROW(A769))), "")</f>
        <v/>
      </c>
      <c r="B770" t="str">
        <f>IF(A770="", "", VLOOKUP(A770, BASE!$A$4:$B$10003, 2, FALSE))</f>
        <v/>
      </c>
      <c r="C770" t="str">
        <f>IF(A770="", "", VLOOKUP(A770, BASE!$A$4:$C$10003, 3, FALSE))</f>
        <v/>
      </c>
      <c r="D770" t="str">
        <f>IF(A770="", "", VLOOKUP(A770, BASE!$A$4:$D$10003, 4, FALSE))</f>
        <v/>
      </c>
      <c r="E770" t="str">
        <f>IF(A770="", "", VLOOKUP(A770, BASE!$A$4:$E$10003, 5, FALSE))</f>
        <v/>
      </c>
      <c r="F770" t="str">
        <f t="shared" ref="F770:F833" si="12">IF(A770="", "", "CARREGADO")</f>
        <v/>
      </c>
    </row>
    <row r="771" spans="1:6">
      <c r="A771" t="str">
        <f>IFERROR(INDEX(BASE!$A$4:$A$10003, SMALL(IF(BASE!$F$4:$F$10003="CARREGADO", ROW(BASE!$A$4:$A$10003)-ROW(BASE!$A$4)+1), ROW(A770))), "")</f>
        <v/>
      </c>
      <c r="B771" t="str">
        <f>IF(A771="", "", VLOOKUP(A771, BASE!$A$4:$B$10003, 2, FALSE))</f>
        <v/>
      </c>
      <c r="C771" t="str">
        <f>IF(A771="", "", VLOOKUP(A771, BASE!$A$4:$C$10003, 3, FALSE))</f>
        <v/>
      </c>
      <c r="D771" t="str">
        <f>IF(A771="", "", VLOOKUP(A771, BASE!$A$4:$D$10003, 4, FALSE))</f>
        <v/>
      </c>
      <c r="E771" t="str">
        <f>IF(A771="", "", VLOOKUP(A771, BASE!$A$4:$E$10003, 5, FALSE))</f>
        <v/>
      </c>
      <c r="F771" t="str">
        <f t="shared" si="12"/>
        <v/>
      </c>
    </row>
    <row r="772" spans="1:6">
      <c r="A772" t="str">
        <f>IFERROR(INDEX(BASE!$A$4:$A$10003, SMALL(IF(BASE!$F$4:$F$10003="CARREGADO", ROW(BASE!$A$4:$A$10003)-ROW(BASE!$A$4)+1), ROW(A771))), "")</f>
        <v/>
      </c>
      <c r="B772" t="str">
        <f>IF(A772="", "", VLOOKUP(A772, BASE!$A$4:$B$10003, 2, FALSE))</f>
        <v/>
      </c>
      <c r="C772" t="str">
        <f>IF(A772="", "", VLOOKUP(A772, BASE!$A$4:$C$10003, 3, FALSE))</f>
        <v/>
      </c>
      <c r="D772" t="str">
        <f>IF(A772="", "", VLOOKUP(A772, BASE!$A$4:$D$10003, 4, FALSE))</f>
        <v/>
      </c>
      <c r="E772" t="str">
        <f>IF(A772="", "", VLOOKUP(A772, BASE!$A$4:$E$10003, 5, FALSE))</f>
        <v/>
      </c>
      <c r="F772" t="str">
        <f t="shared" si="12"/>
        <v/>
      </c>
    </row>
    <row r="773" spans="1:6">
      <c r="A773" t="str">
        <f>IFERROR(INDEX(BASE!$A$4:$A$10003, SMALL(IF(BASE!$F$4:$F$10003="CARREGADO", ROW(BASE!$A$4:$A$10003)-ROW(BASE!$A$4)+1), ROW(A772))), "")</f>
        <v/>
      </c>
      <c r="B773" t="str">
        <f>IF(A773="", "", VLOOKUP(A773, BASE!$A$4:$B$10003, 2, FALSE))</f>
        <v/>
      </c>
      <c r="C773" t="str">
        <f>IF(A773="", "", VLOOKUP(A773, BASE!$A$4:$C$10003, 3, FALSE))</f>
        <v/>
      </c>
      <c r="D773" t="str">
        <f>IF(A773="", "", VLOOKUP(A773, BASE!$A$4:$D$10003, 4, FALSE))</f>
        <v/>
      </c>
      <c r="E773" t="str">
        <f>IF(A773="", "", VLOOKUP(A773, BASE!$A$4:$E$10003, 5, FALSE))</f>
        <v/>
      </c>
      <c r="F773" t="str">
        <f t="shared" si="12"/>
        <v/>
      </c>
    </row>
    <row r="774" spans="1:6">
      <c r="A774" t="str">
        <f>IFERROR(INDEX(BASE!$A$4:$A$10003, SMALL(IF(BASE!$F$4:$F$10003="CARREGADO", ROW(BASE!$A$4:$A$10003)-ROW(BASE!$A$4)+1), ROW(A773))), "")</f>
        <v/>
      </c>
      <c r="B774" t="str">
        <f>IF(A774="", "", VLOOKUP(A774, BASE!$A$4:$B$10003, 2, FALSE))</f>
        <v/>
      </c>
      <c r="C774" t="str">
        <f>IF(A774="", "", VLOOKUP(A774, BASE!$A$4:$C$10003, 3, FALSE))</f>
        <v/>
      </c>
      <c r="D774" t="str">
        <f>IF(A774="", "", VLOOKUP(A774, BASE!$A$4:$D$10003, 4, FALSE))</f>
        <v/>
      </c>
      <c r="E774" t="str">
        <f>IF(A774="", "", VLOOKUP(A774, BASE!$A$4:$E$10003, 5, FALSE))</f>
        <v/>
      </c>
      <c r="F774" t="str">
        <f t="shared" si="12"/>
        <v/>
      </c>
    </row>
    <row r="775" spans="1:6">
      <c r="A775" t="str">
        <f>IFERROR(INDEX(BASE!$A$4:$A$10003, SMALL(IF(BASE!$F$4:$F$10003="CARREGADO", ROW(BASE!$A$4:$A$10003)-ROW(BASE!$A$4)+1), ROW(A774))), "")</f>
        <v/>
      </c>
      <c r="B775" t="str">
        <f>IF(A775="", "", VLOOKUP(A775, BASE!$A$4:$B$10003, 2, FALSE))</f>
        <v/>
      </c>
      <c r="C775" t="str">
        <f>IF(A775="", "", VLOOKUP(A775, BASE!$A$4:$C$10003, 3, FALSE))</f>
        <v/>
      </c>
      <c r="D775" t="str">
        <f>IF(A775="", "", VLOOKUP(A775, BASE!$A$4:$D$10003, 4, FALSE))</f>
        <v/>
      </c>
      <c r="E775" t="str">
        <f>IF(A775="", "", VLOOKUP(A775, BASE!$A$4:$E$10003, 5, FALSE))</f>
        <v/>
      </c>
      <c r="F775" t="str">
        <f t="shared" si="12"/>
        <v/>
      </c>
    </row>
    <row r="776" spans="1:6">
      <c r="A776" t="str">
        <f>IFERROR(INDEX(BASE!$A$4:$A$10003, SMALL(IF(BASE!$F$4:$F$10003="CARREGADO", ROW(BASE!$A$4:$A$10003)-ROW(BASE!$A$4)+1), ROW(A775))), "")</f>
        <v/>
      </c>
      <c r="B776" t="str">
        <f>IF(A776="", "", VLOOKUP(A776, BASE!$A$4:$B$10003, 2, FALSE))</f>
        <v/>
      </c>
      <c r="C776" t="str">
        <f>IF(A776="", "", VLOOKUP(A776, BASE!$A$4:$C$10003, 3, FALSE))</f>
        <v/>
      </c>
      <c r="D776" t="str">
        <f>IF(A776="", "", VLOOKUP(A776, BASE!$A$4:$D$10003, 4, FALSE))</f>
        <v/>
      </c>
      <c r="E776" t="str">
        <f>IF(A776="", "", VLOOKUP(A776, BASE!$A$4:$E$10003, 5, FALSE))</f>
        <v/>
      </c>
      <c r="F776" t="str">
        <f t="shared" si="12"/>
        <v/>
      </c>
    </row>
    <row r="777" spans="1:6">
      <c r="A777" t="str">
        <f>IFERROR(INDEX(BASE!$A$4:$A$10003, SMALL(IF(BASE!$F$4:$F$10003="CARREGADO", ROW(BASE!$A$4:$A$10003)-ROW(BASE!$A$4)+1), ROW(A776))), "")</f>
        <v/>
      </c>
      <c r="B777" t="str">
        <f>IF(A777="", "", VLOOKUP(A777, BASE!$A$4:$B$10003, 2, FALSE))</f>
        <v/>
      </c>
      <c r="C777" t="str">
        <f>IF(A777="", "", VLOOKUP(A777, BASE!$A$4:$C$10003, 3, FALSE))</f>
        <v/>
      </c>
      <c r="D777" t="str">
        <f>IF(A777="", "", VLOOKUP(A777, BASE!$A$4:$D$10003, 4, FALSE))</f>
        <v/>
      </c>
      <c r="E777" t="str">
        <f>IF(A777="", "", VLOOKUP(A777, BASE!$A$4:$E$10003, 5, FALSE))</f>
        <v/>
      </c>
      <c r="F777" t="str">
        <f t="shared" si="12"/>
        <v/>
      </c>
    </row>
    <row r="778" spans="1:6">
      <c r="A778" t="str">
        <f>IFERROR(INDEX(BASE!$A$4:$A$10003, SMALL(IF(BASE!$F$4:$F$10003="CARREGADO", ROW(BASE!$A$4:$A$10003)-ROW(BASE!$A$4)+1), ROW(A777))), "")</f>
        <v/>
      </c>
      <c r="B778" t="str">
        <f>IF(A778="", "", VLOOKUP(A778, BASE!$A$4:$B$10003, 2, FALSE))</f>
        <v/>
      </c>
      <c r="C778" t="str">
        <f>IF(A778="", "", VLOOKUP(A778, BASE!$A$4:$C$10003, 3, FALSE))</f>
        <v/>
      </c>
      <c r="D778" t="str">
        <f>IF(A778="", "", VLOOKUP(A778, BASE!$A$4:$D$10003, 4, FALSE))</f>
        <v/>
      </c>
      <c r="E778" t="str">
        <f>IF(A778="", "", VLOOKUP(A778, BASE!$A$4:$E$10003, 5, FALSE))</f>
        <v/>
      </c>
      <c r="F778" t="str">
        <f t="shared" si="12"/>
        <v/>
      </c>
    </row>
    <row r="779" spans="1:6">
      <c r="A779" t="str">
        <f>IFERROR(INDEX(BASE!$A$4:$A$10003, SMALL(IF(BASE!$F$4:$F$10003="CARREGADO", ROW(BASE!$A$4:$A$10003)-ROW(BASE!$A$4)+1), ROW(A778))), "")</f>
        <v/>
      </c>
      <c r="B779" t="str">
        <f>IF(A779="", "", VLOOKUP(A779, BASE!$A$4:$B$10003, 2, FALSE))</f>
        <v/>
      </c>
      <c r="C779" t="str">
        <f>IF(A779="", "", VLOOKUP(A779, BASE!$A$4:$C$10003, 3, FALSE))</f>
        <v/>
      </c>
      <c r="D779" t="str">
        <f>IF(A779="", "", VLOOKUP(A779, BASE!$A$4:$D$10003, 4, FALSE))</f>
        <v/>
      </c>
      <c r="E779" t="str">
        <f>IF(A779="", "", VLOOKUP(A779, BASE!$A$4:$E$10003, 5, FALSE))</f>
        <v/>
      </c>
      <c r="F779" t="str">
        <f t="shared" si="12"/>
        <v/>
      </c>
    </row>
    <row r="780" spans="1:6">
      <c r="A780" t="str">
        <f>IFERROR(INDEX(BASE!$A$4:$A$10003, SMALL(IF(BASE!$F$4:$F$10003="CARREGADO", ROW(BASE!$A$4:$A$10003)-ROW(BASE!$A$4)+1), ROW(A779))), "")</f>
        <v/>
      </c>
      <c r="B780" t="str">
        <f>IF(A780="", "", VLOOKUP(A780, BASE!$A$4:$B$10003, 2, FALSE))</f>
        <v/>
      </c>
      <c r="C780" t="str">
        <f>IF(A780="", "", VLOOKUP(A780, BASE!$A$4:$C$10003, 3, FALSE))</f>
        <v/>
      </c>
      <c r="D780" t="str">
        <f>IF(A780="", "", VLOOKUP(A780, BASE!$A$4:$D$10003, 4, FALSE))</f>
        <v/>
      </c>
      <c r="E780" t="str">
        <f>IF(A780="", "", VLOOKUP(A780, BASE!$A$4:$E$10003, 5, FALSE))</f>
        <v/>
      </c>
      <c r="F780" t="str">
        <f t="shared" si="12"/>
        <v/>
      </c>
    </row>
    <row r="781" spans="1:6">
      <c r="A781" t="str">
        <f>IFERROR(INDEX(BASE!$A$4:$A$10003, SMALL(IF(BASE!$F$4:$F$10003="CARREGADO", ROW(BASE!$A$4:$A$10003)-ROW(BASE!$A$4)+1), ROW(A780))), "")</f>
        <v/>
      </c>
      <c r="B781" t="str">
        <f>IF(A781="", "", VLOOKUP(A781, BASE!$A$4:$B$10003, 2, FALSE))</f>
        <v/>
      </c>
      <c r="C781" t="str">
        <f>IF(A781="", "", VLOOKUP(A781, BASE!$A$4:$C$10003, 3, FALSE))</f>
        <v/>
      </c>
      <c r="D781" t="str">
        <f>IF(A781="", "", VLOOKUP(A781, BASE!$A$4:$D$10003, 4, FALSE))</f>
        <v/>
      </c>
      <c r="E781" t="str">
        <f>IF(A781="", "", VLOOKUP(A781, BASE!$A$4:$E$10003, 5, FALSE))</f>
        <v/>
      </c>
      <c r="F781" t="str">
        <f t="shared" si="12"/>
        <v/>
      </c>
    </row>
    <row r="782" spans="1:6">
      <c r="A782" t="str">
        <f>IFERROR(INDEX(BASE!$A$4:$A$10003, SMALL(IF(BASE!$F$4:$F$10003="CARREGADO", ROW(BASE!$A$4:$A$10003)-ROW(BASE!$A$4)+1), ROW(A781))), "")</f>
        <v/>
      </c>
      <c r="B782" t="str">
        <f>IF(A782="", "", VLOOKUP(A782, BASE!$A$4:$B$10003, 2, FALSE))</f>
        <v/>
      </c>
      <c r="C782" t="str">
        <f>IF(A782="", "", VLOOKUP(A782, BASE!$A$4:$C$10003, 3, FALSE))</f>
        <v/>
      </c>
      <c r="D782" t="str">
        <f>IF(A782="", "", VLOOKUP(A782, BASE!$A$4:$D$10003, 4, FALSE))</f>
        <v/>
      </c>
      <c r="E782" t="str">
        <f>IF(A782="", "", VLOOKUP(A782, BASE!$A$4:$E$10003, 5, FALSE))</f>
        <v/>
      </c>
      <c r="F782" t="str">
        <f t="shared" si="12"/>
        <v/>
      </c>
    </row>
    <row r="783" spans="1:6">
      <c r="A783" t="str">
        <f>IFERROR(INDEX(BASE!$A$4:$A$10003, SMALL(IF(BASE!$F$4:$F$10003="CARREGADO", ROW(BASE!$A$4:$A$10003)-ROW(BASE!$A$4)+1), ROW(A782))), "")</f>
        <v/>
      </c>
      <c r="B783" t="str">
        <f>IF(A783="", "", VLOOKUP(A783, BASE!$A$4:$B$10003, 2, FALSE))</f>
        <v/>
      </c>
      <c r="C783" t="str">
        <f>IF(A783="", "", VLOOKUP(A783, BASE!$A$4:$C$10003, 3, FALSE))</f>
        <v/>
      </c>
      <c r="D783" t="str">
        <f>IF(A783="", "", VLOOKUP(A783, BASE!$A$4:$D$10003, 4, FALSE))</f>
        <v/>
      </c>
      <c r="E783" t="str">
        <f>IF(A783="", "", VLOOKUP(A783, BASE!$A$4:$E$10003, 5, FALSE))</f>
        <v/>
      </c>
      <c r="F783" t="str">
        <f t="shared" si="12"/>
        <v/>
      </c>
    </row>
    <row r="784" spans="1:6">
      <c r="A784" t="str">
        <f>IFERROR(INDEX(BASE!$A$4:$A$10003, SMALL(IF(BASE!$F$4:$F$10003="CARREGADO", ROW(BASE!$A$4:$A$10003)-ROW(BASE!$A$4)+1), ROW(A783))), "")</f>
        <v/>
      </c>
      <c r="B784" t="str">
        <f>IF(A784="", "", VLOOKUP(A784, BASE!$A$4:$B$10003, 2, FALSE))</f>
        <v/>
      </c>
      <c r="C784" t="str">
        <f>IF(A784="", "", VLOOKUP(A784, BASE!$A$4:$C$10003, 3, FALSE))</f>
        <v/>
      </c>
      <c r="D784" t="str">
        <f>IF(A784="", "", VLOOKUP(A784, BASE!$A$4:$D$10003, 4, FALSE))</f>
        <v/>
      </c>
      <c r="E784" t="str">
        <f>IF(A784="", "", VLOOKUP(A784, BASE!$A$4:$E$10003, 5, FALSE))</f>
        <v/>
      </c>
      <c r="F784" t="str">
        <f t="shared" si="12"/>
        <v/>
      </c>
    </row>
    <row r="785" spans="1:6">
      <c r="A785" t="str">
        <f>IFERROR(INDEX(BASE!$A$4:$A$10003, SMALL(IF(BASE!$F$4:$F$10003="CARREGADO", ROW(BASE!$A$4:$A$10003)-ROW(BASE!$A$4)+1), ROW(A784))), "")</f>
        <v/>
      </c>
      <c r="B785" t="str">
        <f>IF(A785="", "", VLOOKUP(A785, BASE!$A$4:$B$10003, 2, FALSE))</f>
        <v/>
      </c>
      <c r="C785" t="str">
        <f>IF(A785="", "", VLOOKUP(A785, BASE!$A$4:$C$10003, 3, FALSE))</f>
        <v/>
      </c>
      <c r="D785" t="str">
        <f>IF(A785="", "", VLOOKUP(A785, BASE!$A$4:$D$10003, 4, FALSE))</f>
        <v/>
      </c>
      <c r="E785" t="str">
        <f>IF(A785="", "", VLOOKUP(A785, BASE!$A$4:$E$10003, 5, FALSE))</f>
        <v/>
      </c>
      <c r="F785" t="str">
        <f t="shared" si="12"/>
        <v/>
      </c>
    </row>
    <row r="786" spans="1:6">
      <c r="A786" t="str">
        <f>IFERROR(INDEX(BASE!$A$4:$A$10003, SMALL(IF(BASE!$F$4:$F$10003="CARREGADO", ROW(BASE!$A$4:$A$10003)-ROW(BASE!$A$4)+1), ROW(A785))), "")</f>
        <v/>
      </c>
      <c r="B786" t="str">
        <f>IF(A786="", "", VLOOKUP(A786, BASE!$A$4:$B$10003, 2, FALSE))</f>
        <v/>
      </c>
      <c r="C786" t="str">
        <f>IF(A786="", "", VLOOKUP(A786, BASE!$A$4:$C$10003, 3, FALSE))</f>
        <v/>
      </c>
      <c r="D786" t="str">
        <f>IF(A786="", "", VLOOKUP(A786, BASE!$A$4:$D$10003, 4, FALSE))</f>
        <v/>
      </c>
      <c r="E786" t="str">
        <f>IF(A786="", "", VLOOKUP(A786, BASE!$A$4:$E$10003, 5, FALSE))</f>
        <v/>
      </c>
      <c r="F786" t="str">
        <f t="shared" si="12"/>
        <v/>
      </c>
    </row>
    <row r="787" spans="1:6">
      <c r="A787" t="str">
        <f>IFERROR(INDEX(BASE!$A$4:$A$10003, SMALL(IF(BASE!$F$4:$F$10003="CARREGADO", ROW(BASE!$A$4:$A$10003)-ROW(BASE!$A$4)+1), ROW(A786))), "")</f>
        <v/>
      </c>
      <c r="B787" t="str">
        <f>IF(A787="", "", VLOOKUP(A787, BASE!$A$4:$B$10003, 2, FALSE))</f>
        <v/>
      </c>
      <c r="C787" t="str">
        <f>IF(A787="", "", VLOOKUP(A787, BASE!$A$4:$C$10003, 3, FALSE))</f>
        <v/>
      </c>
      <c r="D787" t="str">
        <f>IF(A787="", "", VLOOKUP(A787, BASE!$A$4:$D$10003, 4, FALSE))</f>
        <v/>
      </c>
      <c r="E787" t="str">
        <f>IF(A787="", "", VLOOKUP(A787, BASE!$A$4:$E$10003, 5, FALSE))</f>
        <v/>
      </c>
      <c r="F787" t="str">
        <f t="shared" si="12"/>
        <v/>
      </c>
    </row>
    <row r="788" spans="1:6">
      <c r="A788" t="str">
        <f>IFERROR(INDEX(BASE!$A$4:$A$10003, SMALL(IF(BASE!$F$4:$F$10003="CARREGADO", ROW(BASE!$A$4:$A$10003)-ROW(BASE!$A$4)+1), ROW(A787))), "")</f>
        <v/>
      </c>
      <c r="B788" t="str">
        <f>IF(A788="", "", VLOOKUP(A788, BASE!$A$4:$B$10003, 2, FALSE))</f>
        <v/>
      </c>
      <c r="C788" t="str">
        <f>IF(A788="", "", VLOOKUP(A788, BASE!$A$4:$C$10003, 3, FALSE))</f>
        <v/>
      </c>
      <c r="D788" t="str">
        <f>IF(A788="", "", VLOOKUP(A788, BASE!$A$4:$D$10003, 4, FALSE))</f>
        <v/>
      </c>
      <c r="E788" t="str">
        <f>IF(A788="", "", VLOOKUP(A788, BASE!$A$4:$E$10003, 5, FALSE))</f>
        <v/>
      </c>
      <c r="F788" t="str">
        <f t="shared" si="12"/>
        <v/>
      </c>
    </row>
    <row r="789" spans="1:6">
      <c r="A789" t="str">
        <f>IFERROR(INDEX(BASE!$A$4:$A$10003, SMALL(IF(BASE!$F$4:$F$10003="CARREGADO", ROW(BASE!$A$4:$A$10003)-ROW(BASE!$A$4)+1), ROW(A788))), "")</f>
        <v/>
      </c>
      <c r="B789" t="str">
        <f>IF(A789="", "", VLOOKUP(A789, BASE!$A$4:$B$10003, 2, FALSE))</f>
        <v/>
      </c>
      <c r="C789" t="str">
        <f>IF(A789="", "", VLOOKUP(A789, BASE!$A$4:$C$10003, 3, FALSE))</f>
        <v/>
      </c>
      <c r="D789" t="str">
        <f>IF(A789="", "", VLOOKUP(A789, BASE!$A$4:$D$10003, 4, FALSE))</f>
        <v/>
      </c>
      <c r="E789" t="str">
        <f>IF(A789="", "", VLOOKUP(A789, BASE!$A$4:$E$10003, 5, FALSE))</f>
        <v/>
      </c>
      <c r="F789" t="str">
        <f t="shared" si="12"/>
        <v/>
      </c>
    </row>
    <row r="790" spans="1:6">
      <c r="A790" t="str">
        <f>IFERROR(INDEX(BASE!$A$4:$A$10003, SMALL(IF(BASE!$F$4:$F$10003="CARREGADO", ROW(BASE!$A$4:$A$10003)-ROW(BASE!$A$4)+1), ROW(A789))), "")</f>
        <v/>
      </c>
      <c r="B790" t="str">
        <f>IF(A790="", "", VLOOKUP(A790, BASE!$A$4:$B$10003, 2, FALSE))</f>
        <v/>
      </c>
      <c r="C790" t="str">
        <f>IF(A790="", "", VLOOKUP(A790, BASE!$A$4:$C$10003, 3, FALSE))</f>
        <v/>
      </c>
      <c r="D790" t="str">
        <f>IF(A790="", "", VLOOKUP(A790, BASE!$A$4:$D$10003, 4, FALSE))</f>
        <v/>
      </c>
      <c r="E790" t="str">
        <f>IF(A790="", "", VLOOKUP(A790, BASE!$A$4:$E$10003, 5, FALSE))</f>
        <v/>
      </c>
      <c r="F790" t="str">
        <f t="shared" si="12"/>
        <v/>
      </c>
    </row>
    <row r="791" spans="1:6">
      <c r="A791" t="str">
        <f>IFERROR(INDEX(BASE!$A$4:$A$10003, SMALL(IF(BASE!$F$4:$F$10003="CARREGADO", ROW(BASE!$A$4:$A$10003)-ROW(BASE!$A$4)+1), ROW(A790))), "")</f>
        <v/>
      </c>
      <c r="B791" t="str">
        <f>IF(A791="", "", VLOOKUP(A791, BASE!$A$4:$B$10003, 2, FALSE))</f>
        <v/>
      </c>
      <c r="C791" t="str">
        <f>IF(A791="", "", VLOOKUP(A791, BASE!$A$4:$C$10003, 3, FALSE))</f>
        <v/>
      </c>
      <c r="D791" t="str">
        <f>IF(A791="", "", VLOOKUP(A791, BASE!$A$4:$D$10003, 4, FALSE))</f>
        <v/>
      </c>
      <c r="E791" t="str">
        <f>IF(A791="", "", VLOOKUP(A791, BASE!$A$4:$E$10003, 5, FALSE))</f>
        <v/>
      </c>
      <c r="F791" t="str">
        <f t="shared" si="12"/>
        <v/>
      </c>
    </row>
    <row r="792" spans="1:6">
      <c r="A792" t="str">
        <f>IFERROR(INDEX(BASE!$A$4:$A$10003, SMALL(IF(BASE!$F$4:$F$10003="CARREGADO", ROW(BASE!$A$4:$A$10003)-ROW(BASE!$A$4)+1), ROW(A791))), "")</f>
        <v/>
      </c>
      <c r="B792" t="str">
        <f>IF(A792="", "", VLOOKUP(A792, BASE!$A$4:$B$10003, 2, FALSE))</f>
        <v/>
      </c>
      <c r="C792" t="str">
        <f>IF(A792="", "", VLOOKUP(A792, BASE!$A$4:$C$10003, 3, FALSE))</f>
        <v/>
      </c>
      <c r="D792" t="str">
        <f>IF(A792="", "", VLOOKUP(A792, BASE!$A$4:$D$10003, 4, FALSE))</f>
        <v/>
      </c>
      <c r="E792" t="str">
        <f>IF(A792="", "", VLOOKUP(A792, BASE!$A$4:$E$10003, 5, FALSE))</f>
        <v/>
      </c>
      <c r="F792" t="str">
        <f t="shared" si="12"/>
        <v/>
      </c>
    </row>
    <row r="793" spans="1:6">
      <c r="A793" t="str">
        <f>IFERROR(INDEX(BASE!$A$4:$A$10003, SMALL(IF(BASE!$F$4:$F$10003="CARREGADO", ROW(BASE!$A$4:$A$10003)-ROW(BASE!$A$4)+1), ROW(A792))), "")</f>
        <v/>
      </c>
      <c r="B793" t="str">
        <f>IF(A793="", "", VLOOKUP(A793, BASE!$A$4:$B$10003, 2, FALSE))</f>
        <v/>
      </c>
      <c r="C793" t="str">
        <f>IF(A793="", "", VLOOKUP(A793, BASE!$A$4:$C$10003, 3, FALSE))</f>
        <v/>
      </c>
      <c r="D793" t="str">
        <f>IF(A793="", "", VLOOKUP(A793, BASE!$A$4:$D$10003, 4, FALSE))</f>
        <v/>
      </c>
      <c r="E793" t="str">
        <f>IF(A793="", "", VLOOKUP(A793, BASE!$A$4:$E$10003, 5, FALSE))</f>
        <v/>
      </c>
      <c r="F793" t="str">
        <f t="shared" si="12"/>
        <v/>
      </c>
    </row>
    <row r="794" spans="1:6">
      <c r="A794" t="str">
        <f>IFERROR(INDEX(BASE!$A$4:$A$10003, SMALL(IF(BASE!$F$4:$F$10003="CARREGADO", ROW(BASE!$A$4:$A$10003)-ROW(BASE!$A$4)+1), ROW(A793))), "")</f>
        <v/>
      </c>
      <c r="B794" t="str">
        <f>IF(A794="", "", VLOOKUP(A794, BASE!$A$4:$B$10003, 2, FALSE))</f>
        <v/>
      </c>
      <c r="C794" t="str">
        <f>IF(A794="", "", VLOOKUP(A794, BASE!$A$4:$C$10003, 3, FALSE))</f>
        <v/>
      </c>
      <c r="D794" t="str">
        <f>IF(A794="", "", VLOOKUP(A794, BASE!$A$4:$D$10003, 4, FALSE))</f>
        <v/>
      </c>
      <c r="E794" t="str">
        <f>IF(A794="", "", VLOOKUP(A794, BASE!$A$4:$E$10003, 5, FALSE))</f>
        <v/>
      </c>
      <c r="F794" t="str">
        <f t="shared" si="12"/>
        <v/>
      </c>
    </row>
    <row r="795" spans="1:6">
      <c r="A795" t="str">
        <f>IFERROR(INDEX(BASE!$A$4:$A$10003, SMALL(IF(BASE!$F$4:$F$10003="CARREGADO", ROW(BASE!$A$4:$A$10003)-ROW(BASE!$A$4)+1), ROW(A794))), "")</f>
        <v/>
      </c>
      <c r="B795" t="str">
        <f>IF(A795="", "", VLOOKUP(A795, BASE!$A$4:$B$10003, 2, FALSE))</f>
        <v/>
      </c>
      <c r="C795" t="str">
        <f>IF(A795="", "", VLOOKUP(A795, BASE!$A$4:$C$10003, 3, FALSE))</f>
        <v/>
      </c>
      <c r="D795" t="str">
        <f>IF(A795="", "", VLOOKUP(A795, BASE!$A$4:$D$10003, 4, FALSE))</f>
        <v/>
      </c>
      <c r="E795" t="str">
        <f>IF(A795="", "", VLOOKUP(A795, BASE!$A$4:$E$10003, 5, FALSE))</f>
        <v/>
      </c>
      <c r="F795" t="str">
        <f t="shared" si="12"/>
        <v/>
      </c>
    </row>
    <row r="796" spans="1:6">
      <c r="A796" t="str">
        <f>IFERROR(INDEX(BASE!$A$4:$A$10003, SMALL(IF(BASE!$F$4:$F$10003="CARREGADO", ROW(BASE!$A$4:$A$10003)-ROW(BASE!$A$4)+1), ROW(A795))), "")</f>
        <v/>
      </c>
      <c r="B796" t="str">
        <f>IF(A796="", "", VLOOKUP(A796, BASE!$A$4:$B$10003, 2, FALSE))</f>
        <v/>
      </c>
      <c r="C796" t="str">
        <f>IF(A796="", "", VLOOKUP(A796, BASE!$A$4:$C$10003, 3, FALSE))</f>
        <v/>
      </c>
      <c r="D796" t="str">
        <f>IF(A796="", "", VLOOKUP(A796, BASE!$A$4:$D$10003, 4, FALSE))</f>
        <v/>
      </c>
      <c r="E796" t="str">
        <f>IF(A796="", "", VLOOKUP(A796, BASE!$A$4:$E$10003, 5, FALSE))</f>
        <v/>
      </c>
      <c r="F796" t="str">
        <f t="shared" si="12"/>
        <v/>
      </c>
    </row>
    <row r="797" spans="1:6">
      <c r="A797" t="str">
        <f>IFERROR(INDEX(BASE!$A$4:$A$10003, SMALL(IF(BASE!$F$4:$F$10003="CARREGADO", ROW(BASE!$A$4:$A$10003)-ROW(BASE!$A$4)+1), ROW(A796))), "")</f>
        <v/>
      </c>
      <c r="B797" t="str">
        <f>IF(A797="", "", VLOOKUP(A797, BASE!$A$4:$B$10003, 2, FALSE))</f>
        <v/>
      </c>
      <c r="C797" t="str">
        <f>IF(A797="", "", VLOOKUP(A797, BASE!$A$4:$C$10003, 3, FALSE))</f>
        <v/>
      </c>
      <c r="D797" t="str">
        <f>IF(A797="", "", VLOOKUP(A797, BASE!$A$4:$D$10003, 4, FALSE))</f>
        <v/>
      </c>
      <c r="E797" t="str">
        <f>IF(A797="", "", VLOOKUP(A797, BASE!$A$4:$E$10003, 5, FALSE))</f>
        <v/>
      </c>
      <c r="F797" t="str">
        <f t="shared" si="12"/>
        <v/>
      </c>
    </row>
    <row r="798" spans="1:6">
      <c r="A798" t="str">
        <f>IFERROR(INDEX(BASE!$A$4:$A$10003, SMALL(IF(BASE!$F$4:$F$10003="CARREGADO", ROW(BASE!$A$4:$A$10003)-ROW(BASE!$A$4)+1), ROW(A797))), "")</f>
        <v/>
      </c>
      <c r="B798" t="str">
        <f>IF(A798="", "", VLOOKUP(A798, BASE!$A$4:$B$10003, 2, FALSE))</f>
        <v/>
      </c>
      <c r="C798" t="str">
        <f>IF(A798="", "", VLOOKUP(A798, BASE!$A$4:$C$10003, 3, FALSE))</f>
        <v/>
      </c>
      <c r="D798" t="str">
        <f>IF(A798="", "", VLOOKUP(A798, BASE!$A$4:$D$10003, 4, FALSE))</f>
        <v/>
      </c>
      <c r="E798" t="str">
        <f>IF(A798="", "", VLOOKUP(A798, BASE!$A$4:$E$10003, 5, FALSE))</f>
        <v/>
      </c>
      <c r="F798" t="str">
        <f t="shared" si="12"/>
        <v/>
      </c>
    </row>
    <row r="799" spans="1:6">
      <c r="A799" t="str">
        <f>IFERROR(INDEX(BASE!$A$4:$A$10003, SMALL(IF(BASE!$F$4:$F$10003="CARREGADO", ROW(BASE!$A$4:$A$10003)-ROW(BASE!$A$4)+1), ROW(A798))), "")</f>
        <v/>
      </c>
      <c r="B799" t="str">
        <f>IF(A799="", "", VLOOKUP(A799, BASE!$A$4:$B$10003, 2, FALSE))</f>
        <v/>
      </c>
      <c r="C799" t="str">
        <f>IF(A799="", "", VLOOKUP(A799, BASE!$A$4:$C$10003, 3, FALSE))</f>
        <v/>
      </c>
      <c r="D799" t="str">
        <f>IF(A799="", "", VLOOKUP(A799, BASE!$A$4:$D$10003, 4, FALSE))</f>
        <v/>
      </c>
      <c r="E799" t="str">
        <f>IF(A799="", "", VLOOKUP(A799, BASE!$A$4:$E$10003, 5, FALSE))</f>
        <v/>
      </c>
      <c r="F799" t="str">
        <f t="shared" si="12"/>
        <v/>
      </c>
    </row>
    <row r="800" spans="1:6">
      <c r="A800" t="str">
        <f>IFERROR(INDEX(BASE!$A$4:$A$10003, SMALL(IF(BASE!$F$4:$F$10003="CARREGADO", ROW(BASE!$A$4:$A$10003)-ROW(BASE!$A$4)+1), ROW(A799))), "")</f>
        <v/>
      </c>
      <c r="B800" t="str">
        <f>IF(A800="", "", VLOOKUP(A800, BASE!$A$4:$B$10003, 2, FALSE))</f>
        <v/>
      </c>
      <c r="C800" t="str">
        <f>IF(A800="", "", VLOOKUP(A800, BASE!$A$4:$C$10003, 3, FALSE))</f>
        <v/>
      </c>
      <c r="D800" t="str">
        <f>IF(A800="", "", VLOOKUP(A800, BASE!$A$4:$D$10003, 4, FALSE))</f>
        <v/>
      </c>
      <c r="E800" t="str">
        <f>IF(A800="", "", VLOOKUP(A800, BASE!$A$4:$E$10003, 5, FALSE))</f>
        <v/>
      </c>
      <c r="F800" t="str">
        <f t="shared" si="12"/>
        <v/>
      </c>
    </row>
    <row r="801" spans="1:6">
      <c r="A801" t="str">
        <f>IFERROR(INDEX(BASE!$A$4:$A$10003, SMALL(IF(BASE!$F$4:$F$10003="CARREGADO", ROW(BASE!$A$4:$A$10003)-ROW(BASE!$A$4)+1), ROW(A800))), "")</f>
        <v/>
      </c>
      <c r="B801" t="str">
        <f>IF(A801="", "", VLOOKUP(A801, BASE!$A$4:$B$10003, 2, FALSE))</f>
        <v/>
      </c>
      <c r="C801" t="str">
        <f>IF(A801="", "", VLOOKUP(A801, BASE!$A$4:$C$10003, 3, FALSE))</f>
        <v/>
      </c>
      <c r="D801" t="str">
        <f>IF(A801="", "", VLOOKUP(A801, BASE!$A$4:$D$10003, 4, FALSE))</f>
        <v/>
      </c>
      <c r="E801" t="str">
        <f>IF(A801="", "", VLOOKUP(A801, BASE!$A$4:$E$10003, 5, FALSE))</f>
        <v/>
      </c>
      <c r="F801" t="str">
        <f t="shared" si="12"/>
        <v/>
      </c>
    </row>
    <row r="802" spans="1:6">
      <c r="A802" t="str">
        <f>IFERROR(INDEX(BASE!$A$4:$A$10003, SMALL(IF(BASE!$F$4:$F$10003="CARREGADO", ROW(BASE!$A$4:$A$10003)-ROW(BASE!$A$4)+1), ROW(A801))), "")</f>
        <v/>
      </c>
      <c r="B802" t="str">
        <f>IF(A802="", "", VLOOKUP(A802, BASE!$A$4:$B$10003, 2, FALSE))</f>
        <v/>
      </c>
      <c r="C802" t="str">
        <f>IF(A802="", "", VLOOKUP(A802, BASE!$A$4:$C$10003, 3, FALSE))</f>
        <v/>
      </c>
      <c r="D802" t="str">
        <f>IF(A802="", "", VLOOKUP(A802, BASE!$A$4:$D$10003, 4, FALSE))</f>
        <v/>
      </c>
      <c r="E802" t="str">
        <f>IF(A802="", "", VLOOKUP(A802, BASE!$A$4:$E$10003, 5, FALSE))</f>
        <v/>
      </c>
      <c r="F802" t="str">
        <f t="shared" si="12"/>
        <v/>
      </c>
    </row>
    <row r="803" spans="1:6">
      <c r="A803" t="str">
        <f>IFERROR(INDEX(BASE!$A$4:$A$10003, SMALL(IF(BASE!$F$4:$F$10003="CARREGADO", ROW(BASE!$A$4:$A$10003)-ROW(BASE!$A$4)+1), ROW(A802))), "")</f>
        <v/>
      </c>
      <c r="B803" t="str">
        <f>IF(A803="", "", VLOOKUP(A803, BASE!$A$4:$B$10003, 2, FALSE))</f>
        <v/>
      </c>
      <c r="C803" t="str">
        <f>IF(A803="", "", VLOOKUP(A803, BASE!$A$4:$C$10003, 3, FALSE))</f>
        <v/>
      </c>
      <c r="D803" t="str">
        <f>IF(A803="", "", VLOOKUP(A803, BASE!$A$4:$D$10003, 4, FALSE))</f>
        <v/>
      </c>
      <c r="E803" t="str">
        <f>IF(A803="", "", VLOOKUP(A803, BASE!$A$4:$E$10003, 5, FALSE))</f>
        <v/>
      </c>
      <c r="F803" t="str">
        <f t="shared" si="12"/>
        <v/>
      </c>
    </row>
    <row r="804" spans="1:6">
      <c r="A804" t="str">
        <f>IFERROR(INDEX(BASE!$A$4:$A$10003, SMALL(IF(BASE!$F$4:$F$10003="CARREGADO", ROW(BASE!$A$4:$A$10003)-ROW(BASE!$A$4)+1), ROW(A803))), "")</f>
        <v/>
      </c>
      <c r="B804" t="str">
        <f>IF(A804="", "", VLOOKUP(A804, BASE!$A$4:$B$10003, 2, FALSE))</f>
        <v/>
      </c>
      <c r="C804" t="str">
        <f>IF(A804="", "", VLOOKUP(A804, BASE!$A$4:$C$10003, 3, FALSE))</f>
        <v/>
      </c>
      <c r="D804" t="str">
        <f>IF(A804="", "", VLOOKUP(A804, BASE!$A$4:$D$10003, 4, FALSE))</f>
        <v/>
      </c>
      <c r="E804" t="str">
        <f>IF(A804="", "", VLOOKUP(A804, BASE!$A$4:$E$10003, 5, FALSE))</f>
        <v/>
      </c>
      <c r="F804" t="str">
        <f t="shared" si="12"/>
        <v/>
      </c>
    </row>
    <row r="805" spans="1:6">
      <c r="A805" t="str">
        <f>IFERROR(INDEX(BASE!$A$4:$A$10003, SMALL(IF(BASE!$F$4:$F$10003="CARREGADO", ROW(BASE!$A$4:$A$10003)-ROW(BASE!$A$4)+1), ROW(A804))), "")</f>
        <v/>
      </c>
      <c r="B805" t="str">
        <f>IF(A805="", "", VLOOKUP(A805, BASE!$A$4:$B$10003, 2, FALSE))</f>
        <v/>
      </c>
      <c r="C805" t="str">
        <f>IF(A805="", "", VLOOKUP(A805, BASE!$A$4:$C$10003, 3, FALSE))</f>
        <v/>
      </c>
      <c r="D805" t="str">
        <f>IF(A805="", "", VLOOKUP(A805, BASE!$A$4:$D$10003, 4, FALSE))</f>
        <v/>
      </c>
      <c r="E805" t="str">
        <f>IF(A805="", "", VLOOKUP(A805, BASE!$A$4:$E$10003, 5, FALSE))</f>
        <v/>
      </c>
      <c r="F805" t="str">
        <f t="shared" si="12"/>
        <v/>
      </c>
    </row>
    <row r="806" spans="1:6">
      <c r="A806" t="str">
        <f>IFERROR(INDEX(BASE!$A$4:$A$10003, SMALL(IF(BASE!$F$4:$F$10003="CARREGADO", ROW(BASE!$A$4:$A$10003)-ROW(BASE!$A$4)+1), ROW(A805))), "")</f>
        <v/>
      </c>
      <c r="B806" t="str">
        <f>IF(A806="", "", VLOOKUP(A806, BASE!$A$4:$B$10003, 2, FALSE))</f>
        <v/>
      </c>
      <c r="C806" t="str">
        <f>IF(A806="", "", VLOOKUP(A806, BASE!$A$4:$C$10003, 3, FALSE))</f>
        <v/>
      </c>
      <c r="D806" t="str">
        <f>IF(A806="", "", VLOOKUP(A806, BASE!$A$4:$D$10003, 4, FALSE))</f>
        <v/>
      </c>
      <c r="E806" t="str">
        <f>IF(A806="", "", VLOOKUP(A806, BASE!$A$4:$E$10003, 5, FALSE))</f>
        <v/>
      </c>
      <c r="F806" t="str">
        <f t="shared" si="12"/>
        <v/>
      </c>
    </row>
    <row r="807" spans="1:6">
      <c r="A807" t="str">
        <f>IFERROR(INDEX(BASE!$A$4:$A$10003, SMALL(IF(BASE!$F$4:$F$10003="CARREGADO", ROW(BASE!$A$4:$A$10003)-ROW(BASE!$A$4)+1), ROW(A806))), "")</f>
        <v/>
      </c>
      <c r="B807" t="str">
        <f>IF(A807="", "", VLOOKUP(A807, BASE!$A$4:$B$10003, 2, FALSE))</f>
        <v/>
      </c>
      <c r="C807" t="str">
        <f>IF(A807="", "", VLOOKUP(A807, BASE!$A$4:$C$10003, 3, FALSE))</f>
        <v/>
      </c>
      <c r="D807" t="str">
        <f>IF(A807="", "", VLOOKUP(A807, BASE!$A$4:$D$10003, 4, FALSE))</f>
        <v/>
      </c>
      <c r="E807" t="str">
        <f>IF(A807="", "", VLOOKUP(A807, BASE!$A$4:$E$10003, 5, FALSE))</f>
        <v/>
      </c>
      <c r="F807" t="str">
        <f t="shared" si="12"/>
        <v/>
      </c>
    </row>
    <row r="808" spans="1:6">
      <c r="A808" t="str">
        <f>IFERROR(INDEX(BASE!$A$4:$A$10003, SMALL(IF(BASE!$F$4:$F$10003="CARREGADO", ROW(BASE!$A$4:$A$10003)-ROW(BASE!$A$4)+1), ROW(A807))), "")</f>
        <v/>
      </c>
      <c r="B808" t="str">
        <f>IF(A808="", "", VLOOKUP(A808, BASE!$A$4:$B$10003, 2, FALSE))</f>
        <v/>
      </c>
      <c r="C808" t="str">
        <f>IF(A808="", "", VLOOKUP(A808, BASE!$A$4:$C$10003, 3, FALSE))</f>
        <v/>
      </c>
      <c r="D808" t="str">
        <f>IF(A808="", "", VLOOKUP(A808, BASE!$A$4:$D$10003, 4, FALSE))</f>
        <v/>
      </c>
      <c r="E808" t="str">
        <f>IF(A808="", "", VLOOKUP(A808, BASE!$A$4:$E$10003, 5, FALSE))</f>
        <v/>
      </c>
      <c r="F808" t="str">
        <f t="shared" si="12"/>
        <v/>
      </c>
    </row>
    <row r="809" spans="1:6">
      <c r="A809" t="str">
        <f>IFERROR(INDEX(BASE!$A$4:$A$10003, SMALL(IF(BASE!$F$4:$F$10003="CARREGADO", ROW(BASE!$A$4:$A$10003)-ROW(BASE!$A$4)+1), ROW(A808))), "")</f>
        <v/>
      </c>
      <c r="B809" t="str">
        <f>IF(A809="", "", VLOOKUP(A809, BASE!$A$4:$B$10003, 2, FALSE))</f>
        <v/>
      </c>
      <c r="C809" t="str">
        <f>IF(A809="", "", VLOOKUP(A809, BASE!$A$4:$C$10003, 3, FALSE))</f>
        <v/>
      </c>
      <c r="D809" t="str">
        <f>IF(A809="", "", VLOOKUP(A809, BASE!$A$4:$D$10003, 4, FALSE))</f>
        <v/>
      </c>
      <c r="E809" t="str">
        <f>IF(A809="", "", VLOOKUP(A809, BASE!$A$4:$E$10003, 5, FALSE))</f>
        <v/>
      </c>
      <c r="F809" t="str">
        <f t="shared" si="12"/>
        <v/>
      </c>
    </row>
    <row r="810" spans="1:6">
      <c r="A810" t="str">
        <f>IFERROR(INDEX(BASE!$A$4:$A$10003, SMALL(IF(BASE!$F$4:$F$10003="CARREGADO", ROW(BASE!$A$4:$A$10003)-ROW(BASE!$A$4)+1), ROW(A809))), "")</f>
        <v/>
      </c>
      <c r="B810" t="str">
        <f>IF(A810="", "", VLOOKUP(A810, BASE!$A$4:$B$10003, 2, FALSE))</f>
        <v/>
      </c>
      <c r="C810" t="str">
        <f>IF(A810="", "", VLOOKUP(A810, BASE!$A$4:$C$10003, 3, FALSE))</f>
        <v/>
      </c>
      <c r="D810" t="str">
        <f>IF(A810="", "", VLOOKUP(A810, BASE!$A$4:$D$10003, 4, FALSE))</f>
        <v/>
      </c>
      <c r="E810" t="str">
        <f>IF(A810="", "", VLOOKUP(A810, BASE!$A$4:$E$10003, 5, FALSE))</f>
        <v/>
      </c>
      <c r="F810" t="str">
        <f t="shared" si="12"/>
        <v/>
      </c>
    </row>
    <row r="811" spans="1:6">
      <c r="A811" t="str">
        <f>IFERROR(INDEX(BASE!$A$4:$A$10003, SMALL(IF(BASE!$F$4:$F$10003="CARREGADO", ROW(BASE!$A$4:$A$10003)-ROW(BASE!$A$4)+1), ROW(A810))), "")</f>
        <v/>
      </c>
      <c r="B811" t="str">
        <f>IF(A811="", "", VLOOKUP(A811, BASE!$A$4:$B$10003, 2, FALSE))</f>
        <v/>
      </c>
      <c r="C811" t="str">
        <f>IF(A811="", "", VLOOKUP(A811, BASE!$A$4:$C$10003, 3, FALSE))</f>
        <v/>
      </c>
      <c r="D811" t="str">
        <f>IF(A811="", "", VLOOKUP(A811, BASE!$A$4:$D$10003, 4, FALSE))</f>
        <v/>
      </c>
      <c r="E811" t="str">
        <f>IF(A811="", "", VLOOKUP(A811, BASE!$A$4:$E$10003, 5, FALSE))</f>
        <v/>
      </c>
      <c r="F811" t="str">
        <f t="shared" si="12"/>
        <v/>
      </c>
    </row>
    <row r="812" spans="1:6">
      <c r="A812" t="str">
        <f>IFERROR(INDEX(BASE!$A$4:$A$10003, SMALL(IF(BASE!$F$4:$F$10003="CARREGADO", ROW(BASE!$A$4:$A$10003)-ROW(BASE!$A$4)+1), ROW(A811))), "")</f>
        <v/>
      </c>
      <c r="B812" t="str">
        <f>IF(A812="", "", VLOOKUP(A812, BASE!$A$4:$B$10003, 2, FALSE))</f>
        <v/>
      </c>
      <c r="C812" t="str">
        <f>IF(A812="", "", VLOOKUP(A812, BASE!$A$4:$C$10003, 3, FALSE))</f>
        <v/>
      </c>
      <c r="D812" t="str">
        <f>IF(A812="", "", VLOOKUP(A812, BASE!$A$4:$D$10003, 4, FALSE))</f>
        <v/>
      </c>
      <c r="E812" t="str">
        <f>IF(A812="", "", VLOOKUP(A812, BASE!$A$4:$E$10003, 5, FALSE))</f>
        <v/>
      </c>
      <c r="F812" t="str">
        <f t="shared" si="12"/>
        <v/>
      </c>
    </row>
    <row r="813" spans="1:6">
      <c r="A813" t="str">
        <f>IFERROR(INDEX(BASE!$A$4:$A$10003, SMALL(IF(BASE!$F$4:$F$10003="CARREGADO", ROW(BASE!$A$4:$A$10003)-ROW(BASE!$A$4)+1), ROW(A812))), "")</f>
        <v/>
      </c>
      <c r="B813" t="str">
        <f>IF(A813="", "", VLOOKUP(A813, BASE!$A$4:$B$10003, 2, FALSE))</f>
        <v/>
      </c>
      <c r="C813" t="str">
        <f>IF(A813="", "", VLOOKUP(A813, BASE!$A$4:$C$10003, 3, FALSE))</f>
        <v/>
      </c>
      <c r="D813" t="str">
        <f>IF(A813="", "", VLOOKUP(A813, BASE!$A$4:$D$10003, 4, FALSE))</f>
        <v/>
      </c>
      <c r="E813" t="str">
        <f>IF(A813="", "", VLOOKUP(A813, BASE!$A$4:$E$10003, 5, FALSE))</f>
        <v/>
      </c>
      <c r="F813" t="str">
        <f t="shared" si="12"/>
        <v/>
      </c>
    </row>
    <row r="814" spans="1:6">
      <c r="A814" t="str">
        <f>IFERROR(INDEX(BASE!$A$4:$A$10003, SMALL(IF(BASE!$F$4:$F$10003="CARREGADO", ROW(BASE!$A$4:$A$10003)-ROW(BASE!$A$4)+1), ROW(A813))), "")</f>
        <v/>
      </c>
      <c r="B814" t="str">
        <f>IF(A814="", "", VLOOKUP(A814, BASE!$A$4:$B$10003, 2, FALSE))</f>
        <v/>
      </c>
      <c r="C814" t="str">
        <f>IF(A814="", "", VLOOKUP(A814, BASE!$A$4:$C$10003, 3, FALSE))</f>
        <v/>
      </c>
      <c r="D814" t="str">
        <f>IF(A814="", "", VLOOKUP(A814, BASE!$A$4:$D$10003, 4, FALSE))</f>
        <v/>
      </c>
      <c r="E814" t="str">
        <f>IF(A814="", "", VLOOKUP(A814, BASE!$A$4:$E$10003, 5, FALSE))</f>
        <v/>
      </c>
      <c r="F814" t="str">
        <f t="shared" si="12"/>
        <v/>
      </c>
    </row>
    <row r="815" spans="1:6">
      <c r="A815" t="str">
        <f>IFERROR(INDEX(BASE!$A$4:$A$10003, SMALL(IF(BASE!$F$4:$F$10003="CARREGADO", ROW(BASE!$A$4:$A$10003)-ROW(BASE!$A$4)+1), ROW(A814))), "")</f>
        <v/>
      </c>
      <c r="B815" t="str">
        <f>IF(A815="", "", VLOOKUP(A815, BASE!$A$4:$B$10003, 2, FALSE))</f>
        <v/>
      </c>
      <c r="C815" t="str">
        <f>IF(A815="", "", VLOOKUP(A815, BASE!$A$4:$C$10003, 3, FALSE))</f>
        <v/>
      </c>
      <c r="D815" t="str">
        <f>IF(A815="", "", VLOOKUP(A815, BASE!$A$4:$D$10003, 4, FALSE))</f>
        <v/>
      </c>
      <c r="E815" t="str">
        <f>IF(A815="", "", VLOOKUP(A815, BASE!$A$4:$E$10003, 5, FALSE))</f>
        <v/>
      </c>
      <c r="F815" t="str">
        <f t="shared" si="12"/>
        <v/>
      </c>
    </row>
    <row r="816" spans="1:6">
      <c r="A816" t="str">
        <f>IFERROR(INDEX(BASE!$A$4:$A$10003, SMALL(IF(BASE!$F$4:$F$10003="CARREGADO", ROW(BASE!$A$4:$A$10003)-ROW(BASE!$A$4)+1), ROW(A815))), "")</f>
        <v/>
      </c>
      <c r="B816" t="str">
        <f>IF(A816="", "", VLOOKUP(A816, BASE!$A$4:$B$10003, 2, FALSE))</f>
        <v/>
      </c>
      <c r="C816" t="str">
        <f>IF(A816="", "", VLOOKUP(A816, BASE!$A$4:$C$10003, 3, FALSE))</f>
        <v/>
      </c>
      <c r="D816" t="str">
        <f>IF(A816="", "", VLOOKUP(A816, BASE!$A$4:$D$10003, 4, FALSE))</f>
        <v/>
      </c>
      <c r="E816" t="str">
        <f>IF(A816="", "", VLOOKUP(A816, BASE!$A$4:$E$10003, 5, FALSE))</f>
        <v/>
      </c>
      <c r="F816" t="str">
        <f t="shared" si="12"/>
        <v/>
      </c>
    </row>
    <row r="817" spans="1:6">
      <c r="A817" t="str">
        <f>IFERROR(INDEX(BASE!$A$4:$A$10003, SMALL(IF(BASE!$F$4:$F$10003="CARREGADO", ROW(BASE!$A$4:$A$10003)-ROW(BASE!$A$4)+1), ROW(A816))), "")</f>
        <v/>
      </c>
      <c r="B817" t="str">
        <f>IF(A817="", "", VLOOKUP(A817, BASE!$A$4:$B$10003, 2, FALSE))</f>
        <v/>
      </c>
      <c r="C817" t="str">
        <f>IF(A817="", "", VLOOKUP(A817, BASE!$A$4:$C$10003, 3, FALSE))</f>
        <v/>
      </c>
      <c r="D817" t="str">
        <f>IF(A817="", "", VLOOKUP(A817, BASE!$A$4:$D$10003, 4, FALSE))</f>
        <v/>
      </c>
      <c r="E817" t="str">
        <f>IF(A817="", "", VLOOKUP(A817, BASE!$A$4:$E$10003, 5, FALSE))</f>
        <v/>
      </c>
      <c r="F817" t="str">
        <f t="shared" si="12"/>
        <v/>
      </c>
    </row>
    <row r="818" spans="1:6">
      <c r="A818" t="str">
        <f>IFERROR(INDEX(BASE!$A$4:$A$10003, SMALL(IF(BASE!$F$4:$F$10003="CARREGADO", ROW(BASE!$A$4:$A$10003)-ROW(BASE!$A$4)+1), ROW(A817))), "")</f>
        <v/>
      </c>
      <c r="B818" t="str">
        <f>IF(A818="", "", VLOOKUP(A818, BASE!$A$4:$B$10003, 2, FALSE))</f>
        <v/>
      </c>
      <c r="C818" t="str">
        <f>IF(A818="", "", VLOOKUP(A818, BASE!$A$4:$C$10003, 3, FALSE))</f>
        <v/>
      </c>
      <c r="D818" t="str">
        <f>IF(A818="", "", VLOOKUP(A818, BASE!$A$4:$D$10003, 4, FALSE))</f>
        <v/>
      </c>
      <c r="E818" t="str">
        <f>IF(A818="", "", VLOOKUP(A818, BASE!$A$4:$E$10003, 5, FALSE))</f>
        <v/>
      </c>
      <c r="F818" t="str">
        <f t="shared" si="12"/>
        <v/>
      </c>
    </row>
    <row r="819" spans="1:6">
      <c r="A819" t="str">
        <f>IFERROR(INDEX(BASE!$A$4:$A$10003, SMALL(IF(BASE!$F$4:$F$10003="CARREGADO", ROW(BASE!$A$4:$A$10003)-ROW(BASE!$A$4)+1), ROW(A818))), "")</f>
        <v/>
      </c>
      <c r="B819" t="str">
        <f>IF(A819="", "", VLOOKUP(A819, BASE!$A$4:$B$10003, 2, FALSE))</f>
        <v/>
      </c>
      <c r="C819" t="str">
        <f>IF(A819="", "", VLOOKUP(A819, BASE!$A$4:$C$10003, 3, FALSE))</f>
        <v/>
      </c>
      <c r="D819" t="str">
        <f>IF(A819="", "", VLOOKUP(A819, BASE!$A$4:$D$10003, 4, FALSE))</f>
        <v/>
      </c>
      <c r="E819" t="str">
        <f>IF(A819="", "", VLOOKUP(A819, BASE!$A$4:$E$10003, 5, FALSE))</f>
        <v/>
      </c>
      <c r="F819" t="str">
        <f t="shared" si="12"/>
        <v/>
      </c>
    </row>
    <row r="820" spans="1:6">
      <c r="A820" t="str">
        <f>IFERROR(INDEX(BASE!$A$4:$A$10003, SMALL(IF(BASE!$F$4:$F$10003="CARREGADO", ROW(BASE!$A$4:$A$10003)-ROW(BASE!$A$4)+1), ROW(A819))), "")</f>
        <v/>
      </c>
      <c r="B820" t="str">
        <f>IF(A820="", "", VLOOKUP(A820, BASE!$A$4:$B$10003, 2, FALSE))</f>
        <v/>
      </c>
      <c r="C820" t="str">
        <f>IF(A820="", "", VLOOKUP(A820, BASE!$A$4:$C$10003, 3, FALSE))</f>
        <v/>
      </c>
      <c r="D820" t="str">
        <f>IF(A820="", "", VLOOKUP(A820, BASE!$A$4:$D$10003, 4, FALSE))</f>
        <v/>
      </c>
      <c r="E820" t="str">
        <f>IF(A820="", "", VLOOKUP(A820, BASE!$A$4:$E$10003, 5, FALSE))</f>
        <v/>
      </c>
      <c r="F820" t="str">
        <f t="shared" si="12"/>
        <v/>
      </c>
    </row>
    <row r="821" spans="1:6">
      <c r="A821" t="str">
        <f>IFERROR(INDEX(BASE!$A$4:$A$10003, SMALL(IF(BASE!$F$4:$F$10003="CARREGADO", ROW(BASE!$A$4:$A$10003)-ROW(BASE!$A$4)+1), ROW(A820))), "")</f>
        <v/>
      </c>
      <c r="B821" t="str">
        <f>IF(A821="", "", VLOOKUP(A821, BASE!$A$4:$B$10003, 2, FALSE))</f>
        <v/>
      </c>
      <c r="C821" t="str">
        <f>IF(A821="", "", VLOOKUP(A821, BASE!$A$4:$C$10003, 3, FALSE))</f>
        <v/>
      </c>
      <c r="D821" t="str">
        <f>IF(A821="", "", VLOOKUP(A821, BASE!$A$4:$D$10003, 4, FALSE))</f>
        <v/>
      </c>
      <c r="E821" t="str">
        <f>IF(A821="", "", VLOOKUP(A821, BASE!$A$4:$E$10003, 5, FALSE))</f>
        <v/>
      </c>
      <c r="F821" t="str">
        <f t="shared" si="12"/>
        <v/>
      </c>
    </row>
    <row r="822" spans="1:6">
      <c r="A822" t="str">
        <f>IFERROR(INDEX(BASE!$A$4:$A$10003, SMALL(IF(BASE!$F$4:$F$10003="CARREGADO", ROW(BASE!$A$4:$A$10003)-ROW(BASE!$A$4)+1), ROW(A821))), "")</f>
        <v/>
      </c>
      <c r="B822" t="str">
        <f>IF(A822="", "", VLOOKUP(A822, BASE!$A$4:$B$10003, 2, FALSE))</f>
        <v/>
      </c>
      <c r="C822" t="str">
        <f>IF(A822="", "", VLOOKUP(A822, BASE!$A$4:$C$10003, 3, FALSE))</f>
        <v/>
      </c>
      <c r="D822" t="str">
        <f>IF(A822="", "", VLOOKUP(A822, BASE!$A$4:$D$10003, 4, FALSE))</f>
        <v/>
      </c>
      <c r="E822" t="str">
        <f>IF(A822="", "", VLOOKUP(A822, BASE!$A$4:$E$10003, 5, FALSE))</f>
        <v/>
      </c>
      <c r="F822" t="str">
        <f t="shared" si="12"/>
        <v/>
      </c>
    </row>
    <row r="823" spans="1:6">
      <c r="A823" t="str">
        <f>IFERROR(INDEX(BASE!$A$4:$A$10003, SMALL(IF(BASE!$F$4:$F$10003="CARREGADO", ROW(BASE!$A$4:$A$10003)-ROW(BASE!$A$4)+1), ROW(A822))), "")</f>
        <v/>
      </c>
      <c r="B823" t="str">
        <f>IF(A823="", "", VLOOKUP(A823, BASE!$A$4:$B$10003, 2, FALSE))</f>
        <v/>
      </c>
      <c r="C823" t="str">
        <f>IF(A823="", "", VLOOKUP(A823, BASE!$A$4:$C$10003, 3, FALSE))</f>
        <v/>
      </c>
      <c r="D823" t="str">
        <f>IF(A823="", "", VLOOKUP(A823, BASE!$A$4:$D$10003, 4, FALSE))</f>
        <v/>
      </c>
      <c r="E823" t="str">
        <f>IF(A823="", "", VLOOKUP(A823, BASE!$A$4:$E$10003, 5, FALSE))</f>
        <v/>
      </c>
      <c r="F823" t="str">
        <f t="shared" si="12"/>
        <v/>
      </c>
    </row>
    <row r="824" spans="1:6">
      <c r="A824" t="str">
        <f>IFERROR(INDEX(BASE!$A$4:$A$10003, SMALL(IF(BASE!$F$4:$F$10003="CARREGADO", ROW(BASE!$A$4:$A$10003)-ROW(BASE!$A$4)+1), ROW(A823))), "")</f>
        <v/>
      </c>
      <c r="B824" t="str">
        <f>IF(A824="", "", VLOOKUP(A824, BASE!$A$4:$B$10003, 2, FALSE))</f>
        <v/>
      </c>
      <c r="C824" t="str">
        <f>IF(A824="", "", VLOOKUP(A824, BASE!$A$4:$C$10003, 3, FALSE))</f>
        <v/>
      </c>
      <c r="D824" t="str">
        <f>IF(A824="", "", VLOOKUP(A824, BASE!$A$4:$D$10003, 4, FALSE))</f>
        <v/>
      </c>
      <c r="E824" t="str">
        <f>IF(A824="", "", VLOOKUP(A824, BASE!$A$4:$E$10003, 5, FALSE))</f>
        <v/>
      </c>
      <c r="F824" t="str">
        <f t="shared" si="12"/>
        <v/>
      </c>
    </row>
    <row r="825" spans="1:6">
      <c r="A825" t="str">
        <f>IFERROR(INDEX(BASE!$A$4:$A$10003, SMALL(IF(BASE!$F$4:$F$10003="CARREGADO", ROW(BASE!$A$4:$A$10003)-ROW(BASE!$A$4)+1), ROW(A824))), "")</f>
        <v/>
      </c>
      <c r="B825" t="str">
        <f>IF(A825="", "", VLOOKUP(A825, BASE!$A$4:$B$10003, 2, FALSE))</f>
        <v/>
      </c>
      <c r="C825" t="str">
        <f>IF(A825="", "", VLOOKUP(A825, BASE!$A$4:$C$10003, 3, FALSE))</f>
        <v/>
      </c>
      <c r="D825" t="str">
        <f>IF(A825="", "", VLOOKUP(A825, BASE!$A$4:$D$10003, 4, FALSE))</f>
        <v/>
      </c>
      <c r="E825" t="str">
        <f>IF(A825="", "", VLOOKUP(A825, BASE!$A$4:$E$10003, 5, FALSE))</f>
        <v/>
      </c>
      <c r="F825" t="str">
        <f t="shared" si="12"/>
        <v/>
      </c>
    </row>
    <row r="826" spans="1:6">
      <c r="A826" t="str">
        <f>IFERROR(INDEX(BASE!$A$4:$A$10003, SMALL(IF(BASE!$F$4:$F$10003="CARREGADO", ROW(BASE!$A$4:$A$10003)-ROW(BASE!$A$4)+1), ROW(A825))), "")</f>
        <v/>
      </c>
      <c r="B826" t="str">
        <f>IF(A826="", "", VLOOKUP(A826, BASE!$A$4:$B$10003, 2, FALSE))</f>
        <v/>
      </c>
      <c r="C826" t="str">
        <f>IF(A826="", "", VLOOKUP(A826, BASE!$A$4:$C$10003, 3, FALSE))</f>
        <v/>
      </c>
      <c r="D826" t="str">
        <f>IF(A826="", "", VLOOKUP(A826, BASE!$A$4:$D$10003, 4, FALSE))</f>
        <v/>
      </c>
      <c r="E826" t="str">
        <f>IF(A826="", "", VLOOKUP(A826, BASE!$A$4:$E$10003, 5, FALSE))</f>
        <v/>
      </c>
      <c r="F826" t="str">
        <f t="shared" si="12"/>
        <v/>
      </c>
    </row>
    <row r="827" spans="1:6">
      <c r="A827" t="str">
        <f>IFERROR(INDEX(BASE!$A$4:$A$10003, SMALL(IF(BASE!$F$4:$F$10003="CARREGADO", ROW(BASE!$A$4:$A$10003)-ROW(BASE!$A$4)+1), ROW(A826))), "")</f>
        <v/>
      </c>
      <c r="B827" t="str">
        <f>IF(A827="", "", VLOOKUP(A827, BASE!$A$4:$B$10003, 2, FALSE))</f>
        <v/>
      </c>
      <c r="C827" t="str">
        <f>IF(A827="", "", VLOOKUP(A827, BASE!$A$4:$C$10003, 3, FALSE))</f>
        <v/>
      </c>
      <c r="D827" t="str">
        <f>IF(A827="", "", VLOOKUP(A827, BASE!$A$4:$D$10003, 4, FALSE))</f>
        <v/>
      </c>
      <c r="E827" t="str">
        <f>IF(A827="", "", VLOOKUP(A827, BASE!$A$4:$E$10003, 5, FALSE))</f>
        <v/>
      </c>
      <c r="F827" t="str">
        <f t="shared" si="12"/>
        <v/>
      </c>
    </row>
    <row r="828" spans="1:6">
      <c r="A828" t="str">
        <f>IFERROR(INDEX(BASE!$A$4:$A$10003, SMALL(IF(BASE!$F$4:$F$10003="CARREGADO", ROW(BASE!$A$4:$A$10003)-ROW(BASE!$A$4)+1), ROW(A827))), "")</f>
        <v/>
      </c>
      <c r="B828" t="str">
        <f>IF(A828="", "", VLOOKUP(A828, BASE!$A$4:$B$10003, 2, FALSE))</f>
        <v/>
      </c>
      <c r="C828" t="str">
        <f>IF(A828="", "", VLOOKUP(A828, BASE!$A$4:$C$10003, 3, FALSE))</f>
        <v/>
      </c>
      <c r="D828" t="str">
        <f>IF(A828="", "", VLOOKUP(A828, BASE!$A$4:$D$10003, 4, FALSE))</f>
        <v/>
      </c>
      <c r="E828" t="str">
        <f>IF(A828="", "", VLOOKUP(A828, BASE!$A$4:$E$10003, 5, FALSE))</f>
        <v/>
      </c>
      <c r="F828" t="str">
        <f t="shared" si="12"/>
        <v/>
      </c>
    </row>
    <row r="829" spans="1:6">
      <c r="A829" t="str">
        <f>IFERROR(INDEX(BASE!$A$4:$A$10003, SMALL(IF(BASE!$F$4:$F$10003="CARREGADO", ROW(BASE!$A$4:$A$10003)-ROW(BASE!$A$4)+1), ROW(A828))), "")</f>
        <v/>
      </c>
      <c r="B829" t="str">
        <f>IF(A829="", "", VLOOKUP(A829, BASE!$A$4:$B$10003, 2, FALSE))</f>
        <v/>
      </c>
      <c r="C829" t="str">
        <f>IF(A829="", "", VLOOKUP(A829, BASE!$A$4:$C$10003, 3, FALSE))</f>
        <v/>
      </c>
      <c r="D829" t="str">
        <f>IF(A829="", "", VLOOKUP(A829, BASE!$A$4:$D$10003, 4, FALSE))</f>
        <v/>
      </c>
      <c r="E829" t="str">
        <f>IF(A829="", "", VLOOKUP(A829, BASE!$A$4:$E$10003, 5, FALSE))</f>
        <v/>
      </c>
      <c r="F829" t="str">
        <f t="shared" si="12"/>
        <v/>
      </c>
    </row>
    <row r="830" spans="1:6">
      <c r="A830" t="str">
        <f>IFERROR(INDEX(BASE!$A$4:$A$10003, SMALL(IF(BASE!$F$4:$F$10003="CARREGADO", ROW(BASE!$A$4:$A$10003)-ROW(BASE!$A$4)+1), ROW(A829))), "")</f>
        <v/>
      </c>
      <c r="B830" t="str">
        <f>IF(A830="", "", VLOOKUP(A830, BASE!$A$4:$B$10003, 2, FALSE))</f>
        <v/>
      </c>
      <c r="C830" t="str">
        <f>IF(A830="", "", VLOOKUP(A830, BASE!$A$4:$C$10003, 3, FALSE))</f>
        <v/>
      </c>
      <c r="D830" t="str">
        <f>IF(A830="", "", VLOOKUP(A830, BASE!$A$4:$D$10003, 4, FALSE))</f>
        <v/>
      </c>
      <c r="E830" t="str">
        <f>IF(A830="", "", VLOOKUP(A830, BASE!$A$4:$E$10003, 5, FALSE))</f>
        <v/>
      </c>
      <c r="F830" t="str">
        <f t="shared" si="12"/>
        <v/>
      </c>
    </row>
    <row r="831" spans="1:6">
      <c r="A831" t="str">
        <f>IFERROR(INDEX(BASE!$A$4:$A$10003, SMALL(IF(BASE!$F$4:$F$10003="CARREGADO", ROW(BASE!$A$4:$A$10003)-ROW(BASE!$A$4)+1), ROW(A830))), "")</f>
        <v/>
      </c>
      <c r="B831" t="str">
        <f>IF(A831="", "", VLOOKUP(A831, BASE!$A$4:$B$10003, 2, FALSE))</f>
        <v/>
      </c>
      <c r="C831" t="str">
        <f>IF(A831="", "", VLOOKUP(A831, BASE!$A$4:$C$10003, 3, FALSE))</f>
        <v/>
      </c>
      <c r="D831" t="str">
        <f>IF(A831="", "", VLOOKUP(A831, BASE!$A$4:$D$10003, 4, FALSE))</f>
        <v/>
      </c>
      <c r="E831" t="str">
        <f>IF(A831="", "", VLOOKUP(A831, BASE!$A$4:$E$10003, 5, FALSE))</f>
        <v/>
      </c>
      <c r="F831" t="str">
        <f t="shared" si="12"/>
        <v/>
      </c>
    </row>
    <row r="832" spans="1:6">
      <c r="A832" t="str">
        <f>IFERROR(INDEX(BASE!$A$4:$A$10003, SMALL(IF(BASE!$F$4:$F$10003="CARREGADO", ROW(BASE!$A$4:$A$10003)-ROW(BASE!$A$4)+1), ROW(A831))), "")</f>
        <v/>
      </c>
      <c r="B832" t="str">
        <f>IF(A832="", "", VLOOKUP(A832, BASE!$A$4:$B$10003, 2, FALSE))</f>
        <v/>
      </c>
      <c r="C832" t="str">
        <f>IF(A832="", "", VLOOKUP(A832, BASE!$A$4:$C$10003, 3, FALSE))</f>
        <v/>
      </c>
      <c r="D832" t="str">
        <f>IF(A832="", "", VLOOKUP(A832, BASE!$A$4:$D$10003, 4, FALSE))</f>
        <v/>
      </c>
      <c r="E832" t="str">
        <f>IF(A832="", "", VLOOKUP(A832, BASE!$A$4:$E$10003, 5, FALSE))</f>
        <v/>
      </c>
      <c r="F832" t="str">
        <f t="shared" si="12"/>
        <v/>
      </c>
    </row>
    <row r="833" spans="1:6">
      <c r="A833" t="str">
        <f>IFERROR(INDEX(BASE!$A$4:$A$10003, SMALL(IF(BASE!$F$4:$F$10003="CARREGADO", ROW(BASE!$A$4:$A$10003)-ROW(BASE!$A$4)+1), ROW(A832))), "")</f>
        <v/>
      </c>
      <c r="B833" t="str">
        <f>IF(A833="", "", VLOOKUP(A833, BASE!$A$4:$B$10003, 2, FALSE))</f>
        <v/>
      </c>
      <c r="C833" t="str">
        <f>IF(A833="", "", VLOOKUP(A833, BASE!$A$4:$C$10003, 3, FALSE))</f>
        <v/>
      </c>
      <c r="D833" t="str">
        <f>IF(A833="", "", VLOOKUP(A833, BASE!$A$4:$D$10003, 4, FALSE))</f>
        <v/>
      </c>
      <c r="E833" t="str">
        <f>IF(A833="", "", VLOOKUP(A833, BASE!$A$4:$E$10003, 5, FALSE))</f>
        <v/>
      </c>
      <c r="F833" t="str">
        <f t="shared" si="12"/>
        <v/>
      </c>
    </row>
    <row r="834" spans="1:6">
      <c r="A834" t="str">
        <f>IFERROR(INDEX(BASE!$A$4:$A$10003, SMALL(IF(BASE!$F$4:$F$10003="CARREGADO", ROW(BASE!$A$4:$A$10003)-ROW(BASE!$A$4)+1), ROW(A833))), "")</f>
        <v/>
      </c>
      <c r="B834" t="str">
        <f>IF(A834="", "", VLOOKUP(A834, BASE!$A$4:$B$10003, 2, FALSE))</f>
        <v/>
      </c>
      <c r="C834" t="str">
        <f>IF(A834="", "", VLOOKUP(A834, BASE!$A$4:$C$10003, 3, FALSE))</f>
        <v/>
      </c>
      <c r="D834" t="str">
        <f>IF(A834="", "", VLOOKUP(A834, BASE!$A$4:$D$10003, 4, FALSE))</f>
        <v/>
      </c>
      <c r="E834" t="str">
        <f>IF(A834="", "", VLOOKUP(A834, BASE!$A$4:$E$10003, 5, FALSE))</f>
        <v/>
      </c>
      <c r="F834" t="str">
        <f t="shared" ref="F834:F897" si="13">IF(A834="", "", "CARREGADO")</f>
        <v/>
      </c>
    </row>
    <row r="835" spans="1:6">
      <c r="A835" t="str">
        <f>IFERROR(INDEX(BASE!$A$4:$A$10003, SMALL(IF(BASE!$F$4:$F$10003="CARREGADO", ROW(BASE!$A$4:$A$10003)-ROW(BASE!$A$4)+1), ROW(A834))), "")</f>
        <v/>
      </c>
      <c r="B835" t="str">
        <f>IF(A835="", "", VLOOKUP(A835, BASE!$A$4:$B$10003, 2, FALSE))</f>
        <v/>
      </c>
      <c r="C835" t="str">
        <f>IF(A835="", "", VLOOKUP(A835, BASE!$A$4:$C$10003, 3, FALSE))</f>
        <v/>
      </c>
      <c r="D835" t="str">
        <f>IF(A835="", "", VLOOKUP(A835, BASE!$A$4:$D$10003, 4, FALSE))</f>
        <v/>
      </c>
      <c r="E835" t="str">
        <f>IF(A835="", "", VLOOKUP(A835, BASE!$A$4:$E$10003, 5, FALSE))</f>
        <v/>
      </c>
      <c r="F835" t="str">
        <f t="shared" si="13"/>
        <v/>
      </c>
    </row>
    <row r="836" spans="1:6">
      <c r="A836" t="str">
        <f>IFERROR(INDEX(BASE!$A$4:$A$10003, SMALL(IF(BASE!$F$4:$F$10003="CARREGADO", ROW(BASE!$A$4:$A$10003)-ROW(BASE!$A$4)+1), ROW(A835))), "")</f>
        <v/>
      </c>
      <c r="B836" t="str">
        <f>IF(A836="", "", VLOOKUP(A836, BASE!$A$4:$B$10003, 2, FALSE))</f>
        <v/>
      </c>
      <c r="C836" t="str">
        <f>IF(A836="", "", VLOOKUP(A836, BASE!$A$4:$C$10003, 3, FALSE))</f>
        <v/>
      </c>
      <c r="D836" t="str">
        <f>IF(A836="", "", VLOOKUP(A836, BASE!$A$4:$D$10003, 4, FALSE))</f>
        <v/>
      </c>
      <c r="E836" t="str">
        <f>IF(A836="", "", VLOOKUP(A836, BASE!$A$4:$E$10003, 5, FALSE))</f>
        <v/>
      </c>
      <c r="F836" t="str">
        <f t="shared" si="13"/>
        <v/>
      </c>
    </row>
    <row r="837" spans="1:6">
      <c r="A837" t="str">
        <f>IFERROR(INDEX(BASE!$A$4:$A$10003, SMALL(IF(BASE!$F$4:$F$10003="CARREGADO", ROW(BASE!$A$4:$A$10003)-ROW(BASE!$A$4)+1), ROW(A836))), "")</f>
        <v/>
      </c>
      <c r="B837" t="str">
        <f>IF(A837="", "", VLOOKUP(A837, BASE!$A$4:$B$10003, 2, FALSE))</f>
        <v/>
      </c>
      <c r="C837" t="str">
        <f>IF(A837="", "", VLOOKUP(A837, BASE!$A$4:$C$10003, 3, FALSE))</f>
        <v/>
      </c>
      <c r="D837" t="str">
        <f>IF(A837="", "", VLOOKUP(A837, BASE!$A$4:$D$10003, 4, FALSE))</f>
        <v/>
      </c>
      <c r="E837" t="str">
        <f>IF(A837="", "", VLOOKUP(A837, BASE!$A$4:$E$10003, 5, FALSE))</f>
        <v/>
      </c>
      <c r="F837" t="str">
        <f t="shared" si="13"/>
        <v/>
      </c>
    </row>
    <row r="838" spans="1:6">
      <c r="A838" t="str">
        <f>IFERROR(INDEX(BASE!$A$4:$A$10003, SMALL(IF(BASE!$F$4:$F$10003="CARREGADO", ROW(BASE!$A$4:$A$10003)-ROW(BASE!$A$4)+1), ROW(A837))), "")</f>
        <v/>
      </c>
      <c r="B838" t="str">
        <f>IF(A838="", "", VLOOKUP(A838, BASE!$A$4:$B$10003, 2, FALSE))</f>
        <v/>
      </c>
      <c r="C838" t="str">
        <f>IF(A838="", "", VLOOKUP(A838, BASE!$A$4:$C$10003, 3, FALSE))</f>
        <v/>
      </c>
      <c r="D838" t="str">
        <f>IF(A838="", "", VLOOKUP(A838, BASE!$A$4:$D$10003, 4, FALSE))</f>
        <v/>
      </c>
      <c r="E838" t="str">
        <f>IF(A838="", "", VLOOKUP(A838, BASE!$A$4:$E$10003, 5, FALSE))</f>
        <v/>
      </c>
      <c r="F838" t="str">
        <f t="shared" si="13"/>
        <v/>
      </c>
    </row>
    <row r="839" spans="1:6">
      <c r="A839" t="str">
        <f>IFERROR(INDEX(BASE!$A$4:$A$10003, SMALL(IF(BASE!$F$4:$F$10003="CARREGADO", ROW(BASE!$A$4:$A$10003)-ROW(BASE!$A$4)+1), ROW(A838))), "")</f>
        <v/>
      </c>
      <c r="B839" t="str">
        <f>IF(A839="", "", VLOOKUP(A839, BASE!$A$4:$B$10003, 2, FALSE))</f>
        <v/>
      </c>
      <c r="C839" t="str">
        <f>IF(A839="", "", VLOOKUP(A839, BASE!$A$4:$C$10003, 3, FALSE))</f>
        <v/>
      </c>
      <c r="D839" t="str">
        <f>IF(A839="", "", VLOOKUP(A839, BASE!$A$4:$D$10003, 4, FALSE))</f>
        <v/>
      </c>
      <c r="E839" t="str">
        <f>IF(A839="", "", VLOOKUP(A839, BASE!$A$4:$E$10003, 5, FALSE))</f>
        <v/>
      </c>
      <c r="F839" t="str">
        <f t="shared" si="13"/>
        <v/>
      </c>
    </row>
    <row r="840" spans="1:6">
      <c r="A840" t="str">
        <f>IFERROR(INDEX(BASE!$A$4:$A$10003, SMALL(IF(BASE!$F$4:$F$10003="CARREGADO", ROW(BASE!$A$4:$A$10003)-ROW(BASE!$A$4)+1), ROW(A839))), "")</f>
        <v/>
      </c>
      <c r="B840" t="str">
        <f>IF(A840="", "", VLOOKUP(A840, BASE!$A$4:$B$10003, 2, FALSE))</f>
        <v/>
      </c>
      <c r="C840" t="str">
        <f>IF(A840="", "", VLOOKUP(A840, BASE!$A$4:$C$10003, 3, FALSE))</f>
        <v/>
      </c>
      <c r="D840" t="str">
        <f>IF(A840="", "", VLOOKUP(A840, BASE!$A$4:$D$10003, 4, FALSE))</f>
        <v/>
      </c>
      <c r="E840" t="str">
        <f>IF(A840="", "", VLOOKUP(A840, BASE!$A$4:$E$10003, 5, FALSE))</f>
        <v/>
      </c>
      <c r="F840" t="str">
        <f t="shared" si="13"/>
        <v/>
      </c>
    </row>
    <row r="841" spans="1:6">
      <c r="A841" t="str">
        <f>IFERROR(INDEX(BASE!$A$4:$A$10003, SMALL(IF(BASE!$F$4:$F$10003="CARREGADO", ROW(BASE!$A$4:$A$10003)-ROW(BASE!$A$4)+1), ROW(A840))), "")</f>
        <v/>
      </c>
      <c r="B841" t="str">
        <f>IF(A841="", "", VLOOKUP(A841, BASE!$A$4:$B$10003, 2, FALSE))</f>
        <v/>
      </c>
      <c r="C841" t="str">
        <f>IF(A841="", "", VLOOKUP(A841, BASE!$A$4:$C$10003, 3, FALSE))</f>
        <v/>
      </c>
      <c r="D841" t="str">
        <f>IF(A841="", "", VLOOKUP(A841, BASE!$A$4:$D$10003, 4, FALSE))</f>
        <v/>
      </c>
      <c r="E841" t="str">
        <f>IF(A841="", "", VLOOKUP(A841, BASE!$A$4:$E$10003, 5, FALSE))</f>
        <v/>
      </c>
      <c r="F841" t="str">
        <f t="shared" si="13"/>
        <v/>
      </c>
    </row>
    <row r="842" spans="1:6">
      <c r="A842" t="str">
        <f>IFERROR(INDEX(BASE!$A$4:$A$10003, SMALL(IF(BASE!$F$4:$F$10003="CARREGADO", ROW(BASE!$A$4:$A$10003)-ROW(BASE!$A$4)+1), ROW(A841))), "")</f>
        <v/>
      </c>
      <c r="B842" t="str">
        <f>IF(A842="", "", VLOOKUP(A842, BASE!$A$4:$B$10003, 2, FALSE))</f>
        <v/>
      </c>
      <c r="C842" t="str">
        <f>IF(A842="", "", VLOOKUP(A842, BASE!$A$4:$C$10003, 3, FALSE))</f>
        <v/>
      </c>
      <c r="D842" t="str">
        <f>IF(A842="", "", VLOOKUP(A842, BASE!$A$4:$D$10003, 4, FALSE))</f>
        <v/>
      </c>
      <c r="E842" t="str">
        <f>IF(A842="", "", VLOOKUP(A842, BASE!$A$4:$E$10003, 5, FALSE))</f>
        <v/>
      </c>
      <c r="F842" t="str">
        <f t="shared" si="13"/>
        <v/>
      </c>
    </row>
    <row r="843" spans="1:6">
      <c r="A843" t="str">
        <f>IFERROR(INDEX(BASE!$A$4:$A$10003, SMALL(IF(BASE!$F$4:$F$10003="CARREGADO", ROW(BASE!$A$4:$A$10003)-ROW(BASE!$A$4)+1), ROW(A842))), "")</f>
        <v/>
      </c>
      <c r="B843" t="str">
        <f>IF(A843="", "", VLOOKUP(A843, BASE!$A$4:$B$10003, 2, FALSE))</f>
        <v/>
      </c>
      <c r="C843" t="str">
        <f>IF(A843="", "", VLOOKUP(A843, BASE!$A$4:$C$10003, 3, FALSE))</f>
        <v/>
      </c>
      <c r="D843" t="str">
        <f>IF(A843="", "", VLOOKUP(A843, BASE!$A$4:$D$10003, 4, FALSE))</f>
        <v/>
      </c>
      <c r="E843" t="str">
        <f>IF(A843="", "", VLOOKUP(A843, BASE!$A$4:$E$10003, 5, FALSE))</f>
        <v/>
      </c>
      <c r="F843" t="str">
        <f t="shared" si="13"/>
        <v/>
      </c>
    </row>
    <row r="844" spans="1:6">
      <c r="A844" t="str">
        <f>IFERROR(INDEX(BASE!$A$4:$A$10003, SMALL(IF(BASE!$F$4:$F$10003="CARREGADO", ROW(BASE!$A$4:$A$10003)-ROW(BASE!$A$4)+1), ROW(A843))), "")</f>
        <v/>
      </c>
      <c r="B844" t="str">
        <f>IF(A844="", "", VLOOKUP(A844, BASE!$A$4:$B$10003, 2, FALSE))</f>
        <v/>
      </c>
      <c r="C844" t="str">
        <f>IF(A844="", "", VLOOKUP(A844, BASE!$A$4:$C$10003, 3, FALSE))</f>
        <v/>
      </c>
      <c r="D844" t="str">
        <f>IF(A844="", "", VLOOKUP(A844, BASE!$A$4:$D$10003, 4, FALSE))</f>
        <v/>
      </c>
      <c r="E844" t="str">
        <f>IF(A844="", "", VLOOKUP(A844, BASE!$A$4:$E$10003, 5, FALSE))</f>
        <v/>
      </c>
      <c r="F844" t="str">
        <f t="shared" si="13"/>
        <v/>
      </c>
    </row>
    <row r="845" spans="1:6">
      <c r="A845" t="str">
        <f>IFERROR(INDEX(BASE!$A$4:$A$10003, SMALL(IF(BASE!$F$4:$F$10003="CARREGADO", ROW(BASE!$A$4:$A$10003)-ROW(BASE!$A$4)+1), ROW(A844))), "")</f>
        <v/>
      </c>
      <c r="B845" t="str">
        <f>IF(A845="", "", VLOOKUP(A845, BASE!$A$4:$B$10003, 2, FALSE))</f>
        <v/>
      </c>
      <c r="C845" t="str">
        <f>IF(A845="", "", VLOOKUP(A845, BASE!$A$4:$C$10003, 3, FALSE))</f>
        <v/>
      </c>
      <c r="D845" t="str">
        <f>IF(A845="", "", VLOOKUP(A845, BASE!$A$4:$D$10003, 4, FALSE))</f>
        <v/>
      </c>
      <c r="E845" t="str">
        <f>IF(A845="", "", VLOOKUP(A845, BASE!$A$4:$E$10003, 5, FALSE))</f>
        <v/>
      </c>
      <c r="F845" t="str">
        <f t="shared" si="13"/>
        <v/>
      </c>
    </row>
    <row r="846" spans="1:6">
      <c r="A846" t="str">
        <f>IFERROR(INDEX(BASE!$A$4:$A$10003, SMALL(IF(BASE!$F$4:$F$10003="CARREGADO", ROW(BASE!$A$4:$A$10003)-ROW(BASE!$A$4)+1), ROW(A845))), "")</f>
        <v/>
      </c>
      <c r="B846" t="str">
        <f>IF(A846="", "", VLOOKUP(A846, BASE!$A$4:$B$10003, 2, FALSE))</f>
        <v/>
      </c>
      <c r="C846" t="str">
        <f>IF(A846="", "", VLOOKUP(A846, BASE!$A$4:$C$10003, 3, FALSE))</f>
        <v/>
      </c>
      <c r="D846" t="str">
        <f>IF(A846="", "", VLOOKUP(A846, BASE!$A$4:$D$10003, 4, FALSE))</f>
        <v/>
      </c>
      <c r="E846" t="str">
        <f>IF(A846="", "", VLOOKUP(A846, BASE!$A$4:$E$10003, 5, FALSE))</f>
        <v/>
      </c>
      <c r="F846" t="str">
        <f t="shared" si="13"/>
        <v/>
      </c>
    </row>
    <row r="847" spans="1:6">
      <c r="A847" t="str">
        <f>IFERROR(INDEX(BASE!$A$4:$A$10003, SMALL(IF(BASE!$F$4:$F$10003="CARREGADO", ROW(BASE!$A$4:$A$10003)-ROW(BASE!$A$4)+1), ROW(A846))), "")</f>
        <v/>
      </c>
      <c r="B847" t="str">
        <f>IF(A847="", "", VLOOKUP(A847, BASE!$A$4:$B$10003, 2, FALSE))</f>
        <v/>
      </c>
      <c r="C847" t="str">
        <f>IF(A847="", "", VLOOKUP(A847, BASE!$A$4:$C$10003, 3, FALSE))</f>
        <v/>
      </c>
      <c r="D847" t="str">
        <f>IF(A847="", "", VLOOKUP(A847, BASE!$A$4:$D$10003, 4, FALSE))</f>
        <v/>
      </c>
      <c r="E847" t="str">
        <f>IF(A847="", "", VLOOKUP(A847, BASE!$A$4:$E$10003, 5, FALSE))</f>
        <v/>
      </c>
      <c r="F847" t="str">
        <f t="shared" si="13"/>
        <v/>
      </c>
    </row>
    <row r="848" spans="1:6">
      <c r="A848" t="str">
        <f>IFERROR(INDEX(BASE!$A$4:$A$10003, SMALL(IF(BASE!$F$4:$F$10003="CARREGADO", ROW(BASE!$A$4:$A$10003)-ROW(BASE!$A$4)+1), ROW(A847))), "")</f>
        <v/>
      </c>
      <c r="B848" t="str">
        <f>IF(A848="", "", VLOOKUP(A848, BASE!$A$4:$B$10003, 2, FALSE))</f>
        <v/>
      </c>
      <c r="C848" t="str">
        <f>IF(A848="", "", VLOOKUP(A848, BASE!$A$4:$C$10003, 3, FALSE))</f>
        <v/>
      </c>
      <c r="D848" t="str">
        <f>IF(A848="", "", VLOOKUP(A848, BASE!$A$4:$D$10003, 4, FALSE))</f>
        <v/>
      </c>
      <c r="E848" t="str">
        <f>IF(A848="", "", VLOOKUP(A848, BASE!$A$4:$E$10003, 5, FALSE))</f>
        <v/>
      </c>
      <c r="F848" t="str">
        <f t="shared" si="13"/>
        <v/>
      </c>
    </row>
    <row r="849" spans="1:6">
      <c r="A849" t="str">
        <f>IFERROR(INDEX(BASE!$A$4:$A$10003, SMALL(IF(BASE!$F$4:$F$10003="CARREGADO", ROW(BASE!$A$4:$A$10003)-ROW(BASE!$A$4)+1), ROW(A848))), "")</f>
        <v/>
      </c>
      <c r="B849" t="str">
        <f>IF(A849="", "", VLOOKUP(A849, BASE!$A$4:$B$10003, 2, FALSE))</f>
        <v/>
      </c>
      <c r="C849" t="str">
        <f>IF(A849="", "", VLOOKUP(A849, BASE!$A$4:$C$10003, 3, FALSE))</f>
        <v/>
      </c>
      <c r="D849" t="str">
        <f>IF(A849="", "", VLOOKUP(A849, BASE!$A$4:$D$10003, 4, FALSE))</f>
        <v/>
      </c>
      <c r="E849" t="str">
        <f>IF(A849="", "", VLOOKUP(A849, BASE!$A$4:$E$10003, 5, FALSE))</f>
        <v/>
      </c>
      <c r="F849" t="str">
        <f t="shared" si="13"/>
        <v/>
      </c>
    </row>
    <row r="850" spans="1:6">
      <c r="A850" t="str">
        <f>IFERROR(INDEX(BASE!$A$4:$A$10003, SMALL(IF(BASE!$F$4:$F$10003="CARREGADO", ROW(BASE!$A$4:$A$10003)-ROW(BASE!$A$4)+1), ROW(A849))), "")</f>
        <v/>
      </c>
      <c r="B850" t="str">
        <f>IF(A850="", "", VLOOKUP(A850, BASE!$A$4:$B$10003, 2, FALSE))</f>
        <v/>
      </c>
      <c r="C850" t="str">
        <f>IF(A850="", "", VLOOKUP(A850, BASE!$A$4:$C$10003, 3, FALSE))</f>
        <v/>
      </c>
      <c r="D850" t="str">
        <f>IF(A850="", "", VLOOKUP(A850, BASE!$A$4:$D$10003, 4, FALSE))</f>
        <v/>
      </c>
      <c r="E850" t="str">
        <f>IF(A850="", "", VLOOKUP(A850, BASE!$A$4:$E$10003, 5, FALSE))</f>
        <v/>
      </c>
      <c r="F850" t="str">
        <f t="shared" si="13"/>
        <v/>
      </c>
    </row>
    <row r="851" spans="1:6">
      <c r="A851" t="str">
        <f>IFERROR(INDEX(BASE!$A$4:$A$10003, SMALL(IF(BASE!$F$4:$F$10003="CARREGADO", ROW(BASE!$A$4:$A$10003)-ROW(BASE!$A$4)+1), ROW(A850))), "")</f>
        <v/>
      </c>
      <c r="B851" t="str">
        <f>IF(A851="", "", VLOOKUP(A851, BASE!$A$4:$B$10003, 2, FALSE))</f>
        <v/>
      </c>
      <c r="C851" t="str">
        <f>IF(A851="", "", VLOOKUP(A851, BASE!$A$4:$C$10003, 3, FALSE))</f>
        <v/>
      </c>
      <c r="D851" t="str">
        <f>IF(A851="", "", VLOOKUP(A851, BASE!$A$4:$D$10003, 4, FALSE))</f>
        <v/>
      </c>
      <c r="E851" t="str">
        <f>IF(A851="", "", VLOOKUP(A851, BASE!$A$4:$E$10003, 5, FALSE))</f>
        <v/>
      </c>
      <c r="F851" t="str">
        <f t="shared" si="13"/>
        <v/>
      </c>
    </row>
    <row r="852" spans="1:6">
      <c r="A852" t="str">
        <f>IFERROR(INDEX(BASE!$A$4:$A$10003, SMALL(IF(BASE!$F$4:$F$10003="CARREGADO", ROW(BASE!$A$4:$A$10003)-ROW(BASE!$A$4)+1), ROW(A851))), "")</f>
        <v/>
      </c>
      <c r="B852" t="str">
        <f>IF(A852="", "", VLOOKUP(A852, BASE!$A$4:$B$10003, 2, FALSE))</f>
        <v/>
      </c>
      <c r="C852" t="str">
        <f>IF(A852="", "", VLOOKUP(A852, BASE!$A$4:$C$10003, 3, FALSE))</f>
        <v/>
      </c>
      <c r="D852" t="str">
        <f>IF(A852="", "", VLOOKUP(A852, BASE!$A$4:$D$10003, 4, FALSE))</f>
        <v/>
      </c>
      <c r="E852" t="str">
        <f>IF(A852="", "", VLOOKUP(A852, BASE!$A$4:$E$10003, 5, FALSE))</f>
        <v/>
      </c>
      <c r="F852" t="str">
        <f t="shared" si="13"/>
        <v/>
      </c>
    </row>
    <row r="853" spans="1:6">
      <c r="A853" t="str">
        <f>IFERROR(INDEX(BASE!$A$4:$A$10003, SMALL(IF(BASE!$F$4:$F$10003="CARREGADO", ROW(BASE!$A$4:$A$10003)-ROW(BASE!$A$4)+1), ROW(A852))), "")</f>
        <v/>
      </c>
      <c r="B853" t="str">
        <f>IF(A853="", "", VLOOKUP(A853, BASE!$A$4:$B$10003, 2, FALSE))</f>
        <v/>
      </c>
      <c r="C853" t="str">
        <f>IF(A853="", "", VLOOKUP(A853, BASE!$A$4:$C$10003, 3, FALSE))</f>
        <v/>
      </c>
      <c r="D853" t="str">
        <f>IF(A853="", "", VLOOKUP(A853, BASE!$A$4:$D$10003, 4, FALSE))</f>
        <v/>
      </c>
      <c r="E853" t="str">
        <f>IF(A853="", "", VLOOKUP(A853, BASE!$A$4:$E$10003, 5, FALSE))</f>
        <v/>
      </c>
      <c r="F853" t="str">
        <f t="shared" si="13"/>
        <v/>
      </c>
    </row>
    <row r="854" spans="1:6">
      <c r="A854" t="str">
        <f>IFERROR(INDEX(BASE!$A$4:$A$10003, SMALL(IF(BASE!$F$4:$F$10003="CARREGADO", ROW(BASE!$A$4:$A$10003)-ROW(BASE!$A$4)+1), ROW(A853))), "")</f>
        <v/>
      </c>
      <c r="B854" t="str">
        <f>IF(A854="", "", VLOOKUP(A854, BASE!$A$4:$B$10003, 2, FALSE))</f>
        <v/>
      </c>
      <c r="C854" t="str">
        <f>IF(A854="", "", VLOOKUP(A854, BASE!$A$4:$C$10003, 3, FALSE))</f>
        <v/>
      </c>
      <c r="D854" t="str">
        <f>IF(A854="", "", VLOOKUP(A854, BASE!$A$4:$D$10003, 4, FALSE))</f>
        <v/>
      </c>
      <c r="E854" t="str">
        <f>IF(A854="", "", VLOOKUP(A854, BASE!$A$4:$E$10003, 5, FALSE))</f>
        <v/>
      </c>
      <c r="F854" t="str">
        <f t="shared" si="13"/>
        <v/>
      </c>
    </row>
    <row r="855" spans="1:6">
      <c r="A855" t="str">
        <f>IFERROR(INDEX(BASE!$A$4:$A$10003, SMALL(IF(BASE!$F$4:$F$10003="CARREGADO", ROW(BASE!$A$4:$A$10003)-ROW(BASE!$A$4)+1), ROW(A854))), "")</f>
        <v/>
      </c>
      <c r="B855" t="str">
        <f>IF(A855="", "", VLOOKUP(A855, BASE!$A$4:$B$10003, 2, FALSE))</f>
        <v/>
      </c>
      <c r="C855" t="str">
        <f>IF(A855="", "", VLOOKUP(A855, BASE!$A$4:$C$10003, 3, FALSE))</f>
        <v/>
      </c>
      <c r="D855" t="str">
        <f>IF(A855="", "", VLOOKUP(A855, BASE!$A$4:$D$10003, 4, FALSE))</f>
        <v/>
      </c>
      <c r="E855" t="str">
        <f>IF(A855="", "", VLOOKUP(A855, BASE!$A$4:$E$10003, 5, FALSE))</f>
        <v/>
      </c>
      <c r="F855" t="str">
        <f t="shared" si="13"/>
        <v/>
      </c>
    </row>
    <row r="856" spans="1:6">
      <c r="A856" t="str">
        <f>IFERROR(INDEX(BASE!$A$4:$A$10003, SMALL(IF(BASE!$F$4:$F$10003="CARREGADO", ROW(BASE!$A$4:$A$10003)-ROW(BASE!$A$4)+1), ROW(A855))), "")</f>
        <v/>
      </c>
      <c r="B856" t="str">
        <f>IF(A856="", "", VLOOKUP(A856, BASE!$A$4:$B$10003, 2, FALSE))</f>
        <v/>
      </c>
      <c r="C856" t="str">
        <f>IF(A856="", "", VLOOKUP(A856, BASE!$A$4:$C$10003, 3, FALSE))</f>
        <v/>
      </c>
      <c r="D856" t="str">
        <f>IF(A856="", "", VLOOKUP(A856, BASE!$A$4:$D$10003, 4, FALSE))</f>
        <v/>
      </c>
      <c r="E856" t="str">
        <f>IF(A856="", "", VLOOKUP(A856, BASE!$A$4:$E$10003, 5, FALSE))</f>
        <v/>
      </c>
      <c r="F856" t="str">
        <f t="shared" si="13"/>
        <v/>
      </c>
    </row>
    <row r="857" spans="1:6">
      <c r="A857" t="str">
        <f>IFERROR(INDEX(BASE!$A$4:$A$10003, SMALL(IF(BASE!$F$4:$F$10003="CARREGADO", ROW(BASE!$A$4:$A$10003)-ROW(BASE!$A$4)+1), ROW(A856))), "")</f>
        <v/>
      </c>
      <c r="B857" t="str">
        <f>IF(A857="", "", VLOOKUP(A857, BASE!$A$4:$B$10003, 2, FALSE))</f>
        <v/>
      </c>
      <c r="C857" t="str">
        <f>IF(A857="", "", VLOOKUP(A857, BASE!$A$4:$C$10003, 3, FALSE))</f>
        <v/>
      </c>
      <c r="D857" t="str">
        <f>IF(A857="", "", VLOOKUP(A857, BASE!$A$4:$D$10003, 4, FALSE))</f>
        <v/>
      </c>
      <c r="E857" t="str">
        <f>IF(A857="", "", VLOOKUP(A857, BASE!$A$4:$E$10003, 5, FALSE))</f>
        <v/>
      </c>
      <c r="F857" t="str">
        <f t="shared" si="13"/>
        <v/>
      </c>
    </row>
    <row r="858" spans="1:6">
      <c r="A858" t="str">
        <f>IFERROR(INDEX(BASE!$A$4:$A$10003, SMALL(IF(BASE!$F$4:$F$10003="CARREGADO", ROW(BASE!$A$4:$A$10003)-ROW(BASE!$A$4)+1), ROW(A857))), "")</f>
        <v/>
      </c>
      <c r="B858" t="str">
        <f>IF(A858="", "", VLOOKUP(A858, BASE!$A$4:$B$10003, 2, FALSE))</f>
        <v/>
      </c>
      <c r="C858" t="str">
        <f>IF(A858="", "", VLOOKUP(A858, BASE!$A$4:$C$10003, 3, FALSE))</f>
        <v/>
      </c>
      <c r="D858" t="str">
        <f>IF(A858="", "", VLOOKUP(A858, BASE!$A$4:$D$10003, 4, FALSE))</f>
        <v/>
      </c>
      <c r="E858" t="str">
        <f>IF(A858="", "", VLOOKUP(A858, BASE!$A$4:$E$10003, 5, FALSE))</f>
        <v/>
      </c>
      <c r="F858" t="str">
        <f t="shared" si="13"/>
        <v/>
      </c>
    </row>
    <row r="859" spans="1:6">
      <c r="A859" t="str">
        <f>IFERROR(INDEX(BASE!$A$4:$A$10003, SMALL(IF(BASE!$F$4:$F$10003="CARREGADO", ROW(BASE!$A$4:$A$10003)-ROW(BASE!$A$4)+1), ROW(A858))), "")</f>
        <v/>
      </c>
      <c r="B859" t="str">
        <f>IF(A859="", "", VLOOKUP(A859, BASE!$A$4:$B$10003, 2, FALSE))</f>
        <v/>
      </c>
      <c r="C859" t="str">
        <f>IF(A859="", "", VLOOKUP(A859, BASE!$A$4:$C$10003, 3, FALSE))</f>
        <v/>
      </c>
      <c r="D859" t="str">
        <f>IF(A859="", "", VLOOKUP(A859, BASE!$A$4:$D$10003, 4, FALSE))</f>
        <v/>
      </c>
      <c r="E859" t="str">
        <f>IF(A859="", "", VLOOKUP(A859, BASE!$A$4:$E$10003, 5, FALSE))</f>
        <v/>
      </c>
      <c r="F859" t="str">
        <f t="shared" si="13"/>
        <v/>
      </c>
    </row>
    <row r="860" spans="1:6">
      <c r="A860" t="str">
        <f>IFERROR(INDEX(BASE!$A$4:$A$10003, SMALL(IF(BASE!$F$4:$F$10003="CARREGADO", ROW(BASE!$A$4:$A$10003)-ROW(BASE!$A$4)+1), ROW(A859))), "")</f>
        <v/>
      </c>
      <c r="B860" t="str">
        <f>IF(A860="", "", VLOOKUP(A860, BASE!$A$4:$B$10003, 2, FALSE))</f>
        <v/>
      </c>
      <c r="C860" t="str">
        <f>IF(A860="", "", VLOOKUP(A860, BASE!$A$4:$C$10003, 3, FALSE))</f>
        <v/>
      </c>
      <c r="D860" t="str">
        <f>IF(A860="", "", VLOOKUP(A860, BASE!$A$4:$D$10003, 4, FALSE))</f>
        <v/>
      </c>
      <c r="E860" t="str">
        <f>IF(A860="", "", VLOOKUP(A860, BASE!$A$4:$E$10003, 5, FALSE))</f>
        <v/>
      </c>
      <c r="F860" t="str">
        <f t="shared" si="13"/>
        <v/>
      </c>
    </row>
    <row r="861" spans="1:6">
      <c r="A861" t="str">
        <f>IFERROR(INDEX(BASE!$A$4:$A$10003, SMALL(IF(BASE!$F$4:$F$10003="CARREGADO", ROW(BASE!$A$4:$A$10003)-ROW(BASE!$A$4)+1), ROW(A860))), "")</f>
        <v/>
      </c>
      <c r="B861" t="str">
        <f>IF(A861="", "", VLOOKUP(A861, BASE!$A$4:$B$10003, 2, FALSE))</f>
        <v/>
      </c>
      <c r="C861" t="str">
        <f>IF(A861="", "", VLOOKUP(A861, BASE!$A$4:$C$10003, 3, FALSE))</f>
        <v/>
      </c>
      <c r="D861" t="str">
        <f>IF(A861="", "", VLOOKUP(A861, BASE!$A$4:$D$10003, 4, FALSE))</f>
        <v/>
      </c>
      <c r="E861" t="str">
        <f>IF(A861="", "", VLOOKUP(A861, BASE!$A$4:$E$10003, 5, FALSE))</f>
        <v/>
      </c>
      <c r="F861" t="str">
        <f t="shared" si="13"/>
        <v/>
      </c>
    </row>
    <row r="862" spans="1:6">
      <c r="A862" t="str">
        <f>IFERROR(INDEX(BASE!$A$4:$A$10003, SMALL(IF(BASE!$F$4:$F$10003="CARREGADO", ROW(BASE!$A$4:$A$10003)-ROW(BASE!$A$4)+1), ROW(A861))), "")</f>
        <v/>
      </c>
      <c r="B862" t="str">
        <f>IF(A862="", "", VLOOKUP(A862, BASE!$A$4:$B$10003, 2, FALSE))</f>
        <v/>
      </c>
      <c r="C862" t="str">
        <f>IF(A862="", "", VLOOKUP(A862, BASE!$A$4:$C$10003, 3, FALSE))</f>
        <v/>
      </c>
      <c r="D862" t="str">
        <f>IF(A862="", "", VLOOKUP(A862, BASE!$A$4:$D$10003, 4, FALSE))</f>
        <v/>
      </c>
      <c r="E862" t="str">
        <f>IF(A862="", "", VLOOKUP(A862, BASE!$A$4:$E$10003, 5, FALSE))</f>
        <v/>
      </c>
      <c r="F862" t="str">
        <f t="shared" si="13"/>
        <v/>
      </c>
    </row>
    <row r="863" spans="1:6">
      <c r="A863" t="str">
        <f>IFERROR(INDEX(BASE!$A$4:$A$10003, SMALL(IF(BASE!$F$4:$F$10003="CARREGADO", ROW(BASE!$A$4:$A$10003)-ROW(BASE!$A$4)+1), ROW(A862))), "")</f>
        <v/>
      </c>
      <c r="B863" t="str">
        <f>IF(A863="", "", VLOOKUP(A863, BASE!$A$4:$B$10003, 2, FALSE))</f>
        <v/>
      </c>
      <c r="C863" t="str">
        <f>IF(A863="", "", VLOOKUP(A863, BASE!$A$4:$C$10003, 3, FALSE))</f>
        <v/>
      </c>
      <c r="D863" t="str">
        <f>IF(A863="", "", VLOOKUP(A863, BASE!$A$4:$D$10003, 4, FALSE))</f>
        <v/>
      </c>
      <c r="E863" t="str">
        <f>IF(A863="", "", VLOOKUP(A863, BASE!$A$4:$E$10003, 5, FALSE))</f>
        <v/>
      </c>
      <c r="F863" t="str">
        <f t="shared" si="13"/>
        <v/>
      </c>
    </row>
    <row r="864" spans="1:6">
      <c r="A864" t="str">
        <f>IFERROR(INDEX(BASE!$A$4:$A$10003, SMALL(IF(BASE!$F$4:$F$10003="CARREGADO", ROW(BASE!$A$4:$A$10003)-ROW(BASE!$A$4)+1), ROW(A863))), "")</f>
        <v/>
      </c>
      <c r="B864" t="str">
        <f>IF(A864="", "", VLOOKUP(A864, BASE!$A$4:$B$10003, 2, FALSE))</f>
        <v/>
      </c>
      <c r="C864" t="str">
        <f>IF(A864="", "", VLOOKUP(A864, BASE!$A$4:$C$10003, 3, FALSE))</f>
        <v/>
      </c>
      <c r="D864" t="str">
        <f>IF(A864="", "", VLOOKUP(A864, BASE!$A$4:$D$10003, 4, FALSE))</f>
        <v/>
      </c>
      <c r="E864" t="str">
        <f>IF(A864="", "", VLOOKUP(A864, BASE!$A$4:$E$10003, 5, FALSE))</f>
        <v/>
      </c>
      <c r="F864" t="str">
        <f t="shared" si="13"/>
        <v/>
      </c>
    </row>
    <row r="865" spans="1:6">
      <c r="A865" t="str">
        <f>IFERROR(INDEX(BASE!$A$4:$A$10003, SMALL(IF(BASE!$F$4:$F$10003="CARREGADO", ROW(BASE!$A$4:$A$10003)-ROW(BASE!$A$4)+1), ROW(A864))), "")</f>
        <v/>
      </c>
      <c r="B865" t="str">
        <f>IF(A865="", "", VLOOKUP(A865, BASE!$A$4:$B$10003, 2, FALSE))</f>
        <v/>
      </c>
      <c r="C865" t="str">
        <f>IF(A865="", "", VLOOKUP(A865, BASE!$A$4:$C$10003, 3, FALSE))</f>
        <v/>
      </c>
      <c r="D865" t="str">
        <f>IF(A865="", "", VLOOKUP(A865, BASE!$A$4:$D$10003, 4, FALSE))</f>
        <v/>
      </c>
      <c r="E865" t="str">
        <f>IF(A865="", "", VLOOKUP(A865, BASE!$A$4:$E$10003, 5, FALSE))</f>
        <v/>
      </c>
      <c r="F865" t="str">
        <f t="shared" si="13"/>
        <v/>
      </c>
    </row>
    <row r="866" spans="1:6">
      <c r="A866" t="str">
        <f>IFERROR(INDEX(BASE!$A$4:$A$10003, SMALL(IF(BASE!$F$4:$F$10003="CARREGADO", ROW(BASE!$A$4:$A$10003)-ROW(BASE!$A$4)+1), ROW(A865))), "")</f>
        <v/>
      </c>
      <c r="B866" t="str">
        <f>IF(A866="", "", VLOOKUP(A866, BASE!$A$4:$B$10003, 2, FALSE))</f>
        <v/>
      </c>
      <c r="C866" t="str">
        <f>IF(A866="", "", VLOOKUP(A866, BASE!$A$4:$C$10003, 3, FALSE))</f>
        <v/>
      </c>
      <c r="D866" t="str">
        <f>IF(A866="", "", VLOOKUP(A866, BASE!$A$4:$D$10003, 4, FALSE))</f>
        <v/>
      </c>
      <c r="E866" t="str">
        <f>IF(A866="", "", VLOOKUP(A866, BASE!$A$4:$E$10003, 5, FALSE))</f>
        <v/>
      </c>
      <c r="F866" t="str">
        <f t="shared" si="13"/>
        <v/>
      </c>
    </row>
    <row r="867" spans="1:6">
      <c r="A867" t="str">
        <f>IFERROR(INDEX(BASE!$A$4:$A$10003, SMALL(IF(BASE!$F$4:$F$10003="CARREGADO", ROW(BASE!$A$4:$A$10003)-ROW(BASE!$A$4)+1), ROW(A866))), "")</f>
        <v/>
      </c>
      <c r="B867" t="str">
        <f>IF(A867="", "", VLOOKUP(A867, BASE!$A$4:$B$10003, 2, FALSE))</f>
        <v/>
      </c>
      <c r="C867" t="str">
        <f>IF(A867="", "", VLOOKUP(A867, BASE!$A$4:$C$10003, 3, FALSE))</f>
        <v/>
      </c>
      <c r="D867" t="str">
        <f>IF(A867="", "", VLOOKUP(A867, BASE!$A$4:$D$10003, 4, FALSE))</f>
        <v/>
      </c>
      <c r="E867" t="str">
        <f>IF(A867="", "", VLOOKUP(A867, BASE!$A$4:$E$10003, 5, FALSE))</f>
        <v/>
      </c>
      <c r="F867" t="str">
        <f t="shared" si="13"/>
        <v/>
      </c>
    </row>
    <row r="868" spans="1:6">
      <c r="A868" t="str">
        <f>IFERROR(INDEX(BASE!$A$4:$A$10003, SMALL(IF(BASE!$F$4:$F$10003="CARREGADO", ROW(BASE!$A$4:$A$10003)-ROW(BASE!$A$4)+1), ROW(A867))), "")</f>
        <v/>
      </c>
      <c r="B868" t="str">
        <f>IF(A868="", "", VLOOKUP(A868, BASE!$A$4:$B$10003, 2, FALSE))</f>
        <v/>
      </c>
      <c r="C868" t="str">
        <f>IF(A868="", "", VLOOKUP(A868, BASE!$A$4:$C$10003, 3, FALSE))</f>
        <v/>
      </c>
      <c r="D868" t="str">
        <f>IF(A868="", "", VLOOKUP(A868, BASE!$A$4:$D$10003, 4, FALSE))</f>
        <v/>
      </c>
      <c r="E868" t="str">
        <f>IF(A868="", "", VLOOKUP(A868, BASE!$A$4:$E$10003, 5, FALSE))</f>
        <v/>
      </c>
      <c r="F868" t="str">
        <f t="shared" si="13"/>
        <v/>
      </c>
    </row>
    <row r="869" spans="1:6">
      <c r="A869" t="str">
        <f>IFERROR(INDEX(BASE!$A$4:$A$10003, SMALL(IF(BASE!$F$4:$F$10003="CARREGADO", ROW(BASE!$A$4:$A$10003)-ROW(BASE!$A$4)+1), ROW(A868))), "")</f>
        <v/>
      </c>
      <c r="B869" t="str">
        <f>IF(A869="", "", VLOOKUP(A869, BASE!$A$4:$B$10003, 2, FALSE))</f>
        <v/>
      </c>
      <c r="C869" t="str">
        <f>IF(A869="", "", VLOOKUP(A869, BASE!$A$4:$C$10003, 3, FALSE))</f>
        <v/>
      </c>
      <c r="D869" t="str">
        <f>IF(A869="", "", VLOOKUP(A869, BASE!$A$4:$D$10003, 4, FALSE))</f>
        <v/>
      </c>
      <c r="E869" t="str">
        <f>IF(A869="", "", VLOOKUP(A869, BASE!$A$4:$E$10003, 5, FALSE))</f>
        <v/>
      </c>
      <c r="F869" t="str">
        <f t="shared" si="13"/>
        <v/>
      </c>
    </row>
    <row r="870" spans="1:6">
      <c r="A870" t="str">
        <f>IFERROR(INDEX(BASE!$A$4:$A$10003, SMALL(IF(BASE!$F$4:$F$10003="CARREGADO", ROW(BASE!$A$4:$A$10003)-ROW(BASE!$A$4)+1), ROW(A869))), "")</f>
        <v/>
      </c>
      <c r="B870" t="str">
        <f>IF(A870="", "", VLOOKUP(A870, BASE!$A$4:$B$10003, 2, FALSE))</f>
        <v/>
      </c>
      <c r="C870" t="str">
        <f>IF(A870="", "", VLOOKUP(A870, BASE!$A$4:$C$10003, 3, FALSE))</f>
        <v/>
      </c>
      <c r="D870" t="str">
        <f>IF(A870="", "", VLOOKUP(A870, BASE!$A$4:$D$10003, 4, FALSE))</f>
        <v/>
      </c>
      <c r="E870" t="str">
        <f>IF(A870="", "", VLOOKUP(A870, BASE!$A$4:$E$10003, 5, FALSE))</f>
        <v/>
      </c>
      <c r="F870" t="str">
        <f t="shared" si="13"/>
        <v/>
      </c>
    </row>
    <row r="871" spans="1:6">
      <c r="A871" t="str">
        <f>IFERROR(INDEX(BASE!$A$4:$A$10003, SMALL(IF(BASE!$F$4:$F$10003="CARREGADO", ROW(BASE!$A$4:$A$10003)-ROW(BASE!$A$4)+1), ROW(A870))), "")</f>
        <v/>
      </c>
      <c r="B871" t="str">
        <f>IF(A871="", "", VLOOKUP(A871, BASE!$A$4:$B$10003, 2, FALSE))</f>
        <v/>
      </c>
      <c r="C871" t="str">
        <f>IF(A871="", "", VLOOKUP(A871, BASE!$A$4:$C$10003, 3, FALSE))</f>
        <v/>
      </c>
      <c r="D871" t="str">
        <f>IF(A871="", "", VLOOKUP(A871, BASE!$A$4:$D$10003, 4, FALSE))</f>
        <v/>
      </c>
      <c r="E871" t="str">
        <f>IF(A871="", "", VLOOKUP(A871, BASE!$A$4:$E$10003, 5, FALSE))</f>
        <v/>
      </c>
      <c r="F871" t="str">
        <f t="shared" si="13"/>
        <v/>
      </c>
    </row>
    <row r="872" spans="1:6">
      <c r="A872" t="str">
        <f>IFERROR(INDEX(BASE!$A$4:$A$10003, SMALL(IF(BASE!$F$4:$F$10003="CARREGADO", ROW(BASE!$A$4:$A$10003)-ROW(BASE!$A$4)+1), ROW(A871))), "")</f>
        <v/>
      </c>
      <c r="B872" t="str">
        <f>IF(A872="", "", VLOOKUP(A872, BASE!$A$4:$B$10003, 2, FALSE))</f>
        <v/>
      </c>
      <c r="C872" t="str">
        <f>IF(A872="", "", VLOOKUP(A872, BASE!$A$4:$C$10003, 3, FALSE))</f>
        <v/>
      </c>
      <c r="D872" t="str">
        <f>IF(A872="", "", VLOOKUP(A872, BASE!$A$4:$D$10003, 4, FALSE))</f>
        <v/>
      </c>
      <c r="E872" t="str">
        <f>IF(A872="", "", VLOOKUP(A872, BASE!$A$4:$E$10003, 5, FALSE))</f>
        <v/>
      </c>
      <c r="F872" t="str">
        <f t="shared" si="13"/>
        <v/>
      </c>
    </row>
    <row r="873" spans="1:6">
      <c r="A873" t="str">
        <f>IFERROR(INDEX(BASE!$A$4:$A$10003, SMALL(IF(BASE!$F$4:$F$10003="CARREGADO", ROW(BASE!$A$4:$A$10003)-ROW(BASE!$A$4)+1), ROW(A872))), "")</f>
        <v/>
      </c>
      <c r="B873" t="str">
        <f>IF(A873="", "", VLOOKUP(A873, BASE!$A$4:$B$10003, 2, FALSE))</f>
        <v/>
      </c>
      <c r="C873" t="str">
        <f>IF(A873="", "", VLOOKUP(A873, BASE!$A$4:$C$10003, 3, FALSE))</f>
        <v/>
      </c>
      <c r="D873" t="str">
        <f>IF(A873="", "", VLOOKUP(A873, BASE!$A$4:$D$10003, 4, FALSE))</f>
        <v/>
      </c>
      <c r="E873" t="str">
        <f>IF(A873="", "", VLOOKUP(A873, BASE!$A$4:$E$10003, 5, FALSE))</f>
        <v/>
      </c>
      <c r="F873" t="str">
        <f t="shared" si="13"/>
        <v/>
      </c>
    </row>
    <row r="874" spans="1:6">
      <c r="A874" t="str">
        <f>IFERROR(INDEX(BASE!$A$4:$A$10003, SMALL(IF(BASE!$F$4:$F$10003="CARREGADO", ROW(BASE!$A$4:$A$10003)-ROW(BASE!$A$4)+1), ROW(A873))), "")</f>
        <v/>
      </c>
      <c r="B874" t="str">
        <f>IF(A874="", "", VLOOKUP(A874, BASE!$A$4:$B$10003, 2, FALSE))</f>
        <v/>
      </c>
      <c r="C874" t="str">
        <f>IF(A874="", "", VLOOKUP(A874, BASE!$A$4:$C$10003, 3, FALSE))</f>
        <v/>
      </c>
      <c r="D874" t="str">
        <f>IF(A874="", "", VLOOKUP(A874, BASE!$A$4:$D$10003, 4, FALSE))</f>
        <v/>
      </c>
      <c r="E874" t="str">
        <f>IF(A874="", "", VLOOKUP(A874, BASE!$A$4:$E$10003, 5, FALSE))</f>
        <v/>
      </c>
      <c r="F874" t="str">
        <f t="shared" si="13"/>
        <v/>
      </c>
    </row>
    <row r="875" spans="1:6">
      <c r="A875" t="str">
        <f>IFERROR(INDEX(BASE!$A$4:$A$10003, SMALL(IF(BASE!$F$4:$F$10003="CARREGADO", ROW(BASE!$A$4:$A$10003)-ROW(BASE!$A$4)+1), ROW(A874))), "")</f>
        <v/>
      </c>
      <c r="B875" t="str">
        <f>IF(A875="", "", VLOOKUP(A875, BASE!$A$4:$B$10003, 2, FALSE))</f>
        <v/>
      </c>
      <c r="C875" t="str">
        <f>IF(A875="", "", VLOOKUP(A875, BASE!$A$4:$C$10003, 3, FALSE))</f>
        <v/>
      </c>
      <c r="D875" t="str">
        <f>IF(A875="", "", VLOOKUP(A875, BASE!$A$4:$D$10003, 4, FALSE))</f>
        <v/>
      </c>
      <c r="E875" t="str">
        <f>IF(A875="", "", VLOOKUP(A875, BASE!$A$4:$E$10003, 5, FALSE))</f>
        <v/>
      </c>
      <c r="F875" t="str">
        <f t="shared" si="13"/>
        <v/>
      </c>
    </row>
    <row r="876" spans="1:6">
      <c r="A876" t="str">
        <f>IFERROR(INDEX(BASE!$A$4:$A$10003, SMALL(IF(BASE!$F$4:$F$10003="CARREGADO", ROW(BASE!$A$4:$A$10003)-ROW(BASE!$A$4)+1), ROW(A875))), "")</f>
        <v/>
      </c>
      <c r="B876" t="str">
        <f>IF(A876="", "", VLOOKUP(A876, BASE!$A$4:$B$10003, 2, FALSE))</f>
        <v/>
      </c>
      <c r="C876" t="str">
        <f>IF(A876="", "", VLOOKUP(A876, BASE!$A$4:$C$10003, 3, FALSE))</f>
        <v/>
      </c>
      <c r="D876" t="str">
        <f>IF(A876="", "", VLOOKUP(A876, BASE!$A$4:$D$10003, 4, FALSE))</f>
        <v/>
      </c>
      <c r="E876" t="str">
        <f>IF(A876="", "", VLOOKUP(A876, BASE!$A$4:$E$10003, 5, FALSE))</f>
        <v/>
      </c>
      <c r="F876" t="str">
        <f t="shared" si="13"/>
        <v/>
      </c>
    </row>
    <row r="877" spans="1:6">
      <c r="A877" t="str">
        <f>IFERROR(INDEX(BASE!$A$4:$A$10003, SMALL(IF(BASE!$F$4:$F$10003="CARREGADO", ROW(BASE!$A$4:$A$10003)-ROW(BASE!$A$4)+1), ROW(A876))), "")</f>
        <v/>
      </c>
      <c r="B877" t="str">
        <f>IF(A877="", "", VLOOKUP(A877, BASE!$A$4:$B$10003, 2, FALSE))</f>
        <v/>
      </c>
      <c r="C877" t="str">
        <f>IF(A877="", "", VLOOKUP(A877, BASE!$A$4:$C$10003, 3, FALSE))</f>
        <v/>
      </c>
      <c r="D877" t="str">
        <f>IF(A877="", "", VLOOKUP(A877, BASE!$A$4:$D$10003, 4, FALSE))</f>
        <v/>
      </c>
      <c r="E877" t="str">
        <f>IF(A877="", "", VLOOKUP(A877, BASE!$A$4:$E$10003, 5, FALSE))</f>
        <v/>
      </c>
      <c r="F877" t="str">
        <f t="shared" si="13"/>
        <v/>
      </c>
    </row>
    <row r="878" spans="1:6">
      <c r="A878" t="str">
        <f>IFERROR(INDEX(BASE!$A$4:$A$10003, SMALL(IF(BASE!$F$4:$F$10003="CARREGADO", ROW(BASE!$A$4:$A$10003)-ROW(BASE!$A$4)+1), ROW(A877))), "")</f>
        <v/>
      </c>
      <c r="B878" t="str">
        <f>IF(A878="", "", VLOOKUP(A878, BASE!$A$4:$B$10003, 2, FALSE))</f>
        <v/>
      </c>
      <c r="C878" t="str">
        <f>IF(A878="", "", VLOOKUP(A878, BASE!$A$4:$C$10003, 3, FALSE))</f>
        <v/>
      </c>
      <c r="D878" t="str">
        <f>IF(A878="", "", VLOOKUP(A878, BASE!$A$4:$D$10003, 4, FALSE))</f>
        <v/>
      </c>
      <c r="E878" t="str">
        <f>IF(A878="", "", VLOOKUP(A878, BASE!$A$4:$E$10003, 5, FALSE))</f>
        <v/>
      </c>
      <c r="F878" t="str">
        <f t="shared" si="13"/>
        <v/>
      </c>
    </row>
    <row r="879" spans="1:6">
      <c r="A879" t="str">
        <f>IFERROR(INDEX(BASE!$A$4:$A$10003, SMALL(IF(BASE!$F$4:$F$10003="CARREGADO", ROW(BASE!$A$4:$A$10003)-ROW(BASE!$A$4)+1), ROW(A878))), "")</f>
        <v/>
      </c>
      <c r="B879" t="str">
        <f>IF(A879="", "", VLOOKUP(A879, BASE!$A$4:$B$10003, 2, FALSE))</f>
        <v/>
      </c>
      <c r="C879" t="str">
        <f>IF(A879="", "", VLOOKUP(A879, BASE!$A$4:$C$10003, 3, FALSE))</f>
        <v/>
      </c>
      <c r="D879" t="str">
        <f>IF(A879="", "", VLOOKUP(A879, BASE!$A$4:$D$10003, 4, FALSE))</f>
        <v/>
      </c>
      <c r="E879" t="str">
        <f>IF(A879="", "", VLOOKUP(A879, BASE!$A$4:$E$10003, 5, FALSE))</f>
        <v/>
      </c>
      <c r="F879" t="str">
        <f t="shared" si="13"/>
        <v/>
      </c>
    </row>
    <row r="880" spans="1:6">
      <c r="A880" t="str">
        <f>IFERROR(INDEX(BASE!$A$4:$A$10003, SMALL(IF(BASE!$F$4:$F$10003="CARREGADO", ROW(BASE!$A$4:$A$10003)-ROW(BASE!$A$4)+1), ROW(A879))), "")</f>
        <v/>
      </c>
      <c r="B880" t="str">
        <f>IF(A880="", "", VLOOKUP(A880, BASE!$A$4:$B$10003, 2, FALSE))</f>
        <v/>
      </c>
      <c r="C880" t="str">
        <f>IF(A880="", "", VLOOKUP(A880, BASE!$A$4:$C$10003, 3, FALSE))</f>
        <v/>
      </c>
      <c r="D880" t="str">
        <f>IF(A880="", "", VLOOKUP(A880, BASE!$A$4:$D$10003, 4, FALSE))</f>
        <v/>
      </c>
      <c r="E880" t="str">
        <f>IF(A880="", "", VLOOKUP(A880, BASE!$A$4:$E$10003, 5, FALSE))</f>
        <v/>
      </c>
      <c r="F880" t="str">
        <f t="shared" si="13"/>
        <v/>
      </c>
    </row>
    <row r="881" spans="1:6">
      <c r="A881" t="str">
        <f>IFERROR(INDEX(BASE!$A$4:$A$10003, SMALL(IF(BASE!$F$4:$F$10003="CARREGADO", ROW(BASE!$A$4:$A$10003)-ROW(BASE!$A$4)+1), ROW(A880))), "")</f>
        <v/>
      </c>
      <c r="B881" t="str">
        <f>IF(A881="", "", VLOOKUP(A881, BASE!$A$4:$B$10003, 2, FALSE))</f>
        <v/>
      </c>
      <c r="C881" t="str">
        <f>IF(A881="", "", VLOOKUP(A881, BASE!$A$4:$C$10003, 3, FALSE))</f>
        <v/>
      </c>
      <c r="D881" t="str">
        <f>IF(A881="", "", VLOOKUP(A881, BASE!$A$4:$D$10003, 4, FALSE))</f>
        <v/>
      </c>
      <c r="E881" t="str">
        <f>IF(A881="", "", VLOOKUP(A881, BASE!$A$4:$E$10003, 5, FALSE))</f>
        <v/>
      </c>
      <c r="F881" t="str">
        <f t="shared" si="13"/>
        <v/>
      </c>
    </row>
    <row r="882" spans="1:6">
      <c r="A882" t="str">
        <f>IFERROR(INDEX(BASE!$A$4:$A$10003, SMALL(IF(BASE!$F$4:$F$10003="CARREGADO", ROW(BASE!$A$4:$A$10003)-ROW(BASE!$A$4)+1), ROW(A881))), "")</f>
        <v/>
      </c>
      <c r="B882" t="str">
        <f>IF(A882="", "", VLOOKUP(A882, BASE!$A$4:$B$10003, 2, FALSE))</f>
        <v/>
      </c>
      <c r="C882" t="str">
        <f>IF(A882="", "", VLOOKUP(A882, BASE!$A$4:$C$10003, 3, FALSE))</f>
        <v/>
      </c>
      <c r="D882" t="str">
        <f>IF(A882="", "", VLOOKUP(A882, BASE!$A$4:$D$10003, 4, FALSE))</f>
        <v/>
      </c>
      <c r="E882" t="str">
        <f>IF(A882="", "", VLOOKUP(A882, BASE!$A$4:$E$10003, 5, FALSE))</f>
        <v/>
      </c>
      <c r="F882" t="str">
        <f t="shared" si="13"/>
        <v/>
      </c>
    </row>
    <row r="883" spans="1:6">
      <c r="A883" t="str">
        <f>IFERROR(INDEX(BASE!$A$4:$A$10003, SMALL(IF(BASE!$F$4:$F$10003="CARREGADO", ROW(BASE!$A$4:$A$10003)-ROW(BASE!$A$4)+1), ROW(A882))), "")</f>
        <v/>
      </c>
      <c r="B883" t="str">
        <f>IF(A883="", "", VLOOKUP(A883, BASE!$A$4:$B$10003, 2, FALSE))</f>
        <v/>
      </c>
      <c r="C883" t="str">
        <f>IF(A883="", "", VLOOKUP(A883, BASE!$A$4:$C$10003, 3, FALSE))</f>
        <v/>
      </c>
      <c r="D883" t="str">
        <f>IF(A883="", "", VLOOKUP(A883, BASE!$A$4:$D$10003, 4, FALSE))</f>
        <v/>
      </c>
      <c r="E883" t="str">
        <f>IF(A883="", "", VLOOKUP(A883, BASE!$A$4:$E$10003, 5, FALSE))</f>
        <v/>
      </c>
      <c r="F883" t="str">
        <f t="shared" si="13"/>
        <v/>
      </c>
    </row>
    <row r="884" spans="1:6">
      <c r="A884" t="str">
        <f>IFERROR(INDEX(BASE!$A$4:$A$10003, SMALL(IF(BASE!$F$4:$F$10003="CARREGADO", ROW(BASE!$A$4:$A$10003)-ROW(BASE!$A$4)+1), ROW(A883))), "")</f>
        <v/>
      </c>
      <c r="B884" t="str">
        <f>IF(A884="", "", VLOOKUP(A884, BASE!$A$4:$B$10003, 2, FALSE))</f>
        <v/>
      </c>
      <c r="C884" t="str">
        <f>IF(A884="", "", VLOOKUP(A884, BASE!$A$4:$C$10003, 3, FALSE))</f>
        <v/>
      </c>
      <c r="D884" t="str">
        <f>IF(A884="", "", VLOOKUP(A884, BASE!$A$4:$D$10003, 4, FALSE))</f>
        <v/>
      </c>
      <c r="E884" t="str">
        <f>IF(A884="", "", VLOOKUP(A884, BASE!$A$4:$E$10003, 5, FALSE))</f>
        <v/>
      </c>
      <c r="F884" t="str">
        <f t="shared" si="13"/>
        <v/>
      </c>
    </row>
    <row r="885" spans="1:6">
      <c r="A885" t="str">
        <f>IFERROR(INDEX(BASE!$A$4:$A$10003, SMALL(IF(BASE!$F$4:$F$10003="CARREGADO", ROW(BASE!$A$4:$A$10003)-ROW(BASE!$A$4)+1), ROW(A884))), "")</f>
        <v/>
      </c>
      <c r="B885" t="str">
        <f>IF(A885="", "", VLOOKUP(A885, BASE!$A$4:$B$10003, 2, FALSE))</f>
        <v/>
      </c>
      <c r="C885" t="str">
        <f>IF(A885="", "", VLOOKUP(A885, BASE!$A$4:$C$10003, 3, FALSE))</f>
        <v/>
      </c>
      <c r="D885" t="str">
        <f>IF(A885="", "", VLOOKUP(A885, BASE!$A$4:$D$10003, 4, FALSE))</f>
        <v/>
      </c>
      <c r="E885" t="str">
        <f>IF(A885="", "", VLOOKUP(A885, BASE!$A$4:$E$10003, 5, FALSE))</f>
        <v/>
      </c>
      <c r="F885" t="str">
        <f t="shared" si="13"/>
        <v/>
      </c>
    </row>
    <row r="886" spans="1:6">
      <c r="A886" t="str">
        <f>IFERROR(INDEX(BASE!$A$4:$A$10003, SMALL(IF(BASE!$F$4:$F$10003="CARREGADO", ROW(BASE!$A$4:$A$10003)-ROW(BASE!$A$4)+1), ROW(A885))), "")</f>
        <v/>
      </c>
      <c r="B886" t="str">
        <f>IF(A886="", "", VLOOKUP(A886, BASE!$A$4:$B$10003, 2, FALSE))</f>
        <v/>
      </c>
      <c r="C886" t="str">
        <f>IF(A886="", "", VLOOKUP(A886, BASE!$A$4:$C$10003, 3, FALSE))</f>
        <v/>
      </c>
      <c r="D886" t="str">
        <f>IF(A886="", "", VLOOKUP(A886, BASE!$A$4:$D$10003, 4, FALSE))</f>
        <v/>
      </c>
      <c r="E886" t="str">
        <f>IF(A886="", "", VLOOKUP(A886, BASE!$A$4:$E$10003, 5, FALSE))</f>
        <v/>
      </c>
      <c r="F886" t="str">
        <f t="shared" si="13"/>
        <v/>
      </c>
    </row>
    <row r="887" spans="1:6">
      <c r="A887" t="str">
        <f>IFERROR(INDEX(BASE!$A$4:$A$10003, SMALL(IF(BASE!$F$4:$F$10003="CARREGADO", ROW(BASE!$A$4:$A$10003)-ROW(BASE!$A$4)+1), ROW(A886))), "")</f>
        <v/>
      </c>
      <c r="B887" t="str">
        <f>IF(A887="", "", VLOOKUP(A887, BASE!$A$4:$B$10003, 2, FALSE))</f>
        <v/>
      </c>
      <c r="C887" t="str">
        <f>IF(A887="", "", VLOOKUP(A887, BASE!$A$4:$C$10003, 3, FALSE))</f>
        <v/>
      </c>
      <c r="D887" t="str">
        <f>IF(A887="", "", VLOOKUP(A887, BASE!$A$4:$D$10003, 4, FALSE))</f>
        <v/>
      </c>
      <c r="E887" t="str">
        <f>IF(A887="", "", VLOOKUP(A887, BASE!$A$4:$E$10003, 5, FALSE))</f>
        <v/>
      </c>
      <c r="F887" t="str">
        <f t="shared" si="13"/>
        <v/>
      </c>
    </row>
    <row r="888" spans="1:6">
      <c r="A888" t="str">
        <f>IFERROR(INDEX(BASE!$A$4:$A$10003, SMALL(IF(BASE!$F$4:$F$10003="CARREGADO", ROW(BASE!$A$4:$A$10003)-ROW(BASE!$A$4)+1), ROW(A887))), "")</f>
        <v/>
      </c>
      <c r="B888" t="str">
        <f>IF(A888="", "", VLOOKUP(A888, BASE!$A$4:$B$10003, 2, FALSE))</f>
        <v/>
      </c>
      <c r="C888" t="str">
        <f>IF(A888="", "", VLOOKUP(A888, BASE!$A$4:$C$10003, 3, FALSE))</f>
        <v/>
      </c>
      <c r="D888" t="str">
        <f>IF(A888="", "", VLOOKUP(A888, BASE!$A$4:$D$10003, 4, FALSE))</f>
        <v/>
      </c>
      <c r="E888" t="str">
        <f>IF(A888="", "", VLOOKUP(A888, BASE!$A$4:$E$10003, 5, FALSE))</f>
        <v/>
      </c>
      <c r="F888" t="str">
        <f t="shared" si="13"/>
        <v/>
      </c>
    </row>
    <row r="889" spans="1:6">
      <c r="A889" t="str">
        <f>IFERROR(INDEX(BASE!$A$4:$A$10003, SMALL(IF(BASE!$F$4:$F$10003="CARREGADO", ROW(BASE!$A$4:$A$10003)-ROW(BASE!$A$4)+1), ROW(A888))), "")</f>
        <v/>
      </c>
      <c r="B889" t="str">
        <f>IF(A889="", "", VLOOKUP(A889, BASE!$A$4:$B$10003, 2, FALSE))</f>
        <v/>
      </c>
      <c r="C889" t="str">
        <f>IF(A889="", "", VLOOKUP(A889, BASE!$A$4:$C$10003, 3, FALSE))</f>
        <v/>
      </c>
      <c r="D889" t="str">
        <f>IF(A889="", "", VLOOKUP(A889, BASE!$A$4:$D$10003, 4, FALSE))</f>
        <v/>
      </c>
      <c r="E889" t="str">
        <f>IF(A889="", "", VLOOKUP(A889, BASE!$A$4:$E$10003, 5, FALSE))</f>
        <v/>
      </c>
      <c r="F889" t="str">
        <f t="shared" si="13"/>
        <v/>
      </c>
    </row>
    <row r="890" spans="1:6">
      <c r="A890" t="str">
        <f>IFERROR(INDEX(BASE!$A$4:$A$10003, SMALL(IF(BASE!$F$4:$F$10003="CARREGADO", ROW(BASE!$A$4:$A$10003)-ROW(BASE!$A$4)+1), ROW(A889))), "")</f>
        <v/>
      </c>
      <c r="B890" t="str">
        <f>IF(A890="", "", VLOOKUP(A890, BASE!$A$4:$B$10003, 2, FALSE))</f>
        <v/>
      </c>
      <c r="C890" t="str">
        <f>IF(A890="", "", VLOOKUP(A890, BASE!$A$4:$C$10003, 3, FALSE))</f>
        <v/>
      </c>
      <c r="D890" t="str">
        <f>IF(A890="", "", VLOOKUP(A890, BASE!$A$4:$D$10003, 4, FALSE))</f>
        <v/>
      </c>
      <c r="E890" t="str">
        <f>IF(A890="", "", VLOOKUP(A890, BASE!$A$4:$E$10003, 5, FALSE))</f>
        <v/>
      </c>
      <c r="F890" t="str">
        <f t="shared" si="13"/>
        <v/>
      </c>
    </row>
    <row r="891" spans="1:6">
      <c r="A891" t="str">
        <f>IFERROR(INDEX(BASE!$A$4:$A$10003, SMALL(IF(BASE!$F$4:$F$10003="CARREGADO", ROW(BASE!$A$4:$A$10003)-ROW(BASE!$A$4)+1), ROW(A890))), "")</f>
        <v/>
      </c>
      <c r="B891" t="str">
        <f>IF(A891="", "", VLOOKUP(A891, BASE!$A$4:$B$10003, 2, FALSE))</f>
        <v/>
      </c>
      <c r="C891" t="str">
        <f>IF(A891="", "", VLOOKUP(A891, BASE!$A$4:$C$10003, 3, FALSE))</f>
        <v/>
      </c>
      <c r="D891" t="str">
        <f>IF(A891="", "", VLOOKUP(A891, BASE!$A$4:$D$10003, 4, FALSE))</f>
        <v/>
      </c>
      <c r="E891" t="str">
        <f>IF(A891="", "", VLOOKUP(A891, BASE!$A$4:$E$10003, 5, FALSE))</f>
        <v/>
      </c>
      <c r="F891" t="str">
        <f t="shared" si="13"/>
        <v/>
      </c>
    </row>
    <row r="892" spans="1:6">
      <c r="A892" t="str">
        <f>IFERROR(INDEX(BASE!$A$4:$A$10003, SMALL(IF(BASE!$F$4:$F$10003="CARREGADO", ROW(BASE!$A$4:$A$10003)-ROW(BASE!$A$4)+1), ROW(A891))), "")</f>
        <v/>
      </c>
      <c r="B892" t="str">
        <f>IF(A892="", "", VLOOKUP(A892, BASE!$A$4:$B$10003, 2, FALSE))</f>
        <v/>
      </c>
      <c r="C892" t="str">
        <f>IF(A892="", "", VLOOKUP(A892, BASE!$A$4:$C$10003, 3, FALSE))</f>
        <v/>
      </c>
      <c r="D892" t="str">
        <f>IF(A892="", "", VLOOKUP(A892, BASE!$A$4:$D$10003, 4, FALSE))</f>
        <v/>
      </c>
      <c r="E892" t="str">
        <f>IF(A892="", "", VLOOKUP(A892, BASE!$A$4:$E$10003, 5, FALSE))</f>
        <v/>
      </c>
      <c r="F892" t="str">
        <f t="shared" si="13"/>
        <v/>
      </c>
    </row>
    <row r="893" spans="1:6">
      <c r="A893" t="str">
        <f>IFERROR(INDEX(BASE!$A$4:$A$10003, SMALL(IF(BASE!$F$4:$F$10003="CARREGADO", ROW(BASE!$A$4:$A$10003)-ROW(BASE!$A$4)+1), ROW(A892))), "")</f>
        <v/>
      </c>
      <c r="B893" t="str">
        <f>IF(A893="", "", VLOOKUP(A893, BASE!$A$4:$B$10003, 2, FALSE))</f>
        <v/>
      </c>
      <c r="C893" t="str">
        <f>IF(A893="", "", VLOOKUP(A893, BASE!$A$4:$C$10003, 3, FALSE))</f>
        <v/>
      </c>
      <c r="D893" t="str">
        <f>IF(A893="", "", VLOOKUP(A893, BASE!$A$4:$D$10003, 4, FALSE))</f>
        <v/>
      </c>
      <c r="E893" t="str">
        <f>IF(A893="", "", VLOOKUP(A893, BASE!$A$4:$E$10003, 5, FALSE))</f>
        <v/>
      </c>
      <c r="F893" t="str">
        <f t="shared" si="13"/>
        <v/>
      </c>
    </row>
    <row r="894" spans="1:6">
      <c r="A894" t="str">
        <f>IFERROR(INDEX(BASE!$A$4:$A$10003, SMALL(IF(BASE!$F$4:$F$10003="CARREGADO", ROW(BASE!$A$4:$A$10003)-ROW(BASE!$A$4)+1), ROW(A893))), "")</f>
        <v/>
      </c>
      <c r="B894" t="str">
        <f>IF(A894="", "", VLOOKUP(A894, BASE!$A$4:$B$10003, 2, FALSE))</f>
        <v/>
      </c>
      <c r="C894" t="str">
        <f>IF(A894="", "", VLOOKUP(A894, BASE!$A$4:$C$10003, 3, FALSE))</f>
        <v/>
      </c>
      <c r="D894" t="str">
        <f>IF(A894="", "", VLOOKUP(A894, BASE!$A$4:$D$10003, 4, FALSE))</f>
        <v/>
      </c>
      <c r="E894" t="str">
        <f>IF(A894="", "", VLOOKUP(A894, BASE!$A$4:$E$10003, 5, FALSE))</f>
        <v/>
      </c>
      <c r="F894" t="str">
        <f t="shared" si="13"/>
        <v/>
      </c>
    </row>
    <row r="895" spans="1:6">
      <c r="A895" t="str">
        <f>IFERROR(INDEX(BASE!$A$4:$A$10003, SMALL(IF(BASE!$F$4:$F$10003="CARREGADO", ROW(BASE!$A$4:$A$10003)-ROW(BASE!$A$4)+1), ROW(A894))), "")</f>
        <v/>
      </c>
      <c r="B895" t="str">
        <f>IF(A895="", "", VLOOKUP(A895, BASE!$A$4:$B$10003, 2, FALSE))</f>
        <v/>
      </c>
      <c r="C895" t="str">
        <f>IF(A895="", "", VLOOKUP(A895, BASE!$A$4:$C$10003, 3, FALSE))</f>
        <v/>
      </c>
      <c r="D895" t="str">
        <f>IF(A895="", "", VLOOKUP(A895, BASE!$A$4:$D$10003, 4, FALSE))</f>
        <v/>
      </c>
      <c r="E895" t="str">
        <f>IF(A895="", "", VLOOKUP(A895, BASE!$A$4:$E$10003, 5, FALSE))</f>
        <v/>
      </c>
      <c r="F895" t="str">
        <f t="shared" si="13"/>
        <v/>
      </c>
    </row>
    <row r="896" spans="1:6">
      <c r="A896" t="str">
        <f>IFERROR(INDEX(BASE!$A$4:$A$10003, SMALL(IF(BASE!$F$4:$F$10003="CARREGADO", ROW(BASE!$A$4:$A$10003)-ROW(BASE!$A$4)+1), ROW(A895))), "")</f>
        <v/>
      </c>
      <c r="B896" t="str">
        <f>IF(A896="", "", VLOOKUP(A896, BASE!$A$4:$B$10003, 2, FALSE))</f>
        <v/>
      </c>
      <c r="C896" t="str">
        <f>IF(A896="", "", VLOOKUP(A896, BASE!$A$4:$C$10003, 3, FALSE))</f>
        <v/>
      </c>
      <c r="D896" t="str">
        <f>IF(A896="", "", VLOOKUP(A896, BASE!$A$4:$D$10003, 4, FALSE))</f>
        <v/>
      </c>
      <c r="E896" t="str">
        <f>IF(A896="", "", VLOOKUP(A896, BASE!$A$4:$E$10003, 5, FALSE))</f>
        <v/>
      </c>
      <c r="F896" t="str">
        <f t="shared" si="13"/>
        <v/>
      </c>
    </row>
    <row r="897" spans="1:6">
      <c r="A897" t="str">
        <f>IFERROR(INDEX(BASE!$A$4:$A$10003, SMALL(IF(BASE!$F$4:$F$10003="CARREGADO", ROW(BASE!$A$4:$A$10003)-ROW(BASE!$A$4)+1), ROW(A896))), "")</f>
        <v/>
      </c>
      <c r="B897" t="str">
        <f>IF(A897="", "", VLOOKUP(A897, BASE!$A$4:$B$10003, 2, FALSE))</f>
        <v/>
      </c>
      <c r="C897" t="str">
        <f>IF(A897="", "", VLOOKUP(A897, BASE!$A$4:$C$10003, 3, FALSE))</f>
        <v/>
      </c>
      <c r="D897" t="str">
        <f>IF(A897="", "", VLOOKUP(A897, BASE!$A$4:$D$10003, 4, FALSE))</f>
        <v/>
      </c>
      <c r="E897" t="str">
        <f>IF(A897="", "", VLOOKUP(A897, BASE!$A$4:$E$10003, 5, FALSE))</f>
        <v/>
      </c>
      <c r="F897" t="str">
        <f t="shared" si="13"/>
        <v/>
      </c>
    </row>
    <row r="898" spans="1:6">
      <c r="A898" t="str">
        <f>IFERROR(INDEX(BASE!$A$4:$A$10003, SMALL(IF(BASE!$F$4:$F$10003="CARREGADO", ROW(BASE!$A$4:$A$10003)-ROW(BASE!$A$4)+1), ROW(A897))), "")</f>
        <v/>
      </c>
      <c r="B898" t="str">
        <f>IF(A898="", "", VLOOKUP(A898, BASE!$A$4:$B$10003, 2, FALSE))</f>
        <v/>
      </c>
      <c r="C898" t="str">
        <f>IF(A898="", "", VLOOKUP(A898, BASE!$A$4:$C$10003, 3, FALSE))</f>
        <v/>
      </c>
      <c r="D898" t="str">
        <f>IF(A898="", "", VLOOKUP(A898, BASE!$A$4:$D$10003, 4, FALSE))</f>
        <v/>
      </c>
      <c r="E898" t="str">
        <f>IF(A898="", "", VLOOKUP(A898, BASE!$A$4:$E$10003, 5, FALSE))</f>
        <v/>
      </c>
      <c r="F898" t="str">
        <f t="shared" ref="F898:F961" si="14">IF(A898="", "", "CARREGADO")</f>
        <v/>
      </c>
    </row>
    <row r="899" spans="1:6">
      <c r="A899" t="str">
        <f>IFERROR(INDEX(BASE!$A$4:$A$10003, SMALL(IF(BASE!$F$4:$F$10003="CARREGADO", ROW(BASE!$A$4:$A$10003)-ROW(BASE!$A$4)+1), ROW(A898))), "")</f>
        <v/>
      </c>
      <c r="B899" t="str">
        <f>IF(A899="", "", VLOOKUP(A899, BASE!$A$4:$B$10003, 2, FALSE))</f>
        <v/>
      </c>
      <c r="C899" t="str">
        <f>IF(A899="", "", VLOOKUP(A899, BASE!$A$4:$C$10003, 3, FALSE))</f>
        <v/>
      </c>
      <c r="D899" t="str">
        <f>IF(A899="", "", VLOOKUP(A899, BASE!$A$4:$D$10003, 4, FALSE))</f>
        <v/>
      </c>
      <c r="E899" t="str">
        <f>IF(A899="", "", VLOOKUP(A899, BASE!$A$4:$E$10003, 5, FALSE))</f>
        <v/>
      </c>
      <c r="F899" t="str">
        <f t="shared" si="14"/>
        <v/>
      </c>
    </row>
    <row r="900" spans="1:6">
      <c r="A900" t="str">
        <f>IFERROR(INDEX(BASE!$A$4:$A$10003, SMALL(IF(BASE!$F$4:$F$10003="CARREGADO", ROW(BASE!$A$4:$A$10003)-ROW(BASE!$A$4)+1), ROW(A899))), "")</f>
        <v/>
      </c>
      <c r="B900" t="str">
        <f>IF(A900="", "", VLOOKUP(A900, BASE!$A$4:$B$10003, 2, FALSE))</f>
        <v/>
      </c>
      <c r="C900" t="str">
        <f>IF(A900="", "", VLOOKUP(A900, BASE!$A$4:$C$10003, 3, FALSE))</f>
        <v/>
      </c>
      <c r="D900" t="str">
        <f>IF(A900="", "", VLOOKUP(A900, BASE!$A$4:$D$10003, 4, FALSE))</f>
        <v/>
      </c>
      <c r="E900" t="str">
        <f>IF(A900="", "", VLOOKUP(A900, BASE!$A$4:$E$10003, 5, FALSE))</f>
        <v/>
      </c>
      <c r="F900" t="str">
        <f t="shared" si="14"/>
        <v/>
      </c>
    </row>
    <row r="901" spans="1:6">
      <c r="A901" t="str">
        <f>IFERROR(INDEX(BASE!$A$4:$A$10003, SMALL(IF(BASE!$F$4:$F$10003="CARREGADO", ROW(BASE!$A$4:$A$10003)-ROW(BASE!$A$4)+1), ROW(A900))), "")</f>
        <v/>
      </c>
      <c r="B901" t="str">
        <f>IF(A901="", "", VLOOKUP(A901, BASE!$A$4:$B$10003, 2, FALSE))</f>
        <v/>
      </c>
      <c r="C901" t="str">
        <f>IF(A901="", "", VLOOKUP(A901, BASE!$A$4:$C$10003, 3, FALSE))</f>
        <v/>
      </c>
      <c r="D901" t="str">
        <f>IF(A901="", "", VLOOKUP(A901, BASE!$A$4:$D$10003, 4, FALSE))</f>
        <v/>
      </c>
      <c r="E901" t="str">
        <f>IF(A901="", "", VLOOKUP(A901, BASE!$A$4:$E$10003, 5, FALSE))</f>
        <v/>
      </c>
      <c r="F901" t="str">
        <f t="shared" si="14"/>
        <v/>
      </c>
    </row>
    <row r="902" spans="1:6">
      <c r="A902" t="str">
        <f>IFERROR(INDEX(BASE!$A$4:$A$10003, SMALL(IF(BASE!$F$4:$F$10003="CARREGADO", ROW(BASE!$A$4:$A$10003)-ROW(BASE!$A$4)+1), ROW(A901))), "")</f>
        <v/>
      </c>
      <c r="B902" t="str">
        <f>IF(A902="", "", VLOOKUP(A902, BASE!$A$4:$B$10003, 2, FALSE))</f>
        <v/>
      </c>
      <c r="C902" t="str">
        <f>IF(A902="", "", VLOOKUP(A902, BASE!$A$4:$C$10003, 3, FALSE))</f>
        <v/>
      </c>
      <c r="D902" t="str">
        <f>IF(A902="", "", VLOOKUP(A902, BASE!$A$4:$D$10003, 4, FALSE))</f>
        <v/>
      </c>
      <c r="E902" t="str">
        <f>IF(A902="", "", VLOOKUP(A902, BASE!$A$4:$E$10003, 5, FALSE))</f>
        <v/>
      </c>
      <c r="F902" t="str">
        <f t="shared" si="14"/>
        <v/>
      </c>
    </row>
    <row r="903" spans="1:6">
      <c r="A903" t="str">
        <f>IFERROR(INDEX(BASE!$A$4:$A$10003, SMALL(IF(BASE!$F$4:$F$10003="CARREGADO", ROW(BASE!$A$4:$A$10003)-ROW(BASE!$A$4)+1), ROW(A902))), "")</f>
        <v/>
      </c>
      <c r="B903" t="str">
        <f>IF(A903="", "", VLOOKUP(A903, BASE!$A$4:$B$10003, 2, FALSE))</f>
        <v/>
      </c>
      <c r="C903" t="str">
        <f>IF(A903="", "", VLOOKUP(A903, BASE!$A$4:$C$10003, 3, FALSE))</f>
        <v/>
      </c>
      <c r="D903" t="str">
        <f>IF(A903="", "", VLOOKUP(A903, BASE!$A$4:$D$10003, 4, FALSE))</f>
        <v/>
      </c>
      <c r="E903" t="str">
        <f>IF(A903="", "", VLOOKUP(A903, BASE!$A$4:$E$10003, 5, FALSE))</f>
        <v/>
      </c>
      <c r="F903" t="str">
        <f t="shared" si="14"/>
        <v/>
      </c>
    </row>
    <row r="904" spans="1:6">
      <c r="A904" t="str">
        <f>IFERROR(INDEX(BASE!$A$4:$A$10003, SMALL(IF(BASE!$F$4:$F$10003="CARREGADO", ROW(BASE!$A$4:$A$10003)-ROW(BASE!$A$4)+1), ROW(A903))), "")</f>
        <v/>
      </c>
      <c r="B904" t="str">
        <f>IF(A904="", "", VLOOKUP(A904, BASE!$A$4:$B$10003, 2, FALSE))</f>
        <v/>
      </c>
      <c r="C904" t="str">
        <f>IF(A904="", "", VLOOKUP(A904, BASE!$A$4:$C$10003, 3, FALSE))</f>
        <v/>
      </c>
      <c r="D904" t="str">
        <f>IF(A904="", "", VLOOKUP(A904, BASE!$A$4:$D$10003, 4, FALSE))</f>
        <v/>
      </c>
      <c r="E904" t="str">
        <f>IF(A904="", "", VLOOKUP(A904, BASE!$A$4:$E$10003, 5, FALSE))</f>
        <v/>
      </c>
      <c r="F904" t="str">
        <f t="shared" si="14"/>
        <v/>
      </c>
    </row>
    <row r="905" spans="1:6">
      <c r="A905" t="str">
        <f>IFERROR(INDEX(BASE!$A$4:$A$10003, SMALL(IF(BASE!$F$4:$F$10003="CARREGADO", ROW(BASE!$A$4:$A$10003)-ROW(BASE!$A$4)+1), ROW(A904))), "")</f>
        <v/>
      </c>
      <c r="B905" t="str">
        <f>IF(A905="", "", VLOOKUP(A905, BASE!$A$4:$B$10003, 2, FALSE))</f>
        <v/>
      </c>
      <c r="C905" t="str">
        <f>IF(A905="", "", VLOOKUP(A905, BASE!$A$4:$C$10003, 3, FALSE))</f>
        <v/>
      </c>
      <c r="D905" t="str">
        <f>IF(A905="", "", VLOOKUP(A905, BASE!$A$4:$D$10003, 4, FALSE))</f>
        <v/>
      </c>
      <c r="E905" t="str">
        <f>IF(A905="", "", VLOOKUP(A905, BASE!$A$4:$E$10003, 5, FALSE))</f>
        <v/>
      </c>
      <c r="F905" t="str">
        <f t="shared" si="14"/>
        <v/>
      </c>
    </row>
    <row r="906" spans="1:6">
      <c r="A906" t="str">
        <f>IFERROR(INDEX(BASE!$A$4:$A$10003, SMALL(IF(BASE!$F$4:$F$10003="CARREGADO", ROW(BASE!$A$4:$A$10003)-ROW(BASE!$A$4)+1), ROW(A905))), "")</f>
        <v/>
      </c>
      <c r="B906" t="str">
        <f>IF(A906="", "", VLOOKUP(A906, BASE!$A$4:$B$10003, 2, FALSE))</f>
        <v/>
      </c>
      <c r="C906" t="str">
        <f>IF(A906="", "", VLOOKUP(A906, BASE!$A$4:$C$10003, 3, FALSE))</f>
        <v/>
      </c>
      <c r="D906" t="str">
        <f>IF(A906="", "", VLOOKUP(A906, BASE!$A$4:$D$10003, 4, FALSE))</f>
        <v/>
      </c>
      <c r="E906" t="str">
        <f>IF(A906="", "", VLOOKUP(A906, BASE!$A$4:$E$10003, 5, FALSE))</f>
        <v/>
      </c>
      <c r="F906" t="str">
        <f t="shared" si="14"/>
        <v/>
      </c>
    </row>
    <row r="907" spans="1:6">
      <c r="A907" t="str">
        <f>IFERROR(INDEX(BASE!$A$4:$A$10003, SMALL(IF(BASE!$F$4:$F$10003="CARREGADO", ROW(BASE!$A$4:$A$10003)-ROW(BASE!$A$4)+1), ROW(A906))), "")</f>
        <v/>
      </c>
      <c r="B907" t="str">
        <f>IF(A907="", "", VLOOKUP(A907, BASE!$A$4:$B$10003, 2, FALSE))</f>
        <v/>
      </c>
      <c r="C907" t="str">
        <f>IF(A907="", "", VLOOKUP(A907, BASE!$A$4:$C$10003, 3, FALSE))</f>
        <v/>
      </c>
      <c r="D907" t="str">
        <f>IF(A907="", "", VLOOKUP(A907, BASE!$A$4:$D$10003, 4, FALSE))</f>
        <v/>
      </c>
      <c r="E907" t="str">
        <f>IF(A907="", "", VLOOKUP(A907, BASE!$A$4:$E$10003, 5, FALSE))</f>
        <v/>
      </c>
      <c r="F907" t="str">
        <f t="shared" si="14"/>
        <v/>
      </c>
    </row>
    <row r="908" spans="1:6">
      <c r="A908" t="str">
        <f>IFERROR(INDEX(BASE!$A$4:$A$10003, SMALL(IF(BASE!$F$4:$F$10003="CARREGADO", ROW(BASE!$A$4:$A$10003)-ROW(BASE!$A$4)+1), ROW(A907))), "")</f>
        <v/>
      </c>
      <c r="B908" t="str">
        <f>IF(A908="", "", VLOOKUP(A908, BASE!$A$4:$B$10003, 2, FALSE))</f>
        <v/>
      </c>
      <c r="C908" t="str">
        <f>IF(A908="", "", VLOOKUP(A908, BASE!$A$4:$C$10003, 3, FALSE))</f>
        <v/>
      </c>
      <c r="D908" t="str">
        <f>IF(A908="", "", VLOOKUP(A908, BASE!$A$4:$D$10003, 4, FALSE))</f>
        <v/>
      </c>
      <c r="E908" t="str">
        <f>IF(A908="", "", VLOOKUP(A908, BASE!$A$4:$E$10003, 5, FALSE))</f>
        <v/>
      </c>
      <c r="F908" t="str">
        <f t="shared" si="14"/>
        <v/>
      </c>
    </row>
    <row r="909" spans="1:6">
      <c r="A909" t="str">
        <f>IFERROR(INDEX(BASE!$A$4:$A$10003, SMALL(IF(BASE!$F$4:$F$10003="CARREGADO", ROW(BASE!$A$4:$A$10003)-ROW(BASE!$A$4)+1), ROW(A908))), "")</f>
        <v/>
      </c>
      <c r="B909" t="str">
        <f>IF(A909="", "", VLOOKUP(A909, BASE!$A$4:$B$10003, 2, FALSE))</f>
        <v/>
      </c>
      <c r="C909" t="str">
        <f>IF(A909="", "", VLOOKUP(A909, BASE!$A$4:$C$10003, 3, FALSE))</f>
        <v/>
      </c>
      <c r="D909" t="str">
        <f>IF(A909="", "", VLOOKUP(A909, BASE!$A$4:$D$10003, 4, FALSE))</f>
        <v/>
      </c>
      <c r="E909" t="str">
        <f>IF(A909="", "", VLOOKUP(A909, BASE!$A$4:$E$10003, 5, FALSE))</f>
        <v/>
      </c>
      <c r="F909" t="str">
        <f t="shared" si="14"/>
        <v/>
      </c>
    </row>
    <row r="910" spans="1:6">
      <c r="A910" t="str">
        <f>IFERROR(INDEX(BASE!$A$4:$A$10003, SMALL(IF(BASE!$F$4:$F$10003="CARREGADO", ROW(BASE!$A$4:$A$10003)-ROW(BASE!$A$4)+1), ROW(A909))), "")</f>
        <v/>
      </c>
      <c r="B910" t="str">
        <f>IF(A910="", "", VLOOKUP(A910, BASE!$A$4:$B$10003, 2, FALSE))</f>
        <v/>
      </c>
      <c r="C910" t="str">
        <f>IF(A910="", "", VLOOKUP(A910, BASE!$A$4:$C$10003, 3, FALSE))</f>
        <v/>
      </c>
      <c r="D910" t="str">
        <f>IF(A910="", "", VLOOKUP(A910, BASE!$A$4:$D$10003, 4, FALSE))</f>
        <v/>
      </c>
      <c r="E910" t="str">
        <f>IF(A910="", "", VLOOKUP(A910, BASE!$A$4:$E$10003, 5, FALSE))</f>
        <v/>
      </c>
      <c r="F910" t="str">
        <f t="shared" si="14"/>
        <v/>
      </c>
    </row>
    <row r="911" spans="1:6">
      <c r="A911" t="str">
        <f>IFERROR(INDEX(BASE!$A$4:$A$10003, SMALL(IF(BASE!$F$4:$F$10003="CARREGADO", ROW(BASE!$A$4:$A$10003)-ROW(BASE!$A$4)+1), ROW(A910))), "")</f>
        <v/>
      </c>
      <c r="B911" t="str">
        <f>IF(A911="", "", VLOOKUP(A911, BASE!$A$4:$B$10003, 2, FALSE))</f>
        <v/>
      </c>
      <c r="C911" t="str">
        <f>IF(A911="", "", VLOOKUP(A911, BASE!$A$4:$C$10003, 3, FALSE))</f>
        <v/>
      </c>
      <c r="D911" t="str">
        <f>IF(A911="", "", VLOOKUP(A911, BASE!$A$4:$D$10003, 4, FALSE))</f>
        <v/>
      </c>
      <c r="E911" t="str">
        <f>IF(A911="", "", VLOOKUP(A911, BASE!$A$4:$E$10003, 5, FALSE))</f>
        <v/>
      </c>
      <c r="F911" t="str">
        <f t="shared" si="14"/>
        <v/>
      </c>
    </row>
    <row r="912" spans="1:6">
      <c r="A912" t="str">
        <f>IFERROR(INDEX(BASE!$A$4:$A$10003, SMALL(IF(BASE!$F$4:$F$10003="CARREGADO", ROW(BASE!$A$4:$A$10003)-ROW(BASE!$A$4)+1), ROW(A911))), "")</f>
        <v/>
      </c>
      <c r="B912" t="str">
        <f>IF(A912="", "", VLOOKUP(A912, BASE!$A$4:$B$10003, 2, FALSE))</f>
        <v/>
      </c>
      <c r="C912" t="str">
        <f>IF(A912="", "", VLOOKUP(A912, BASE!$A$4:$C$10003, 3, FALSE))</f>
        <v/>
      </c>
      <c r="D912" t="str">
        <f>IF(A912="", "", VLOOKUP(A912, BASE!$A$4:$D$10003, 4, FALSE))</f>
        <v/>
      </c>
      <c r="E912" t="str">
        <f>IF(A912="", "", VLOOKUP(A912, BASE!$A$4:$E$10003, 5, FALSE))</f>
        <v/>
      </c>
      <c r="F912" t="str">
        <f t="shared" si="14"/>
        <v/>
      </c>
    </row>
    <row r="913" spans="1:6">
      <c r="A913" t="str">
        <f>IFERROR(INDEX(BASE!$A$4:$A$10003, SMALL(IF(BASE!$F$4:$F$10003="CARREGADO", ROW(BASE!$A$4:$A$10003)-ROW(BASE!$A$4)+1), ROW(A912))), "")</f>
        <v/>
      </c>
      <c r="B913" t="str">
        <f>IF(A913="", "", VLOOKUP(A913, BASE!$A$4:$B$10003, 2, FALSE))</f>
        <v/>
      </c>
      <c r="C913" t="str">
        <f>IF(A913="", "", VLOOKUP(A913, BASE!$A$4:$C$10003, 3, FALSE))</f>
        <v/>
      </c>
      <c r="D913" t="str">
        <f>IF(A913="", "", VLOOKUP(A913, BASE!$A$4:$D$10003, 4, FALSE))</f>
        <v/>
      </c>
      <c r="E913" t="str">
        <f>IF(A913="", "", VLOOKUP(A913, BASE!$A$4:$E$10003, 5, FALSE))</f>
        <v/>
      </c>
      <c r="F913" t="str">
        <f t="shared" si="14"/>
        <v/>
      </c>
    </row>
    <row r="914" spans="1:6">
      <c r="A914" t="str">
        <f>IFERROR(INDEX(BASE!$A$4:$A$10003, SMALL(IF(BASE!$F$4:$F$10003="CARREGADO", ROW(BASE!$A$4:$A$10003)-ROW(BASE!$A$4)+1), ROW(A913))), "")</f>
        <v/>
      </c>
      <c r="B914" t="str">
        <f>IF(A914="", "", VLOOKUP(A914, BASE!$A$4:$B$10003, 2, FALSE))</f>
        <v/>
      </c>
      <c r="C914" t="str">
        <f>IF(A914="", "", VLOOKUP(A914, BASE!$A$4:$C$10003, 3, FALSE))</f>
        <v/>
      </c>
      <c r="D914" t="str">
        <f>IF(A914="", "", VLOOKUP(A914, BASE!$A$4:$D$10003, 4, FALSE))</f>
        <v/>
      </c>
      <c r="E914" t="str">
        <f>IF(A914="", "", VLOOKUP(A914, BASE!$A$4:$E$10003, 5, FALSE))</f>
        <v/>
      </c>
      <c r="F914" t="str">
        <f t="shared" si="14"/>
        <v/>
      </c>
    </row>
    <row r="915" spans="1:6">
      <c r="A915" t="str">
        <f>IFERROR(INDEX(BASE!$A$4:$A$10003, SMALL(IF(BASE!$F$4:$F$10003="CARREGADO", ROW(BASE!$A$4:$A$10003)-ROW(BASE!$A$4)+1), ROW(A914))), "")</f>
        <v/>
      </c>
      <c r="B915" t="str">
        <f>IF(A915="", "", VLOOKUP(A915, BASE!$A$4:$B$10003, 2, FALSE))</f>
        <v/>
      </c>
      <c r="C915" t="str">
        <f>IF(A915="", "", VLOOKUP(A915, BASE!$A$4:$C$10003, 3, FALSE))</f>
        <v/>
      </c>
      <c r="D915" t="str">
        <f>IF(A915="", "", VLOOKUP(A915, BASE!$A$4:$D$10003, 4, FALSE))</f>
        <v/>
      </c>
      <c r="E915" t="str">
        <f>IF(A915="", "", VLOOKUP(A915, BASE!$A$4:$E$10003, 5, FALSE))</f>
        <v/>
      </c>
      <c r="F915" t="str">
        <f t="shared" si="14"/>
        <v/>
      </c>
    </row>
    <row r="916" spans="1:6">
      <c r="A916" t="str">
        <f>IFERROR(INDEX(BASE!$A$4:$A$10003, SMALL(IF(BASE!$F$4:$F$10003="CARREGADO", ROW(BASE!$A$4:$A$10003)-ROW(BASE!$A$4)+1), ROW(A915))), "")</f>
        <v/>
      </c>
      <c r="B916" t="str">
        <f>IF(A916="", "", VLOOKUP(A916, BASE!$A$4:$B$10003, 2, FALSE))</f>
        <v/>
      </c>
      <c r="C916" t="str">
        <f>IF(A916="", "", VLOOKUP(A916, BASE!$A$4:$C$10003, 3, FALSE))</f>
        <v/>
      </c>
      <c r="D916" t="str">
        <f>IF(A916="", "", VLOOKUP(A916, BASE!$A$4:$D$10003, 4, FALSE))</f>
        <v/>
      </c>
      <c r="E916" t="str">
        <f>IF(A916="", "", VLOOKUP(A916, BASE!$A$4:$E$10003, 5, FALSE))</f>
        <v/>
      </c>
      <c r="F916" t="str">
        <f t="shared" si="14"/>
        <v/>
      </c>
    </row>
    <row r="917" spans="1:6">
      <c r="A917" t="str">
        <f>IFERROR(INDEX(BASE!$A$4:$A$10003, SMALL(IF(BASE!$F$4:$F$10003="CARREGADO", ROW(BASE!$A$4:$A$10003)-ROW(BASE!$A$4)+1), ROW(A916))), "")</f>
        <v/>
      </c>
      <c r="B917" t="str">
        <f>IF(A917="", "", VLOOKUP(A917, BASE!$A$4:$B$10003, 2, FALSE))</f>
        <v/>
      </c>
      <c r="C917" t="str">
        <f>IF(A917="", "", VLOOKUP(A917, BASE!$A$4:$C$10003, 3, FALSE))</f>
        <v/>
      </c>
      <c r="D917" t="str">
        <f>IF(A917="", "", VLOOKUP(A917, BASE!$A$4:$D$10003, 4, FALSE))</f>
        <v/>
      </c>
      <c r="E917" t="str">
        <f>IF(A917="", "", VLOOKUP(A917, BASE!$A$4:$E$10003, 5, FALSE))</f>
        <v/>
      </c>
      <c r="F917" t="str">
        <f t="shared" si="14"/>
        <v/>
      </c>
    </row>
    <row r="918" spans="1:6">
      <c r="A918" t="str">
        <f>IFERROR(INDEX(BASE!$A$4:$A$10003, SMALL(IF(BASE!$F$4:$F$10003="CARREGADO", ROW(BASE!$A$4:$A$10003)-ROW(BASE!$A$4)+1), ROW(A917))), "")</f>
        <v/>
      </c>
      <c r="B918" t="str">
        <f>IF(A918="", "", VLOOKUP(A918, BASE!$A$4:$B$10003, 2, FALSE))</f>
        <v/>
      </c>
      <c r="C918" t="str">
        <f>IF(A918="", "", VLOOKUP(A918, BASE!$A$4:$C$10003, 3, FALSE))</f>
        <v/>
      </c>
      <c r="D918" t="str">
        <f>IF(A918="", "", VLOOKUP(A918, BASE!$A$4:$D$10003, 4, FALSE))</f>
        <v/>
      </c>
      <c r="E918" t="str">
        <f>IF(A918="", "", VLOOKUP(A918, BASE!$A$4:$E$10003, 5, FALSE))</f>
        <v/>
      </c>
      <c r="F918" t="str">
        <f t="shared" si="14"/>
        <v/>
      </c>
    </row>
    <row r="919" spans="1:6">
      <c r="A919" t="str">
        <f>IFERROR(INDEX(BASE!$A$4:$A$10003, SMALL(IF(BASE!$F$4:$F$10003="CARREGADO", ROW(BASE!$A$4:$A$10003)-ROW(BASE!$A$4)+1), ROW(A918))), "")</f>
        <v/>
      </c>
      <c r="B919" t="str">
        <f>IF(A919="", "", VLOOKUP(A919, BASE!$A$4:$B$10003, 2, FALSE))</f>
        <v/>
      </c>
      <c r="C919" t="str">
        <f>IF(A919="", "", VLOOKUP(A919, BASE!$A$4:$C$10003, 3, FALSE))</f>
        <v/>
      </c>
      <c r="D919" t="str">
        <f>IF(A919="", "", VLOOKUP(A919, BASE!$A$4:$D$10003, 4, FALSE))</f>
        <v/>
      </c>
      <c r="E919" t="str">
        <f>IF(A919="", "", VLOOKUP(A919, BASE!$A$4:$E$10003, 5, FALSE))</f>
        <v/>
      </c>
      <c r="F919" t="str">
        <f t="shared" si="14"/>
        <v/>
      </c>
    </row>
    <row r="920" spans="1:6">
      <c r="A920" t="str">
        <f>IFERROR(INDEX(BASE!$A$4:$A$10003, SMALL(IF(BASE!$F$4:$F$10003="CARREGADO", ROW(BASE!$A$4:$A$10003)-ROW(BASE!$A$4)+1), ROW(A919))), "")</f>
        <v/>
      </c>
      <c r="B920" t="str">
        <f>IF(A920="", "", VLOOKUP(A920, BASE!$A$4:$B$10003, 2, FALSE))</f>
        <v/>
      </c>
      <c r="C920" t="str">
        <f>IF(A920="", "", VLOOKUP(A920, BASE!$A$4:$C$10003, 3, FALSE))</f>
        <v/>
      </c>
      <c r="D920" t="str">
        <f>IF(A920="", "", VLOOKUP(A920, BASE!$A$4:$D$10003, 4, FALSE))</f>
        <v/>
      </c>
      <c r="E920" t="str">
        <f>IF(A920="", "", VLOOKUP(A920, BASE!$A$4:$E$10003, 5, FALSE))</f>
        <v/>
      </c>
      <c r="F920" t="str">
        <f t="shared" si="14"/>
        <v/>
      </c>
    </row>
    <row r="921" spans="1:6">
      <c r="A921" t="str">
        <f>IFERROR(INDEX(BASE!$A$4:$A$10003, SMALL(IF(BASE!$F$4:$F$10003="CARREGADO", ROW(BASE!$A$4:$A$10003)-ROW(BASE!$A$4)+1), ROW(A920))), "")</f>
        <v/>
      </c>
      <c r="B921" t="str">
        <f>IF(A921="", "", VLOOKUP(A921, BASE!$A$4:$B$10003, 2, FALSE))</f>
        <v/>
      </c>
      <c r="C921" t="str">
        <f>IF(A921="", "", VLOOKUP(A921, BASE!$A$4:$C$10003, 3, FALSE))</f>
        <v/>
      </c>
      <c r="D921" t="str">
        <f>IF(A921="", "", VLOOKUP(A921, BASE!$A$4:$D$10003, 4, FALSE))</f>
        <v/>
      </c>
      <c r="E921" t="str">
        <f>IF(A921="", "", VLOOKUP(A921, BASE!$A$4:$E$10003, 5, FALSE))</f>
        <v/>
      </c>
      <c r="F921" t="str">
        <f t="shared" si="14"/>
        <v/>
      </c>
    </row>
    <row r="922" spans="1:6">
      <c r="A922" t="str">
        <f>IFERROR(INDEX(BASE!$A$4:$A$10003, SMALL(IF(BASE!$F$4:$F$10003="CARREGADO", ROW(BASE!$A$4:$A$10003)-ROW(BASE!$A$4)+1), ROW(A921))), "")</f>
        <v/>
      </c>
      <c r="B922" t="str">
        <f>IF(A922="", "", VLOOKUP(A922, BASE!$A$4:$B$10003, 2, FALSE))</f>
        <v/>
      </c>
      <c r="C922" t="str">
        <f>IF(A922="", "", VLOOKUP(A922, BASE!$A$4:$C$10003, 3, FALSE))</f>
        <v/>
      </c>
      <c r="D922" t="str">
        <f>IF(A922="", "", VLOOKUP(A922, BASE!$A$4:$D$10003, 4, FALSE))</f>
        <v/>
      </c>
      <c r="E922" t="str">
        <f>IF(A922="", "", VLOOKUP(A922, BASE!$A$4:$E$10003, 5, FALSE))</f>
        <v/>
      </c>
      <c r="F922" t="str">
        <f t="shared" si="14"/>
        <v/>
      </c>
    </row>
    <row r="923" spans="1:6">
      <c r="A923" t="str">
        <f>IFERROR(INDEX(BASE!$A$4:$A$10003, SMALL(IF(BASE!$F$4:$F$10003="CARREGADO", ROW(BASE!$A$4:$A$10003)-ROW(BASE!$A$4)+1), ROW(A922))), "")</f>
        <v/>
      </c>
      <c r="B923" t="str">
        <f>IF(A923="", "", VLOOKUP(A923, BASE!$A$4:$B$10003, 2, FALSE))</f>
        <v/>
      </c>
      <c r="C923" t="str">
        <f>IF(A923="", "", VLOOKUP(A923, BASE!$A$4:$C$10003, 3, FALSE))</f>
        <v/>
      </c>
      <c r="D923" t="str">
        <f>IF(A923="", "", VLOOKUP(A923, BASE!$A$4:$D$10003, 4, FALSE))</f>
        <v/>
      </c>
      <c r="E923" t="str">
        <f>IF(A923="", "", VLOOKUP(A923, BASE!$A$4:$E$10003, 5, FALSE))</f>
        <v/>
      </c>
      <c r="F923" t="str">
        <f t="shared" si="14"/>
        <v/>
      </c>
    </row>
    <row r="924" spans="1:6">
      <c r="A924" t="str">
        <f>IFERROR(INDEX(BASE!$A$4:$A$10003, SMALL(IF(BASE!$F$4:$F$10003="CARREGADO", ROW(BASE!$A$4:$A$10003)-ROW(BASE!$A$4)+1), ROW(A923))), "")</f>
        <v/>
      </c>
      <c r="B924" t="str">
        <f>IF(A924="", "", VLOOKUP(A924, BASE!$A$4:$B$10003, 2, FALSE))</f>
        <v/>
      </c>
      <c r="C924" t="str">
        <f>IF(A924="", "", VLOOKUP(A924, BASE!$A$4:$C$10003, 3, FALSE))</f>
        <v/>
      </c>
      <c r="D924" t="str">
        <f>IF(A924="", "", VLOOKUP(A924, BASE!$A$4:$D$10003, 4, FALSE))</f>
        <v/>
      </c>
      <c r="E924" t="str">
        <f>IF(A924="", "", VLOOKUP(A924, BASE!$A$4:$E$10003, 5, FALSE))</f>
        <v/>
      </c>
      <c r="F924" t="str">
        <f t="shared" si="14"/>
        <v/>
      </c>
    </row>
    <row r="925" spans="1:6">
      <c r="A925" t="str">
        <f>IFERROR(INDEX(BASE!$A$4:$A$10003, SMALL(IF(BASE!$F$4:$F$10003="CARREGADO", ROW(BASE!$A$4:$A$10003)-ROW(BASE!$A$4)+1), ROW(A924))), "")</f>
        <v/>
      </c>
      <c r="B925" t="str">
        <f>IF(A925="", "", VLOOKUP(A925, BASE!$A$4:$B$10003, 2, FALSE))</f>
        <v/>
      </c>
      <c r="C925" t="str">
        <f>IF(A925="", "", VLOOKUP(A925, BASE!$A$4:$C$10003, 3, FALSE))</f>
        <v/>
      </c>
      <c r="D925" t="str">
        <f>IF(A925="", "", VLOOKUP(A925, BASE!$A$4:$D$10003, 4, FALSE))</f>
        <v/>
      </c>
      <c r="E925" t="str">
        <f>IF(A925="", "", VLOOKUP(A925, BASE!$A$4:$E$10003, 5, FALSE))</f>
        <v/>
      </c>
      <c r="F925" t="str">
        <f t="shared" si="14"/>
        <v/>
      </c>
    </row>
    <row r="926" spans="1:6">
      <c r="A926" t="str">
        <f>IFERROR(INDEX(BASE!$A$4:$A$10003, SMALL(IF(BASE!$F$4:$F$10003="CARREGADO", ROW(BASE!$A$4:$A$10003)-ROW(BASE!$A$4)+1), ROW(A925))), "")</f>
        <v/>
      </c>
      <c r="B926" t="str">
        <f>IF(A926="", "", VLOOKUP(A926, BASE!$A$4:$B$10003, 2, FALSE))</f>
        <v/>
      </c>
      <c r="C926" t="str">
        <f>IF(A926="", "", VLOOKUP(A926, BASE!$A$4:$C$10003, 3, FALSE))</f>
        <v/>
      </c>
      <c r="D926" t="str">
        <f>IF(A926="", "", VLOOKUP(A926, BASE!$A$4:$D$10003, 4, FALSE))</f>
        <v/>
      </c>
      <c r="E926" t="str">
        <f>IF(A926="", "", VLOOKUP(A926, BASE!$A$4:$E$10003, 5, FALSE))</f>
        <v/>
      </c>
      <c r="F926" t="str">
        <f t="shared" si="14"/>
        <v/>
      </c>
    </row>
    <row r="927" spans="1:6">
      <c r="A927" t="str">
        <f>IFERROR(INDEX(BASE!$A$4:$A$10003, SMALL(IF(BASE!$F$4:$F$10003="CARREGADO", ROW(BASE!$A$4:$A$10003)-ROW(BASE!$A$4)+1), ROW(A926))), "")</f>
        <v/>
      </c>
      <c r="B927" t="str">
        <f>IF(A927="", "", VLOOKUP(A927, BASE!$A$4:$B$10003, 2, FALSE))</f>
        <v/>
      </c>
      <c r="C927" t="str">
        <f>IF(A927="", "", VLOOKUP(A927, BASE!$A$4:$C$10003, 3, FALSE))</f>
        <v/>
      </c>
      <c r="D927" t="str">
        <f>IF(A927="", "", VLOOKUP(A927, BASE!$A$4:$D$10003, 4, FALSE))</f>
        <v/>
      </c>
      <c r="E927" t="str">
        <f>IF(A927="", "", VLOOKUP(A927, BASE!$A$4:$E$10003, 5, FALSE))</f>
        <v/>
      </c>
      <c r="F927" t="str">
        <f t="shared" si="14"/>
        <v/>
      </c>
    </row>
    <row r="928" spans="1:6">
      <c r="A928" t="str">
        <f>IFERROR(INDEX(BASE!$A$4:$A$10003, SMALL(IF(BASE!$F$4:$F$10003="CARREGADO", ROW(BASE!$A$4:$A$10003)-ROW(BASE!$A$4)+1), ROW(A927))), "")</f>
        <v/>
      </c>
      <c r="B928" t="str">
        <f>IF(A928="", "", VLOOKUP(A928, BASE!$A$4:$B$10003, 2, FALSE))</f>
        <v/>
      </c>
      <c r="C928" t="str">
        <f>IF(A928="", "", VLOOKUP(A928, BASE!$A$4:$C$10003, 3, FALSE))</f>
        <v/>
      </c>
      <c r="D928" t="str">
        <f>IF(A928="", "", VLOOKUP(A928, BASE!$A$4:$D$10003, 4, FALSE))</f>
        <v/>
      </c>
      <c r="E928" t="str">
        <f>IF(A928="", "", VLOOKUP(A928, BASE!$A$4:$E$10003, 5, FALSE))</f>
        <v/>
      </c>
      <c r="F928" t="str">
        <f t="shared" si="14"/>
        <v/>
      </c>
    </row>
    <row r="929" spans="1:6">
      <c r="A929" t="str">
        <f>IFERROR(INDEX(BASE!$A$4:$A$10003, SMALL(IF(BASE!$F$4:$F$10003="CARREGADO", ROW(BASE!$A$4:$A$10003)-ROW(BASE!$A$4)+1), ROW(A928))), "")</f>
        <v/>
      </c>
      <c r="B929" t="str">
        <f>IF(A929="", "", VLOOKUP(A929, BASE!$A$4:$B$10003, 2, FALSE))</f>
        <v/>
      </c>
      <c r="C929" t="str">
        <f>IF(A929="", "", VLOOKUP(A929, BASE!$A$4:$C$10003, 3, FALSE))</f>
        <v/>
      </c>
      <c r="D929" t="str">
        <f>IF(A929="", "", VLOOKUP(A929, BASE!$A$4:$D$10003, 4, FALSE))</f>
        <v/>
      </c>
      <c r="E929" t="str">
        <f>IF(A929="", "", VLOOKUP(A929, BASE!$A$4:$E$10003, 5, FALSE))</f>
        <v/>
      </c>
      <c r="F929" t="str">
        <f t="shared" si="14"/>
        <v/>
      </c>
    </row>
    <row r="930" spans="1:6">
      <c r="A930" t="str">
        <f>IFERROR(INDEX(BASE!$A$4:$A$10003, SMALL(IF(BASE!$F$4:$F$10003="CARREGADO", ROW(BASE!$A$4:$A$10003)-ROW(BASE!$A$4)+1), ROW(A929))), "")</f>
        <v/>
      </c>
      <c r="B930" t="str">
        <f>IF(A930="", "", VLOOKUP(A930, BASE!$A$4:$B$10003, 2, FALSE))</f>
        <v/>
      </c>
      <c r="C930" t="str">
        <f>IF(A930="", "", VLOOKUP(A930, BASE!$A$4:$C$10003, 3, FALSE))</f>
        <v/>
      </c>
      <c r="D930" t="str">
        <f>IF(A930="", "", VLOOKUP(A930, BASE!$A$4:$D$10003, 4, FALSE))</f>
        <v/>
      </c>
      <c r="E930" t="str">
        <f>IF(A930="", "", VLOOKUP(A930, BASE!$A$4:$E$10003, 5, FALSE))</f>
        <v/>
      </c>
      <c r="F930" t="str">
        <f t="shared" si="14"/>
        <v/>
      </c>
    </row>
    <row r="931" spans="1:6">
      <c r="A931" t="str">
        <f>IFERROR(INDEX(BASE!$A$4:$A$10003, SMALL(IF(BASE!$F$4:$F$10003="CARREGADO", ROW(BASE!$A$4:$A$10003)-ROW(BASE!$A$4)+1), ROW(A930))), "")</f>
        <v/>
      </c>
      <c r="B931" t="str">
        <f>IF(A931="", "", VLOOKUP(A931, BASE!$A$4:$B$10003, 2, FALSE))</f>
        <v/>
      </c>
      <c r="C931" t="str">
        <f>IF(A931="", "", VLOOKUP(A931, BASE!$A$4:$C$10003, 3, FALSE))</f>
        <v/>
      </c>
      <c r="D931" t="str">
        <f>IF(A931="", "", VLOOKUP(A931, BASE!$A$4:$D$10003, 4, FALSE))</f>
        <v/>
      </c>
      <c r="E931" t="str">
        <f>IF(A931="", "", VLOOKUP(A931, BASE!$A$4:$E$10003, 5, FALSE))</f>
        <v/>
      </c>
      <c r="F931" t="str">
        <f t="shared" si="14"/>
        <v/>
      </c>
    </row>
    <row r="932" spans="1:6">
      <c r="A932" t="str">
        <f>IFERROR(INDEX(BASE!$A$4:$A$10003, SMALL(IF(BASE!$F$4:$F$10003="CARREGADO", ROW(BASE!$A$4:$A$10003)-ROW(BASE!$A$4)+1), ROW(A931))), "")</f>
        <v/>
      </c>
      <c r="B932" t="str">
        <f>IF(A932="", "", VLOOKUP(A932, BASE!$A$4:$B$10003, 2, FALSE))</f>
        <v/>
      </c>
      <c r="C932" t="str">
        <f>IF(A932="", "", VLOOKUP(A932, BASE!$A$4:$C$10003, 3, FALSE))</f>
        <v/>
      </c>
      <c r="D932" t="str">
        <f>IF(A932="", "", VLOOKUP(A932, BASE!$A$4:$D$10003, 4, FALSE))</f>
        <v/>
      </c>
      <c r="E932" t="str">
        <f>IF(A932="", "", VLOOKUP(A932, BASE!$A$4:$E$10003, 5, FALSE))</f>
        <v/>
      </c>
      <c r="F932" t="str">
        <f t="shared" si="14"/>
        <v/>
      </c>
    </row>
    <row r="933" spans="1:6">
      <c r="A933" t="str">
        <f>IFERROR(INDEX(BASE!$A$4:$A$10003, SMALL(IF(BASE!$F$4:$F$10003="CARREGADO", ROW(BASE!$A$4:$A$10003)-ROW(BASE!$A$4)+1), ROW(A932))), "")</f>
        <v/>
      </c>
      <c r="B933" t="str">
        <f>IF(A933="", "", VLOOKUP(A933, BASE!$A$4:$B$10003, 2, FALSE))</f>
        <v/>
      </c>
      <c r="C933" t="str">
        <f>IF(A933="", "", VLOOKUP(A933, BASE!$A$4:$C$10003, 3, FALSE))</f>
        <v/>
      </c>
      <c r="D933" t="str">
        <f>IF(A933="", "", VLOOKUP(A933, BASE!$A$4:$D$10003, 4, FALSE))</f>
        <v/>
      </c>
      <c r="E933" t="str">
        <f>IF(A933="", "", VLOOKUP(A933, BASE!$A$4:$E$10003, 5, FALSE))</f>
        <v/>
      </c>
      <c r="F933" t="str">
        <f t="shared" si="14"/>
        <v/>
      </c>
    </row>
    <row r="934" spans="1:6">
      <c r="A934" t="str">
        <f>IFERROR(INDEX(BASE!$A$4:$A$10003, SMALL(IF(BASE!$F$4:$F$10003="CARREGADO", ROW(BASE!$A$4:$A$10003)-ROW(BASE!$A$4)+1), ROW(A933))), "")</f>
        <v/>
      </c>
      <c r="B934" t="str">
        <f>IF(A934="", "", VLOOKUP(A934, BASE!$A$4:$B$10003, 2, FALSE))</f>
        <v/>
      </c>
      <c r="C934" t="str">
        <f>IF(A934="", "", VLOOKUP(A934, BASE!$A$4:$C$10003, 3, FALSE))</f>
        <v/>
      </c>
      <c r="D934" t="str">
        <f>IF(A934="", "", VLOOKUP(A934, BASE!$A$4:$D$10003, 4, FALSE))</f>
        <v/>
      </c>
      <c r="E934" t="str">
        <f>IF(A934="", "", VLOOKUP(A934, BASE!$A$4:$E$10003, 5, FALSE))</f>
        <v/>
      </c>
      <c r="F934" t="str">
        <f t="shared" si="14"/>
        <v/>
      </c>
    </row>
    <row r="935" spans="1:6">
      <c r="A935" t="str">
        <f>IFERROR(INDEX(BASE!$A$4:$A$10003, SMALL(IF(BASE!$F$4:$F$10003="CARREGADO", ROW(BASE!$A$4:$A$10003)-ROW(BASE!$A$4)+1), ROW(A934))), "")</f>
        <v/>
      </c>
      <c r="B935" t="str">
        <f>IF(A935="", "", VLOOKUP(A935, BASE!$A$4:$B$10003, 2, FALSE))</f>
        <v/>
      </c>
      <c r="C935" t="str">
        <f>IF(A935="", "", VLOOKUP(A935, BASE!$A$4:$C$10003, 3, FALSE))</f>
        <v/>
      </c>
      <c r="D935" t="str">
        <f>IF(A935="", "", VLOOKUP(A935, BASE!$A$4:$D$10003, 4, FALSE))</f>
        <v/>
      </c>
      <c r="E935" t="str">
        <f>IF(A935="", "", VLOOKUP(A935, BASE!$A$4:$E$10003, 5, FALSE))</f>
        <v/>
      </c>
      <c r="F935" t="str">
        <f t="shared" si="14"/>
        <v/>
      </c>
    </row>
    <row r="936" spans="1:6">
      <c r="A936" t="str">
        <f>IFERROR(INDEX(BASE!$A$4:$A$10003, SMALL(IF(BASE!$F$4:$F$10003="CARREGADO", ROW(BASE!$A$4:$A$10003)-ROW(BASE!$A$4)+1), ROW(A935))), "")</f>
        <v/>
      </c>
      <c r="B936" t="str">
        <f>IF(A936="", "", VLOOKUP(A936, BASE!$A$4:$B$10003, 2, FALSE))</f>
        <v/>
      </c>
      <c r="C936" t="str">
        <f>IF(A936="", "", VLOOKUP(A936, BASE!$A$4:$C$10003, 3, FALSE))</f>
        <v/>
      </c>
      <c r="D936" t="str">
        <f>IF(A936="", "", VLOOKUP(A936, BASE!$A$4:$D$10003, 4, FALSE))</f>
        <v/>
      </c>
      <c r="E936" t="str">
        <f>IF(A936="", "", VLOOKUP(A936, BASE!$A$4:$E$10003, 5, FALSE))</f>
        <v/>
      </c>
      <c r="F936" t="str">
        <f t="shared" si="14"/>
        <v/>
      </c>
    </row>
    <row r="937" spans="1:6">
      <c r="A937" t="str">
        <f>IFERROR(INDEX(BASE!$A$4:$A$10003, SMALL(IF(BASE!$F$4:$F$10003="CARREGADO", ROW(BASE!$A$4:$A$10003)-ROW(BASE!$A$4)+1), ROW(A936))), "")</f>
        <v/>
      </c>
      <c r="B937" t="str">
        <f>IF(A937="", "", VLOOKUP(A937, BASE!$A$4:$B$10003, 2, FALSE))</f>
        <v/>
      </c>
      <c r="C937" t="str">
        <f>IF(A937="", "", VLOOKUP(A937, BASE!$A$4:$C$10003, 3, FALSE))</f>
        <v/>
      </c>
      <c r="D937" t="str">
        <f>IF(A937="", "", VLOOKUP(A937, BASE!$A$4:$D$10003, 4, FALSE))</f>
        <v/>
      </c>
      <c r="E937" t="str">
        <f>IF(A937="", "", VLOOKUP(A937, BASE!$A$4:$E$10003, 5, FALSE))</f>
        <v/>
      </c>
      <c r="F937" t="str">
        <f t="shared" si="14"/>
        <v/>
      </c>
    </row>
    <row r="938" spans="1:6">
      <c r="A938" t="str">
        <f>IFERROR(INDEX(BASE!$A$4:$A$10003, SMALL(IF(BASE!$F$4:$F$10003="CARREGADO", ROW(BASE!$A$4:$A$10003)-ROW(BASE!$A$4)+1), ROW(A937))), "")</f>
        <v/>
      </c>
      <c r="B938" t="str">
        <f>IF(A938="", "", VLOOKUP(A938, BASE!$A$4:$B$10003, 2, FALSE))</f>
        <v/>
      </c>
      <c r="C938" t="str">
        <f>IF(A938="", "", VLOOKUP(A938, BASE!$A$4:$C$10003, 3, FALSE))</f>
        <v/>
      </c>
      <c r="D938" t="str">
        <f>IF(A938="", "", VLOOKUP(A938, BASE!$A$4:$D$10003, 4, FALSE))</f>
        <v/>
      </c>
      <c r="E938" t="str">
        <f>IF(A938="", "", VLOOKUP(A938, BASE!$A$4:$E$10003, 5, FALSE))</f>
        <v/>
      </c>
      <c r="F938" t="str">
        <f t="shared" si="14"/>
        <v/>
      </c>
    </row>
    <row r="939" spans="1:6">
      <c r="A939" t="str">
        <f>IFERROR(INDEX(BASE!$A$4:$A$10003, SMALL(IF(BASE!$F$4:$F$10003="CARREGADO", ROW(BASE!$A$4:$A$10003)-ROW(BASE!$A$4)+1), ROW(A938))), "")</f>
        <v/>
      </c>
      <c r="B939" t="str">
        <f>IF(A939="", "", VLOOKUP(A939, BASE!$A$4:$B$10003, 2, FALSE))</f>
        <v/>
      </c>
      <c r="C939" t="str">
        <f>IF(A939="", "", VLOOKUP(A939, BASE!$A$4:$C$10003, 3, FALSE))</f>
        <v/>
      </c>
      <c r="D939" t="str">
        <f>IF(A939="", "", VLOOKUP(A939, BASE!$A$4:$D$10003, 4, FALSE))</f>
        <v/>
      </c>
      <c r="E939" t="str">
        <f>IF(A939="", "", VLOOKUP(A939, BASE!$A$4:$E$10003, 5, FALSE))</f>
        <v/>
      </c>
      <c r="F939" t="str">
        <f t="shared" si="14"/>
        <v/>
      </c>
    </row>
    <row r="940" spans="1:6">
      <c r="A940" t="str">
        <f>IFERROR(INDEX(BASE!$A$4:$A$10003, SMALL(IF(BASE!$F$4:$F$10003="CARREGADO", ROW(BASE!$A$4:$A$10003)-ROW(BASE!$A$4)+1), ROW(A939))), "")</f>
        <v/>
      </c>
      <c r="B940" t="str">
        <f>IF(A940="", "", VLOOKUP(A940, BASE!$A$4:$B$10003, 2, FALSE))</f>
        <v/>
      </c>
      <c r="C940" t="str">
        <f>IF(A940="", "", VLOOKUP(A940, BASE!$A$4:$C$10003, 3, FALSE))</f>
        <v/>
      </c>
      <c r="D940" t="str">
        <f>IF(A940="", "", VLOOKUP(A940, BASE!$A$4:$D$10003, 4, FALSE))</f>
        <v/>
      </c>
      <c r="E940" t="str">
        <f>IF(A940="", "", VLOOKUP(A940, BASE!$A$4:$E$10003, 5, FALSE))</f>
        <v/>
      </c>
      <c r="F940" t="str">
        <f t="shared" si="14"/>
        <v/>
      </c>
    </row>
    <row r="941" spans="1:6">
      <c r="A941" t="str">
        <f>IFERROR(INDEX(BASE!$A$4:$A$10003, SMALL(IF(BASE!$F$4:$F$10003="CARREGADO", ROW(BASE!$A$4:$A$10003)-ROW(BASE!$A$4)+1), ROW(A940))), "")</f>
        <v/>
      </c>
      <c r="B941" t="str">
        <f>IF(A941="", "", VLOOKUP(A941, BASE!$A$4:$B$10003, 2, FALSE))</f>
        <v/>
      </c>
      <c r="C941" t="str">
        <f>IF(A941="", "", VLOOKUP(A941, BASE!$A$4:$C$10003, 3, FALSE))</f>
        <v/>
      </c>
      <c r="D941" t="str">
        <f>IF(A941="", "", VLOOKUP(A941, BASE!$A$4:$D$10003, 4, FALSE))</f>
        <v/>
      </c>
      <c r="E941" t="str">
        <f>IF(A941="", "", VLOOKUP(A941, BASE!$A$4:$E$10003, 5, FALSE))</f>
        <v/>
      </c>
      <c r="F941" t="str">
        <f t="shared" si="14"/>
        <v/>
      </c>
    </row>
    <row r="942" spans="1:6">
      <c r="A942" t="str">
        <f>IFERROR(INDEX(BASE!$A$4:$A$10003, SMALL(IF(BASE!$F$4:$F$10003="CARREGADO", ROW(BASE!$A$4:$A$10003)-ROW(BASE!$A$4)+1), ROW(A941))), "")</f>
        <v/>
      </c>
      <c r="B942" t="str">
        <f>IF(A942="", "", VLOOKUP(A942, BASE!$A$4:$B$10003, 2, FALSE))</f>
        <v/>
      </c>
      <c r="C942" t="str">
        <f>IF(A942="", "", VLOOKUP(A942, BASE!$A$4:$C$10003, 3, FALSE))</f>
        <v/>
      </c>
      <c r="D942" t="str">
        <f>IF(A942="", "", VLOOKUP(A942, BASE!$A$4:$D$10003, 4, FALSE))</f>
        <v/>
      </c>
      <c r="E942" t="str">
        <f>IF(A942="", "", VLOOKUP(A942, BASE!$A$4:$E$10003, 5, FALSE))</f>
        <v/>
      </c>
      <c r="F942" t="str">
        <f t="shared" si="14"/>
        <v/>
      </c>
    </row>
    <row r="943" spans="1:6">
      <c r="A943" t="str">
        <f>IFERROR(INDEX(BASE!$A$4:$A$10003, SMALL(IF(BASE!$F$4:$F$10003="CARREGADO", ROW(BASE!$A$4:$A$10003)-ROW(BASE!$A$4)+1), ROW(A942))), "")</f>
        <v/>
      </c>
      <c r="B943" t="str">
        <f>IF(A943="", "", VLOOKUP(A943, BASE!$A$4:$B$10003, 2, FALSE))</f>
        <v/>
      </c>
      <c r="C943" t="str">
        <f>IF(A943="", "", VLOOKUP(A943, BASE!$A$4:$C$10003, 3, FALSE))</f>
        <v/>
      </c>
      <c r="D943" t="str">
        <f>IF(A943="", "", VLOOKUP(A943, BASE!$A$4:$D$10003, 4, FALSE))</f>
        <v/>
      </c>
      <c r="E943" t="str">
        <f>IF(A943="", "", VLOOKUP(A943, BASE!$A$4:$E$10003, 5, FALSE))</f>
        <v/>
      </c>
      <c r="F943" t="str">
        <f t="shared" si="14"/>
        <v/>
      </c>
    </row>
    <row r="944" spans="1:6">
      <c r="A944" t="str">
        <f>IFERROR(INDEX(BASE!$A$4:$A$10003, SMALL(IF(BASE!$F$4:$F$10003="CARREGADO", ROW(BASE!$A$4:$A$10003)-ROW(BASE!$A$4)+1), ROW(A943))), "")</f>
        <v/>
      </c>
      <c r="B944" t="str">
        <f>IF(A944="", "", VLOOKUP(A944, BASE!$A$4:$B$10003, 2, FALSE))</f>
        <v/>
      </c>
      <c r="C944" t="str">
        <f>IF(A944="", "", VLOOKUP(A944, BASE!$A$4:$C$10003, 3, FALSE))</f>
        <v/>
      </c>
      <c r="D944" t="str">
        <f>IF(A944="", "", VLOOKUP(A944, BASE!$A$4:$D$10003, 4, FALSE))</f>
        <v/>
      </c>
      <c r="E944" t="str">
        <f>IF(A944="", "", VLOOKUP(A944, BASE!$A$4:$E$10003, 5, FALSE))</f>
        <v/>
      </c>
      <c r="F944" t="str">
        <f t="shared" si="14"/>
        <v/>
      </c>
    </row>
    <row r="945" spans="1:6">
      <c r="A945" t="str">
        <f>IFERROR(INDEX(BASE!$A$4:$A$10003, SMALL(IF(BASE!$F$4:$F$10003="CARREGADO", ROW(BASE!$A$4:$A$10003)-ROW(BASE!$A$4)+1), ROW(A944))), "")</f>
        <v/>
      </c>
      <c r="B945" t="str">
        <f>IF(A945="", "", VLOOKUP(A945, BASE!$A$4:$B$10003, 2, FALSE))</f>
        <v/>
      </c>
      <c r="C945" t="str">
        <f>IF(A945="", "", VLOOKUP(A945, BASE!$A$4:$C$10003, 3, FALSE))</f>
        <v/>
      </c>
      <c r="D945" t="str">
        <f>IF(A945="", "", VLOOKUP(A945, BASE!$A$4:$D$10003, 4, FALSE))</f>
        <v/>
      </c>
      <c r="E945" t="str">
        <f>IF(A945="", "", VLOOKUP(A945, BASE!$A$4:$E$10003, 5, FALSE))</f>
        <v/>
      </c>
      <c r="F945" t="str">
        <f t="shared" si="14"/>
        <v/>
      </c>
    </row>
    <row r="946" spans="1:6">
      <c r="A946" t="str">
        <f>IFERROR(INDEX(BASE!$A$4:$A$10003, SMALL(IF(BASE!$F$4:$F$10003="CARREGADO", ROW(BASE!$A$4:$A$10003)-ROW(BASE!$A$4)+1), ROW(A945))), "")</f>
        <v/>
      </c>
      <c r="B946" t="str">
        <f>IF(A946="", "", VLOOKUP(A946, BASE!$A$4:$B$10003, 2, FALSE))</f>
        <v/>
      </c>
      <c r="C946" t="str">
        <f>IF(A946="", "", VLOOKUP(A946, BASE!$A$4:$C$10003, 3, FALSE))</f>
        <v/>
      </c>
      <c r="D946" t="str">
        <f>IF(A946="", "", VLOOKUP(A946, BASE!$A$4:$D$10003, 4, FALSE))</f>
        <v/>
      </c>
      <c r="E946" t="str">
        <f>IF(A946="", "", VLOOKUP(A946, BASE!$A$4:$E$10003, 5, FALSE))</f>
        <v/>
      </c>
      <c r="F946" t="str">
        <f t="shared" si="14"/>
        <v/>
      </c>
    </row>
    <row r="947" spans="1:6">
      <c r="A947" t="str">
        <f>IFERROR(INDEX(BASE!$A$4:$A$10003, SMALL(IF(BASE!$F$4:$F$10003="CARREGADO", ROW(BASE!$A$4:$A$10003)-ROW(BASE!$A$4)+1), ROW(A946))), "")</f>
        <v/>
      </c>
      <c r="B947" t="str">
        <f>IF(A947="", "", VLOOKUP(A947, BASE!$A$4:$B$10003, 2, FALSE))</f>
        <v/>
      </c>
      <c r="C947" t="str">
        <f>IF(A947="", "", VLOOKUP(A947, BASE!$A$4:$C$10003, 3, FALSE))</f>
        <v/>
      </c>
      <c r="D947" t="str">
        <f>IF(A947="", "", VLOOKUP(A947, BASE!$A$4:$D$10003, 4, FALSE))</f>
        <v/>
      </c>
      <c r="E947" t="str">
        <f>IF(A947="", "", VLOOKUP(A947, BASE!$A$4:$E$10003, 5, FALSE))</f>
        <v/>
      </c>
      <c r="F947" t="str">
        <f t="shared" si="14"/>
        <v/>
      </c>
    </row>
    <row r="948" spans="1:6">
      <c r="A948" t="str">
        <f>IFERROR(INDEX(BASE!$A$4:$A$10003, SMALL(IF(BASE!$F$4:$F$10003="CARREGADO", ROW(BASE!$A$4:$A$10003)-ROW(BASE!$A$4)+1), ROW(A947))), "")</f>
        <v/>
      </c>
      <c r="B948" t="str">
        <f>IF(A948="", "", VLOOKUP(A948, BASE!$A$4:$B$10003, 2, FALSE))</f>
        <v/>
      </c>
      <c r="C948" t="str">
        <f>IF(A948="", "", VLOOKUP(A948, BASE!$A$4:$C$10003, 3, FALSE))</f>
        <v/>
      </c>
      <c r="D948" t="str">
        <f>IF(A948="", "", VLOOKUP(A948, BASE!$A$4:$D$10003, 4, FALSE))</f>
        <v/>
      </c>
      <c r="E948" t="str">
        <f>IF(A948="", "", VLOOKUP(A948, BASE!$A$4:$E$10003, 5, FALSE))</f>
        <v/>
      </c>
      <c r="F948" t="str">
        <f t="shared" si="14"/>
        <v/>
      </c>
    </row>
    <row r="949" spans="1:6">
      <c r="A949" t="str">
        <f>IFERROR(INDEX(BASE!$A$4:$A$10003, SMALL(IF(BASE!$F$4:$F$10003="CARREGADO", ROW(BASE!$A$4:$A$10003)-ROW(BASE!$A$4)+1), ROW(A948))), "")</f>
        <v/>
      </c>
      <c r="B949" t="str">
        <f>IF(A949="", "", VLOOKUP(A949, BASE!$A$4:$B$10003, 2, FALSE))</f>
        <v/>
      </c>
      <c r="C949" t="str">
        <f>IF(A949="", "", VLOOKUP(A949, BASE!$A$4:$C$10003, 3, FALSE))</f>
        <v/>
      </c>
      <c r="D949" t="str">
        <f>IF(A949="", "", VLOOKUP(A949, BASE!$A$4:$D$10003, 4, FALSE))</f>
        <v/>
      </c>
      <c r="E949" t="str">
        <f>IF(A949="", "", VLOOKUP(A949, BASE!$A$4:$E$10003, 5, FALSE))</f>
        <v/>
      </c>
      <c r="F949" t="str">
        <f t="shared" si="14"/>
        <v/>
      </c>
    </row>
    <row r="950" spans="1:6">
      <c r="A950" t="str">
        <f>IFERROR(INDEX(BASE!$A$4:$A$10003, SMALL(IF(BASE!$F$4:$F$10003="CARREGADO", ROW(BASE!$A$4:$A$10003)-ROW(BASE!$A$4)+1), ROW(A949))), "")</f>
        <v/>
      </c>
      <c r="B950" t="str">
        <f>IF(A950="", "", VLOOKUP(A950, BASE!$A$4:$B$10003, 2, FALSE))</f>
        <v/>
      </c>
      <c r="C950" t="str">
        <f>IF(A950="", "", VLOOKUP(A950, BASE!$A$4:$C$10003, 3, FALSE))</f>
        <v/>
      </c>
      <c r="D950" t="str">
        <f>IF(A950="", "", VLOOKUP(A950, BASE!$A$4:$D$10003, 4, FALSE))</f>
        <v/>
      </c>
      <c r="E950" t="str">
        <f>IF(A950="", "", VLOOKUP(A950, BASE!$A$4:$E$10003, 5, FALSE))</f>
        <v/>
      </c>
      <c r="F950" t="str">
        <f t="shared" si="14"/>
        <v/>
      </c>
    </row>
    <row r="951" spans="1:6">
      <c r="A951" t="str">
        <f>IFERROR(INDEX(BASE!$A$4:$A$10003, SMALL(IF(BASE!$F$4:$F$10003="CARREGADO", ROW(BASE!$A$4:$A$10003)-ROW(BASE!$A$4)+1), ROW(A950))), "")</f>
        <v/>
      </c>
      <c r="B951" t="str">
        <f>IF(A951="", "", VLOOKUP(A951, BASE!$A$4:$B$10003, 2, FALSE))</f>
        <v/>
      </c>
      <c r="C951" t="str">
        <f>IF(A951="", "", VLOOKUP(A951, BASE!$A$4:$C$10003, 3, FALSE))</f>
        <v/>
      </c>
      <c r="D951" t="str">
        <f>IF(A951="", "", VLOOKUP(A951, BASE!$A$4:$D$10003, 4, FALSE))</f>
        <v/>
      </c>
      <c r="E951" t="str">
        <f>IF(A951="", "", VLOOKUP(A951, BASE!$A$4:$E$10003, 5, FALSE))</f>
        <v/>
      </c>
      <c r="F951" t="str">
        <f t="shared" si="14"/>
        <v/>
      </c>
    </row>
    <row r="952" spans="1:6">
      <c r="A952" t="str">
        <f>IFERROR(INDEX(BASE!$A$4:$A$10003, SMALL(IF(BASE!$F$4:$F$10003="CARREGADO", ROW(BASE!$A$4:$A$10003)-ROW(BASE!$A$4)+1), ROW(A951))), "")</f>
        <v/>
      </c>
      <c r="B952" t="str">
        <f>IF(A952="", "", VLOOKUP(A952, BASE!$A$4:$B$10003, 2, FALSE))</f>
        <v/>
      </c>
      <c r="C952" t="str">
        <f>IF(A952="", "", VLOOKUP(A952, BASE!$A$4:$C$10003, 3, FALSE))</f>
        <v/>
      </c>
      <c r="D952" t="str">
        <f>IF(A952="", "", VLOOKUP(A952, BASE!$A$4:$D$10003, 4, FALSE))</f>
        <v/>
      </c>
      <c r="E952" t="str">
        <f>IF(A952="", "", VLOOKUP(A952, BASE!$A$4:$E$10003, 5, FALSE))</f>
        <v/>
      </c>
      <c r="F952" t="str">
        <f t="shared" si="14"/>
        <v/>
      </c>
    </row>
    <row r="953" spans="1:6">
      <c r="A953" t="str">
        <f>IFERROR(INDEX(BASE!$A$4:$A$10003, SMALL(IF(BASE!$F$4:$F$10003="CARREGADO", ROW(BASE!$A$4:$A$10003)-ROW(BASE!$A$4)+1), ROW(A952))), "")</f>
        <v/>
      </c>
      <c r="B953" t="str">
        <f>IF(A953="", "", VLOOKUP(A953, BASE!$A$4:$B$10003, 2, FALSE))</f>
        <v/>
      </c>
      <c r="C953" t="str">
        <f>IF(A953="", "", VLOOKUP(A953, BASE!$A$4:$C$10003, 3, FALSE))</f>
        <v/>
      </c>
      <c r="D953" t="str">
        <f>IF(A953="", "", VLOOKUP(A953, BASE!$A$4:$D$10003, 4, FALSE))</f>
        <v/>
      </c>
      <c r="E953" t="str">
        <f>IF(A953="", "", VLOOKUP(A953, BASE!$A$4:$E$10003, 5, FALSE))</f>
        <v/>
      </c>
      <c r="F953" t="str">
        <f t="shared" si="14"/>
        <v/>
      </c>
    </row>
    <row r="954" spans="1:6">
      <c r="A954" t="str">
        <f>IFERROR(INDEX(BASE!$A$4:$A$10003, SMALL(IF(BASE!$F$4:$F$10003="CARREGADO", ROW(BASE!$A$4:$A$10003)-ROW(BASE!$A$4)+1), ROW(A953))), "")</f>
        <v/>
      </c>
      <c r="B954" t="str">
        <f>IF(A954="", "", VLOOKUP(A954, BASE!$A$4:$B$10003, 2, FALSE))</f>
        <v/>
      </c>
      <c r="C954" t="str">
        <f>IF(A954="", "", VLOOKUP(A954, BASE!$A$4:$C$10003, 3, FALSE))</f>
        <v/>
      </c>
      <c r="D954" t="str">
        <f>IF(A954="", "", VLOOKUP(A954, BASE!$A$4:$D$10003, 4, FALSE))</f>
        <v/>
      </c>
      <c r="E954" t="str">
        <f>IF(A954="", "", VLOOKUP(A954, BASE!$A$4:$E$10003, 5, FALSE))</f>
        <v/>
      </c>
      <c r="F954" t="str">
        <f t="shared" si="14"/>
        <v/>
      </c>
    </row>
    <row r="955" spans="1:6">
      <c r="A955" t="str">
        <f>IFERROR(INDEX(BASE!$A$4:$A$10003, SMALL(IF(BASE!$F$4:$F$10003="CARREGADO", ROW(BASE!$A$4:$A$10003)-ROW(BASE!$A$4)+1), ROW(A954))), "")</f>
        <v/>
      </c>
      <c r="B955" t="str">
        <f>IF(A955="", "", VLOOKUP(A955, BASE!$A$4:$B$10003, 2, FALSE))</f>
        <v/>
      </c>
      <c r="C955" t="str">
        <f>IF(A955="", "", VLOOKUP(A955, BASE!$A$4:$C$10003, 3, FALSE))</f>
        <v/>
      </c>
      <c r="D955" t="str">
        <f>IF(A955="", "", VLOOKUP(A955, BASE!$A$4:$D$10003, 4, FALSE))</f>
        <v/>
      </c>
      <c r="E955" t="str">
        <f>IF(A955="", "", VLOOKUP(A955, BASE!$A$4:$E$10003, 5, FALSE))</f>
        <v/>
      </c>
      <c r="F955" t="str">
        <f t="shared" si="14"/>
        <v/>
      </c>
    </row>
    <row r="956" spans="1:6">
      <c r="A956" t="str">
        <f>IFERROR(INDEX(BASE!$A$4:$A$10003, SMALL(IF(BASE!$F$4:$F$10003="CARREGADO", ROW(BASE!$A$4:$A$10003)-ROW(BASE!$A$4)+1), ROW(A955))), "")</f>
        <v/>
      </c>
      <c r="B956" t="str">
        <f>IF(A956="", "", VLOOKUP(A956, BASE!$A$4:$B$10003, 2, FALSE))</f>
        <v/>
      </c>
      <c r="C956" t="str">
        <f>IF(A956="", "", VLOOKUP(A956, BASE!$A$4:$C$10003, 3, FALSE))</f>
        <v/>
      </c>
      <c r="D956" t="str">
        <f>IF(A956="", "", VLOOKUP(A956, BASE!$A$4:$D$10003, 4, FALSE))</f>
        <v/>
      </c>
      <c r="E956" t="str">
        <f>IF(A956="", "", VLOOKUP(A956, BASE!$A$4:$E$10003, 5, FALSE))</f>
        <v/>
      </c>
      <c r="F956" t="str">
        <f t="shared" si="14"/>
        <v/>
      </c>
    </row>
    <row r="957" spans="1:6">
      <c r="A957" t="str">
        <f>IFERROR(INDEX(BASE!$A$4:$A$10003, SMALL(IF(BASE!$F$4:$F$10003="CARREGADO", ROW(BASE!$A$4:$A$10003)-ROW(BASE!$A$4)+1), ROW(A956))), "")</f>
        <v/>
      </c>
      <c r="B957" t="str">
        <f>IF(A957="", "", VLOOKUP(A957, BASE!$A$4:$B$10003, 2, FALSE))</f>
        <v/>
      </c>
      <c r="C957" t="str">
        <f>IF(A957="", "", VLOOKUP(A957, BASE!$A$4:$C$10003, 3, FALSE))</f>
        <v/>
      </c>
      <c r="D957" t="str">
        <f>IF(A957="", "", VLOOKUP(A957, BASE!$A$4:$D$10003, 4, FALSE))</f>
        <v/>
      </c>
      <c r="E957" t="str">
        <f>IF(A957="", "", VLOOKUP(A957, BASE!$A$4:$E$10003, 5, FALSE))</f>
        <v/>
      </c>
      <c r="F957" t="str">
        <f t="shared" si="14"/>
        <v/>
      </c>
    </row>
    <row r="958" spans="1:6">
      <c r="A958" t="str">
        <f>IFERROR(INDEX(BASE!$A$4:$A$10003, SMALL(IF(BASE!$F$4:$F$10003="CARREGADO", ROW(BASE!$A$4:$A$10003)-ROW(BASE!$A$4)+1), ROW(A957))), "")</f>
        <v/>
      </c>
      <c r="B958" t="str">
        <f>IF(A958="", "", VLOOKUP(A958, BASE!$A$4:$B$10003, 2, FALSE))</f>
        <v/>
      </c>
      <c r="C958" t="str">
        <f>IF(A958="", "", VLOOKUP(A958, BASE!$A$4:$C$10003, 3, FALSE))</f>
        <v/>
      </c>
      <c r="D958" t="str">
        <f>IF(A958="", "", VLOOKUP(A958, BASE!$A$4:$D$10003, 4, FALSE))</f>
        <v/>
      </c>
      <c r="E958" t="str">
        <f>IF(A958="", "", VLOOKUP(A958, BASE!$A$4:$E$10003, 5, FALSE))</f>
        <v/>
      </c>
      <c r="F958" t="str">
        <f t="shared" si="14"/>
        <v/>
      </c>
    </row>
    <row r="959" spans="1:6">
      <c r="A959" t="str">
        <f>IFERROR(INDEX(BASE!$A$4:$A$10003, SMALL(IF(BASE!$F$4:$F$10003="CARREGADO", ROW(BASE!$A$4:$A$10003)-ROW(BASE!$A$4)+1), ROW(A958))), "")</f>
        <v/>
      </c>
      <c r="B959" t="str">
        <f>IF(A959="", "", VLOOKUP(A959, BASE!$A$4:$B$10003, 2, FALSE))</f>
        <v/>
      </c>
      <c r="C959" t="str">
        <f>IF(A959="", "", VLOOKUP(A959, BASE!$A$4:$C$10003, 3, FALSE))</f>
        <v/>
      </c>
      <c r="D959" t="str">
        <f>IF(A959="", "", VLOOKUP(A959, BASE!$A$4:$D$10003, 4, FALSE))</f>
        <v/>
      </c>
      <c r="E959" t="str">
        <f>IF(A959="", "", VLOOKUP(A959, BASE!$A$4:$E$10003, 5, FALSE))</f>
        <v/>
      </c>
      <c r="F959" t="str">
        <f t="shared" si="14"/>
        <v/>
      </c>
    </row>
    <row r="960" spans="1:6">
      <c r="A960" t="str">
        <f>IFERROR(INDEX(BASE!$A$4:$A$10003, SMALL(IF(BASE!$F$4:$F$10003="CARREGADO", ROW(BASE!$A$4:$A$10003)-ROW(BASE!$A$4)+1), ROW(A959))), "")</f>
        <v/>
      </c>
      <c r="B960" t="str">
        <f>IF(A960="", "", VLOOKUP(A960, BASE!$A$4:$B$10003, 2, FALSE))</f>
        <v/>
      </c>
      <c r="C960" t="str">
        <f>IF(A960="", "", VLOOKUP(A960, BASE!$A$4:$C$10003, 3, FALSE))</f>
        <v/>
      </c>
      <c r="D960" t="str">
        <f>IF(A960="", "", VLOOKUP(A960, BASE!$A$4:$D$10003, 4, FALSE))</f>
        <v/>
      </c>
      <c r="E960" t="str">
        <f>IF(A960="", "", VLOOKUP(A960, BASE!$A$4:$E$10003, 5, FALSE))</f>
        <v/>
      </c>
      <c r="F960" t="str">
        <f t="shared" si="14"/>
        <v/>
      </c>
    </row>
    <row r="961" spans="1:6">
      <c r="A961" t="str">
        <f>IFERROR(INDEX(BASE!$A$4:$A$10003, SMALL(IF(BASE!$F$4:$F$10003="CARREGADO", ROW(BASE!$A$4:$A$10003)-ROW(BASE!$A$4)+1), ROW(A960))), "")</f>
        <v/>
      </c>
      <c r="B961" t="str">
        <f>IF(A961="", "", VLOOKUP(A961, BASE!$A$4:$B$10003, 2, FALSE))</f>
        <v/>
      </c>
      <c r="C961" t="str">
        <f>IF(A961="", "", VLOOKUP(A961, BASE!$A$4:$C$10003, 3, FALSE))</f>
        <v/>
      </c>
      <c r="D961" t="str">
        <f>IF(A961="", "", VLOOKUP(A961, BASE!$A$4:$D$10003, 4, FALSE))</f>
        <v/>
      </c>
      <c r="E961" t="str">
        <f>IF(A961="", "", VLOOKUP(A961, BASE!$A$4:$E$10003, 5, FALSE))</f>
        <v/>
      </c>
      <c r="F961" t="str">
        <f t="shared" si="14"/>
        <v/>
      </c>
    </row>
    <row r="962" spans="1:6">
      <c r="A962" t="str">
        <f>IFERROR(INDEX(BASE!$A$4:$A$10003, SMALL(IF(BASE!$F$4:$F$10003="CARREGADO", ROW(BASE!$A$4:$A$10003)-ROW(BASE!$A$4)+1), ROW(A961))), "")</f>
        <v/>
      </c>
      <c r="B962" t="str">
        <f>IF(A962="", "", VLOOKUP(A962, BASE!$A$4:$B$10003, 2, FALSE))</f>
        <v/>
      </c>
      <c r="C962" t="str">
        <f>IF(A962="", "", VLOOKUP(A962, BASE!$A$4:$C$10003, 3, FALSE))</f>
        <v/>
      </c>
      <c r="D962" t="str">
        <f>IF(A962="", "", VLOOKUP(A962, BASE!$A$4:$D$10003, 4, FALSE))</f>
        <v/>
      </c>
      <c r="E962" t="str">
        <f>IF(A962="", "", VLOOKUP(A962, BASE!$A$4:$E$10003, 5, FALSE))</f>
        <v/>
      </c>
      <c r="F962" t="str">
        <f t="shared" ref="F962:F1000" si="15">IF(A962="", "", "CARREGADO")</f>
        <v/>
      </c>
    </row>
    <row r="963" spans="1:6">
      <c r="A963" t="str">
        <f>IFERROR(INDEX(BASE!$A$4:$A$10003, SMALL(IF(BASE!$F$4:$F$10003="CARREGADO", ROW(BASE!$A$4:$A$10003)-ROW(BASE!$A$4)+1), ROW(A962))), "")</f>
        <v/>
      </c>
      <c r="B963" t="str">
        <f>IF(A963="", "", VLOOKUP(A963, BASE!$A$4:$B$10003, 2, FALSE))</f>
        <v/>
      </c>
      <c r="C963" t="str">
        <f>IF(A963="", "", VLOOKUP(A963, BASE!$A$4:$C$10003, 3, FALSE))</f>
        <v/>
      </c>
      <c r="D963" t="str">
        <f>IF(A963="", "", VLOOKUP(A963, BASE!$A$4:$D$10003, 4, FALSE))</f>
        <v/>
      </c>
      <c r="E963" t="str">
        <f>IF(A963="", "", VLOOKUP(A963, BASE!$A$4:$E$10003, 5, FALSE))</f>
        <v/>
      </c>
      <c r="F963" t="str">
        <f t="shared" si="15"/>
        <v/>
      </c>
    </row>
    <row r="964" spans="1:6">
      <c r="A964" t="str">
        <f>IFERROR(INDEX(BASE!$A$4:$A$10003, SMALL(IF(BASE!$F$4:$F$10003="CARREGADO", ROW(BASE!$A$4:$A$10003)-ROW(BASE!$A$4)+1), ROW(A963))), "")</f>
        <v/>
      </c>
      <c r="B964" t="str">
        <f>IF(A964="", "", VLOOKUP(A964, BASE!$A$4:$B$10003, 2, FALSE))</f>
        <v/>
      </c>
      <c r="C964" t="str">
        <f>IF(A964="", "", VLOOKUP(A964, BASE!$A$4:$C$10003, 3, FALSE))</f>
        <v/>
      </c>
      <c r="D964" t="str">
        <f>IF(A964="", "", VLOOKUP(A964, BASE!$A$4:$D$10003, 4, FALSE))</f>
        <v/>
      </c>
      <c r="E964" t="str">
        <f>IF(A964="", "", VLOOKUP(A964, BASE!$A$4:$E$10003, 5, FALSE))</f>
        <v/>
      </c>
      <c r="F964" t="str">
        <f t="shared" si="15"/>
        <v/>
      </c>
    </row>
    <row r="965" spans="1:6">
      <c r="A965" t="str">
        <f>IFERROR(INDEX(BASE!$A$4:$A$10003, SMALL(IF(BASE!$F$4:$F$10003="CARREGADO", ROW(BASE!$A$4:$A$10003)-ROW(BASE!$A$4)+1), ROW(A964))), "")</f>
        <v/>
      </c>
      <c r="B965" t="str">
        <f>IF(A965="", "", VLOOKUP(A965, BASE!$A$4:$B$10003, 2, FALSE))</f>
        <v/>
      </c>
      <c r="C965" t="str">
        <f>IF(A965="", "", VLOOKUP(A965, BASE!$A$4:$C$10003, 3, FALSE))</f>
        <v/>
      </c>
      <c r="D965" t="str">
        <f>IF(A965="", "", VLOOKUP(A965, BASE!$A$4:$D$10003, 4, FALSE))</f>
        <v/>
      </c>
      <c r="E965" t="str">
        <f>IF(A965="", "", VLOOKUP(A965, BASE!$A$4:$E$10003, 5, FALSE))</f>
        <v/>
      </c>
      <c r="F965" t="str">
        <f t="shared" si="15"/>
        <v/>
      </c>
    </row>
    <row r="966" spans="1:6">
      <c r="A966" t="str">
        <f>IFERROR(INDEX(BASE!$A$4:$A$10003, SMALL(IF(BASE!$F$4:$F$10003="CARREGADO", ROW(BASE!$A$4:$A$10003)-ROW(BASE!$A$4)+1), ROW(A965))), "")</f>
        <v/>
      </c>
      <c r="B966" t="str">
        <f>IF(A966="", "", VLOOKUP(A966, BASE!$A$4:$B$10003, 2, FALSE))</f>
        <v/>
      </c>
      <c r="C966" t="str">
        <f>IF(A966="", "", VLOOKUP(A966, BASE!$A$4:$C$10003, 3, FALSE))</f>
        <v/>
      </c>
      <c r="D966" t="str">
        <f>IF(A966="", "", VLOOKUP(A966, BASE!$A$4:$D$10003, 4, FALSE))</f>
        <v/>
      </c>
      <c r="E966" t="str">
        <f>IF(A966="", "", VLOOKUP(A966, BASE!$A$4:$E$10003, 5, FALSE))</f>
        <v/>
      </c>
      <c r="F966" t="str">
        <f t="shared" si="15"/>
        <v/>
      </c>
    </row>
    <row r="967" spans="1:6">
      <c r="A967" t="str">
        <f>IFERROR(INDEX(BASE!$A$4:$A$10003, SMALL(IF(BASE!$F$4:$F$10003="CARREGADO", ROW(BASE!$A$4:$A$10003)-ROW(BASE!$A$4)+1), ROW(A966))), "")</f>
        <v/>
      </c>
      <c r="B967" t="str">
        <f>IF(A967="", "", VLOOKUP(A967, BASE!$A$4:$B$10003, 2, FALSE))</f>
        <v/>
      </c>
      <c r="C967" t="str">
        <f>IF(A967="", "", VLOOKUP(A967, BASE!$A$4:$C$10003, 3, FALSE))</f>
        <v/>
      </c>
      <c r="D967" t="str">
        <f>IF(A967="", "", VLOOKUP(A967, BASE!$A$4:$D$10003, 4, FALSE))</f>
        <v/>
      </c>
      <c r="E967" t="str">
        <f>IF(A967="", "", VLOOKUP(A967, BASE!$A$4:$E$10003, 5, FALSE))</f>
        <v/>
      </c>
      <c r="F967" t="str">
        <f t="shared" si="15"/>
        <v/>
      </c>
    </row>
    <row r="968" spans="1:6">
      <c r="A968" t="str">
        <f>IFERROR(INDEX(BASE!$A$4:$A$10003, SMALL(IF(BASE!$F$4:$F$10003="CARREGADO", ROW(BASE!$A$4:$A$10003)-ROW(BASE!$A$4)+1), ROW(A967))), "")</f>
        <v/>
      </c>
      <c r="B968" t="str">
        <f>IF(A968="", "", VLOOKUP(A968, BASE!$A$4:$B$10003, 2, FALSE))</f>
        <v/>
      </c>
      <c r="C968" t="str">
        <f>IF(A968="", "", VLOOKUP(A968, BASE!$A$4:$C$10003, 3, FALSE))</f>
        <v/>
      </c>
      <c r="D968" t="str">
        <f>IF(A968="", "", VLOOKUP(A968, BASE!$A$4:$D$10003, 4, FALSE))</f>
        <v/>
      </c>
      <c r="E968" t="str">
        <f>IF(A968="", "", VLOOKUP(A968, BASE!$A$4:$E$10003, 5, FALSE))</f>
        <v/>
      </c>
      <c r="F968" t="str">
        <f t="shared" si="15"/>
        <v/>
      </c>
    </row>
    <row r="969" spans="1:6">
      <c r="A969" t="str">
        <f>IFERROR(INDEX(BASE!$A$4:$A$10003, SMALL(IF(BASE!$F$4:$F$10003="CARREGADO", ROW(BASE!$A$4:$A$10003)-ROW(BASE!$A$4)+1), ROW(A968))), "")</f>
        <v/>
      </c>
      <c r="B969" t="str">
        <f>IF(A969="", "", VLOOKUP(A969, BASE!$A$4:$B$10003, 2, FALSE))</f>
        <v/>
      </c>
      <c r="C969" t="str">
        <f>IF(A969="", "", VLOOKUP(A969, BASE!$A$4:$C$10003, 3, FALSE))</f>
        <v/>
      </c>
      <c r="D969" t="str">
        <f>IF(A969="", "", VLOOKUP(A969, BASE!$A$4:$D$10003, 4, FALSE))</f>
        <v/>
      </c>
      <c r="E969" t="str">
        <f>IF(A969="", "", VLOOKUP(A969, BASE!$A$4:$E$10003, 5, FALSE))</f>
        <v/>
      </c>
      <c r="F969" t="str">
        <f t="shared" si="15"/>
        <v/>
      </c>
    </row>
    <row r="970" spans="1:6">
      <c r="A970" t="str">
        <f>IFERROR(INDEX(BASE!$A$4:$A$10003, SMALL(IF(BASE!$F$4:$F$10003="CARREGADO", ROW(BASE!$A$4:$A$10003)-ROW(BASE!$A$4)+1), ROW(A969))), "")</f>
        <v/>
      </c>
      <c r="B970" t="str">
        <f>IF(A970="", "", VLOOKUP(A970, BASE!$A$4:$B$10003, 2, FALSE))</f>
        <v/>
      </c>
      <c r="C970" t="str">
        <f>IF(A970="", "", VLOOKUP(A970, BASE!$A$4:$C$10003, 3, FALSE))</f>
        <v/>
      </c>
      <c r="D970" t="str">
        <f>IF(A970="", "", VLOOKUP(A970, BASE!$A$4:$D$10003, 4, FALSE))</f>
        <v/>
      </c>
      <c r="E970" t="str">
        <f>IF(A970="", "", VLOOKUP(A970, BASE!$A$4:$E$10003, 5, FALSE))</f>
        <v/>
      </c>
      <c r="F970" t="str">
        <f t="shared" si="15"/>
        <v/>
      </c>
    </row>
    <row r="971" spans="1:6">
      <c r="A971" t="str">
        <f>IFERROR(INDEX(BASE!$A$4:$A$10003, SMALL(IF(BASE!$F$4:$F$10003="CARREGADO", ROW(BASE!$A$4:$A$10003)-ROW(BASE!$A$4)+1), ROW(A970))), "")</f>
        <v/>
      </c>
      <c r="B971" t="str">
        <f>IF(A971="", "", VLOOKUP(A971, BASE!$A$4:$B$10003, 2, FALSE))</f>
        <v/>
      </c>
      <c r="C971" t="str">
        <f>IF(A971="", "", VLOOKUP(A971, BASE!$A$4:$C$10003, 3, FALSE))</f>
        <v/>
      </c>
      <c r="D971" t="str">
        <f>IF(A971="", "", VLOOKUP(A971, BASE!$A$4:$D$10003, 4, FALSE))</f>
        <v/>
      </c>
      <c r="E971" t="str">
        <f>IF(A971="", "", VLOOKUP(A971, BASE!$A$4:$E$10003, 5, FALSE))</f>
        <v/>
      </c>
      <c r="F971" t="str">
        <f t="shared" si="15"/>
        <v/>
      </c>
    </row>
    <row r="972" spans="1:6">
      <c r="A972" t="str">
        <f>IFERROR(INDEX(BASE!$A$4:$A$10003, SMALL(IF(BASE!$F$4:$F$10003="CARREGADO", ROW(BASE!$A$4:$A$10003)-ROW(BASE!$A$4)+1), ROW(A971))), "")</f>
        <v/>
      </c>
      <c r="B972" t="str">
        <f>IF(A972="", "", VLOOKUP(A972, BASE!$A$4:$B$10003, 2, FALSE))</f>
        <v/>
      </c>
      <c r="C972" t="str">
        <f>IF(A972="", "", VLOOKUP(A972, BASE!$A$4:$C$10003, 3, FALSE))</f>
        <v/>
      </c>
      <c r="D972" t="str">
        <f>IF(A972="", "", VLOOKUP(A972, BASE!$A$4:$D$10003, 4, FALSE))</f>
        <v/>
      </c>
      <c r="E972" t="str">
        <f>IF(A972="", "", VLOOKUP(A972, BASE!$A$4:$E$10003, 5, FALSE))</f>
        <v/>
      </c>
      <c r="F972" t="str">
        <f t="shared" si="15"/>
        <v/>
      </c>
    </row>
    <row r="973" spans="1:6">
      <c r="A973" t="str">
        <f>IFERROR(INDEX(BASE!$A$4:$A$10003, SMALL(IF(BASE!$F$4:$F$10003="CARREGADO", ROW(BASE!$A$4:$A$10003)-ROW(BASE!$A$4)+1), ROW(A972))), "")</f>
        <v/>
      </c>
      <c r="B973" t="str">
        <f>IF(A973="", "", VLOOKUP(A973, BASE!$A$4:$B$10003, 2, FALSE))</f>
        <v/>
      </c>
      <c r="C973" t="str">
        <f>IF(A973="", "", VLOOKUP(A973, BASE!$A$4:$C$10003, 3, FALSE))</f>
        <v/>
      </c>
      <c r="D973" t="str">
        <f>IF(A973="", "", VLOOKUP(A973, BASE!$A$4:$D$10003, 4, FALSE))</f>
        <v/>
      </c>
      <c r="E973" t="str">
        <f>IF(A973="", "", VLOOKUP(A973, BASE!$A$4:$E$10003, 5, FALSE))</f>
        <v/>
      </c>
      <c r="F973" t="str">
        <f t="shared" si="15"/>
        <v/>
      </c>
    </row>
    <row r="974" spans="1:6">
      <c r="A974" t="str">
        <f>IFERROR(INDEX(BASE!$A$4:$A$10003, SMALL(IF(BASE!$F$4:$F$10003="CARREGADO", ROW(BASE!$A$4:$A$10003)-ROW(BASE!$A$4)+1), ROW(A973))), "")</f>
        <v/>
      </c>
      <c r="B974" t="str">
        <f>IF(A974="", "", VLOOKUP(A974, BASE!$A$4:$B$10003, 2, FALSE))</f>
        <v/>
      </c>
      <c r="C974" t="str">
        <f>IF(A974="", "", VLOOKUP(A974, BASE!$A$4:$C$10003, 3, FALSE))</f>
        <v/>
      </c>
      <c r="D974" t="str">
        <f>IF(A974="", "", VLOOKUP(A974, BASE!$A$4:$D$10003, 4, FALSE))</f>
        <v/>
      </c>
      <c r="E974" t="str">
        <f>IF(A974="", "", VLOOKUP(A974, BASE!$A$4:$E$10003, 5, FALSE))</f>
        <v/>
      </c>
      <c r="F974" t="str">
        <f t="shared" si="15"/>
        <v/>
      </c>
    </row>
    <row r="975" spans="1:6">
      <c r="A975" t="str">
        <f>IFERROR(INDEX(BASE!$A$4:$A$10003, SMALL(IF(BASE!$F$4:$F$10003="CARREGADO", ROW(BASE!$A$4:$A$10003)-ROW(BASE!$A$4)+1), ROW(A974))), "")</f>
        <v/>
      </c>
      <c r="B975" t="str">
        <f>IF(A975="", "", VLOOKUP(A975, BASE!$A$4:$B$10003, 2, FALSE))</f>
        <v/>
      </c>
      <c r="C975" t="str">
        <f>IF(A975="", "", VLOOKUP(A975, BASE!$A$4:$C$10003, 3, FALSE))</f>
        <v/>
      </c>
      <c r="D975" t="str">
        <f>IF(A975="", "", VLOOKUP(A975, BASE!$A$4:$D$10003, 4, FALSE))</f>
        <v/>
      </c>
      <c r="E975" t="str">
        <f>IF(A975="", "", VLOOKUP(A975, BASE!$A$4:$E$10003, 5, FALSE))</f>
        <v/>
      </c>
      <c r="F975" t="str">
        <f t="shared" si="15"/>
        <v/>
      </c>
    </row>
    <row r="976" spans="1:6">
      <c r="A976" t="str">
        <f>IFERROR(INDEX(BASE!$A$4:$A$10003, SMALL(IF(BASE!$F$4:$F$10003="CARREGADO", ROW(BASE!$A$4:$A$10003)-ROW(BASE!$A$4)+1), ROW(A975))), "")</f>
        <v/>
      </c>
      <c r="B976" t="str">
        <f>IF(A976="", "", VLOOKUP(A976, BASE!$A$4:$B$10003, 2, FALSE))</f>
        <v/>
      </c>
      <c r="C976" t="str">
        <f>IF(A976="", "", VLOOKUP(A976, BASE!$A$4:$C$10003, 3, FALSE))</f>
        <v/>
      </c>
      <c r="D976" t="str">
        <f>IF(A976="", "", VLOOKUP(A976, BASE!$A$4:$D$10003, 4, FALSE))</f>
        <v/>
      </c>
      <c r="E976" t="str">
        <f>IF(A976="", "", VLOOKUP(A976, BASE!$A$4:$E$10003, 5, FALSE))</f>
        <v/>
      </c>
      <c r="F976" t="str">
        <f t="shared" si="15"/>
        <v/>
      </c>
    </row>
    <row r="977" spans="1:6">
      <c r="A977" t="str">
        <f>IFERROR(INDEX(BASE!$A$4:$A$10003, SMALL(IF(BASE!$F$4:$F$10003="CARREGADO", ROW(BASE!$A$4:$A$10003)-ROW(BASE!$A$4)+1), ROW(A976))), "")</f>
        <v/>
      </c>
      <c r="B977" t="str">
        <f>IF(A977="", "", VLOOKUP(A977, BASE!$A$4:$B$10003, 2, FALSE))</f>
        <v/>
      </c>
      <c r="C977" t="str">
        <f>IF(A977="", "", VLOOKUP(A977, BASE!$A$4:$C$10003, 3, FALSE))</f>
        <v/>
      </c>
      <c r="D977" t="str">
        <f>IF(A977="", "", VLOOKUP(A977, BASE!$A$4:$D$10003, 4, FALSE))</f>
        <v/>
      </c>
      <c r="E977" t="str">
        <f>IF(A977="", "", VLOOKUP(A977, BASE!$A$4:$E$10003, 5, FALSE))</f>
        <v/>
      </c>
      <c r="F977" t="str">
        <f t="shared" si="15"/>
        <v/>
      </c>
    </row>
    <row r="978" spans="1:6">
      <c r="A978" t="str">
        <f>IFERROR(INDEX(BASE!$A$4:$A$10003, SMALL(IF(BASE!$F$4:$F$10003="CARREGADO", ROW(BASE!$A$4:$A$10003)-ROW(BASE!$A$4)+1), ROW(A977))), "")</f>
        <v/>
      </c>
      <c r="B978" t="str">
        <f>IF(A978="", "", VLOOKUP(A978, BASE!$A$4:$B$10003, 2, FALSE))</f>
        <v/>
      </c>
      <c r="C978" t="str">
        <f>IF(A978="", "", VLOOKUP(A978, BASE!$A$4:$C$10003, 3, FALSE))</f>
        <v/>
      </c>
      <c r="D978" t="str">
        <f>IF(A978="", "", VLOOKUP(A978, BASE!$A$4:$D$10003, 4, FALSE))</f>
        <v/>
      </c>
      <c r="E978" t="str">
        <f>IF(A978="", "", VLOOKUP(A978, BASE!$A$4:$E$10003, 5, FALSE))</f>
        <v/>
      </c>
      <c r="F978" t="str">
        <f t="shared" si="15"/>
        <v/>
      </c>
    </row>
    <row r="979" spans="1:6">
      <c r="A979" t="str">
        <f>IFERROR(INDEX(BASE!$A$4:$A$10003, SMALL(IF(BASE!$F$4:$F$10003="CARREGADO", ROW(BASE!$A$4:$A$10003)-ROW(BASE!$A$4)+1), ROW(A978))), "")</f>
        <v/>
      </c>
      <c r="B979" t="str">
        <f>IF(A979="", "", VLOOKUP(A979, BASE!$A$4:$B$10003, 2, FALSE))</f>
        <v/>
      </c>
      <c r="C979" t="str">
        <f>IF(A979="", "", VLOOKUP(A979, BASE!$A$4:$C$10003, 3, FALSE))</f>
        <v/>
      </c>
      <c r="D979" t="str">
        <f>IF(A979="", "", VLOOKUP(A979, BASE!$A$4:$D$10003, 4, FALSE))</f>
        <v/>
      </c>
      <c r="E979" t="str">
        <f>IF(A979="", "", VLOOKUP(A979, BASE!$A$4:$E$10003, 5, FALSE))</f>
        <v/>
      </c>
      <c r="F979" t="str">
        <f t="shared" si="15"/>
        <v/>
      </c>
    </row>
    <row r="980" spans="1:6">
      <c r="A980" t="str">
        <f>IFERROR(INDEX(BASE!$A$4:$A$10003, SMALL(IF(BASE!$F$4:$F$10003="CARREGADO", ROW(BASE!$A$4:$A$10003)-ROW(BASE!$A$4)+1), ROW(A979))), "")</f>
        <v/>
      </c>
      <c r="B980" t="str">
        <f>IF(A980="", "", VLOOKUP(A980, BASE!$A$4:$B$10003, 2, FALSE))</f>
        <v/>
      </c>
      <c r="C980" t="str">
        <f>IF(A980="", "", VLOOKUP(A980, BASE!$A$4:$C$10003, 3, FALSE))</f>
        <v/>
      </c>
      <c r="D980" t="str">
        <f>IF(A980="", "", VLOOKUP(A980, BASE!$A$4:$D$10003, 4, FALSE))</f>
        <v/>
      </c>
      <c r="E980" t="str">
        <f>IF(A980="", "", VLOOKUP(A980, BASE!$A$4:$E$10003, 5, FALSE))</f>
        <v/>
      </c>
      <c r="F980" t="str">
        <f t="shared" si="15"/>
        <v/>
      </c>
    </row>
    <row r="981" spans="1:6">
      <c r="A981" t="str">
        <f>IFERROR(INDEX(BASE!$A$4:$A$10003, SMALL(IF(BASE!$F$4:$F$10003="CARREGADO", ROW(BASE!$A$4:$A$10003)-ROW(BASE!$A$4)+1), ROW(A980))), "")</f>
        <v/>
      </c>
      <c r="B981" t="str">
        <f>IF(A981="", "", VLOOKUP(A981, BASE!$A$4:$B$10003, 2, FALSE))</f>
        <v/>
      </c>
      <c r="C981" t="str">
        <f>IF(A981="", "", VLOOKUP(A981, BASE!$A$4:$C$10003, 3, FALSE))</f>
        <v/>
      </c>
      <c r="D981" t="str">
        <f>IF(A981="", "", VLOOKUP(A981, BASE!$A$4:$D$10003, 4, FALSE))</f>
        <v/>
      </c>
      <c r="E981" t="str">
        <f>IF(A981="", "", VLOOKUP(A981, BASE!$A$4:$E$10003, 5, FALSE))</f>
        <v/>
      </c>
      <c r="F981" t="str">
        <f t="shared" si="15"/>
        <v/>
      </c>
    </row>
    <row r="982" spans="1:6">
      <c r="A982" t="str">
        <f>IFERROR(INDEX(BASE!$A$4:$A$10003, SMALL(IF(BASE!$F$4:$F$10003="CARREGADO", ROW(BASE!$A$4:$A$10003)-ROW(BASE!$A$4)+1), ROW(A981))), "")</f>
        <v/>
      </c>
      <c r="B982" t="str">
        <f>IF(A982="", "", VLOOKUP(A982, BASE!$A$4:$B$10003, 2, FALSE))</f>
        <v/>
      </c>
      <c r="C982" t="str">
        <f>IF(A982="", "", VLOOKUP(A982, BASE!$A$4:$C$10003, 3, FALSE))</f>
        <v/>
      </c>
      <c r="D982" t="str">
        <f>IF(A982="", "", VLOOKUP(A982, BASE!$A$4:$D$10003, 4, FALSE))</f>
        <v/>
      </c>
      <c r="E982" t="str">
        <f>IF(A982="", "", VLOOKUP(A982, BASE!$A$4:$E$10003, 5, FALSE))</f>
        <v/>
      </c>
      <c r="F982" t="str">
        <f t="shared" si="15"/>
        <v/>
      </c>
    </row>
    <row r="983" spans="1:6">
      <c r="A983" t="str">
        <f>IFERROR(INDEX(BASE!$A$4:$A$10003, SMALL(IF(BASE!$F$4:$F$10003="CARREGADO", ROW(BASE!$A$4:$A$10003)-ROW(BASE!$A$4)+1), ROW(A982))), "")</f>
        <v/>
      </c>
      <c r="B983" t="str">
        <f>IF(A983="", "", VLOOKUP(A983, BASE!$A$4:$B$10003, 2, FALSE))</f>
        <v/>
      </c>
      <c r="C983" t="str">
        <f>IF(A983="", "", VLOOKUP(A983, BASE!$A$4:$C$10003, 3, FALSE))</f>
        <v/>
      </c>
      <c r="D983" t="str">
        <f>IF(A983="", "", VLOOKUP(A983, BASE!$A$4:$D$10003, 4, FALSE))</f>
        <v/>
      </c>
      <c r="E983" t="str">
        <f>IF(A983="", "", VLOOKUP(A983, BASE!$A$4:$E$10003, 5, FALSE))</f>
        <v/>
      </c>
      <c r="F983" t="str">
        <f t="shared" si="15"/>
        <v/>
      </c>
    </row>
    <row r="984" spans="1:6">
      <c r="A984" t="str">
        <f>IFERROR(INDEX(BASE!$A$4:$A$10003, SMALL(IF(BASE!$F$4:$F$10003="CARREGADO", ROW(BASE!$A$4:$A$10003)-ROW(BASE!$A$4)+1), ROW(A983))), "")</f>
        <v/>
      </c>
      <c r="B984" t="str">
        <f>IF(A984="", "", VLOOKUP(A984, BASE!$A$4:$B$10003, 2, FALSE))</f>
        <v/>
      </c>
      <c r="C984" t="str">
        <f>IF(A984="", "", VLOOKUP(A984, BASE!$A$4:$C$10003, 3, FALSE))</f>
        <v/>
      </c>
      <c r="D984" t="str">
        <f>IF(A984="", "", VLOOKUP(A984, BASE!$A$4:$D$10003, 4, FALSE))</f>
        <v/>
      </c>
      <c r="E984" t="str">
        <f>IF(A984="", "", VLOOKUP(A984, BASE!$A$4:$E$10003, 5, FALSE))</f>
        <v/>
      </c>
      <c r="F984" t="str">
        <f t="shared" si="15"/>
        <v/>
      </c>
    </row>
    <row r="985" spans="1:6">
      <c r="A985" t="str">
        <f>IFERROR(INDEX(BASE!$A$4:$A$10003, SMALL(IF(BASE!$F$4:$F$10003="CARREGADO", ROW(BASE!$A$4:$A$10003)-ROW(BASE!$A$4)+1), ROW(A984))), "")</f>
        <v/>
      </c>
      <c r="B985" t="str">
        <f>IF(A985="", "", VLOOKUP(A985, BASE!$A$4:$B$10003, 2, FALSE))</f>
        <v/>
      </c>
      <c r="C985" t="str">
        <f>IF(A985="", "", VLOOKUP(A985, BASE!$A$4:$C$10003, 3, FALSE))</f>
        <v/>
      </c>
      <c r="D985" t="str">
        <f>IF(A985="", "", VLOOKUP(A985, BASE!$A$4:$D$10003, 4, FALSE))</f>
        <v/>
      </c>
      <c r="E985" t="str">
        <f>IF(A985="", "", VLOOKUP(A985, BASE!$A$4:$E$10003, 5, FALSE))</f>
        <v/>
      </c>
      <c r="F985" t="str">
        <f t="shared" si="15"/>
        <v/>
      </c>
    </row>
    <row r="986" spans="1:6">
      <c r="A986" t="str">
        <f>IFERROR(INDEX(BASE!$A$4:$A$10003, SMALL(IF(BASE!$F$4:$F$10003="CARREGADO", ROW(BASE!$A$4:$A$10003)-ROW(BASE!$A$4)+1), ROW(A985))), "")</f>
        <v/>
      </c>
      <c r="B986" t="str">
        <f>IF(A986="", "", VLOOKUP(A986, BASE!$A$4:$B$10003, 2, FALSE))</f>
        <v/>
      </c>
      <c r="C986" t="str">
        <f>IF(A986="", "", VLOOKUP(A986, BASE!$A$4:$C$10003, 3, FALSE))</f>
        <v/>
      </c>
      <c r="D986" t="str">
        <f>IF(A986="", "", VLOOKUP(A986, BASE!$A$4:$D$10003, 4, FALSE))</f>
        <v/>
      </c>
      <c r="E986" t="str">
        <f>IF(A986="", "", VLOOKUP(A986, BASE!$A$4:$E$10003, 5, FALSE))</f>
        <v/>
      </c>
      <c r="F986" t="str">
        <f t="shared" si="15"/>
        <v/>
      </c>
    </row>
    <row r="987" spans="1:6">
      <c r="A987" t="str">
        <f>IFERROR(INDEX(BASE!$A$4:$A$10003, SMALL(IF(BASE!$F$4:$F$10003="CARREGADO", ROW(BASE!$A$4:$A$10003)-ROW(BASE!$A$4)+1), ROW(A986))), "")</f>
        <v/>
      </c>
      <c r="B987" t="str">
        <f>IF(A987="", "", VLOOKUP(A987, BASE!$A$4:$B$10003, 2, FALSE))</f>
        <v/>
      </c>
      <c r="C987" t="str">
        <f>IF(A987="", "", VLOOKUP(A987, BASE!$A$4:$C$10003, 3, FALSE))</f>
        <v/>
      </c>
      <c r="D987" t="str">
        <f>IF(A987="", "", VLOOKUP(A987, BASE!$A$4:$D$10003, 4, FALSE))</f>
        <v/>
      </c>
      <c r="E987" t="str">
        <f>IF(A987="", "", VLOOKUP(A987, BASE!$A$4:$E$10003, 5, FALSE))</f>
        <v/>
      </c>
      <c r="F987" t="str">
        <f t="shared" si="15"/>
        <v/>
      </c>
    </row>
    <row r="988" spans="1:6">
      <c r="A988" t="str">
        <f>IFERROR(INDEX(BASE!$A$4:$A$10003, SMALL(IF(BASE!$F$4:$F$10003="CARREGADO", ROW(BASE!$A$4:$A$10003)-ROW(BASE!$A$4)+1), ROW(A987))), "")</f>
        <v/>
      </c>
      <c r="B988" t="str">
        <f>IF(A988="", "", VLOOKUP(A988, BASE!$A$4:$B$10003, 2, FALSE))</f>
        <v/>
      </c>
      <c r="C988" t="str">
        <f>IF(A988="", "", VLOOKUP(A988, BASE!$A$4:$C$10003, 3, FALSE))</f>
        <v/>
      </c>
      <c r="D988" t="str">
        <f>IF(A988="", "", VLOOKUP(A988, BASE!$A$4:$D$10003, 4, FALSE))</f>
        <v/>
      </c>
      <c r="E988" t="str">
        <f>IF(A988="", "", VLOOKUP(A988, BASE!$A$4:$E$10003, 5, FALSE))</f>
        <v/>
      </c>
      <c r="F988" t="str">
        <f t="shared" si="15"/>
        <v/>
      </c>
    </row>
    <row r="989" spans="1:6">
      <c r="A989" t="str">
        <f>IFERROR(INDEX(BASE!$A$4:$A$10003, SMALL(IF(BASE!$F$4:$F$10003="CARREGADO", ROW(BASE!$A$4:$A$10003)-ROW(BASE!$A$4)+1), ROW(A988))), "")</f>
        <v/>
      </c>
      <c r="B989" t="str">
        <f>IF(A989="", "", VLOOKUP(A989, BASE!$A$4:$B$10003, 2, FALSE))</f>
        <v/>
      </c>
      <c r="C989" t="str">
        <f>IF(A989="", "", VLOOKUP(A989, BASE!$A$4:$C$10003, 3, FALSE))</f>
        <v/>
      </c>
      <c r="D989" t="str">
        <f>IF(A989="", "", VLOOKUP(A989, BASE!$A$4:$D$10003, 4, FALSE))</f>
        <v/>
      </c>
      <c r="E989" t="str">
        <f>IF(A989="", "", VLOOKUP(A989, BASE!$A$4:$E$10003, 5, FALSE))</f>
        <v/>
      </c>
      <c r="F989" t="str">
        <f t="shared" si="15"/>
        <v/>
      </c>
    </row>
    <row r="990" spans="1:6">
      <c r="A990" t="str">
        <f>IFERROR(INDEX(BASE!$A$4:$A$10003, SMALL(IF(BASE!$F$4:$F$10003="CARREGADO", ROW(BASE!$A$4:$A$10003)-ROW(BASE!$A$4)+1), ROW(A989))), "")</f>
        <v/>
      </c>
      <c r="B990" t="str">
        <f>IF(A990="", "", VLOOKUP(A990, BASE!$A$4:$B$10003, 2, FALSE))</f>
        <v/>
      </c>
      <c r="C990" t="str">
        <f>IF(A990="", "", VLOOKUP(A990, BASE!$A$4:$C$10003, 3, FALSE))</f>
        <v/>
      </c>
      <c r="D990" t="str">
        <f>IF(A990="", "", VLOOKUP(A990, BASE!$A$4:$D$10003, 4, FALSE))</f>
        <v/>
      </c>
      <c r="E990" t="str">
        <f>IF(A990="", "", VLOOKUP(A990, BASE!$A$4:$E$10003, 5, FALSE))</f>
        <v/>
      </c>
      <c r="F990" t="str">
        <f t="shared" si="15"/>
        <v/>
      </c>
    </row>
    <row r="991" spans="1:6">
      <c r="A991" t="str">
        <f>IFERROR(INDEX(BASE!$A$4:$A$10003, SMALL(IF(BASE!$F$4:$F$10003="CARREGADO", ROW(BASE!$A$4:$A$10003)-ROW(BASE!$A$4)+1), ROW(A990))), "")</f>
        <v/>
      </c>
      <c r="B991" t="str">
        <f>IF(A991="", "", VLOOKUP(A991, BASE!$A$4:$B$10003, 2, FALSE))</f>
        <v/>
      </c>
      <c r="C991" t="str">
        <f>IF(A991="", "", VLOOKUP(A991, BASE!$A$4:$C$10003, 3, FALSE))</f>
        <v/>
      </c>
      <c r="D991" t="str">
        <f>IF(A991="", "", VLOOKUP(A991, BASE!$A$4:$D$10003, 4, FALSE))</f>
        <v/>
      </c>
      <c r="E991" t="str">
        <f>IF(A991="", "", VLOOKUP(A991, BASE!$A$4:$E$10003, 5, FALSE))</f>
        <v/>
      </c>
      <c r="F991" t="str">
        <f t="shared" si="15"/>
        <v/>
      </c>
    </row>
    <row r="992" spans="1:6">
      <c r="A992" t="str">
        <f>IFERROR(INDEX(BASE!$A$4:$A$10003, SMALL(IF(BASE!$F$4:$F$10003="CARREGADO", ROW(BASE!$A$4:$A$10003)-ROW(BASE!$A$4)+1), ROW(A991))), "")</f>
        <v/>
      </c>
      <c r="B992" t="str">
        <f>IF(A992="", "", VLOOKUP(A992, BASE!$A$4:$B$10003, 2, FALSE))</f>
        <v/>
      </c>
      <c r="C992" t="str">
        <f>IF(A992="", "", VLOOKUP(A992, BASE!$A$4:$C$10003, 3, FALSE))</f>
        <v/>
      </c>
      <c r="D992" t="str">
        <f>IF(A992="", "", VLOOKUP(A992, BASE!$A$4:$D$10003, 4, FALSE))</f>
        <v/>
      </c>
      <c r="E992" t="str">
        <f>IF(A992="", "", VLOOKUP(A992, BASE!$A$4:$E$10003, 5, FALSE))</f>
        <v/>
      </c>
      <c r="F992" t="str">
        <f t="shared" si="15"/>
        <v/>
      </c>
    </row>
    <row r="993" spans="1:6">
      <c r="A993" t="str">
        <f>IFERROR(INDEX(BASE!$A$4:$A$10003, SMALL(IF(BASE!$F$4:$F$10003="CARREGADO", ROW(BASE!$A$4:$A$10003)-ROW(BASE!$A$4)+1), ROW(A992))), "")</f>
        <v/>
      </c>
      <c r="B993" t="str">
        <f>IF(A993="", "", VLOOKUP(A993, BASE!$A$4:$B$10003, 2, FALSE))</f>
        <v/>
      </c>
      <c r="C993" t="str">
        <f>IF(A993="", "", VLOOKUP(A993, BASE!$A$4:$C$10003, 3, FALSE))</f>
        <v/>
      </c>
      <c r="D993" t="str">
        <f>IF(A993="", "", VLOOKUP(A993, BASE!$A$4:$D$10003, 4, FALSE))</f>
        <v/>
      </c>
      <c r="E993" t="str">
        <f>IF(A993="", "", VLOOKUP(A993, BASE!$A$4:$E$10003, 5, FALSE))</f>
        <v/>
      </c>
      <c r="F993" t="str">
        <f t="shared" si="15"/>
        <v/>
      </c>
    </row>
    <row r="994" spans="1:6">
      <c r="A994" t="str">
        <f>IFERROR(INDEX(BASE!$A$4:$A$10003, SMALL(IF(BASE!$F$4:$F$10003="CARREGADO", ROW(BASE!$A$4:$A$10003)-ROW(BASE!$A$4)+1), ROW(A993))), "")</f>
        <v/>
      </c>
      <c r="B994" t="str">
        <f>IF(A994="", "", VLOOKUP(A994, BASE!$A$4:$B$10003, 2, FALSE))</f>
        <v/>
      </c>
      <c r="C994" t="str">
        <f>IF(A994="", "", VLOOKUP(A994, BASE!$A$4:$C$10003, 3, FALSE))</f>
        <v/>
      </c>
      <c r="D994" t="str">
        <f>IF(A994="", "", VLOOKUP(A994, BASE!$A$4:$D$10003, 4, FALSE))</f>
        <v/>
      </c>
      <c r="E994" t="str">
        <f>IF(A994="", "", VLOOKUP(A994, BASE!$A$4:$E$10003, 5, FALSE))</f>
        <v/>
      </c>
      <c r="F994" t="str">
        <f t="shared" si="15"/>
        <v/>
      </c>
    </row>
    <row r="995" spans="1:6">
      <c r="A995" t="str">
        <f>IFERROR(INDEX(BASE!$A$4:$A$10003, SMALL(IF(BASE!$F$4:$F$10003="CARREGADO", ROW(BASE!$A$4:$A$10003)-ROW(BASE!$A$4)+1), ROW(A994))), "")</f>
        <v/>
      </c>
      <c r="B995" t="str">
        <f>IF(A995="", "", VLOOKUP(A995, BASE!$A$4:$B$10003, 2, FALSE))</f>
        <v/>
      </c>
      <c r="C995" t="str">
        <f>IF(A995="", "", VLOOKUP(A995, BASE!$A$4:$C$10003, 3, FALSE))</f>
        <v/>
      </c>
      <c r="D995" t="str">
        <f>IF(A995="", "", VLOOKUP(A995, BASE!$A$4:$D$10003, 4, FALSE))</f>
        <v/>
      </c>
      <c r="E995" t="str">
        <f>IF(A995="", "", VLOOKUP(A995, BASE!$A$4:$E$10003, 5, FALSE))</f>
        <v/>
      </c>
      <c r="F995" t="str">
        <f t="shared" si="15"/>
        <v/>
      </c>
    </row>
    <row r="996" spans="1:6">
      <c r="A996" t="str">
        <f>IFERROR(INDEX(BASE!$A$4:$A$10003, SMALL(IF(BASE!$F$4:$F$10003="CARREGADO", ROW(BASE!$A$4:$A$10003)-ROW(BASE!$A$4)+1), ROW(A995))), "")</f>
        <v/>
      </c>
      <c r="B996" t="str">
        <f>IF(A996="", "", VLOOKUP(A996, BASE!$A$4:$B$10003, 2, FALSE))</f>
        <v/>
      </c>
      <c r="C996" t="str">
        <f>IF(A996="", "", VLOOKUP(A996, BASE!$A$4:$C$10003, 3, FALSE))</f>
        <v/>
      </c>
      <c r="D996" t="str">
        <f>IF(A996="", "", VLOOKUP(A996, BASE!$A$4:$D$10003, 4, FALSE))</f>
        <v/>
      </c>
      <c r="E996" t="str">
        <f>IF(A996="", "", VLOOKUP(A996, BASE!$A$4:$E$10003, 5, FALSE))</f>
        <v/>
      </c>
      <c r="F996" t="str">
        <f t="shared" si="15"/>
        <v/>
      </c>
    </row>
    <row r="997" spans="1:6">
      <c r="A997" t="str">
        <f>IFERROR(INDEX(BASE!$A$4:$A$10003, SMALL(IF(BASE!$F$4:$F$10003="CARREGADO", ROW(BASE!$A$4:$A$10003)-ROW(BASE!$A$4)+1), ROW(A996))), "")</f>
        <v/>
      </c>
      <c r="B997" t="str">
        <f>IF(A997="", "", VLOOKUP(A997, BASE!$A$4:$B$10003, 2, FALSE))</f>
        <v/>
      </c>
      <c r="C997" t="str">
        <f>IF(A997="", "", VLOOKUP(A997, BASE!$A$4:$C$10003, 3, FALSE))</f>
        <v/>
      </c>
      <c r="D997" t="str">
        <f>IF(A997="", "", VLOOKUP(A997, BASE!$A$4:$D$10003, 4, FALSE))</f>
        <v/>
      </c>
      <c r="E997" t="str">
        <f>IF(A997="", "", VLOOKUP(A997, BASE!$A$4:$E$10003, 5, FALSE))</f>
        <v/>
      </c>
      <c r="F997" t="str">
        <f t="shared" si="15"/>
        <v/>
      </c>
    </row>
    <row r="998" spans="1:6">
      <c r="A998" t="str">
        <f>IFERROR(INDEX(BASE!$A$4:$A$10003, SMALL(IF(BASE!$F$4:$F$10003="CARREGADO", ROW(BASE!$A$4:$A$10003)-ROW(BASE!$A$4)+1), ROW(A997))), "")</f>
        <v/>
      </c>
      <c r="B998" t="str">
        <f>IF(A998="", "", VLOOKUP(A998, BASE!$A$4:$B$10003, 2, FALSE))</f>
        <v/>
      </c>
      <c r="C998" t="str">
        <f>IF(A998="", "", VLOOKUP(A998, BASE!$A$4:$C$10003, 3, FALSE))</f>
        <v/>
      </c>
      <c r="D998" t="str">
        <f>IF(A998="", "", VLOOKUP(A998, BASE!$A$4:$D$10003, 4, FALSE))</f>
        <v/>
      </c>
      <c r="E998" t="str">
        <f>IF(A998="", "", VLOOKUP(A998, BASE!$A$4:$E$10003, 5, FALSE))</f>
        <v/>
      </c>
      <c r="F998" t="str">
        <f t="shared" si="15"/>
        <v/>
      </c>
    </row>
    <row r="999" spans="1:6">
      <c r="A999" t="str">
        <f>IFERROR(INDEX(BASE!$A$4:$A$10003, SMALL(IF(BASE!$F$4:$F$10003="CARREGADO", ROW(BASE!$A$4:$A$10003)-ROW(BASE!$A$4)+1), ROW(A998))), "")</f>
        <v/>
      </c>
      <c r="B999" t="str">
        <f>IF(A999="", "", VLOOKUP(A999, BASE!$A$4:$B$10003, 2, FALSE))</f>
        <v/>
      </c>
      <c r="C999" t="str">
        <f>IF(A999="", "", VLOOKUP(A999, BASE!$A$4:$C$10003, 3, FALSE))</f>
        <v/>
      </c>
      <c r="D999" t="str">
        <f>IF(A999="", "", VLOOKUP(A999, BASE!$A$4:$D$10003, 4, FALSE))</f>
        <v/>
      </c>
      <c r="E999" t="str">
        <f>IF(A999="", "", VLOOKUP(A999, BASE!$A$4:$E$10003, 5, FALSE))</f>
        <v/>
      </c>
      <c r="F999" t="str">
        <f t="shared" si="15"/>
        <v/>
      </c>
    </row>
    <row r="1000" spans="1:6">
      <c r="A1000" t="str">
        <f>IFERROR(INDEX(BASE!$A$4:$A$10003, SMALL(IF(BASE!$F$4:$F$10003="CARREGADO", ROW(BASE!$A$4:$A$10003)-ROW(BASE!$A$4)+1), ROW(A999))), "")</f>
        <v/>
      </c>
      <c r="B1000" t="str">
        <f>IF(A1000="", "", VLOOKUP(A1000, BASE!$A$4:$B$10003, 2, FALSE))</f>
        <v/>
      </c>
      <c r="C1000" t="str">
        <f>IF(A1000="", "", VLOOKUP(A1000, BASE!$A$4:$C$10003, 3, FALSE))</f>
        <v/>
      </c>
      <c r="D1000" t="str">
        <f>IF(A1000="", "", VLOOKUP(A1000, BASE!$A$4:$D$10003, 4, FALSE))</f>
        <v/>
      </c>
      <c r="E1000" t="str">
        <f>IF(A1000="", "", VLOOKUP(A1000, BASE!$A$4:$E$10003, 5, FALSE))</f>
        <v/>
      </c>
      <c r="F1000" t="str">
        <f t="shared" si="15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56F7-570F-45D0-8D7D-D306A768019D}">
  <dimension ref="A1:C970"/>
  <sheetViews>
    <sheetView topLeftCell="A16" workbookViewId="0">
      <selection activeCell="E12" sqref="E12"/>
    </sheetView>
  </sheetViews>
  <sheetFormatPr defaultRowHeight="15"/>
  <cols>
    <col min="1" max="1" width="18.140625" bestFit="1" customWidth="1"/>
    <col min="2" max="2" width="24.7109375" bestFit="1" customWidth="1"/>
    <col min="3" max="3" width="48.42578125" bestFit="1" customWidth="1"/>
  </cols>
  <sheetData>
    <row r="1" spans="1:3" ht="15.75" thickBot="1">
      <c r="A1" s="11" t="s">
        <v>452</v>
      </c>
      <c r="B1" s="11" t="s">
        <v>453</v>
      </c>
      <c r="C1" s="11" t="s">
        <v>454</v>
      </c>
    </row>
    <row r="2" spans="1:3" ht="15.75" thickBot="1">
      <c r="A2" s="14" t="s">
        <v>462</v>
      </c>
      <c r="B2" s="14" t="s">
        <v>463</v>
      </c>
      <c r="C2" s="14" t="s">
        <v>464</v>
      </c>
    </row>
    <row r="3" spans="1:3" ht="15.75" thickBot="1">
      <c r="A3" s="14" t="s">
        <v>462</v>
      </c>
      <c r="B3" s="12" t="s">
        <v>469</v>
      </c>
      <c r="C3" s="14" t="s">
        <v>470</v>
      </c>
    </row>
    <row r="4" spans="1:3" ht="15.75" thickBot="1">
      <c r="A4" s="14" t="s">
        <v>462</v>
      </c>
      <c r="B4" s="14" t="s">
        <v>472</v>
      </c>
      <c r="C4" s="14" t="s">
        <v>473</v>
      </c>
    </row>
    <row r="5" spans="1:3" ht="15.75" thickBot="1">
      <c r="A5" s="14" t="s">
        <v>462</v>
      </c>
      <c r="B5" s="14" t="s">
        <v>483</v>
      </c>
      <c r="C5" s="14" t="s">
        <v>484</v>
      </c>
    </row>
    <row r="6" spans="1:3" ht="15.75" thickBot="1">
      <c r="A6" s="14" t="s">
        <v>462</v>
      </c>
      <c r="B6" s="12" t="s">
        <v>487</v>
      </c>
      <c r="C6" s="14" t="s">
        <v>496</v>
      </c>
    </row>
    <row r="7" spans="1:3" ht="15.75" thickBot="1">
      <c r="A7" s="14" t="s">
        <v>462</v>
      </c>
      <c r="B7" s="14" t="s">
        <v>472</v>
      </c>
      <c r="C7" s="14" t="s">
        <v>501</v>
      </c>
    </row>
    <row r="8" spans="1:3" ht="15.75" thickBot="1">
      <c r="A8" s="14" t="s">
        <v>462</v>
      </c>
      <c r="B8" s="12" t="s">
        <v>487</v>
      </c>
      <c r="C8" s="14" t="s">
        <v>505</v>
      </c>
    </row>
    <row r="9" spans="1:3" ht="15.75" thickBot="1">
      <c r="A9" s="14" t="s">
        <v>462</v>
      </c>
      <c r="B9" s="12" t="s">
        <v>469</v>
      </c>
      <c r="C9" s="14" t="s">
        <v>506</v>
      </c>
    </row>
    <row r="10" spans="1:3" ht="15.75" thickBot="1">
      <c r="A10" s="14" t="s">
        <v>462</v>
      </c>
      <c r="B10" s="12" t="s">
        <v>487</v>
      </c>
      <c r="C10" s="14" t="s">
        <v>508</v>
      </c>
    </row>
    <row r="11" spans="1:3" ht="15.75" thickBot="1">
      <c r="A11" s="14" t="s">
        <v>462</v>
      </c>
      <c r="B11" s="12" t="s">
        <v>487</v>
      </c>
      <c r="C11" s="14" t="s">
        <v>517</v>
      </c>
    </row>
    <row r="12" spans="1:3" ht="15.75" thickBot="1">
      <c r="A12" s="14" t="s">
        <v>462</v>
      </c>
      <c r="B12" s="12" t="s">
        <v>487</v>
      </c>
      <c r="C12" s="14" t="s">
        <v>520</v>
      </c>
    </row>
    <row r="13" spans="1:3" ht="15.75" thickBot="1">
      <c r="A13" s="14" t="s">
        <v>462</v>
      </c>
      <c r="B13" s="14" t="s">
        <v>463</v>
      </c>
      <c r="C13" s="14" t="s">
        <v>523</v>
      </c>
    </row>
    <row r="14" spans="1:3" ht="15.75" thickBot="1">
      <c r="A14" s="14" t="s">
        <v>462</v>
      </c>
      <c r="B14" s="14" t="s">
        <v>472</v>
      </c>
      <c r="C14" s="14" t="s">
        <v>531</v>
      </c>
    </row>
    <row r="15" spans="1:3" ht="15.75" thickBot="1">
      <c r="A15" s="14" t="s">
        <v>462</v>
      </c>
      <c r="B15" s="14" t="s">
        <v>472</v>
      </c>
      <c r="C15" s="14" t="s">
        <v>534</v>
      </c>
    </row>
    <row r="16" spans="1:3" ht="15.75" thickBot="1">
      <c r="A16" s="14" t="s">
        <v>462</v>
      </c>
      <c r="B16" s="14" t="s">
        <v>472</v>
      </c>
      <c r="C16" s="14" t="s">
        <v>535</v>
      </c>
    </row>
    <row r="17" spans="1:3" ht="15.75" thickBot="1">
      <c r="A17" s="14" t="s">
        <v>462</v>
      </c>
      <c r="B17" s="14" t="s">
        <v>472</v>
      </c>
      <c r="C17" s="14" t="s">
        <v>538</v>
      </c>
    </row>
    <row r="18" spans="1:3" ht="15.75" thickBot="1">
      <c r="A18" s="14" t="s">
        <v>455</v>
      </c>
      <c r="B18" s="14" t="s">
        <v>456</v>
      </c>
      <c r="C18" s="14" t="s">
        <v>457</v>
      </c>
    </row>
    <row r="19" spans="1:3" ht="15.75" thickBot="1">
      <c r="A19" s="14" t="s">
        <v>455</v>
      </c>
      <c r="B19" s="14" t="s">
        <v>458</v>
      </c>
      <c r="C19" s="14" t="s">
        <v>459</v>
      </c>
    </row>
    <row r="20" spans="1:3" ht="15.75" thickBot="1">
      <c r="A20" s="14" t="s">
        <v>455</v>
      </c>
      <c r="B20" s="14" t="s">
        <v>460</v>
      </c>
      <c r="C20" s="14" t="s">
        <v>461</v>
      </c>
    </row>
    <row r="21" spans="1:3" ht="15.75" thickBot="1">
      <c r="A21" s="14" t="s">
        <v>455</v>
      </c>
      <c r="B21" s="14" t="s">
        <v>466</v>
      </c>
      <c r="C21" s="14" t="s">
        <v>467</v>
      </c>
    </row>
    <row r="22" spans="1:3" ht="15.75" thickBot="1">
      <c r="A22" s="14" t="s">
        <v>455</v>
      </c>
      <c r="B22" s="14" t="s">
        <v>468</v>
      </c>
      <c r="C22" s="14" t="s">
        <v>468</v>
      </c>
    </row>
    <row r="23" spans="1:3" ht="15.75" thickBot="1">
      <c r="A23" s="14" t="s">
        <v>455</v>
      </c>
      <c r="B23" s="14" t="s">
        <v>471</v>
      </c>
      <c r="C23" s="14" t="s">
        <v>471</v>
      </c>
    </row>
    <row r="24" spans="1:3" ht="15.75" thickBot="1">
      <c r="A24" s="14" t="s">
        <v>455</v>
      </c>
      <c r="B24" s="14" t="s">
        <v>474</v>
      </c>
      <c r="C24" s="14" t="s">
        <v>474</v>
      </c>
    </row>
    <row r="25" spans="1:3" ht="15.75" thickBot="1">
      <c r="A25" s="14" t="s">
        <v>455</v>
      </c>
      <c r="B25" s="14" t="s">
        <v>475</v>
      </c>
      <c r="C25" s="14" t="s">
        <v>475</v>
      </c>
    </row>
    <row r="26" spans="1:3" ht="15.75" thickBot="1">
      <c r="A26" s="14" t="s">
        <v>455</v>
      </c>
      <c r="B26" s="14" t="s">
        <v>476</v>
      </c>
      <c r="C26" s="14" t="s">
        <v>476</v>
      </c>
    </row>
    <row r="27" spans="1:3" ht="15.75" thickBot="1">
      <c r="A27" s="14" t="s">
        <v>455</v>
      </c>
      <c r="B27" s="14" t="s">
        <v>477</v>
      </c>
      <c r="C27" s="14" t="s">
        <v>478</v>
      </c>
    </row>
    <row r="28" spans="1:3" ht="15.75" thickBot="1">
      <c r="A28" s="14" t="s">
        <v>455</v>
      </c>
      <c r="B28" s="14" t="s">
        <v>479</v>
      </c>
      <c r="C28" s="14" t="s">
        <v>479</v>
      </c>
    </row>
    <row r="29" spans="1:3" ht="15.75" thickBot="1">
      <c r="A29" s="14" t="s">
        <v>455</v>
      </c>
      <c r="B29" s="14" t="s">
        <v>480</v>
      </c>
      <c r="C29" s="14" t="s">
        <v>480</v>
      </c>
    </row>
    <row r="30" spans="1:3" ht="15.75" thickBot="1">
      <c r="A30" s="14" t="s">
        <v>481</v>
      </c>
      <c r="B30" s="14" t="s">
        <v>482</v>
      </c>
      <c r="C30" s="14" t="s">
        <v>482</v>
      </c>
    </row>
    <row r="31" spans="1:3" ht="15.75" thickBot="1">
      <c r="A31" s="14" t="s">
        <v>455</v>
      </c>
      <c r="B31" s="14" t="s">
        <v>485</v>
      </c>
      <c r="C31" s="14" t="s">
        <v>486</v>
      </c>
    </row>
    <row r="32" spans="1:3" ht="15.75" thickBot="1">
      <c r="A32" s="14" t="s">
        <v>455</v>
      </c>
      <c r="B32" s="14" t="s">
        <v>488</v>
      </c>
      <c r="C32" s="14" t="s">
        <v>488</v>
      </c>
    </row>
    <row r="33" spans="1:3" ht="15.75" thickBot="1">
      <c r="A33" s="14" t="s">
        <v>455</v>
      </c>
      <c r="B33" s="14" t="s">
        <v>489</v>
      </c>
      <c r="C33" s="14" t="s">
        <v>490</v>
      </c>
    </row>
    <row r="34" spans="1:3" ht="15.75" thickBot="1">
      <c r="A34" s="14" t="s">
        <v>455</v>
      </c>
      <c r="B34" s="14" t="s">
        <v>491</v>
      </c>
      <c r="C34" s="14" t="s">
        <v>491</v>
      </c>
    </row>
    <row r="35" spans="1:3" ht="15.75" thickBot="1">
      <c r="A35" s="14" t="s">
        <v>455</v>
      </c>
      <c r="B35" s="14" t="s">
        <v>492</v>
      </c>
      <c r="C35" s="14" t="s">
        <v>492</v>
      </c>
    </row>
    <row r="36" spans="1:3" ht="15.75" thickBot="1">
      <c r="A36" s="14" t="s">
        <v>455</v>
      </c>
      <c r="B36" s="14" t="s">
        <v>493</v>
      </c>
      <c r="C36" s="14" t="s">
        <v>494</v>
      </c>
    </row>
    <row r="37" spans="1:3" ht="15.75" thickBot="1">
      <c r="A37" s="14" t="s">
        <v>455</v>
      </c>
      <c r="B37" s="14" t="s">
        <v>495</v>
      </c>
      <c r="C37" s="14" t="s">
        <v>495</v>
      </c>
    </row>
    <row r="38" spans="1:3" ht="15.75" thickBot="1">
      <c r="A38" s="14" t="s">
        <v>455</v>
      </c>
      <c r="B38" s="14" t="s">
        <v>497</v>
      </c>
      <c r="C38" s="14" t="s">
        <v>498</v>
      </c>
    </row>
    <row r="39" spans="1:3" ht="15.75" thickBot="1">
      <c r="A39" s="14" t="s">
        <v>455</v>
      </c>
      <c r="B39" s="14" t="s">
        <v>499</v>
      </c>
      <c r="C39" s="14" t="s">
        <v>500</v>
      </c>
    </row>
    <row r="40" spans="1:3" ht="15.75" thickBot="1">
      <c r="A40" s="14" t="s">
        <v>455</v>
      </c>
      <c r="B40" s="14" t="s">
        <v>502</v>
      </c>
      <c r="C40" s="14" t="s">
        <v>502</v>
      </c>
    </row>
    <row r="41" spans="1:3" ht="15.75" thickBot="1">
      <c r="A41" s="14" t="s">
        <v>455</v>
      </c>
      <c r="B41" s="14" t="s">
        <v>503</v>
      </c>
      <c r="C41" s="14" t="s">
        <v>504</v>
      </c>
    </row>
    <row r="42" spans="1:3" ht="15.75" thickBot="1">
      <c r="A42" s="14" t="s">
        <v>455</v>
      </c>
      <c r="B42" s="14" t="s">
        <v>507</v>
      </c>
      <c r="C42" s="14" t="s">
        <v>507</v>
      </c>
    </row>
    <row r="43" spans="1:3" ht="15.75" thickBot="1">
      <c r="A43" s="14" t="s">
        <v>455</v>
      </c>
      <c r="B43" s="14" t="s">
        <v>509</v>
      </c>
      <c r="C43" s="14" t="s">
        <v>510</v>
      </c>
    </row>
    <row r="44" spans="1:3" ht="15.75" thickBot="1">
      <c r="A44" s="14" t="s">
        <v>481</v>
      </c>
      <c r="B44" s="14" t="s">
        <v>511</v>
      </c>
      <c r="C44" s="14" t="s">
        <v>512</v>
      </c>
    </row>
    <row r="45" spans="1:3" ht="15.75" thickBot="1">
      <c r="A45" s="14" t="s">
        <v>481</v>
      </c>
      <c r="B45" s="14" t="s">
        <v>513</v>
      </c>
      <c r="C45" s="14" t="s">
        <v>514</v>
      </c>
    </row>
    <row r="46" spans="1:3" ht="15.75" thickBot="1">
      <c r="A46" s="14" t="s">
        <v>455</v>
      </c>
      <c r="B46" s="14" t="s">
        <v>515</v>
      </c>
      <c r="C46" s="14" t="s">
        <v>516</v>
      </c>
    </row>
    <row r="47" spans="1:3" ht="15.75" thickBot="1">
      <c r="A47" s="14" t="s">
        <v>455</v>
      </c>
      <c r="B47" s="14" t="s">
        <v>518</v>
      </c>
      <c r="C47" s="14" t="s">
        <v>519</v>
      </c>
    </row>
    <row r="48" spans="1:3" ht="15.75" thickBot="1">
      <c r="A48" s="14" t="s">
        <v>455</v>
      </c>
      <c r="B48" s="14" t="s">
        <v>521</v>
      </c>
      <c r="C48" s="14" t="s">
        <v>521</v>
      </c>
    </row>
    <row r="49" spans="1:3" ht="15.75" thickBot="1">
      <c r="A49" s="14" t="s">
        <v>455</v>
      </c>
      <c r="B49" s="14" t="s">
        <v>522</v>
      </c>
      <c r="C49" s="14" t="s">
        <v>522</v>
      </c>
    </row>
    <row r="50" spans="1:3" ht="15.75" thickBot="1">
      <c r="A50" s="14" t="s">
        <v>455</v>
      </c>
      <c r="B50" s="14" t="s">
        <v>524</v>
      </c>
      <c r="C50" s="14" t="s">
        <v>525</v>
      </c>
    </row>
    <row r="51" spans="1:3" ht="15.75" thickBot="1">
      <c r="A51" s="14" t="s">
        <v>481</v>
      </c>
      <c r="B51" s="14" t="s">
        <v>526</v>
      </c>
      <c r="C51" s="14" t="s">
        <v>527</v>
      </c>
    </row>
    <row r="52" spans="1:3" ht="15.75" thickBot="1">
      <c r="A52" s="14" t="s">
        <v>455</v>
      </c>
      <c r="B52" s="14" t="s">
        <v>528</v>
      </c>
      <c r="C52" s="14" t="s">
        <v>529</v>
      </c>
    </row>
    <row r="53" spans="1:3" ht="15.75" thickBot="1">
      <c r="A53" s="14" t="s">
        <v>455</v>
      </c>
      <c r="B53" s="14" t="s">
        <v>530</v>
      </c>
      <c r="C53" s="14" t="s">
        <v>530</v>
      </c>
    </row>
    <row r="54" spans="1:3" ht="15.75" thickBot="1">
      <c r="A54" s="14" t="s">
        <v>455</v>
      </c>
      <c r="B54" s="14" t="s">
        <v>532</v>
      </c>
      <c r="C54" s="14" t="s">
        <v>533</v>
      </c>
    </row>
    <row r="55" spans="1:3" ht="15.75" thickBot="1">
      <c r="A55" s="14" t="s">
        <v>455</v>
      </c>
      <c r="B55" s="14" t="s">
        <v>532</v>
      </c>
      <c r="C55" s="14" t="s">
        <v>536</v>
      </c>
    </row>
    <row r="56" spans="1:3" ht="15.75" thickBot="1">
      <c r="A56" s="14" t="s">
        <v>455</v>
      </c>
      <c r="B56" s="14" t="s">
        <v>532</v>
      </c>
      <c r="C56" s="14" t="s">
        <v>537</v>
      </c>
    </row>
    <row r="57" spans="1:3" ht="15.75" thickBot="1">
      <c r="A57" s="14" t="s">
        <v>455</v>
      </c>
      <c r="B57" s="14" t="s">
        <v>532</v>
      </c>
      <c r="C57" s="14" t="s">
        <v>539</v>
      </c>
    </row>
    <row r="58" spans="1:3" ht="15.75" thickBot="1">
      <c r="A58" s="14" t="s">
        <v>455</v>
      </c>
      <c r="B58" s="14" t="s">
        <v>532</v>
      </c>
      <c r="C58" s="14" t="s">
        <v>540</v>
      </c>
    </row>
    <row r="59" spans="1:3" ht="15.75" thickBot="1">
      <c r="A59" s="14" t="s">
        <v>455</v>
      </c>
      <c r="B59" s="14" t="s">
        <v>532</v>
      </c>
      <c r="C59" s="14" t="s">
        <v>541</v>
      </c>
    </row>
    <row r="60" spans="1:3" ht="15.75" thickBot="1">
      <c r="A60" s="14" t="s">
        <v>455</v>
      </c>
      <c r="B60" s="14" t="s">
        <v>542</v>
      </c>
      <c r="C60" s="14" t="s">
        <v>542</v>
      </c>
    </row>
    <row r="61" spans="1:3" ht="15.75" thickBot="1">
      <c r="A61" s="14" t="s">
        <v>455</v>
      </c>
      <c r="B61" s="14" t="s">
        <v>543</v>
      </c>
      <c r="C61" s="14" t="s">
        <v>544</v>
      </c>
    </row>
    <row r="62" spans="1:3" ht="15.75" thickBot="1">
      <c r="A62" s="12"/>
      <c r="B62" s="12"/>
      <c r="C62" s="12"/>
    </row>
    <row r="63" spans="1:3" ht="15.75" thickBot="1">
      <c r="A63" s="12"/>
      <c r="B63" s="12"/>
      <c r="C63" s="12"/>
    </row>
    <row r="64" spans="1:3" ht="15.75" thickBot="1">
      <c r="A64" s="12"/>
      <c r="B64" s="12"/>
      <c r="C64" s="12"/>
    </row>
    <row r="65" spans="1:3" ht="15.75" thickBot="1">
      <c r="A65" s="12"/>
      <c r="B65" s="15">
        <v>46056</v>
      </c>
      <c r="C65" s="12"/>
    </row>
    <row r="66" spans="1:3" ht="15.75" thickBot="1">
      <c r="A66" s="12"/>
      <c r="B66" s="15">
        <v>46145</v>
      </c>
      <c r="C66" s="12"/>
    </row>
    <row r="67" spans="1:3" ht="15.75" thickBot="1">
      <c r="A67" s="12"/>
      <c r="B67" s="16">
        <v>89</v>
      </c>
      <c r="C67" s="12"/>
    </row>
    <row r="68" spans="1:3" ht="15.75" thickBot="1">
      <c r="A68" s="12"/>
      <c r="B68" s="12"/>
      <c r="C68" s="12"/>
    </row>
    <row r="69" spans="1:3" ht="15.75" thickBot="1">
      <c r="A69" s="12"/>
      <c r="B69" s="12"/>
      <c r="C69" s="12"/>
    </row>
    <row r="70" spans="1:3" ht="15.75" thickBot="1">
      <c r="A70" s="12"/>
      <c r="B70" s="12"/>
      <c r="C70" s="12"/>
    </row>
    <row r="71" spans="1:3" ht="15.75" thickBot="1">
      <c r="A71" s="12"/>
      <c r="B71" s="12"/>
      <c r="C71" s="12"/>
    </row>
    <row r="72" spans="1:3" ht="15.75" thickBot="1">
      <c r="A72" s="12"/>
      <c r="B72" s="12"/>
      <c r="C72" s="12"/>
    </row>
    <row r="73" spans="1:3" ht="15.75" thickBot="1">
      <c r="A73" s="12"/>
      <c r="B73" s="12"/>
      <c r="C73" s="12"/>
    </row>
    <row r="74" spans="1:3" ht="15.75" thickBot="1">
      <c r="A74" s="12"/>
      <c r="B74" s="12"/>
      <c r="C74" s="12"/>
    </row>
    <row r="75" spans="1:3" ht="15.75" thickBot="1">
      <c r="A75" s="12"/>
      <c r="B75" s="12"/>
      <c r="C75" s="12"/>
    </row>
    <row r="76" spans="1:3" ht="15.75" thickBot="1">
      <c r="A76" s="12"/>
      <c r="B76" s="12"/>
      <c r="C76" s="12"/>
    </row>
    <row r="77" spans="1:3" ht="15.75" thickBot="1">
      <c r="A77" s="12"/>
      <c r="B77" s="12"/>
      <c r="C77" s="12"/>
    </row>
    <row r="78" spans="1:3" ht="15.75" thickBot="1">
      <c r="A78" s="12"/>
      <c r="B78" s="12"/>
      <c r="C78" s="12"/>
    </row>
    <row r="79" spans="1:3" ht="15.75" thickBot="1">
      <c r="A79" s="12"/>
      <c r="B79" s="12"/>
      <c r="C79" s="12"/>
    </row>
    <row r="80" spans="1:3" ht="15.75" thickBot="1">
      <c r="A80" s="12"/>
      <c r="B80" s="12"/>
      <c r="C80" s="12"/>
    </row>
    <row r="81" spans="1:3" ht="15.75" thickBot="1">
      <c r="A81" s="12"/>
      <c r="B81" s="12"/>
      <c r="C81" s="12"/>
    </row>
    <row r="82" spans="1:3" ht="15.75" thickBot="1">
      <c r="A82" s="12"/>
      <c r="B82" s="12"/>
      <c r="C82" s="12"/>
    </row>
    <row r="83" spans="1:3" ht="15.75" thickBot="1">
      <c r="A83" s="12"/>
      <c r="B83" s="12"/>
      <c r="C83" s="12"/>
    </row>
    <row r="84" spans="1:3" ht="15.75" thickBot="1">
      <c r="A84" s="12"/>
      <c r="B84" s="12"/>
      <c r="C84" s="12"/>
    </row>
    <row r="85" spans="1:3" ht="15.75" thickBot="1">
      <c r="A85" s="12"/>
      <c r="B85" s="12"/>
      <c r="C85" s="12"/>
    </row>
    <row r="86" spans="1:3" ht="15.75" thickBot="1">
      <c r="A86" s="12"/>
      <c r="B86" s="12"/>
      <c r="C86" s="12"/>
    </row>
    <row r="87" spans="1:3" ht="15.75" thickBot="1">
      <c r="A87" s="12"/>
      <c r="B87" s="12"/>
      <c r="C87" s="12"/>
    </row>
    <row r="88" spans="1:3" ht="15.75" thickBot="1">
      <c r="A88" s="12"/>
      <c r="B88" s="12"/>
      <c r="C88" s="12"/>
    </row>
    <row r="89" spans="1:3" ht="15.75" thickBot="1">
      <c r="A89" s="12"/>
      <c r="B89" s="12"/>
      <c r="C89" s="12"/>
    </row>
    <row r="90" spans="1:3" ht="15.75" thickBot="1">
      <c r="A90" s="12"/>
      <c r="B90" s="12"/>
      <c r="C90" s="12"/>
    </row>
    <row r="91" spans="1:3" ht="15.75" thickBot="1">
      <c r="A91" s="12"/>
      <c r="B91" s="12"/>
      <c r="C91" s="12"/>
    </row>
    <row r="92" spans="1:3" ht="15.75" thickBot="1">
      <c r="A92" s="12"/>
      <c r="B92" s="12"/>
      <c r="C92" s="12"/>
    </row>
    <row r="93" spans="1:3" ht="15.75" thickBot="1">
      <c r="A93" s="12"/>
      <c r="B93" s="12"/>
      <c r="C93" s="12"/>
    </row>
    <row r="94" spans="1:3" ht="15.75" thickBot="1">
      <c r="A94" s="12"/>
      <c r="B94" s="12"/>
      <c r="C94" s="12"/>
    </row>
    <row r="95" spans="1:3" ht="15.75" thickBot="1">
      <c r="A95" s="12"/>
      <c r="B95" s="12"/>
      <c r="C95" s="12"/>
    </row>
    <row r="96" spans="1:3" ht="15.75" thickBot="1">
      <c r="A96" s="12"/>
      <c r="B96" s="12"/>
      <c r="C96" s="12"/>
    </row>
    <row r="97" spans="1:3" ht="15.75" thickBot="1">
      <c r="A97" s="12"/>
      <c r="B97" s="12"/>
      <c r="C97" s="12"/>
    </row>
    <row r="98" spans="1:3" ht="15.75" thickBot="1">
      <c r="A98" s="12"/>
      <c r="B98" s="12"/>
      <c r="C98" s="12"/>
    </row>
    <row r="99" spans="1:3" ht="15.75" thickBot="1">
      <c r="A99" s="12"/>
      <c r="B99" s="12"/>
      <c r="C99" s="12"/>
    </row>
    <row r="100" spans="1:3" ht="15.75" thickBot="1">
      <c r="A100" s="12"/>
      <c r="B100" s="12"/>
      <c r="C100" s="12"/>
    </row>
    <row r="101" spans="1:3" ht="15.75" thickBot="1">
      <c r="A101" s="12"/>
      <c r="B101" s="12"/>
      <c r="C101" s="12"/>
    </row>
    <row r="102" spans="1:3" ht="15.75" thickBot="1">
      <c r="A102" s="12"/>
      <c r="B102" s="12"/>
      <c r="C102" s="12"/>
    </row>
    <row r="103" spans="1:3" ht="15.75" thickBot="1">
      <c r="A103" s="12"/>
      <c r="B103" s="12"/>
      <c r="C103" s="12"/>
    </row>
    <row r="104" spans="1:3" ht="15.75" thickBot="1">
      <c r="A104" s="12"/>
      <c r="B104" s="12"/>
      <c r="C104" s="12"/>
    </row>
    <row r="105" spans="1:3" ht="15.75" thickBot="1">
      <c r="A105" s="12"/>
      <c r="B105" s="12"/>
      <c r="C105" s="12"/>
    </row>
    <row r="106" spans="1:3" ht="15.75" thickBot="1">
      <c r="A106" s="12"/>
      <c r="B106" s="12"/>
      <c r="C106" s="12"/>
    </row>
    <row r="107" spans="1:3" ht="15.75" thickBot="1">
      <c r="A107" s="12"/>
      <c r="B107" s="12"/>
      <c r="C107" s="12"/>
    </row>
    <row r="108" spans="1:3" ht="15.75" thickBot="1">
      <c r="A108" s="12"/>
      <c r="B108" s="12"/>
      <c r="C108" s="12"/>
    </row>
    <row r="109" spans="1:3" ht="15.75" thickBot="1">
      <c r="A109" s="12"/>
      <c r="B109" s="12"/>
      <c r="C109" s="12"/>
    </row>
    <row r="110" spans="1:3" ht="15.75" thickBot="1">
      <c r="A110" s="12"/>
      <c r="B110" s="12"/>
      <c r="C110" s="12"/>
    </row>
    <row r="111" spans="1:3" ht="15.75" thickBot="1">
      <c r="A111" s="12"/>
      <c r="B111" s="12"/>
      <c r="C111" s="12"/>
    </row>
    <row r="112" spans="1:3" ht="15.75" thickBot="1">
      <c r="A112" s="12"/>
      <c r="B112" s="12"/>
      <c r="C112" s="12"/>
    </row>
    <row r="113" spans="1:3" ht="15.75" thickBot="1">
      <c r="A113" s="12"/>
      <c r="B113" s="12"/>
      <c r="C113" s="12"/>
    </row>
    <row r="114" spans="1:3" ht="15.75" thickBot="1">
      <c r="A114" s="12"/>
      <c r="B114" s="12"/>
      <c r="C114" s="12"/>
    </row>
    <row r="115" spans="1:3" ht="15.75" thickBot="1">
      <c r="A115" s="12"/>
      <c r="B115" s="12"/>
      <c r="C115" s="12"/>
    </row>
    <row r="116" spans="1:3" ht="15.75" thickBot="1">
      <c r="A116" s="12"/>
      <c r="B116" s="12"/>
      <c r="C116" s="12"/>
    </row>
    <row r="117" spans="1:3" ht="15.75" thickBot="1">
      <c r="A117" s="12"/>
      <c r="B117" s="12"/>
      <c r="C117" s="12"/>
    </row>
    <row r="118" spans="1:3" ht="15.75" thickBot="1">
      <c r="A118" s="12"/>
      <c r="B118" s="12"/>
      <c r="C118" s="12"/>
    </row>
    <row r="119" spans="1:3" ht="15.75" thickBot="1">
      <c r="A119" s="12"/>
      <c r="B119" s="12"/>
      <c r="C119" s="12"/>
    </row>
    <row r="120" spans="1:3" ht="15.75" thickBot="1">
      <c r="A120" s="12"/>
      <c r="B120" s="12"/>
      <c r="C120" s="12"/>
    </row>
    <row r="121" spans="1:3" ht="15.75" thickBot="1">
      <c r="A121" s="12"/>
      <c r="B121" s="12"/>
      <c r="C121" s="12"/>
    </row>
    <row r="122" spans="1:3" ht="15.75" thickBot="1">
      <c r="A122" s="12"/>
      <c r="B122" s="12"/>
      <c r="C122" s="12"/>
    </row>
    <row r="123" spans="1:3" ht="15.75" thickBot="1">
      <c r="A123" s="12"/>
      <c r="B123" s="12"/>
      <c r="C123" s="12"/>
    </row>
    <row r="124" spans="1:3" ht="15.75" thickBot="1">
      <c r="A124" s="12"/>
      <c r="B124" s="12"/>
      <c r="C124" s="12"/>
    </row>
    <row r="125" spans="1:3" ht="15.75" thickBot="1">
      <c r="A125" s="12"/>
      <c r="B125" s="12"/>
      <c r="C125" s="12"/>
    </row>
    <row r="126" spans="1:3" ht="15.75" thickBot="1">
      <c r="A126" s="12"/>
      <c r="B126" s="12"/>
      <c r="C126" s="12"/>
    </row>
    <row r="127" spans="1:3" ht="15.75" thickBot="1">
      <c r="A127" s="12"/>
      <c r="B127" s="12"/>
      <c r="C127" s="12"/>
    </row>
    <row r="128" spans="1:3" ht="15.75" thickBot="1">
      <c r="A128" s="12"/>
      <c r="B128" s="12"/>
      <c r="C128" s="12"/>
    </row>
    <row r="129" spans="1:3" ht="15.75" thickBot="1">
      <c r="A129" s="12"/>
      <c r="B129" s="12"/>
      <c r="C129" s="12"/>
    </row>
    <row r="130" spans="1:3" ht="15.75" thickBot="1">
      <c r="A130" s="12"/>
      <c r="B130" s="12"/>
      <c r="C130" s="12"/>
    </row>
    <row r="131" spans="1:3" ht="15.75" thickBot="1">
      <c r="A131" s="12"/>
      <c r="B131" s="12"/>
      <c r="C131" s="12"/>
    </row>
    <row r="132" spans="1:3" ht="15.75" thickBot="1">
      <c r="A132" s="12"/>
      <c r="B132" s="12"/>
      <c r="C132" s="12"/>
    </row>
    <row r="133" spans="1:3" ht="15.75" thickBot="1">
      <c r="A133" s="12"/>
      <c r="B133" s="12"/>
      <c r="C133" s="12"/>
    </row>
    <row r="134" spans="1:3" ht="15.75" thickBot="1">
      <c r="A134" s="12"/>
      <c r="B134" s="12"/>
      <c r="C134" s="12"/>
    </row>
    <row r="135" spans="1:3" ht="15.75" thickBot="1">
      <c r="A135" s="12"/>
      <c r="B135" s="12"/>
      <c r="C135" s="12"/>
    </row>
    <row r="136" spans="1:3" ht="15.75" thickBot="1">
      <c r="A136" s="12"/>
      <c r="B136" s="12"/>
      <c r="C136" s="12"/>
    </row>
    <row r="137" spans="1:3" ht="15.75" thickBot="1">
      <c r="A137" s="12"/>
      <c r="B137" s="12"/>
      <c r="C137" s="12"/>
    </row>
    <row r="138" spans="1:3" ht="15.75" thickBot="1">
      <c r="A138" s="12"/>
      <c r="B138" s="12"/>
      <c r="C138" s="12"/>
    </row>
    <row r="139" spans="1:3" ht="15.75" thickBot="1">
      <c r="A139" s="12"/>
      <c r="B139" s="12"/>
      <c r="C139" s="12"/>
    </row>
    <row r="140" spans="1:3" ht="15.75" thickBot="1">
      <c r="A140" s="12"/>
      <c r="B140" s="12"/>
      <c r="C140" s="12"/>
    </row>
    <row r="141" spans="1:3" ht="15.75" thickBot="1">
      <c r="A141" s="12"/>
      <c r="B141" s="12"/>
      <c r="C141" s="12"/>
    </row>
    <row r="142" spans="1:3" ht="15.75" thickBot="1">
      <c r="A142" s="12"/>
      <c r="B142" s="12"/>
      <c r="C142" s="12"/>
    </row>
    <row r="143" spans="1:3" ht="15.75" thickBot="1">
      <c r="A143" s="12"/>
      <c r="B143" s="12"/>
      <c r="C143" s="12"/>
    </row>
    <row r="144" spans="1:3" ht="15.75" thickBot="1">
      <c r="A144" s="12"/>
      <c r="B144" s="12"/>
      <c r="C144" s="12"/>
    </row>
    <row r="145" spans="1:3" ht="15.75" thickBot="1">
      <c r="A145" s="12"/>
      <c r="B145" s="12"/>
      <c r="C145" s="12"/>
    </row>
    <row r="146" spans="1:3" ht="15.75" thickBot="1">
      <c r="A146" s="12"/>
      <c r="B146" s="12"/>
      <c r="C146" s="12"/>
    </row>
    <row r="147" spans="1:3" ht="15.75" thickBot="1">
      <c r="A147" s="12"/>
      <c r="B147" s="12"/>
      <c r="C147" s="12"/>
    </row>
    <row r="148" spans="1:3" ht="15.75" thickBot="1">
      <c r="A148" s="12"/>
      <c r="B148" s="12"/>
      <c r="C148" s="12"/>
    </row>
    <row r="149" spans="1:3" ht="15.75" thickBot="1">
      <c r="A149" s="12"/>
      <c r="B149" s="12"/>
      <c r="C149" s="12"/>
    </row>
    <row r="150" spans="1:3" ht="15.75" thickBot="1">
      <c r="A150" s="12"/>
      <c r="B150" s="12"/>
      <c r="C150" s="12"/>
    </row>
    <row r="151" spans="1:3" ht="15.75" thickBot="1">
      <c r="A151" s="12"/>
      <c r="B151" s="12"/>
      <c r="C151" s="12"/>
    </row>
    <row r="152" spans="1:3" ht="15.75" thickBot="1">
      <c r="A152" s="12"/>
      <c r="B152" s="12"/>
      <c r="C152" s="12"/>
    </row>
    <row r="153" spans="1:3" ht="15.75" thickBot="1">
      <c r="A153" s="12"/>
      <c r="B153" s="12"/>
      <c r="C153" s="12"/>
    </row>
    <row r="154" spans="1:3" ht="15.75" thickBot="1">
      <c r="A154" s="12"/>
      <c r="B154" s="12"/>
      <c r="C154" s="12"/>
    </row>
    <row r="155" spans="1:3" ht="15.75" thickBot="1">
      <c r="A155" s="12"/>
      <c r="B155" s="12"/>
      <c r="C155" s="12"/>
    </row>
    <row r="156" spans="1:3" ht="15.75" thickBot="1">
      <c r="A156" s="12"/>
      <c r="B156" s="12"/>
      <c r="C156" s="12"/>
    </row>
    <row r="157" spans="1:3" ht="15.75" thickBot="1">
      <c r="A157" s="12"/>
      <c r="B157" s="12"/>
      <c r="C157" s="12"/>
    </row>
    <row r="158" spans="1:3" ht="15.75" thickBot="1">
      <c r="A158" s="12"/>
      <c r="B158" s="12"/>
      <c r="C158" s="12"/>
    </row>
    <row r="159" spans="1:3" ht="15.75" thickBot="1">
      <c r="A159" s="12"/>
      <c r="B159" s="12"/>
      <c r="C159" s="12"/>
    </row>
    <row r="160" spans="1:3" ht="15.75" thickBot="1">
      <c r="A160" s="12"/>
      <c r="B160" s="12"/>
      <c r="C160" s="12"/>
    </row>
    <row r="161" spans="1:3" ht="15.75" thickBot="1">
      <c r="A161" s="12"/>
      <c r="B161" s="12"/>
      <c r="C161" s="12"/>
    </row>
    <row r="162" spans="1:3" ht="15.75" thickBot="1">
      <c r="A162" s="12"/>
      <c r="B162" s="12"/>
      <c r="C162" s="12"/>
    </row>
    <row r="163" spans="1:3" ht="15.75" thickBot="1">
      <c r="A163" s="12"/>
      <c r="B163" s="12"/>
      <c r="C163" s="12"/>
    </row>
    <row r="164" spans="1:3" ht="15.75" thickBot="1">
      <c r="A164" s="12"/>
      <c r="B164" s="12"/>
      <c r="C164" s="12"/>
    </row>
    <row r="165" spans="1:3" ht="15.75" thickBot="1">
      <c r="A165" s="12"/>
      <c r="B165" s="12"/>
      <c r="C165" s="12"/>
    </row>
    <row r="166" spans="1:3" ht="15.75" thickBot="1">
      <c r="A166" s="12"/>
      <c r="B166" s="12"/>
      <c r="C166" s="12"/>
    </row>
    <row r="167" spans="1:3" ht="15.75" thickBot="1">
      <c r="A167" s="12"/>
      <c r="B167" s="12"/>
      <c r="C167" s="12"/>
    </row>
    <row r="168" spans="1:3" ht="15.75" thickBot="1">
      <c r="A168" s="12"/>
      <c r="B168" s="12"/>
      <c r="C168" s="12"/>
    </row>
    <row r="169" spans="1:3" ht="15.75" thickBot="1">
      <c r="A169" s="12"/>
      <c r="B169" s="12"/>
      <c r="C169" s="12"/>
    </row>
    <row r="170" spans="1:3" ht="15.75" thickBot="1">
      <c r="A170" s="12"/>
      <c r="B170" s="12"/>
      <c r="C170" s="12"/>
    </row>
    <row r="171" spans="1:3" ht="15.75" thickBot="1">
      <c r="A171" s="12"/>
      <c r="B171" s="12"/>
      <c r="C171" s="12"/>
    </row>
    <row r="172" spans="1:3" ht="15.75" thickBot="1">
      <c r="A172" s="12"/>
      <c r="B172" s="12"/>
      <c r="C172" s="12"/>
    </row>
    <row r="173" spans="1:3" ht="15.75" thickBot="1">
      <c r="A173" s="12"/>
      <c r="B173" s="12"/>
      <c r="C173" s="12"/>
    </row>
    <row r="174" spans="1:3" ht="15.75" thickBot="1">
      <c r="A174" s="12"/>
      <c r="B174" s="12"/>
      <c r="C174" s="12"/>
    </row>
    <row r="175" spans="1:3" ht="15.75" thickBot="1">
      <c r="A175" s="12"/>
      <c r="B175" s="12"/>
      <c r="C175" s="12"/>
    </row>
    <row r="176" spans="1:3" ht="15.75" thickBot="1">
      <c r="A176" s="12"/>
      <c r="B176" s="12"/>
      <c r="C176" s="12"/>
    </row>
    <row r="177" spans="1:3" ht="15.75" thickBot="1">
      <c r="A177" s="12"/>
      <c r="B177" s="12"/>
      <c r="C177" s="12"/>
    </row>
    <row r="178" spans="1:3" ht="15.75" thickBot="1">
      <c r="A178" s="12"/>
      <c r="B178" s="12"/>
      <c r="C178" s="12"/>
    </row>
    <row r="179" spans="1:3" ht="15.75" thickBot="1">
      <c r="A179" s="12"/>
      <c r="B179" s="12"/>
      <c r="C179" s="12"/>
    </row>
    <row r="180" spans="1:3" ht="15.75" thickBot="1">
      <c r="A180" s="12"/>
      <c r="B180" s="12"/>
      <c r="C180" s="12"/>
    </row>
    <row r="181" spans="1:3" ht="15.75" thickBot="1">
      <c r="A181" s="12"/>
      <c r="B181" s="12"/>
      <c r="C181" s="12"/>
    </row>
    <row r="182" spans="1:3" ht="15.75" thickBot="1">
      <c r="A182" s="12"/>
      <c r="B182" s="12"/>
      <c r="C182" s="12"/>
    </row>
    <row r="183" spans="1:3" ht="15.75" thickBot="1">
      <c r="A183" s="12"/>
      <c r="B183" s="12"/>
      <c r="C183" s="12"/>
    </row>
    <row r="184" spans="1:3" ht="15.75" thickBot="1">
      <c r="A184" s="12"/>
      <c r="B184" s="12"/>
      <c r="C184" s="12"/>
    </row>
    <row r="185" spans="1:3" ht="15.75" thickBot="1">
      <c r="A185" s="12"/>
      <c r="B185" s="12"/>
      <c r="C185" s="12"/>
    </row>
    <row r="186" spans="1:3" ht="15.75" thickBot="1">
      <c r="A186" s="12"/>
      <c r="B186" s="12"/>
      <c r="C186" s="12"/>
    </row>
    <row r="187" spans="1:3" ht="15.75" thickBot="1">
      <c r="A187" s="12"/>
      <c r="B187" s="12"/>
      <c r="C187" s="12"/>
    </row>
    <row r="188" spans="1:3" ht="15.75" thickBot="1">
      <c r="A188" s="12"/>
      <c r="B188" s="12"/>
      <c r="C188" s="12"/>
    </row>
    <row r="189" spans="1:3" ht="15.75" thickBot="1">
      <c r="A189" s="12"/>
      <c r="B189" s="12"/>
      <c r="C189" s="12"/>
    </row>
    <row r="190" spans="1:3" ht="15.75" thickBot="1">
      <c r="A190" s="12"/>
      <c r="B190" s="12"/>
      <c r="C190" s="12"/>
    </row>
    <row r="191" spans="1:3" ht="15.75" thickBot="1">
      <c r="A191" s="12"/>
      <c r="B191" s="12"/>
      <c r="C191" s="12"/>
    </row>
    <row r="192" spans="1:3" ht="15.75" thickBot="1">
      <c r="A192" s="12"/>
      <c r="B192" s="12"/>
      <c r="C192" s="12"/>
    </row>
    <row r="193" spans="1:3" ht="15.75" thickBot="1">
      <c r="A193" s="12"/>
      <c r="B193" s="12"/>
      <c r="C193" s="12"/>
    </row>
    <row r="194" spans="1:3" ht="15.75" thickBot="1">
      <c r="A194" s="12"/>
      <c r="B194" s="12"/>
      <c r="C194" s="12"/>
    </row>
    <row r="195" spans="1:3" ht="15.75" thickBot="1">
      <c r="A195" s="12"/>
      <c r="B195" s="12"/>
      <c r="C195" s="12"/>
    </row>
    <row r="196" spans="1:3" ht="15.75" thickBot="1">
      <c r="A196" s="12"/>
      <c r="B196" s="12"/>
      <c r="C196" s="12"/>
    </row>
    <row r="197" spans="1:3" ht="15.75" thickBot="1">
      <c r="A197" s="12"/>
      <c r="B197" s="12"/>
      <c r="C197" s="12"/>
    </row>
    <row r="198" spans="1:3" ht="15.75" thickBot="1">
      <c r="A198" s="12"/>
      <c r="B198" s="12"/>
      <c r="C198" s="12"/>
    </row>
    <row r="199" spans="1:3" ht="15.75" thickBot="1">
      <c r="A199" s="12"/>
      <c r="B199" s="12"/>
      <c r="C199" s="12"/>
    </row>
    <row r="200" spans="1:3" ht="15.75" thickBot="1">
      <c r="A200" s="12"/>
      <c r="B200" s="12"/>
      <c r="C200" s="12"/>
    </row>
    <row r="201" spans="1:3" ht="15.75" thickBot="1">
      <c r="A201" s="12"/>
      <c r="B201" s="12"/>
      <c r="C201" s="12"/>
    </row>
    <row r="202" spans="1:3" ht="15.75" thickBot="1">
      <c r="A202" s="12"/>
      <c r="B202" s="12"/>
      <c r="C202" s="12"/>
    </row>
    <row r="203" spans="1:3" ht="15.75" thickBot="1">
      <c r="A203" s="12"/>
      <c r="B203" s="12"/>
      <c r="C203" s="12"/>
    </row>
    <row r="204" spans="1:3" ht="15.75" thickBot="1">
      <c r="A204" s="12"/>
      <c r="B204" s="12"/>
      <c r="C204" s="12"/>
    </row>
    <row r="205" spans="1:3" ht="15.75" thickBot="1">
      <c r="A205" s="12"/>
      <c r="B205" s="12"/>
      <c r="C205" s="12"/>
    </row>
    <row r="206" spans="1:3" ht="15.75" thickBot="1">
      <c r="A206" s="12"/>
      <c r="B206" s="12"/>
      <c r="C206" s="12"/>
    </row>
    <row r="207" spans="1:3" ht="15.75" thickBot="1">
      <c r="A207" s="12"/>
      <c r="B207" s="12"/>
      <c r="C207" s="12"/>
    </row>
    <row r="208" spans="1:3" ht="15.75" thickBot="1">
      <c r="A208" s="12"/>
      <c r="B208" s="12"/>
      <c r="C208" s="12"/>
    </row>
    <row r="209" spans="1:3" ht="15.75" thickBot="1">
      <c r="A209" s="12"/>
      <c r="B209" s="12"/>
      <c r="C209" s="12"/>
    </row>
    <row r="210" spans="1:3" ht="15.75" thickBot="1">
      <c r="A210" s="12"/>
      <c r="B210" s="12"/>
      <c r="C210" s="12"/>
    </row>
    <row r="211" spans="1:3" ht="15.75" thickBot="1">
      <c r="A211" s="12"/>
      <c r="B211" s="12"/>
      <c r="C211" s="12"/>
    </row>
    <row r="212" spans="1:3" ht="15.75" thickBot="1">
      <c r="A212" s="12"/>
      <c r="B212" s="12"/>
      <c r="C212" s="12"/>
    </row>
    <row r="213" spans="1:3" ht="15.75" thickBot="1">
      <c r="A213" s="12"/>
      <c r="B213" s="12"/>
      <c r="C213" s="12"/>
    </row>
    <row r="214" spans="1:3" ht="15.75" thickBot="1">
      <c r="A214" s="12"/>
      <c r="B214" s="12"/>
      <c r="C214" s="12"/>
    </row>
    <row r="215" spans="1:3" ht="15.75" thickBot="1">
      <c r="A215" s="12"/>
      <c r="B215" s="12"/>
      <c r="C215" s="12"/>
    </row>
    <row r="216" spans="1:3" ht="15.75" thickBot="1">
      <c r="A216" s="12"/>
      <c r="B216" s="12"/>
      <c r="C216" s="12"/>
    </row>
    <row r="217" spans="1:3" ht="15.75" thickBot="1">
      <c r="A217" s="12"/>
      <c r="B217" s="12"/>
      <c r="C217" s="12"/>
    </row>
    <row r="218" spans="1:3" ht="15.75" thickBot="1">
      <c r="A218" s="12"/>
      <c r="B218" s="12"/>
      <c r="C218" s="12"/>
    </row>
    <row r="219" spans="1:3" ht="15.75" thickBot="1">
      <c r="A219" s="12"/>
      <c r="B219" s="12"/>
      <c r="C219" s="12"/>
    </row>
    <row r="220" spans="1:3" ht="15.75" thickBot="1">
      <c r="A220" s="12"/>
      <c r="B220" s="12"/>
      <c r="C220" s="12"/>
    </row>
    <row r="221" spans="1:3" ht="15.75" thickBot="1">
      <c r="A221" s="12"/>
      <c r="B221" s="12"/>
      <c r="C221" s="12"/>
    </row>
    <row r="222" spans="1:3" ht="15.75" thickBot="1">
      <c r="A222" s="12"/>
      <c r="B222" s="12"/>
      <c r="C222" s="12"/>
    </row>
    <row r="223" spans="1:3" ht="15.75" thickBot="1">
      <c r="A223" s="12"/>
      <c r="B223" s="12"/>
      <c r="C223" s="12"/>
    </row>
    <row r="224" spans="1:3" ht="15.75" thickBot="1">
      <c r="A224" s="12"/>
      <c r="B224" s="12"/>
      <c r="C224" s="12"/>
    </row>
    <row r="225" spans="1:3" ht="15.75" thickBot="1">
      <c r="A225" s="12"/>
      <c r="B225" s="12"/>
      <c r="C225" s="12"/>
    </row>
    <row r="226" spans="1:3" ht="15.75" thickBot="1">
      <c r="A226" s="12"/>
      <c r="B226" s="12"/>
      <c r="C226" s="12"/>
    </row>
    <row r="227" spans="1:3" ht="15.75" thickBot="1">
      <c r="A227" s="12"/>
      <c r="B227" s="12"/>
      <c r="C227" s="12"/>
    </row>
    <row r="228" spans="1:3" ht="15.75" thickBot="1">
      <c r="A228" s="12"/>
      <c r="B228" s="12"/>
      <c r="C228" s="12"/>
    </row>
    <row r="229" spans="1:3" ht="15.75" thickBot="1">
      <c r="A229" s="12"/>
      <c r="B229" s="12"/>
      <c r="C229" s="12"/>
    </row>
    <row r="230" spans="1:3" ht="15.75" thickBot="1">
      <c r="A230" s="12"/>
      <c r="B230" s="12"/>
      <c r="C230" s="12"/>
    </row>
    <row r="231" spans="1:3" ht="15.75" thickBot="1">
      <c r="A231" s="12"/>
      <c r="B231" s="12"/>
      <c r="C231" s="12"/>
    </row>
    <row r="232" spans="1:3" ht="15.75" thickBot="1">
      <c r="A232" s="12"/>
      <c r="B232" s="12"/>
      <c r="C232" s="12"/>
    </row>
    <row r="233" spans="1:3" ht="15.75" thickBot="1">
      <c r="A233" s="12"/>
      <c r="B233" s="12"/>
      <c r="C233" s="12"/>
    </row>
    <row r="234" spans="1:3" ht="15.75" thickBot="1">
      <c r="A234" s="12"/>
      <c r="B234" s="12"/>
      <c r="C234" s="12"/>
    </row>
    <row r="235" spans="1:3" ht="15.75" thickBot="1">
      <c r="A235" s="12"/>
      <c r="B235" s="12"/>
      <c r="C235" s="12"/>
    </row>
    <row r="236" spans="1:3" ht="15.75" thickBot="1">
      <c r="A236" s="12"/>
      <c r="B236" s="12"/>
      <c r="C236" s="12"/>
    </row>
    <row r="237" spans="1:3" ht="15.75" thickBot="1">
      <c r="A237" s="12"/>
      <c r="B237" s="12"/>
      <c r="C237" s="12"/>
    </row>
    <row r="238" spans="1:3" ht="15.75" thickBot="1">
      <c r="A238" s="12"/>
      <c r="B238" s="12"/>
      <c r="C238" s="12"/>
    </row>
    <row r="239" spans="1:3" ht="15.75" thickBot="1">
      <c r="A239" s="12"/>
      <c r="B239" s="12"/>
      <c r="C239" s="12"/>
    </row>
    <row r="240" spans="1:3" ht="15.75" thickBot="1">
      <c r="A240" s="12"/>
      <c r="B240" s="12"/>
      <c r="C240" s="12"/>
    </row>
    <row r="241" spans="1:3" ht="15.75" thickBot="1">
      <c r="A241" s="12"/>
      <c r="B241" s="12"/>
      <c r="C241" s="12"/>
    </row>
    <row r="242" spans="1:3" ht="15.75" thickBot="1">
      <c r="A242" s="12"/>
      <c r="B242" s="12"/>
      <c r="C242" s="12"/>
    </row>
    <row r="243" spans="1:3" ht="15.75" thickBot="1">
      <c r="A243" s="12"/>
      <c r="B243" s="12"/>
      <c r="C243" s="12"/>
    </row>
    <row r="244" spans="1:3" ht="15.75" thickBot="1">
      <c r="A244" s="12"/>
      <c r="B244" s="12"/>
      <c r="C244" s="12"/>
    </row>
    <row r="245" spans="1:3" ht="15.75" thickBot="1">
      <c r="A245" s="12"/>
      <c r="B245" s="12"/>
      <c r="C245" s="12"/>
    </row>
    <row r="246" spans="1:3" ht="15.75" thickBot="1">
      <c r="A246" s="12"/>
      <c r="B246" s="12"/>
      <c r="C246" s="12"/>
    </row>
    <row r="247" spans="1:3" ht="15.75" thickBot="1">
      <c r="A247" s="12"/>
      <c r="B247" s="12"/>
      <c r="C247" s="12"/>
    </row>
    <row r="248" spans="1:3" ht="15.75" thickBot="1">
      <c r="A248" s="12"/>
      <c r="B248" s="12"/>
      <c r="C248" s="12"/>
    </row>
    <row r="249" spans="1:3" ht="15.75" thickBot="1">
      <c r="A249" s="12"/>
      <c r="B249" s="12"/>
      <c r="C249" s="12"/>
    </row>
    <row r="250" spans="1:3" ht="15.75" thickBot="1">
      <c r="A250" s="12"/>
      <c r="B250" s="12"/>
      <c r="C250" s="12"/>
    </row>
    <row r="251" spans="1:3" ht="15.75" thickBot="1">
      <c r="A251" s="12"/>
      <c r="B251" s="12"/>
      <c r="C251" s="12"/>
    </row>
    <row r="252" spans="1:3" ht="15.75" thickBot="1">
      <c r="A252" s="12"/>
      <c r="B252" s="12"/>
      <c r="C252" s="12"/>
    </row>
    <row r="253" spans="1:3" ht="15.75" thickBot="1">
      <c r="A253" s="12"/>
      <c r="B253" s="12"/>
      <c r="C253" s="12"/>
    </row>
    <row r="254" spans="1:3" ht="15.75" thickBot="1">
      <c r="A254" s="12"/>
      <c r="B254" s="12"/>
      <c r="C254" s="12"/>
    </row>
    <row r="255" spans="1:3" ht="15.75" thickBot="1">
      <c r="A255" s="12"/>
      <c r="B255" s="12"/>
      <c r="C255" s="12"/>
    </row>
    <row r="256" spans="1:3" ht="15.75" thickBot="1">
      <c r="A256" s="12"/>
      <c r="B256" s="12"/>
      <c r="C256" s="12"/>
    </row>
    <row r="257" spans="1:3" ht="15.75" thickBot="1">
      <c r="A257" s="12"/>
      <c r="B257" s="12"/>
      <c r="C257" s="12"/>
    </row>
    <row r="258" spans="1:3" ht="15.75" thickBot="1">
      <c r="A258" s="12"/>
      <c r="B258" s="12"/>
      <c r="C258" s="12"/>
    </row>
    <row r="259" spans="1:3" ht="15.75" thickBot="1">
      <c r="A259" s="12"/>
      <c r="B259" s="12"/>
      <c r="C259" s="12"/>
    </row>
    <row r="260" spans="1:3" ht="15.75" thickBot="1">
      <c r="A260" s="12"/>
      <c r="B260" s="12"/>
      <c r="C260" s="12"/>
    </row>
    <row r="261" spans="1:3" ht="15.75" thickBot="1">
      <c r="A261" s="12"/>
      <c r="B261" s="12"/>
      <c r="C261" s="12"/>
    </row>
    <row r="262" spans="1:3" ht="15.75" thickBot="1">
      <c r="A262" s="12"/>
      <c r="B262" s="12"/>
      <c r="C262" s="12"/>
    </row>
    <row r="263" spans="1:3" ht="15.75" thickBot="1">
      <c r="A263" s="12"/>
      <c r="B263" s="12"/>
      <c r="C263" s="12"/>
    </row>
    <row r="264" spans="1:3" ht="15.75" thickBot="1">
      <c r="A264" s="12"/>
      <c r="B264" s="12"/>
      <c r="C264" s="12"/>
    </row>
    <row r="265" spans="1:3" ht="15.75" thickBot="1">
      <c r="A265" s="12"/>
      <c r="B265" s="12"/>
      <c r="C265" s="12"/>
    </row>
    <row r="266" spans="1:3" ht="15.75" thickBot="1">
      <c r="A266" s="12"/>
      <c r="B266" s="12"/>
      <c r="C266" s="12"/>
    </row>
    <row r="267" spans="1:3" ht="15.75" thickBot="1">
      <c r="A267" s="12"/>
      <c r="B267" s="12"/>
      <c r="C267" s="12"/>
    </row>
    <row r="268" spans="1:3" ht="15.75" thickBot="1">
      <c r="A268" s="12"/>
      <c r="B268" s="12"/>
      <c r="C268" s="12"/>
    </row>
    <row r="269" spans="1:3" ht="15.75" thickBot="1">
      <c r="A269" s="12"/>
      <c r="B269" s="12"/>
      <c r="C269" s="12"/>
    </row>
    <row r="270" spans="1:3" ht="15.75" thickBot="1">
      <c r="A270" s="12"/>
      <c r="B270" s="12"/>
      <c r="C270" s="12"/>
    </row>
    <row r="271" spans="1:3" ht="15.75" thickBot="1">
      <c r="A271" s="12"/>
      <c r="B271" s="12"/>
      <c r="C271" s="12"/>
    </row>
    <row r="272" spans="1:3" ht="15.75" thickBot="1">
      <c r="A272" s="12"/>
      <c r="B272" s="12"/>
      <c r="C272" s="12"/>
    </row>
    <row r="273" spans="1:3" ht="15.75" thickBot="1">
      <c r="A273" s="12"/>
      <c r="B273" s="12"/>
      <c r="C273" s="12"/>
    </row>
    <row r="274" spans="1:3" ht="15.75" thickBot="1">
      <c r="A274" s="12"/>
      <c r="B274" s="12"/>
      <c r="C274" s="12"/>
    </row>
    <row r="275" spans="1:3" ht="15.75" thickBot="1">
      <c r="A275" s="12"/>
      <c r="B275" s="12"/>
      <c r="C275" s="12"/>
    </row>
    <row r="276" spans="1:3" ht="15.75" thickBot="1">
      <c r="A276" s="12"/>
      <c r="B276" s="12"/>
      <c r="C276" s="12"/>
    </row>
    <row r="277" spans="1:3" ht="15.75" thickBot="1">
      <c r="A277" s="12"/>
      <c r="B277" s="12"/>
      <c r="C277" s="12"/>
    </row>
    <row r="278" spans="1:3" ht="15.75" thickBot="1">
      <c r="A278" s="12"/>
      <c r="B278" s="12"/>
      <c r="C278" s="12"/>
    </row>
    <row r="279" spans="1:3" ht="15.75" thickBot="1">
      <c r="A279" s="12"/>
      <c r="B279" s="12"/>
      <c r="C279" s="12"/>
    </row>
    <row r="280" spans="1:3" ht="15.75" thickBot="1">
      <c r="A280" s="12"/>
      <c r="B280" s="12"/>
      <c r="C280" s="12"/>
    </row>
    <row r="281" spans="1:3" ht="15.75" thickBot="1">
      <c r="A281" s="12"/>
      <c r="B281" s="12"/>
      <c r="C281" s="12"/>
    </row>
    <row r="282" spans="1:3" ht="15.75" thickBot="1">
      <c r="A282" s="12"/>
      <c r="B282" s="12"/>
      <c r="C282" s="12"/>
    </row>
    <row r="283" spans="1:3" ht="15.75" thickBot="1">
      <c r="A283" s="12"/>
      <c r="B283" s="12"/>
      <c r="C283" s="12"/>
    </row>
    <row r="284" spans="1:3" ht="15.75" thickBot="1">
      <c r="A284" s="12"/>
      <c r="B284" s="12"/>
      <c r="C284" s="12"/>
    </row>
    <row r="285" spans="1:3" ht="15.75" thickBot="1">
      <c r="A285" s="12"/>
      <c r="B285" s="12"/>
      <c r="C285" s="12"/>
    </row>
    <row r="286" spans="1:3" ht="15.75" thickBot="1">
      <c r="A286" s="12"/>
      <c r="B286" s="12"/>
      <c r="C286" s="12"/>
    </row>
    <row r="287" spans="1:3" ht="15.75" thickBot="1">
      <c r="A287" s="12"/>
      <c r="B287" s="12"/>
      <c r="C287" s="12"/>
    </row>
    <row r="288" spans="1:3" ht="15.75" thickBot="1">
      <c r="A288" s="12"/>
      <c r="B288" s="12"/>
      <c r="C288" s="12"/>
    </row>
    <row r="289" spans="1:3" ht="15.75" thickBot="1">
      <c r="A289" s="12"/>
      <c r="B289" s="12"/>
      <c r="C289" s="12"/>
    </row>
    <row r="290" spans="1:3" ht="15.75" thickBot="1">
      <c r="A290" s="12"/>
      <c r="B290" s="12"/>
      <c r="C290" s="12"/>
    </row>
    <row r="291" spans="1:3" ht="15.75" thickBot="1">
      <c r="A291" s="12"/>
      <c r="B291" s="12"/>
      <c r="C291" s="12"/>
    </row>
    <row r="292" spans="1:3" ht="15.75" thickBot="1">
      <c r="A292" s="12"/>
      <c r="B292" s="12"/>
      <c r="C292" s="12"/>
    </row>
    <row r="293" spans="1:3" ht="15.75" thickBot="1">
      <c r="A293" s="12"/>
      <c r="B293" s="12"/>
      <c r="C293" s="12"/>
    </row>
    <row r="294" spans="1:3" ht="15.75" thickBot="1">
      <c r="A294" s="12"/>
      <c r="B294" s="12"/>
      <c r="C294" s="12"/>
    </row>
    <row r="295" spans="1:3" ht="15.75" thickBot="1">
      <c r="A295" s="12"/>
      <c r="B295" s="12"/>
      <c r="C295" s="12"/>
    </row>
    <row r="296" spans="1:3" ht="15.75" thickBot="1">
      <c r="A296" s="12"/>
      <c r="B296" s="12"/>
      <c r="C296" s="12"/>
    </row>
    <row r="297" spans="1:3" ht="15.75" thickBot="1">
      <c r="A297" s="12"/>
      <c r="B297" s="12"/>
      <c r="C297" s="12"/>
    </row>
    <row r="298" spans="1:3" ht="15.75" thickBot="1">
      <c r="A298" s="12"/>
      <c r="B298" s="12"/>
      <c r="C298" s="12"/>
    </row>
    <row r="299" spans="1:3" ht="15.75" thickBot="1">
      <c r="A299" s="12"/>
      <c r="B299" s="12"/>
      <c r="C299" s="12"/>
    </row>
    <row r="300" spans="1:3" ht="15.75" thickBot="1">
      <c r="A300" s="12"/>
      <c r="B300" s="12"/>
      <c r="C300" s="12"/>
    </row>
    <row r="301" spans="1:3" ht="15.75" thickBot="1">
      <c r="A301" s="12"/>
      <c r="B301" s="12"/>
      <c r="C301" s="12"/>
    </row>
    <row r="302" spans="1:3" ht="15.75" thickBot="1">
      <c r="A302" s="12"/>
      <c r="B302" s="12"/>
      <c r="C302" s="12"/>
    </row>
    <row r="303" spans="1:3" ht="15.75" thickBot="1">
      <c r="A303" s="12"/>
      <c r="B303" s="12"/>
      <c r="C303" s="12"/>
    </row>
    <row r="304" spans="1:3" ht="15.75" thickBot="1">
      <c r="A304" s="12"/>
      <c r="B304" s="12"/>
      <c r="C304" s="12"/>
    </row>
    <row r="305" spans="1:3" ht="15.75" thickBot="1">
      <c r="A305" s="12"/>
      <c r="B305" s="12"/>
      <c r="C305" s="12"/>
    </row>
    <row r="306" spans="1:3" ht="15.75" thickBot="1">
      <c r="A306" s="12"/>
      <c r="B306" s="12"/>
      <c r="C306" s="12"/>
    </row>
    <row r="307" spans="1:3" ht="15.75" thickBot="1">
      <c r="A307" s="12"/>
      <c r="B307" s="12"/>
      <c r="C307" s="12"/>
    </row>
    <row r="308" spans="1:3" ht="15.75" thickBot="1">
      <c r="A308" s="12"/>
      <c r="B308" s="12"/>
      <c r="C308" s="12"/>
    </row>
    <row r="309" spans="1:3" ht="15.75" thickBot="1">
      <c r="A309" s="12"/>
      <c r="B309" s="12"/>
      <c r="C309" s="12"/>
    </row>
    <row r="310" spans="1:3" ht="15.75" thickBot="1">
      <c r="A310" s="12"/>
      <c r="B310" s="12"/>
      <c r="C310" s="12"/>
    </row>
    <row r="311" spans="1:3" ht="15.75" thickBot="1">
      <c r="A311" s="12"/>
      <c r="B311" s="12"/>
      <c r="C311" s="12"/>
    </row>
    <row r="312" spans="1:3" ht="15.75" thickBot="1">
      <c r="A312" s="12"/>
      <c r="B312" s="12"/>
      <c r="C312" s="12"/>
    </row>
    <row r="313" spans="1:3" ht="15.75" thickBot="1">
      <c r="A313" s="12"/>
      <c r="B313" s="12"/>
      <c r="C313" s="12"/>
    </row>
    <row r="314" spans="1:3" ht="15.75" thickBot="1">
      <c r="A314" s="12"/>
      <c r="B314" s="12"/>
      <c r="C314" s="12"/>
    </row>
    <row r="315" spans="1:3" ht="15.75" thickBot="1">
      <c r="A315" s="12"/>
      <c r="B315" s="12"/>
      <c r="C315" s="12"/>
    </row>
    <row r="316" spans="1:3" ht="15.75" thickBot="1">
      <c r="A316" s="12"/>
      <c r="B316" s="12"/>
      <c r="C316" s="12"/>
    </row>
    <row r="317" spans="1:3" ht="15.75" thickBot="1">
      <c r="A317" s="12"/>
      <c r="B317" s="12"/>
      <c r="C317" s="12"/>
    </row>
    <row r="318" spans="1:3" ht="15.75" thickBot="1">
      <c r="A318" s="12"/>
      <c r="B318" s="12"/>
      <c r="C318" s="12"/>
    </row>
    <row r="319" spans="1:3" ht="15.75" thickBot="1">
      <c r="A319" s="12"/>
      <c r="B319" s="12"/>
      <c r="C319" s="12"/>
    </row>
    <row r="320" spans="1:3" ht="15.75" thickBot="1">
      <c r="A320" s="12"/>
      <c r="B320" s="12"/>
      <c r="C320" s="12"/>
    </row>
    <row r="321" spans="1:3" ht="15.75" thickBot="1">
      <c r="A321" s="12"/>
      <c r="B321" s="12"/>
      <c r="C321" s="12"/>
    </row>
    <row r="322" spans="1:3" ht="15.75" thickBot="1">
      <c r="A322" s="12"/>
      <c r="B322" s="12"/>
      <c r="C322" s="12"/>
    </row>
    <row r="323" spans="1:3" ht="15.75" thickBot="1">
      <c r="A323" s="12"/>
      <c r="B323" s="12"/>
      <c r="C323" s="12"/>
    </row>
    <row r="324" spans="1:3" ht="15.75" thickBot="1">
      <c r="A324" s="12"/>
      <c r="B324" s="12"/>
      <c r="C324" s="12"/>
    </row>
    <row r="325" spans="1:3" ht="15.75" thickBot="1">
      <c r="A325" s="12"/>
      <c r="B325" s="12"/>
      <c r="C325" s="12"/>
    </row>
    <row r="326" spans="1:3" ht="15.75" thickBot="1">
      <c r="A326" s="12"/>
      <c r="B326" s="12"/>
      <c r="C326" s="12"/>
    </row>
    <row r="327" spans="1:3" ht="15.75" thickBot="1">
      <c r="A327" s="12"/>
      <c r="B327" s="12"/>
      <c r="C327" s="12"/>
    </row>
    <row r="328" spans="1:3" ht="15.75" thickBot="1">
      <c r="A328" s="12"/>
      <c r="B328" s="12"/>
      <c r="C328" s="12"/>
    </row>
    <row r="329" spans="1:3" ht="15.75" thickBot="1">
      <c r="A329" s="12"/>
      <c r="B329" s="12"/>
      <c r="C329" s="12"/>
    </row>
    <row r="330" spans="1:3" ht="15.75" thickBot="1">
      <c r="A330" s="12"/>
      <c r="B330" s="12"/>
      <c r="C330" s="12"/>
    </row>
    <row r="331" spans="1:3" ht="15.75" thickBot="1">
      <c r="A331" s="12"/>
      <c r="B331" s="12"/>
      <c r="C331" s="12"/>
    </row>
    <row r="332" spans="1:3" ht="15.75" thickBot="1">
      <c r="A332" s="12"/>
      <c r="B332" s="12"/>
      <c r="C332" s="12"/>
    </row>
    <row r="333" spans="1:3" ht="15.75" thickBot="1">
      <c r="A333" s="12"/>
      <c r="B333" s="12"/>
      <c r="C333" s="12"/>
    </row>
    <row r="334" spans="1:3" ht="15.75" thickBot="1">
      <c r="A334" s="12"/>
      <c r="B334" s="12"/>
      <c r="C334" s="12"/>
    </row>
    <row r="335" spans="1:3" ht="15.75" thickBot="1">
      <c r="A335" s="12"/>
      <c r="B335" s="12"/>
      <c r="C335" s="12"/>
    </row>
    <row r="336" spans="1:3" ht="15.75" thickBot="1">
      <c r="A336" s="12"/>
      <c r="B336" s="12"/>
      <c r="C336" s="12"/>
    </row>
    <row r="337" spans="1:3" ht="15.75" thickBot="1">
      <c r="A337" s="12"/>
      <c r="B337" s="12"/>
      <c r="C337" s="12"/>
    </row>
    <row r="338" spans="1:3" ht="15.75" thickBot="1">
      <c r="A338" s="12"/>
      <c r="B338" s="12"/>
      <c r="C338" s="12"/>
    </row>
    <row r="339" spans="1:3" ht="15.75" thickBot="1">
      <c r="A339" s="12"/>
      <c r="B339" s="12"/>
      <c r="C339" s="12"/>
    </row>
    <row r="340" spans="1:3" ht="15.75" thickBot="1">
      <c r="A340" s="12"/>
      <c r="B340" s="12"/>
      <c r="C340" s="12"/>
    </row>
    <row r="341" spans="1:3" ht="15.75" thickBot="1">
      <c r="A341" s="12"/>
      <c r="B341" s="12"/>
      <c r="C341" s="12"/>
    </row>
    <row r="342" spans="1:3" ht="15.75" thickBot="1">
      <c r="A342" s="12"/>
      <c r="B342" s="12"/>
      <c r="C342" s="12"/>
    </row>
    <row r="343" spans="1:3" ht="15.75" thickBot="1">
      <c r="A343" s="12"/>
      <c r="B343" s="12"/>
      <c r="C343" s="12"/>
    </row>
    <row r="344" spans="1:3" ht="15.75" thickBot="1">
      <c r="A344" s="12"/>
      <c r="B344" s="12"/>
      <c r="C344" s="12"/>
    </row>
    <row r="345" spans="1:3" ht="15.75" thickBot="1">
      <c r="A345" s="12"/>
      <c r="B345" s="12"/>
      <c r="C345" s="12"/>
    </row>
    <row r="346" spans="1:3" ht="15.75" thickBot="1">
      <c r="A346" s="12"/>
      <c r="B346" s="12"/>
      <c r="C346" s="12"/>
    </row>
    <row r="347" spans="1:3" ht="15.75" thickBot="1">
      <c r="A347" s="12"/>
      <c r="B347" s="12"/>
      <c r="C347" s="12"/>
    </row>
    <row r="348" spans="1:3" ht="15.75" thickBot="1">
      <c r="A348" s="12"/>
      <c r="B348" s="12"/>
      <c r="C348" s="12"/>
    </row>
    <row r="349" spans="1:3" ht="15.75" thickBot="1">
      <c r="A349" s="12"/>
      <c r="B349" s="12"/>
      <c r="C349" s="12"/>
    </row>
    <row r="350" spans="1:3" ht="15.75" thickBot="1">
      <c r="A350" s="12"/>
      <c r="B350" s="12"/>
      <c r="C350" s="12"/>
    </row>
    <row r="351" spans="1:3" ht="15.75" thickBot="1">
      <c r="A351" s="12"/>
      <c r="B351" s="12"/>
      <c r="C351" s="12"/>
    </row>
    <row r="352" spans="1:3" ht="15.75" thickBot="1">
      <c r="A352" s="12"/>
      <c r="B352" s="12"/>
      <c r="C352" s="12"/>
    </row>
    <row r="353" spans="1:3" ht="15.75" thickBot="1">
      <c r="A353" s="12"/>
      <c r="B353" s="12"/>
      <c r="C353" s="12"/>
    </row>
    <row r="354" spans="1:3" ht="15.75" thickBot="1">
      <c r="A354" s="12"/>
      <c r="B354" s="12"/>
      <c r="C354" s="12"/>
    </row>
    <row r="355" spans="1:3" ht="15.75" thickBot="1">
      <c r="A355" s="12"/>
      <c r="B355" s="12"/>
      <c r="C355" s="12"/>
    </row>
    <row r="356" spans="1:3" ht="15.75" thickBot="1">
      <c r="A356" s="12"/>
      <c r="B356" s="12"/>
      <c r="C356" s="12"/>
    </row>
    <row r="357" spans="1:3" ht="15.75" thickBot="1">
      <c r="A357" s="12"/>
      <c r="B357" s="12"/>
      <c r="C357" s="12"/>
    </row>
    <row r="358" spans="1:3" ht="15.75" thickBot="1">
      <c r="A358" s="12"/>
      <c r="B358" s="12"/>
      <c r="C358" s="12"/>
    </row>
    <row r="359" spans="1:3" ht="15.75" thickBot="1">
      <c r="A359" s="12"/>
      <c r="B359" s="12"/>
      <c r="C359" s="12"/>
    </row>
    <row r="360" spans="1:3" ht="15.75" thickBot="1">
      <c r="A360" s="12"/>
      <c r="B360" s="12"/>
      <c r="C360" s="12"/>
    </row>
    <row r="361" spans="1:3" ht="15.75" thickBot="1">
      <c r="A361" s="12"/>
      <c r="B361" s="12"/>
      <c r="C361" s="12"/>
    </row>
    <row r="362" spans="1:3" ht="15.75" thickBot="1">
      <c r="A362" s="12"/>
      <c r="B362" s="12"/>
      <c r="C362" s="12"/>
    </row>
    <row r="363" spans="1:3" ht="15.75" thickBot="1">
      <c r="A363" s="12"/>
      <c r="B363" s="12"/>
      <c r="C363" s="12"/>
    </row>
    <row r="364" spans="1:3" ht="15.75" thickBot="1">
      <c r="A364" s="12"/>
      <c r="B364" s="12"/>
      <c r="C364" s="12"/>
    </row>
    <row r="365" spans="1:3" ht="15.75" thickBot="1">
      <c r="A365" s="12"/>
      <c r="B365" s="12"/>
      <c r="C365" s="12"/>
    </row>
    <row r="366" spans="1:3" ht="15.75" thickBot="1">
      <c r="A366" s="12"/>
      <c r="B366" s="12"/>
      <c r="C366" s="12"/>
    </row>
    <row r="367" spans="1:3" ht="15.75" thickBot="1">
      <c r="A367" s="12"/>
      <c r="B367" s="12"/>
      <c r="C367" s="12"/>
    </row>
    <row r="368" spans="1:3" ht="15.75" thickBot="1">
      <c r="A368" s="12"/>
      <c r="B368" s="12"/>
      <c r="C368" s="12"/>
    </row>
    <row r="369" spans="1:3" ht="15.75" thickBot="1">
      <c r="A369" s="12"/>
      <c r="B369" s="12"/>
      <c r="C369" s="12"/>
    </row>
    <row r="370" spans="1:3" ht="15.75" thickBot="1">
      <c r="A370" s="12"/>
      <c r="B370" s="12"/>
      <c r="C370" s="12"/>
    </row>
    <row r="371" spans="1:3" ht="15.75" thickBot="1">
      <c r="A371" s="12"/>
      <c r="B371" s="12"/>
      <c r="C371" s="12"/>
    </row>
    <row r="372" spans="1:3" ht="15.75" thickBot="1">
      <c r="A372" s="12"/>
      <c r="B372" s="12"/>
      <c r="C372" s="12"/>
    </row>
    <row r="373" spans="1:3" ht="15.75" thickBot="1">
      <c r="A373" s="12"/>
      <c r="B373" s="12"/>
      <c r="C373" s="12"/>
    </row>
    <row r="374" spans="1:3" ht="15.75" thickBot="1">
      <c r="A374" s="12"/>
      <c r="B374" s="12"/>
      <c r="C374" s="12"/>
    </row>
    <row r="375" spans="1:3" ht="15.75" thickBot="1">
      <c r="A375" s="12"/>
      <c r="B375" s="12"/>
      <c r="C375" s="12"/>
    </row>
    <row r="376" spans="1:3" ht="15.75" thickBot="1">
      <c r="A376" s="12"/>
      <c r="B376" s="12"/>
      <c r="C376" s="12"/>
    </row>
    <row r="377" spans="1:3" ht="15.75" thickBot="1">
      <c r="A377" s="12"/>
      <c r="B377" s="12"/>
      <c r="C377" s="12"/>
    </row>
    <row r="378" spans="1:3" ht="15.75" thickBot="1">
      <c r="A378" s="12"/>
      <c r="B378" s="12"/>
      <c r="C378" s="12"/>
    </row>
    <row r="379" spans="1:3" ht="15.75" thickBot="1">
      <c r="A379" s="12"/>
      <c r="B379" s="12"/>
      <c r="C379" s="12"/>
    </row>
    <row r="380" spans="1:3" ht="15.75" thickBot="1">
      <c r="A380" s="12"/>
      <c r="B380" s="12"/>
      <c r="C380" s="12"/>
    </row>
    <row r="381" spans="1:3" ht="15.75" thickBot="1">
      <c r="A381" s="12"/>
      <c r="B381" s="12"/>
      <c r="C381" s="12"/>
    </row>
    <row r="382" spans="1:3" ht="15.75" thickBot="1">
      <c r="A382" s="12"/>
      <c r="B382" s="12"/>
      <c r="C382" s="12"/>
    </row>
    <row r="383" spans="1:3" ht="15.75" thickBot="1">
      <c r="A383" s="12"/>
      <c r="B383" s="12"/>
      <c r="C383" s="12"/>
    </row>
    <row r="384" spans="1:3" ht="15.75" thickBot="1">
      <c r="A384" s="12"/>
      <c r="B384" s="12"/>
      <c r="C384" s="12"/>
    </row>
    <row r="385" spans="1:3" ht="15.75" thickBot="1">
      <c r="A385" s="12"/>
      <c r="B385" s="12"/>
      <c r="C385" s="12"/>
    </row>
    <row r="386" spans="1:3" ht="15.75" thickBot="1">
      <c r="A386" s="12"/>
      <c r="B386" s="12"/>
      <c r="C386" s="12"/>
    </row>
    <row r="387" spans="1:3" ht="15.75" thickBot="1">
      <c r="A387" s="12"/>
      <c r="B387" s="12"/>
      <c r="C387" s="12"/>
    </row>
    <row r="388" spans="1:3" ht="15.75" thickBot="1">
      <c r="A388" s="12"/>
      <c r="B388" s="12"/>
      <c r="C388" s="12"/>
    </row>
    <row r="389" spans="1:3" ht="15.75" thickBot="1">
      <c r="A389" s="12"/>
      <c r="B389" s="12"/>
      <c r="C389" s="12"/>
    </row>
    <row r="390" spans="1:3" ht="15.75" thickBot="1">
      <c r="A390" s="12"/>
      <c r="B390" s="12"/>
      <c r="C390" s="12"/>
    </row>
    <row r="391" spans="1:3" ht="15.75" thickBot="1">
      <c r="A391" s="12"/>
      <c r="B391" s="12"/>
      <c r="C391" s="12"/>
    </row>
    <row r="392" spans="1:3" ht="15.75" thickBot="1">
      <c r="A392" s="12"/>
      <c r="B392" s="12"/>
      <c r="C392" s="12"/>
    </row>
    <row r="393" spans="1:3" ht="15.75" thickBot="1">
      <c r="A393" s="12"/>
      <c r="B393" s="12"/>
      <c r="C393" s="12"/>
    </row>
    <row r="394" spans="1:3" ht="15.75" thickBot="1">
      <c r="A394" s="12"/>
      <c r="B394" s="12"/>
      <c r="C394" s="12"/>
    </row>
    <row r="395" spans="1:3" ht="15.75" thickBot="1">
      <c r="A395" s="12"/>
      <c r="B395" s="12"/>
      <c r="C395" s="12"/>
    </row>
    <row r="396" spans="1:3" ht="15.75" thickBot="1">
      <c r="A396" s="12"/>
      <c r="B396" s="12"/>
      <c r="C396" s="12"/>
    </row>
    <row r="397" spans="1:3" ht="15.75" thickBot="1">
      <c r="A397" s="12"/>
      <c r="B397" s="12"/>
      <c r="C397" s="12"/>
    </row>
    <row r="398" spans="1:3" ht="15.75" thickBot="1">
      <c r="A398" s="12"/>
      <c r="B398" s="12"/>
      <c r="C398" s="12"/>
    </row>
    <row r="399" spans="1:3" ht="15.75" thickBot="1">
      <c r="A399" s="12"/>
      <c r="B399" s="12"/>
      <c r="C399" s="12"/>
    </row>
    <row r="400" spans="1:3" ht="15.75" thickBot="1">
      <c r="A400" s="12"/>
      <c r="B400" s="12"/>
      <c r="C400" s="12"/>
    </row>
    <row r="401" spans="1:3" ht="15.75" thickBot="1">
      <c r="A401" s="12"/>
      <c r="B401" s="12"/>
      <c r="C401" s="12"/>
    </row>
    <row r="402" spans="1:3" ht="15.75" thickBot="1">
      <c r="A402" s="12"/>
      <c r="B402" s="12"/>
      <c r="C402" s="12"/>
    </row>
    <row r="403" spans="1:3" ht="15.75" thickBot="1">
      <c r="A403" s="12"/>
      <c r="B403" s="12"/>
      <c r="C403" s="12"/>
    </row>
    <row r="404" spans="1:3" ht="15.75" thickBot="1">
      <c r="A404" s="12"/>
      <c r="B404" s="12"/>
      <c r="C404" s="12"/>
    </row>
    <row r="405" spans="1:3" ht="15.75" thickBot="1">
      <c r="A405" s="12"/>
      <c r="B405" s="12"/>
      <c r="C405" s="12"/>
    </row>
    <row r="406" spans="1:3" ht="15.75" thickBot="1">
      <c r="A406" s="12"/>
      <c r="B406" s="12"/>
      <c r="C406" s="12"/>
    </row>
    <row r="407" spans="1:3" ht="15.75" thickBot="1">
      <c r="A407" s="12"/>
      <c r="B407" s="12"/>
      <c r="C407" s="12"/>
    </row>
    <row r="408" spans="1:3" ht="15.75" thickBot="1">
      <c r="A408" s="12"/>
      <c r="B408" s="12"/>
      <c r="C408" s="12"/>
    </row>
    <row r="409" spans="1:3" ht="15.75" thickBot="1">
      <c r="A409" s="12"/>
      <c r="B409" s="12"/>
      <c r="C409" s="12"/>
    </row>
    <row r="410" spans="1:3" ht="15.75" thickBot="1">
      <c r="A410" s="12"/>
      <c r="B410" s="12"/>
      <c r="C410" s="12"/>
    </row>
    <row r="411" spans="1:3" ht="15.75" thickBot="1">
      <c r="A411" s="12"/>
      <c r="B411" s="12"/>
      <c r="C411" s="12"/>
    </row>
    <row r="412" spans="1:3" ht="15.75" thickBot="1">
      <c r="A412" s="12"/>
      <c r="B412" s="12"/>
      <c r="C412" s="12"/>
    </row>
    <row r="413" spans="1:3" ht="15.75" thickBot="1">
      <c r="A413" s="12"/>
      <c r="B413" s="12"/>
      <c r="C413" s="12"/>
    </row>
    <row r="414" spans="1:3" ht="15.75" thickBot="1">
      <c r="A414" s="12"/>
      <c r="B414" s="12"/>
      <c r="C414" s="12"/>
    </row>
    <row r="415" spans="1:3" ht="15.75" thickBot="1">
      <c r="A415" s="12"/>
      <c r="B415" s="12"/>
      <c r="C415" s="12"/>
    </row>
    <row r="416" spans="1:3" ht="15.75" thickBot="1">
      <c r="A416" s="12"/>
      <c r="B416" s="12"/>
      <c r="C416" s="12"/>
    </row>
    <row r="417" spans="1:3" ht="15.75" thickBot="1">
      <c r="A417" s="12"/>
      <c r="B417" s="12"/>
      <c r="C417" s="12"/>
    </row>
    <row r="418" spans="1:3" ht="15.75" thickBot="1">
      <c r="A418" s="12"/>
      <c r="B418" s="12"/>
      <c r="C418" s="12"/>
    </row>
    <row r="419" spans="1:3" ht="15.75" thickBot="1">
      <c r="A419" s="12"/>
      <c r="B419" s="12"/>
      <c r="C419" s="12"/>
    </row>
    <row r="420" spans="1:3" ht="15.75" thickBot="1">
      <c r="A420" s="12"/>
      <c r="B420" s="12"/>
      <c r="C420" s="12"/>
    </row>
    <row r="421" spans="1:3" ht="15.75" thickBot="1">
      <c r="A421" s="12"/>
      <c r="B421" s="12"/>
      <c r="C421" s="12"/>
    </row>
    <row r="422" spans="1:3" ht="15.75" thickBot="1">
      <c r="A422" s="12"/>
      <c r="B422" s="12"/>
      <c r="C422" s="12"/>
    </row>
    <row r="423" spans="1:3" ht="15.75" thickBot="1">
      <c r="A423" s="12"/>
      <c r="B423" s="12"/>
      <c r="C423" s="12"/>
    </row>
    <row r="424" spans="1:3" ht="15.75" thickBot="1">
      <c r="A424" s="12"/>
      <c r="B424" s="12"/>
      <c r="C424" s="12"/>
    </row>
    <row r="425" spans="1:3" ht="15.75" thickBot="1">
      <c r="A425" s="12"/>
      <c r="B425" s="12"/>
      <c r="C425" s="12"/>
    </row>
    <row r="426" spans="1:3" ht="15.75" thickBot="1">
      <c r="A426" s="12"/>
      <c r="B426" s="12"/>
      <c r="C426" s="12"/>
    </row>
    <row r="427" spans="1:3" ht="15.75" thickBot="1">
      <c r="A427" s="12"/>
      <c r="B427" s="12"/>
      <c r="C427" s="12"/>
    </row>
    <row r="428" spans="1:3" ht="15.75" thickBot="1">
      <c r="A428" s="12"/>
      <c r="B428" s="12"/>
      <c r="C428" s="12"/>
    </row>
    <row r="429" spans="1:3" ht="15.75" thickBot="1">
      <c r="A429" s="12"/>
      <c r="B429" s="12"/>
      <c r="C429" s="12"/>
    </row>
    <row r="430" spans="1:3" ht="15.75" thickBot="1">
      <c r="A430" s="12"/>
      <c r="B430" s="12"/>
      <c r="C430" s="12"/>
    </row>
    <row r="431" spans="1:3" ht="15.75" thickBot="1">
      <c r="A431" s="12"/>
      <c r="B431" s="12"/>
      <c r="C431" s="12"/>
    </row>
    <row r="432" spans="1:3" ht="15.75" thickBot="1">
      <c r="A432" s="12"/>
      <c r="B432" s="12"/>
      <c r="C432" s="12"/>
    </row>
    <row r="433" spans="1:3" ht="15.75" thickBot="1">
      <c r="A433" s="12"/>
      <c r="B433" s="12"/>
      <c r="C433" s="12"/>
    </row>
    <row r="434" spans="1:3" ht="15.75" thickBot="1">
      <c r="A434" s="12"/>
      <c r="B434" s="12"/>
      <c r="C434" s="12"/>
    </row>
    <row r="435" spans="1:3" ht="15.75" thickBot="1">
      <c r="A435" s="12"/>
      <c r="B435" s="12"/>
      <c r="C435" s="12"/>
    </row>
    <row r="436" spans="1:3" ht="15.75" thickBot="1">
      <c r="A436" s="12"/>
      <c r="B436" s="12"/>
      <c r="C436" s="12"/>
    </row>
    <row r="437" spans="1:3" ht="15.75" thickBot="1">
      <c r="A437" s="12"/>
      <c r="B437" s="12"/>
      <c r="C437" s="12"/>
    </row>
    <row r="438" spans="1:3" ht="15.75" thickBot="1">
      <c r="A438" s="12"/>
      <c r="B438" s="12"/>
      <c r="C438" s="12"/>
    </row>
    <row r="439" spans="1:3" ht="15.75" thickBot="1">
      <c r="A439" s="12"/>
      <c r="B439" s="12"/>
      <c r="C439" s="12"/>
    </row>
    <row r="440" spans="1:3" ht="15.75" thickBot="1">
      <c r="A440" s="12"/>
      <c r="B440" s="12"/>
      <c r="C440" s="12"/>
    </row>
    <row r="441" spans="1:3" ht="15.75" thickBot="1">
      <c r="A441" s="12"/>
      <c r="B441" s="12"/>
      <c r="C441" s="12"/>
    </row>
    <row r="442" spans="1:3" ht="15.75" thickBot="1">
      <c r="A442" s="12"/>
      <c r="B442" s="12"/>
      <c r="C442" s="12"/>
    </row>
    <row r="443" spans="1:3" ht="15.75" thickBot="1">
      <c r="A443" s="12"/>
      <c r="B443" s="12"/>
      <c r="C443" s="12"/>
    </row>
    <row r="444" spans="1:3" ht="15.75" thickBot="1">
      <c r="A444" s="12"/>
      <c r="B444" s="12"/>
      <c r="C444" s="12"/>
    </row>
    <row r="445" spans="1:3" ht="15.75" thickBot="1">
      <c r="A445" s="12"/>
      <c r="B445" s="12"/>
      <c r="C445" s="12"/>
    </row>
    <row r="446" spans="1:3" ht="15.75" thickBot="1">
      <c r="A446" s="12"/>
      <c r="B446" s="12"/>
      <c r="C446" s="12"/>
    </row>
    <row r="447" spans="1:3" ht="15.75" thickBot="1">
      <c r="A447" s="12"/>
      <c r="B447" s="12"/>
      <c r="C447" s="12"/>
    </row>
    <row r="448" spans="1:3" ht="15.75" thickBot="1">
      <c r="A448" s="12"/>
      <c r="B448" s="12"/>
      <c r="C448" s="12"/>
    </row>
    <row r="449" spans="1:3" ht="15.75" thickBot="1">
      <c r="A449" s="12"/>
      <c r="B449" s="12"/>
      <c r="C449" s="12"/>
    </row>
    <row r="450" spans="1:3" ht="15.75" thickBot="1">
      <c r="A450" s="12"/>
      <c r="B450" s="12"/>
      <c r="C450" s="12"/>
    </row>
    <row r="451" spans="1:3" ht="15.75" thickBot="1">
      <c r="A451" s="12"/>
      <c r="B451" s="12"/>
      <c r="C451" s="12"/>
    </row>
    <row r="452" spans="1:3" ht="15.75" thickBot="1">
      <c r="A452" s="12"/>
      <c r="B452" s="12"/>
      <c r="C452" s="12"/>
    </row>
    <row r="453" spans="1:3" ht="15.75" thickBot="1">
      <c r="A453" s="12"/>
      <c r="B453" s="12"/>
      <c r="C453" s="12"/>
    </row>
    <row r="454" spans="1:3" ht="15.75" thickBot="1">
      <c r="A454" s="12"/>
      <c r="B454" s="12"/>
      <c r="C454" s="12"/>
    </row>
    <row r="455" spans="1:3" ht="15.75" thickBot="1">
      <c r="A455" s="12"/>
      <c r="B455" s="12"/>
      <c r="C455" s="12"/>
    </row>
    <row r="456" spans="1:3" ht="15.75" thickBot="1">
      <c r="A456" s="12"/>
      <c r="B456" s="12"/>
      <c r="C456" s="12"/>
    </row>
    <row r="457" spans="1:3" ht="15.75" thickBot="1">
      <c r="A457" s="12"/>
      <c r="B457" s="12"/>
      <c r="C457" s="12"/>
    </row>
    <row r="458" spans="1:3" ht="15.75" thickBot="1">
      <c r="A458" s="12"/>
      <c r="B458" s="12"/>
      <c r="C458" s="12"/>
    </row>
    <row r="459" spans="1:3" ht="15.75" thickBot="1">
      <c r="A459" s="12"/>
      <c r="B459" s="12"/>
      <c r="C459" s="12"/>
    </row>
    <row r="460" spans="1:3" ht="15.75" thickBot="1">
      <c r="A460" s="12"/>
      <c r="B460" s="12"/>
      <c r="C460" s="12"/>
    </row>
    <row r="461" spans="1:3" ht="15.75" thickBot="1">
      <c r="A461" s="12"/>
      <c r="B461" s="12"/>
      <c r="C461" s="12"/>
    </row>
    <row r="462" spans="1:3" ht="15.75" thickBot="1">
      <c r="A462" s="12"/>
      <c r="B462" s="12"/>
      <c r="C462" s="12"/>
    </row>
    <row r="463" spans="1:3" ht="15.75" thickBot="1">
      <c r="A463" s="12"/>
      <c r="B463" s="12"/>
      <c r="C463" s="12"/>
    </row>
    <row r="464" spans="1:3" ht="15.75" thickBot="1">
      <c r="A464" s="12"/>
      <c r="B464" s="12"/>
      <c r="C464" s="12"/>
    </row>
    <row r="465" spans="1:3" ht="15.75" thickBot="1">
      <c r="A465" s="12"/>
      <c r="B465" s="12"/>
      <c r="C465" s="12"/>
    </row>
    <row r="466" spans="1:3" ht="15.75" thickBot="1">
      <c r="A466" s="12"/>
      <c r="B466" s="12"/>
      <c r="C466" s="12"/>
    </row>
    <row r="467" spans="1:3" ht="15.75" thickBot="1">
      <c r="A467" s="12"/>
      <c r="B467" s="12"/>
      <c r="C467" s="12"/>
    </row>
    <row r="468" spans="1:3" ht="15.75" thickBot="1">
      <c r="A468" s="12"/>
      <c r="B468" s="12"/>
      <c r="C468" s="12"/>
    </row>
    <row r="469" spans="1:3" ht="15.75" thickBot="1">
      <c r="A469" s="12"/>
      <c r="B469" s="12"/>
      <c r="C469" s="12"/>
    </row>
    <row r="470" spans="1:3" ht="15.75" thickBot="1">
      <c r="A470" s="12"/>
      <c r="B470" s="12"/>
      <c r="C470" s="12"/>
    </row>
    <row r="471" spans="1:3" ht="15.75" thickBot="1">
      <c r="A471" s="12"/>
      <c r="B471" s="12"/>
      <c r="C471" s="12"/>
    </row>
    <row r="472" spans="1:3" ht="15.75" thickBot="1">
      <c r="A472" s="12"/>
      <c r="B472" s="12"/>
      <c r="C472" s="12"/>
    </row>
    <row r="473" spans="1:3" ht="15.75" thickBot="1">
      <c r="A473" s="12"/>
      <c r="B473" s="12"/>
      <c r="C473" s="12"/>
    </row>
    <row r="474" spans="1:3" ht="15.75" thickBot="1">
      <c r="A474" s="12"/>
      <c r="B474" s="12"/>
      <c r="C474" s="12"/>
    </row>
    <row r="475" spans="1:3" ht="15.75" thickBot="1">
      <c r="A475" s="12"/>
      <c r="B475" s="12"/>
      <c r="C475" s="12"/>
    </row>
    <row r="476" spans="1:3" ht="15.75" thickBot="1">
      <c r="A476" s="12"/>
      <c r="B476" s="12"/>
      <c r="C476" s="12"/>
    </row>
    <row r="477" spans="1:3" ht="15.75" thickBot="1">
      <c r="A477" s="12"/>
      <c r="B477" s="12"/>
      <c r="C477" s="12"/>
    </row>
    <row r="478" spans="1:3" ht="15.75" thickBot="1">
      <c r="A478" s="12"/>
      <c r="B478" s="12"/>
      <c r="C478" s="12"/>
    </row>
    <row r="479" spans="1:3" ht="15.75" thickBot="1">
      <c r="A479" s="12"/>
      <c r="B479" s="12"/>
      <c r="C479" s="12"/>
    </row>
    <row r="480" spans="1:3" ht="15.75" thickBot="1">
      <c r="A480" s="12"/>
      <c r="B480" s="12"/>
      <c r="C480" s="12"/>
    </row>
    <row r="481" spans="1:3" ht="15.75" thickBot="1">
      <c r="A481" s="12"/>
      <c r="B481" s="12"/>
      <c r="C481" s="12"/>
    </row>
    <row r="482" spans="1:3" ht="15.75" thickBot="1">
      <c r="A482" s="12"/>
      <c r="B482" s="12"/>
      <c r="C482" s="12"/>
    </row>
    <row r="483" spans="1:3" ht="15.75" thickBot="1">
      <c r="A483" s="12"/>
      <c r="B483" s="12"/>
      <c r="C483" s="12"/>
    </row>
    <row r="484" spans="1:3" ht="15.75" thickBot="1">
      <c r="A484" s="12"/>
      <c r="B484" s="12"/>
      <c r="C484" s="12"/>
    </row>
    <row r="485" spans="1:3" ht="15.75" thickBot="1">
      <c r="A485" s="12"/>
      <c r="B485" s="12"/>
      <c r="C485" s="12"/>
    </row>
    <row r="486" spans="1:3" ht="15.75" thickBot="1">
      <c r="A486" s="12"/>
      <c r="B486" s="12"/>
      <c r="C486" s="12"/>
    </row>
    <row r="487" spans="1:3" ht="15.75" thickBot="1">
      <c r="A487" s="12"/>
      <c r="B487" s="12"/>
      <c r="C487" s="12"/>
    </row>
    <row r="488" spans="1:3" ht="15.75" thickBot="1">
      <c r="A488" s="12"/>
      <c r="B488" s="12"/>
      <c r="C488" s="12"/>
    </row>
    <row r="489" spans="1:3" ht="15.75" thickBot="1">
      <c r="A489" s="12"/>
      <c r="B489" s="12"/>
      <c r="C489" s="12"/>
    </row>
    <row r="490" spans="1:3" ht="15.75" thickBot="1">
      <c r="A490" s="12"/>
      <c r="B490" s="12"/>
      <c r="C490" s="12"/>
    </row>
    <row r="491" spans="1:3" ht="15.75" thickBot="1">
      <c r="A491" s="12"/>
      <c r="B491" s="12"/>
      <c r="C491" s="12"/>
    </row>
    <row r="492" spans="1:3" ht="15.75" thickBot="1">
      <c r="A492" s="12"/>
      <c r="B492" s="12"/>
      <c r="C492" s="12"/>
    </row>
    <row r="493" spans="1:3" ht="15.75" thickBot="1">
      <c r="A493" s="12"/>
      <c r="B493" s="12"/>
      <c r="C493" s="12"/>
    </row>
    <row r="494" spans="1:3" ht="15.75" thickBot="1">
      <c r="A494" s="12"/>
      <c r="B494" s="12"/>
      <c r="C494" s="12"/>
    </row>
    <row r="495" spans="1:3" ht="15.75" thickBot="1">
      <c r="A495" s="12"/>
      <c r="B495" s="12"/>
      <c r="C495" s="12"/>
    </row>
    <row r="496" spans="1:3" ht="15.75" thickBot="1">
      <c r="A496" s="12"/>
      <c r="B496" s="12"/>
      <c r="C496" s="12"/>
    </row>
    <row r="497" spans="1:3" ht="15.75" thickBot="1">
      <c r="A497" s="12"/>
      <c r="B497" s="12"/>
      <c r="C497" s="12"/>
    </row>
    <row r="498" spans="1:3" ht="15.75" thickBot="1">
      <c r="A498" s="12"/>
      <c r="B498" s="12"/>
      <c r="C498" s="12"/>
    </row>
    <row r="499" spans="1:3" ht="15.75" thickBot="1">
      <c r="A499" s="12"/>
      <c r="B499" s="12"/>
      <c r="C499" s="12"/>
    </row>
    <row r="500" spans="1:3" ht="15.75" thickBot="1">
      <c r="A500" s="12"/>
      <c r="B500" s="12"/>
      <c r="C500" s="12"/>
    </row>
    <row r="501" spans="1:3" ht="15.75" thickBot="1">
      <c r="A501" s="12"/>
      <c r="B501" s="12"/>
      <c r="C501" s="12"/>
    </row>
    <row r="502" spans="1:3" ht="15.75" thickBot="1">
      <c r="A502" s="12"/>
      <c r="B502" s="12"/>
      <c r="C502" s="12"/>
    </row>
    <row r="503" spans="1:3" ht="15.75" thickBot="1">
      <c r="A503" s="12"/>
      <c r="B503" s="12"/>
      <c r="C503" s="12"/>
    </row>
    <row r="504" spans="1:3" ht="15.75" thickBot="1">
      <c r="A504" s="12"/>
      <c r="B504" s="12"/>
      <c r="C504" s="12"/>
    </row>
    <row r="505" spans="1:3" ht="15.75" thickBot="1">
      <c r="A505" s="12"/>
      <c r="B505" s="12"/>
      <c r="C505" s="12"/>
    </row>
    <row r="506" spans="1:3" ht="15.75" thickBot="1">
      <c r="A506" s="12"/>
      <c r="B506" s="12"/>
      <c r="C506" s="12"/>
    </row>
    <row r="507" spans="1:3" ht="15.75" thickBot="1">
      <c r="A507" s="12"/>
      <c r="B507" s="12"/>
      <c r="C507" s="12"/>
    </row>
    <row r="508" spans="1:3" ht="15.75" thickBot="1">
      <c r="A508" s="12"/>
      <c r="B508" s="12"/>
      <c r="C508" s="12"/>
    </row>
    <row r="509" spans="1:3" ht="15.75" thickBot="1">
      <c r="A509" s="12"/>
      <c r="B509" s="12"/>
      <c r="C509" s="12"/>
    </row>
    <row r="510" spans="1:3" ht="15.75" thickBot="1">
      <c r="A510" s="12"/>
      <c r="B510" s="12"/>
      <c r="C510" s="12"/>
    </row>
    <row r="511" spans="1:3" ht="15.75" thickBot="1">
      <c r="A511" s="12"/>
      <c r="B511" s="12"/>
      <c r="C511" s="12"/>
    </row>
    <row r="512" spans="1:3" ht="15.75" thickBot="1">
      <c r="A512" s="12"/>
      <c r="B512" s="12"/>
      <c r="C512" s="12"/>
    </row>
    <row r="513" spans="1:3" ht="15.75" thickBot="1">
      <c r="A513" s="12"/>
      <c r="B513" s="12"/>
      <c r="C513" s="12"/>
    </row>
    <row r="514" spans="1:3" ht="15.75" thickBot="1">
      <c r="A514" s="12"/>
      <c r="B514" s="12"/>
      <c r="C514" s="12"/>
    </row>
    <row r="515" spans="1:3" ht="15.75" thickBot="1">
      <c r="A515" s="12"/>
      <c r="B515" s="12"/>
      <c r="C515" s="12"/>
    </row>
    <row r="516" spans="1:3" ht="15.75" thickBot="1">
      <c r="A516" s="12"/>
      <c r="B516" s="12"/>
      <c r="C516" s="12"/>
    </row>
    <row r="517" spans="1:3" ht="15.75" thickBot="1">
      <c r="A517" s="12"/>
      <c r="B517" s="12"/>
      <c r="C517" s="12"/>
    </row>
    <row r="518" spans="1:3" ht="15.75" thickBot="1">
      <c r="A518" s="12"/>
      <c r="B518" s="12"/>
      <c r="C518" s="12"/>
    </row>
    <row r="519" spans="1:3" ht="15.75" thickBot="1">
      <c r="A519" s="12"/>
      <c r="B519" s="12"/>
      <c r="C519" s="12"/>
    </row>
    <row r="520" spans="1:3" ht="15.75" thickBot="1">
      <c r="A520" s="12"/>
      <c r="B520" s="12"/>
      <c r="C520" s="12"/>
    </row>
    <row r="521" spans="1:3" ht="15.75" thickBot="1">
      <c r="A521" s="12"/>
      <c r="B521" s="12"/>
      <c r="C521" s="12"/>
    </row>
    <row r="522" spans="1:3" ht="15.75" thickBot="1">
      <c r="A522" s="12"/>
      <c r="B522" s="12"/>
      <c r="C522" s="12"/>
    </row>
    <row r="523" spans="1:3" ht="15.75" thickBot="1">
      <c r="A523" s="12"/>
      <c r="B523" s="12"/>
      <c r="C523" s="12"/>
    </row>
    <row r="524" spans="1:3" ht="15.75" thickBot="1">
      <c r="A524" s="12"/>
      <c r="B524" s="12"/>
      <c r="C524" s="12"/>
    </row>
    <row r="525" spans="1:3" ht="15.75" thickBot="1">
      <c r="A525" s="12"/>
      <c r="B525" s="12"/>
      <c r="C525" s="12"/>
    </row>
    <row r="526" spans="1:3" ht="15.75" thickBot="1">
      <c r="A526" s="12"/>
      <c r="B526" s="12"/>
      <c r="C526" s="12"/>
    </row>
    <row r="527" spans="1:3" ht="15.75" thickBot="1">
      <c r="A527" s="12"/>
      <c r="B527" s="12"/>
      <c r="C527" s="12"/>
    </row>
    <row r="528" spans="1:3" ht="15.75" thickBot="1">
      <c r="A528" s="12"/>
      <c r="B528" s="12"/>
      <c r="C528" s="12"/>
    </row>
    <row r="529" spans="1:3" ht="15.75" thickBot="1">
      <c r="A529" s="12"/>
      <c r="B529" s="12"/>
      <c r="C529" s="12"/>
    </row>
    <row r="530" spans="1:3" ht="15.75" thickBot="1">
      <c r="A530" s="12"/>
      <c r="B530" s="12"/>
      <c r="C530" s="12"/>
    </row>
    <row r="531" spans="1:3" ht="15.75" thickBot="1">
      <c r="A531" s="12"/>
      <c r="B531" s="12"/>
      <c r="C531" s="12"/>
    </row>
    <row r="532" spans="1:3" ht="15.75" thickBot="1">
      <c r="A532" s="12"/>
      <c r="B532" s="12"/>
      <c r="C532" s="12"/>
    </row>
    <row r="533" spans="1:3" ht="15.75" thickBot="1">
      <c r="A533" s="12"/>
      <c r="B533" s="12"/>
      <c r="C533" s="12"/>
    </row>
    <row r="534" spans="1:3" ht="15.75" thickBot="1">
      <c r="A534" s="12"/>
      <c r="B534" s="12"/>
      <c r="C534" s="12"/>
    </row>
    <row r="535" spans="1:3" ht="15.75" thickBot="1">
      <c r="A535" s="12"/>
      <c r="B535" s="12"/>
      <c r="C535" s="12"/>
    </row>
    <row r="536" spans="1:3" ht="15.75" thickBot="1">
      <c r="A536" s="12"/>
      <c r="B536" s="12"/>
      <c r="C536" s="12"/>
    </row>
    <row r="537" spans="1:3" ht="15.75" thickBot="1">
      <c r="A537" s="12"/>
      <c r="B537" s="12"/>
      <c r="C537" s="12"/>
    </row>
    <row r="538" spans="1:3" ht="15.75" thickBot="1">
      <c r="A538" s="12"/>
      <c r="B538" s="12"/>
      <c r="C538" s="12"/>
    </row>
    <row r="539" spans="1:3" ht="15.75" thickBot="1">
      <c r="A539" s="12"/>
      <c r="B539" s="12"/>
      <c r="C539" s="12"/>
    </row>
    <row r="540" spans="1:3" ht="15.75" thickBot="1">
      <c r="A540" s="12"/>
      <c r="B540" s="12"/>
      <c r="C540" s="12"/>
    </row>
    <row r="541" spans="1:3" ht="15.75" thickBot="1">
      <c r="A541" s="12"/>
      <c r="B541" s="12"/>
      <c r="C541" s="12"/>
    </row>
    <row r="542" spans="1:3" ht="15.75" thickBot="1">
      <c r="A542" s="12"/>
      <c r="B542" s="12"/>
      <c r="C542" s="12"/>
    </row>
    <row r="543" spans="1:3" ht="15.75" thickBot="1">
      <c r="A543" s="12"/>
      <c r="B543" s="12"/>
      <c r="C543" s="12"/>
    </row>
    <row r="544" spans="1:3" ht="15.75" thickBot="1">
      <c r="A544" s="12"/>
      <c r="B544" s="12"/>
      <c r="C544" s="12"/>
    </row>
    <row r="545" spans="1:3" ht="15.75" thickBot="1">
      <c r="A545" s="12"/>
      <c r="B545" s="12"/>
      <c r="C545" s="12"/>
    </row>
    <row r="546" spans="1:3" ht="15.75" thickBot="1">
      <c r="A546" s="12"/>
      <c r="B546" s="12"/>
      <c r="C546" s="12"/>
    </row>
    <row r="547" spans="1:3" ht="15.75" thickBot="1">
      <c r="A547" s="12"/>
      <c r="B547" s="12"/>
      <c r="C547" s="12"/>
    </row>
    <row r="548" spans="1:3" ht="15.75" thickBot="1">
      <c r="A548" s="12"/>
      <c r="B548" s="12"/>
      <c r="C548" s="12"/>
    </row>
    <row r="549" spans="1:3" ht="15.75" thickBot="1">
      <c r="A549" s="12"/>
      <c r="B549" s="12"/>
      <c r="C549" s="12"/>
    </row>
    <row r="550" spans="1:3" ht="15.75" thickBot="1">
      <c r="A550" s="12"/>
      <c r="B550" s="12"/>
      <c r="C550" s="12"/>
    </row>
    <row r="551" spans="1:3" ht="15.75" thickBot="1">
      <c r="A551" s="12"/>
      <c r="B551" s="12"/>
      <c r="C551" s="12"/>
    </row>
    <row r="552" spans="1:3" ht="15.75" thickBot="1">
      <c r="A552" s="12"/>
      <c r="B552" s="12"/>
      <c r="C552" s="12"/>
    </row>
    <row r="553" spans="1:3" ht="15.75" thickBot="1">
      <c r="A553" s="12"/>
      <c r="B553" s="12"/>
      <c r="C553" s="12"/>
    </row>
    <row r="554" spans="1:3" ht="15.75" thickBot="1">
      <c r="A554" s="12"/>
      <c r="B554" s="12"/>
      <c r="C554" s="12"/>
    </row>
    <row r="555" spans="1:3" ht="15.75" thickBot="1">
      <c r="A555" s="12"/>
      <c r="B555" s="12"/>
      <c r="C555" s="12"/>
    </row>
    <row r="556" spans="1:3" ht="15.75" thickBot="1">
      <c r="A556" s="12"/>
      <c r="B556" s="12"/>
      <c r="C556" s="12"/>
    </row>
    <row r="557" spans="1:3" ht="15.75" thickBot="1">
      <c r="A557" s="12"/>
      <c r="B557" s="12"/>
      <c r="C557" s="12"/>
    </row>
    <row r="558" spans="1:3" ht="15.75" thickBot="1">
      <c r="A558" s="12"/>
      <c r="B558" s="12"/>
      <c r="C558" s="12"/>
    </row>
    <row r="559" spans="1:3" ht="15.75" thickBot="1">
      <c r="A559" s="12"/>
      <c r="B559" s="12"/>
      <c r="C559" s="12"/>
    </row>
    <row r="560" spans="1:3" ht="15.75" thickBot="1">
      <c r="A560" s="12"/>
      <c r="B560" s="12"/>
      <c r="C560" s="12"/>
    </row>
    <row r="561" spans="1:3" ht="15.75" thickBot="1">
      <c r="A561" s="12"/>
      <c r="B561" s="12"/>
      <c r="C561" s="12"/>
    </row>
    <row r="562" spans="1:3" ht="15.75" thickBot="1">
      <c r="A562" s="12"/>
      <c r="B562" s="12"/>
      <c r="C562" s="12"/>
    </row>
    <row r="563" spans="1:3" ht="15.75" thickBot="1">
      <c r="A563" s="12"/>
      <c r="B563" s="12"/>
      <c r="C563" s="12"/>
    </row>
    <row r="564" spans="1:3" ht="15.75" thickBot="1">
      <c r="A564" s="12"/>
      <c r="B564" s="12"/>
      <c r="C564" s="12"/>
    </row>
    <row r="565" spans="1:3" ht="15.75" thickBot="1">
      <c r="A565" s="12"/>
      <c r="B565" s="12"/>
      <c r="C565" s="12"/>
    </row>
    <row r="566" spans="1:3" ht="15.75" thickBot="1">
      <c r="A566" s="12"/>
      <c r="B566" s="12"/>
      <c r="C566" s="12"/>
    </row>
    <row r="567" spans="1:3" ht="15.75" thickBot="1">
      <c r="A567" s="12"/>
      <c r="B567" s="12"/>
      <c r="C567" s="12"/>
    </row>
    <row r="568" spans="1:3" ht="15.75" thickBot="1">
      <c r="A568" s="12"/>
      <c r="B568" s="12"/>
      <c r="C568" s="12"/>
    </row>
    <row r="569" spans="1:3" ht="15.75" thickBot="1">
      <c r="A569" s="12"/>
      <c r="B569" s="12"/>
      <c r="C569" s="12"/>
    </row>
    <row r="570" spans="1:3" ht="15.75" thickBot="1">
      <c r="A570" s="12"/>
      <c r="B570" s="12"/>
      <c r="C570" s="12"/>
    </row>
    <row r="571" spans="1:3" ht="15.75" thickBot="1">
      <c r="A571" s="12"/>
      <c r="B571" s="12"/>
      <c r="C571" s="12"/>
    </row>
    <row r="572" spans="1:3" ht="15.75" thickBot="1">
      <c r="A572" s="12"/>
      <c r="B572" s="12"/>
      <c r="C572" s="12"/>
    </row>
    <row r="573" spans="1:3" ht="15.75" thickBot="1">
      <c r="A573" s="12"/>
      <c r="B573" s="12"/>
      <c r="C573" s="12"/>
    </row>
    <row r="574" spans="1:3" ht="15.75" thickBot="1">
      <c r="A574" s="12"/>
      <c r="B574" s="12"/>
      <c r="C574" s="12"/>
    </row>
    <row r="575" spans="1:3" ht="15.75" thickBot="1">
      <c r="A575" s="12"/>
      <c r="B575" s="12"/>
      <c r="C575" s="12"/>
    </row>
    <row r="576" spans="1:3" ht="15.75" thickBot="1">
      <c r="A576" s="12"/>
      <c r="B576" s="12"/>
      <c r="C576" s="12"/>
    </row>
    <row r="577" spans="1:3" ht="15.75" thickBot="1">
      <c r="A577" s="12"/>
      <c r="B577" s="12"/>
      <c r="C577" s="12"/>
    </row>
    <row r="578" spans="1:3" ht="15.75" thickBot="1">
      <c r="A578" s="12"/>
      <c r="B578" s="12"/>
      <c r="C578" s="12"/>
    </row>
    <row r="579" spans="1:3" ht="15.75" thickBot="1">
      <c r="A579" s="12"/>
      <c r="B579" s="12"/>
      <c r="C579" s="12"/>
    </row>
    <row r="580" spans="1:3" ht="15.75" thickBot="1">
      <c r="A580" s="12"/>
      <c r="B580" s="12"/>
      <c r="C580" s="12"/>
    </row>
    <row r="581" spans="1:3" ht="15.75" thickBot="1">
      <c r="A581" s="12"/>
      <c r="B581" s="12"/>
      <c r="C581" s="12"/>
    </row>
    <row r="582" spans="1:3" ht="15.75" thickBot="1">
      <c r="A582" s="12"/>
      <c r="B582" s="12"/>
      <c r="C582" s="12"/>
    </row>
    <row r="583" spans="1:3" ht="15.75" thickBot="1">
      <c r="A583" s="12"/>
      <c r="B583" s="12"/>
      <c r="C583" s="12"/>
    </row>
    <row r="584" spans="1:3" ht="15.75" thickBot="1">
      <c r="A584" s="12"/>
      <c r="B584" s="12"/>
      <c r="C584" s="12"/>
    </row>
    <row r="585" spans="1:3" ht="15.75" thickBot="1">
      <c r="A585" s="12"/>
      <c r="B585" s="12"/>
      <c r="C585" s="12"/>
    </row>
    <row r="586" spans="1:3" ht="15.75" thickBot="1">
      <c r="A586" s="12"/>
      <c r="B586" s="12"/>
      <c r="C586" s="12"/>
    </row>
    <row r="587" spans="1:3" ht="15.75" thickBot="1">
      <c r="A587" s="12"/>
      <c r="B587" s="12"/>
      <c r="C587" s="12"/>
    </row>
    <row r="588" spans="1:3" ht="15.75" thickBot="1">
      <c r="A588" s="12"/>
      <c r="B588" s="12"/>
      <c r="C588" s="12"/>
    </row>
    <row r="589" spans="1:3" ht="15.75" thickBot="1">
      <c r="A589" s="12"/>
      <c r="B589" s="12"/>
      <c r="C589" s="12"/>
    </row>
    <row r="590" spans="1:3" ht="15.75" thickBot="1">
      <c r="A590" s="12"/>
      <c r="B590" s="12"/>
      <c r="C590" s="12"/>
    </row>
    <row r="591" spans="1:3" ht="15.75" thickBot="1">
      <c r="A591" s="12"/>
      <c r="B591" s="12"/>
      <c r="C591" s="12"/>
    </row>
    <row r="592" spans="1:3" ht="15.75" thickBot="1">
      <c r="A592" s="12"/>
      <c r="B592" s="12"/>
      <c r="C592" s="12"/>
    </row>
    <row r="593" spans="1:3" ht="15.75" thickBot="1">
      <c r="A593" s="12"/>
      <c r="B593" s="12"/>
      <c r="C593" s="12"/>
    </row>
    <row r="594" spans="1:3" ht="15.75" thickBot="1">
      <c r="A594" s="12"/>
      <c r="B594" s="12"/>
      <c r="C594" s="12"/>
    </row>
    <row r="595" spans="1:3" ht="15.75" thickBot="1">
      <c r="A595" s="12"/>
      <c r="B595" s="12"/>
      <c r="C595" s="12"/>
    </row>
    <row r="596" spans="1:3" ht="15.75" thickBot="1">
      <c r="A596" s="12"/>
      <c r="B596" s="12"/>
      <c r="C596" s="12"/>
    </row>
    <row r="597" spans="1:3" ht="15.75" thickBot="1">
      <c r="A597" s="12"/>
      <c r="B597" s="12"/>
      <c r="C597" s="12"/>
    </row>
    <row r="598" spans="1:3" ht="15.75" thickBot="1">
      <c r="A598" s="12"/>
      <c r="B598" s="12"/>
      <c r="C598" s="12"/>
    </row>
    <row r="599" spans="1:3" ht="15.75" thickBot="1">
      <c r="A599" s="12"/>
      <c r="B599" s="12"/>
      <c r="C599" s="12"/>
    </row>
    <row r="600" spans="1:3" ht="15.75" thickBot="1">
      <c r="A600" s="12"/>
      <c r="B600" s="12"/>
      <c r="C600" s="12"/>
    </row>
    <row r="601" spans="1:3" ht="15.75" thickBot="1">
      <c r="A601" s="12"/>
      <c r="B601" s="12"/>
      <c r="C601" s="12"/>
    </row>
    <row r="602" spans="1:3" ht="15.75" thickBot="1">
      <c r="A602" s="12"/>
      <c r="B602" s="12"/>
      <c r="C602" s="12"/>
    </row>
    <row r="603" spans="1:3" ht="15.75" thickBot="1">
      <c r="A603" s="12"/>
      <c r="B603" s="12"/>
      <c r="C603" s="12"/>
    </row>
    <row r="604" spans="1:3" ht="15.75" thickBot="1">
      <c r="A604" s="12"/>
      <c r="B604" s="12"/>
      <c r="C604" s="12"/>
    </row>
    <row r="605" spans="1:3" ht="15.75" thickBot="1">
      <c r="A605" s="12"/>
      <c r="B605" s="12"/>
      <c r="C605" s="12"/>
    </row>
    <row r="606" spans="1:3" ht="15.75" thickBot="1">
      <c r="A606" s="12"/>
      <c r="B606" s="12"/>
      <c r="C606" s="12"/>
    </row>
    <row r="607" spans="1:3" ht="15.75" thickBot="1">
      <c r="A607" s="12"/>
      <c r="B607" s="12"/>
      <c r="C607" s="12"/>
    </row>
    <row r="608" spans="1:3" ht="15.75" thickBot="1">
      <c r="A608" s="12"/>
      <c r="B608" s="12"/>
      <c r="C608" s="12"/>
    </row>
    <row r="609" spans="1:3" ht="15.75" thickBot="1">
      <c r="A609" s="12"/>
      <c r="B609" s="12"/>
      <c r="C609" s="12"/>
    </row>
    <row r="610" spans="1:3" ht="15.75" thickBot="1">
      <c r="A610" s="12"/>
      <c r="B610" s="12"/>
      <c r="C610" s="12"/>
    </row>
    <row r="611" spans="1:3" ht="15.75" thickBot="1">
      <c r="A611" s="12"/>
      <c r="B611" s="12"/>
      <c r="C611" s="12"/>
    </row>
    <row r="612" spans="1:3" ht="15.75" thickBot="1">
      <c r="A612" s="12"/>
      <c r="B612" s="12"/>
      <c r="C612" s="12"/>
    </row>
    <row r="613" spans="1:3" ht="15.75" thickBot="1">
      <c r="A613" s="12"/>
      <c r="B613" s="12"/>
      <c r="C613" s="12"/>
    </row>
    <row r="614" spans="1:3" ht="15.75" thickBot="1">
      <c r="A614" s="12"/>
      <c r="B614" s="12"/>
      <c r="C614" s="12"/>
    </row>
    <row r="615" spans="1:3" ht="15.75" thickBot="1">
      <c r="A615" s="12"/>
      <c r="B615" s="12"/>
      <c r="C615" s="12"/>
    </row>
    <row r="616" spans="1:3" ht="15.75" thickBot="1">
      <c r="A616" s="12"/>
      <c r="B616" s="12"/>
      <c r="C616" s="12"/>
    </row>
    <row r="617" spans="1:3" ht="15.75" thickBot="1">
      <c r="A617" s="12"/>
      <c r="B617" s="12"/>
      <c r="C617" s="12"/>
    </row>
    <row r="618" spans="1:3" ht="15.75" thickBot="1">
      <c r="A618" s="12"/>
      <c r="B618" s="12"/>
      <c r="C618" s="12"/>
    </row>
    <row r="619" spans="1:3" ht="15.75" thickBot="1">
      <c r="A619" s="12"/>
      <c r="B619" s="12"/>
      <c r="C619" s="12"/>
    </row>
    <row r="620" spans="1:3" ht="15.75" thickBot="1">
      <c r="A620" s="12"/>
      <c r="B620" s="12"/>
      <c r="C620" s="12"/>
    </row>
    <row r="621" spans="1:3" ht="15.75" thickBot="1">
      <c r="A621" s="12"/>
      <c r="B621" s="12"/>
      <c r="C621" s="12"/>
    </row>
    <row r="622" spans="1:3" ht="15.75" thickBot="1">
      <c r="A622" s="12"/>
      <c r="B622" s="12"/>
      <c r="C622" s="12"/>
    </row>
    <row r="623" spans="1:3" ht="15.75" thickBot="1">
      <c r="A623" s="12"/>
      <c r="B623" s="12"/>
      <c r="C623" s="12"/>
    </row>
    <row r="624" spans="1:3" ht="15.75" thickBot="1">
      <c r="A624" s="12"/>
      <c r="B624" s="12"/>
      <c r="C624" s="12"/>
    </row>
    <row r="625" spans="1:3" ht="15.75" thickBot="1">
      <c r="A625" s="12"/>
      <c r="B625" s="12"/>
      <c r="C625" s="12"/>
    </row>
    <row r="626" spans="1:3" ht="15.75" thickBot="1">
      <c r="A626" s="12"/>
      <c r="B626" s="12"/>
      <c r="C626" s="12"/>
    </row>
    <row r="627" spans="1:3" ht="15.75" thickBot="1">
      <c r="A627" s="12"/>
      <c r="B627" s="12"/>
      <c r="C627" s="12"/>
    </row>
    <row r="628" spans="1:3" ht="15.75" thickBot="1">
      <c r="A628" s="12"/>
      <c r="B628" s="12"/>
      <c r="C628" s="12"/>
    </row>
    <row r="629" spans="1:3" ht="15.75" thickBot="1">
      <c r="A629" s="12"/>
      <c r="B629" s="12"/>
      <c r="C629" s="12"/>
    </row>
    <row r="630" spans="1:3" ht="15.75" thickBot="1">
      <c r="A630" s="12"/>
      <c r="B630" s="12"/>
      <c r="C630" s="12"/>
    </row>
    <row r="631" spans="1:3" ht="15.75" thickBot="1">
      <c r="A631" s="12"/>
      <c r="B631" s="12"/>
      <c r="C631" s="12"/>
    </row>
    <row r="632" spans="1:3" ht="15.75" thickBot="1">
      <c r="A632" s="12"/>
      <c r="B632" s="12"/>
      <c r="C632" s="12"/>
    </row>
    <row r="633" spans="1:3" ht="15.75" thickBot="1">
      <c r="A633" s="12"/>
      <c r="B633" s="12"/>
      <c r="C633" s="12"/>
    </row>
    <row r="634" spans="1:3" ht="15.75" thickBot="1">
      <c r="A634" s="12"/>
      <c r="B634" s="12"/>
      <c r="C634" s="12"/>
    </row>
    <row r="635" spans="1:3" ht="15.75" thickBot="1">
      <c r="A635" s="12"/>
      <c r="B635" s="12"/>
      <c r="C635" s="12"/>
    </row>
    <row r="636" spans="1:3" ht="15.75" thickBot="1">
      <c r="A636" s="12"/>
      <c r="B636" s="12"/>
      <c r="C636" s="12"/>
    </row>
    <row r="637" spans="1:3" ht="15.75" thickBot="1">
      <c r="A637" s="12"/>
      <c r="B637" s="12"/>
      <c r="C637" s="12"/>
    </row>
    <row r="638" spans="1:3" ht="15.75" thickBot="1">
      <c r="A638" s="12"/>
      <c r="B638" s="12"/>
      <c r="C638" s="12"/>
    </row>
    <row r="639" spans="1:3" ht="15.75" thickBot="1">
      <c r="A639" s="12"/>
      <c r="B639" s="12"/>
      <c r="C639" s="12"/>
    </row>
    <row r="640" spans="1:3" ht="15.75" thickBot="1">
      <c r="A640" s="12"/>
      <c r="B640" s="12"/>
      <c r="C640" s="12"/>
    </row>
    <row r="641" spans="1:3" ht="15.75" thickBot="1">
      <c r="A641" s="12"/>
      <c r="B641" s="12"/>
      <c r="C641" s="12"/>
    </row>
    <row r="642" spans="1:3" ht="15.75" thickBot="1">
      <c r="A642" s="12"/>
      <c r="B642" s="12"/>
      <c r="C642" s="12"/>
    </row>
    <row r="643" spans="1:3" ht="15.75" thickBot="1">
      <c r="A643" s="12"/>
      <c r="B643" s="12"/>
      <c r="C643" s="12"/>
    </row>
    <row r="644" spans="1:3" ht="15.75" thickBot="1">
      <c r="A644" s="12"/>
      <c r="B644" s="12"/>
      <c r="C644" s="12"/>
    </row>
    <row r="645" spans="1:3" ht="15.75" thickBot="1">
      <c r="A645" s="12"/>
      <c r="B645" s="12"/>
      <c r="C645" s="12"/>
    </row>
    <row r="646" spans="1:3" ht="15.75" thickBot="1">
      <c r="A646" s="12"/>
      <c r="B646" s="12"/>
      <c r="C646" s="12"/>
    </row>
    <row r="647" spans="1:3" ht="15.75" thickBot="1">
      <c r="A647" s="12"/>
      <c r="B647" s="12"/>
      <c r="C647" s="12"/>
    </row>
    <row r="648" spans="1:3" ht="15.75" thickBot="1">
      <c r="A648" s="12"/>
      <c r="B648" s="12"/>
      <c r="C648" s="12"/>
    </row>
    <row r="649" spans="1:3" ht="15.75" thickBot="1">
      <c r="A649" s="12"/>
      <c r="B649" s="12"/>
      <c r="C649" s="12"/>
    </row>
    <row r="650" spans="1:3" ht="15.75" thickBot="1">
      <c r="A650" s="12"/>
      <c r="B650" s="12"/>
      <c r="C650" s="12"/>
    </row>
    <row r="651" spans="1:3" ht="15.75" thickBot="1">
      <c r="A651" s="12"/>
      <c r="B651" s="12"/>
      <c r="C651" s="12"/>
    </row>
    <row r="652" spans="1:3" ht="15.75" thickBot="1">
      <c r="A652" s="12"/>
      <c r="B652" s="12"/>
      <c r="C652" s="12"/>
    </row>
    <row r="653" spans="1:3" ht="15.75" thickBot="1">
      <c r="A653" s="12"/>
      <c r="B653" s="12"/>
      <c r="C653" s="12"/>
    </row>
    <row r="654" spans="1:3" ht="15.75" thickBot="1">
      <c r="A654" s="12"/>
      <c r="B654" s="12"/>
      <c r="C654" s="12"/>
    </row>
    <row r="655" spans="1:3" ht="15.75" thickBot="1">
      <c r="A655" s="12"/>
      <c r="B655" s="12"/>
      <c r="C655" s="12"/>
    </row>
    <row r="656" spans="1:3" ht="15.75" thickBot="1">
      <c r="A656" s="12"/>
      <c r="B656" s="12"/>
      <c r="C656" s="12"/>
    </row>
    <row r="657" spans="1:3" ht="15.75" thickBot="1">
      <c r="A657" s="12"/>
      <c r="B657" s="12"/>
      <c r="C657" s="12"/>
    </row>
    <row r="658" spans="1:3" ht="15.75" thickBot="1">
      <c r="A658" s="12"/>
      <c r="B658" s="12"/>
      <c r="C658" s="12"/>
    </row>
    <row r="659" spans="1:3" ht="15.75" thickBot="1">
      <c r="A659" s="12"/>
      <c r="B659" s="12"/>
      <c r="C659" s="12"/>
    </row>
    <row r="660" spans="1:3" ht="15.75" thickBot="1">
      <c r="A660" s="12"/>
      <c r="B660" s="12"/>
      <c r="C660" s="12"/>
    </row>
    <row r="661" spans="1:3" ht="15.75" thickBot="1">
      <c r="A661" s="12"/>
      <c r="B661" s="12"/>
      <c r="C661" s="12"/>
    </row>
    <row r="662" spans="1:3" ht="15.75" thickBot="1">
      <c r="A662" s="12"/>
      <c r="B662" s="12"/>
      <c r="C662" s="12"/>
    </row>
    <row r="663" spans="1:3" ht="15.75" thickBot="1">
      <c r="A663" s="12"/>
      <c r="B663" s="12"/>
      <c r="C663" s="12"/>
    </row>
    <row r="664" spans="1:3" ht="15.75" thickBot="1">
      <c r="A664" s="12"/>
      <c r="B664" s="12"/>
      <c r="C664" s="12"/>
    </row>
    <row r="665" spans="1:3" ht="15.75" thickBot="1">
      <c r="A665" s="12"/>
      <c r="B665" s="12"/>
      <c r="C665" s="12"/>
    </row>
    <row r="666" spans="1:3" ht="15.75" thickBot="1">
      <c r="A666" s="12"/>
      <c r="B666" s="12"/>
      <c r="C666" s="12"/>
    </row>
    <row r="667" spans="1:3" ht="15.75" thickBot="1">
      <c r="A667" s="12"/>
      <c r="B667" s="12"/>
      <c r="C667" s="12"/>
    </row>
    <row r="668" spans="1:3" ht="15.75" thickBot="1">
      <c r="A668" s="12"/>
      <c r="B668" s="12"/>
      <c r="C668" s="12"/>
    </row>
    <row r="669" spans="1:3" ht="15.75" thickBot="1">
      <c r="A669" s="12"/>
      <c r="B669" s="12"/>
      <c r="C669" s="12"/>
    </row>
    <row r="670" spans="1:3" ht="15.75" thickBot="1">
      <c r="A670" s="12"/>
      <c r="B670" s="12"/>
      <c r="C670" s="12"/>
    </row>
    <row r="671" spans="1:3" ht="15.75" thickBot="1">
      <c r="A671" s="12"/>
      <c r="B671" s="12"/>
      <c r="C671" s="12"/>
    </row>
    <row r="672" spans="1:3" ht="15.75" thickBot="1">
      <c r="A672" s="12"/>
      <c r="B672" s="12"/>
      <c r="C672" s="12"/>
    </row>
    <row r="673" spans="1:3" ht="15.75" thickBot="1">
      <c r="A673" s="12"/>
      <c r="B673" s="12"/>
      <c r="C673" s="12"/>
    </row>
    <row r="674" spans="1:3" ht="15.75" thickBot="1">
      <c r="A674" s="12"/>
      <c r="B674" s="12"/>
      <c r="C674" s="12"/>
    </row>
    <row r="675" spans="1:3" ht="15.75" thickBot="1">
      <c r="A675" s="12"/>
      <c r="B675" s="12"/>
      <c r="C675" s="12"/>
    </row>
    <row r="676" spans="1:3" ht="15.75" thickBot="1">
      <c r="A676" s="12"/>
      <c r="B676" s="12"/>
      <c r="C676" s="12"/>
    </row>
    <row r="677" spans="1:3" ht="15.75" thickBot="1">
      <c r="A677" s="12"/>
      <c r="B677" s="12"/>
      <c r="C677" s="12"/>
    </row>
    <row r="678" spans="1:3" ht="15.75" thickBot="1">
      <c r="A678" s="12"/>
      <c r="B678" s="12"/>
      <c r="C678" s="12"/>
    </row>
    <row r="679" spans="1:3" ht="15.75" thickBot="1">
      <c r="A679" s="12"/>
      <c r="B679" s="12"/>
      <c r="C679" s="12"/>
    </row>
    <row r="680" spans="1:3" ht="15.75" thickBot="1">
      <c r="A680" s="12"/>
      <c r="B680" s="12"/>
      <c r="C680" s="12"/>
    </row>
    <row r="681" spans="1:3" ht="15.75" thickBot="1">
      <c r="A681" s="12"/>
      <c r="B681" s="12"/>
      <c r="C681" s="12"/>
    </row>
    <row r="682" spans="1:3" ht="15.75" thickBot="1">
      <c r="A682" s="12"/>
      <c r="B682" s="12"/>
      <c r="C682" s="12"/>
    </row>
    <row r="683" spans="1:3" ht="15.75" thickBot="1">
      <c r="A683" s="12"/>
      <c r="B683" s="12"/>
      <c r="C683" s="12"/>
    </row>
    <row r="684" spans="1:3" ht="15.75" thickBot="1">
      <c r="A684" s="12"/>
      <c r="B684" s="12"/>
      <c r="C684" s="12"/>
    </row>
    <row r="685" spans="1:3" ht="15.75" thickBot="1">
      <c r="A685" s="12"/>
      <c r="B685" s="12"/>
      <c r="C685" s="12"/>
    </row>
    <row r="686" spans="1:3" ht="15.75" thickBot="1">
      <c r="A686" s="12"/>
      <c r="B686" s="12"/>
      <c r="C686" s="12"/>
    </row>
    <row r="687" spans="1:3" ht="15.75" thickBot="1">
      <c r="A687" s="12"/>
      <c r="B687" s="12"/>
      <c r="C687" s="12"/>
    </row>
    <row r="688" spans="1:3" ht="15.75" thickBot="1">
      <c r="A688" s="12"/>
      <c r="B688" s="12"/>
      <c r="C688" s="12"/>
    </row>
    <row r="689" spans="1:3" ht="15.75" thickBot="1">
      <c r="A689" s="12"/>
      <c r="B689" s="12"/>
      <c r="C689" s="12"/>
    </row>
    <row r="690" spans="1:3" ht="15.75" thickBot="1">
      <c r="A690" s="12"/>
      <c r="B690" s="12"/>
      <c r="C690" s="12"/>
    </row>
    <row r="691" spans="1:3" ht="15.75" thickBot="1">
      <c r="A691" s="12"/>
      <c r="B691" s="12"/>
      <c r="C691" s="12"/>
    </row>
    <row r="692" spans="1:3" ht="15.75" thickBot="1">
      <c r="A692" s="12"/>
      <c r="B692" s="12"/>
      <c r="C692" s="12"/>
    </row>
    <row r="693" spans="1:3" ht="15.75" thickBot="1">
      <c r="A693" s="12"/>
      <c r="B693" s="12"/>
      <c r="C693" s="12"/>
    </row>
    <row r="694" spans="1:3" ht="15.75" thickBot="1">
      <c r="A694" s="12"/>
      <c r="B694" s="12"/>
      <c r="C694" s="12"/>
    </row>
    <row r="695" spans="1:3" ht="15.75" thickBot="1">
      <c r="A695" s="12"/>
      <c r="B695" s="12"/>
      <c r="C695" s="12"/>
    </row>
    <row r="696" spans="1:3" ht="15.75" thickBot="1">
      <c r="A696" s="12"/>
      <c r="B696" s="12"/>
      <c r="C696" s="12"/>
    </row>
    <row r="697" spans="1:3" ht="15.75" thickBot="1">
      <c r="A697" s="12"/>
      <c r="B697" s="12"/>
      <c r="C697" s="12"/>
    </row>
    <row r="698" spans="1:3" ht="15.75" thickBot="1">
      <c r="A698" s="12"/>
      <c r="B698" s="12"/>
      <c r="C698" s="12"/>
    </row>
    <row r="699" spans="1:3" ht="15.75" thickBot="1">
      <c r="A699" s="12"/>
      <c r="B699" s="12"/>
      <c r="C699" s="12"/>
    </row>
    <row r="700" spans="1:3" ht="15.75" thickBot="1">
      <c r="A700" s="12"/>
      <c r="B700" s="12"/>
      <c r="C700" s="12"/>
    </row>
    <row r="701" spans="1:3" ht="15.75" thickBot="1">
      <c r="A701" s="12"/>
      <c r="B701" s="12"/>
      <c r="C701" s="12"/>
    </row>
    <row r="702" spans="1:3" ht="15.75" thickBot="1">
      <c r="A702" s="12"/>
      <c r="B702" s="12"/>
      <c r="C702" s="12"/>
    </row>
    <row r="703" spans="1:3" ht="15.75" thickBot="1">
      <c r="A703" s="12"/>
      <c r="B703" s="12"/>
      <c r="C703" s="12"/>
    </row>
    <row r="704" spans="1:3" ht="15.75" thickBot="1">
      <c r="A704" s="12"/>
      <c r="B704" s="12"/>
      <c r="C704" s="12"/>
    </row>
    <row r="705" spans="1:3" ht="15.75" thickBot="1">
      <c r="A705" s="12"/>
      <c r="B705" s="12"/>
      <c r="C705" s="12"/>
    </row>
    <row r="706" spans="1:3" ht="15.75" thickBot="1">
      <c r="A706" s="12"/>
      <c r="B706" s="12"/>
      <c r="C706" s="12"/>
    </row>
    <row r="707" spans="1:3" ht="15.75" thickBot="1">
      <c r="A707" s="12"/>
      <c r="B707" s="12"/>
      <c r="C707" s="12"/>
    </row>
    <row r="708" spans="1:3" ht="15.75" thickBot="1">
      <c r="A708" s="12"/>
      <c r="B708" s="12"/>
      <c r="C708" s="12"/>
    </row>
    <row r="709" spans="1:3" ht="15.75" thickBot="1">
      <c r="A709" s="12"/>
      <c r="B709" s="12"/>
      <c r="C709" s="12"/>
    </row>
    <row r="710" spans="1:3" ht="15.75" thickBot="1">
      <c r="A710" s="12"/>
      <c r="B710" s="12"/>
      <c r="C710" s="12"/>
    </row>
    <row r="711" spans="1:3" ht="15.75" thickBot="1">
      <c r="A711" s="12"/>
      <c r="B711" s="12"/>
      <c r="C711" s="12"/>
    </row>
    <row r="712" spans="1:3" ht="15.75" thickBot="1">
      <c r="A712" s="12"/>
      <c r="B712" s="12"/>
      <c r="C712" s="12"/>
    </row>
    <row r="713" spans="1:3" ht="15.75" thickBot="1">
      <c r="A713" s="12"/>
      <c r="B713" s="12"/>
      <c r="C713" s="12"/>
    </row>
    <row r="714" spans="1:3" ht="15.75" thickBot="1">
      <c r="A714" s="12"/>
      <c r="B714" s="12"/>
      <c r="C714" s="12"/>
    </row>
    <row r="715" spans="1:3" ht="15.75" thickBot="1">
      <c r="A715" s="12"/>
      <c r="B715" s="12"/>
      <c r="C715" s="12"/>
    </row>
    <row r="716" spans="1:3" ht="15.75" thickBot="1">
      <c r="A716" s="12"/>
      <c r="B716" s="12"/>
      <c r="C716" s="12"/>
    </row>
    <row r="717" spans="1:3" ht="15.75" thickBot="1">
      <c r="A717" s="12"/>
      <c r="B717" s="12"/>
      <c r="C717" s="12"/>
    </row>
    <row r="718" spans="1:3" ht="15.75" thickBot="1">
      <c r="A718" s="12"/>
      <c r="B718" s="12"/>
      <c r="C718" s="12"/>
    </row>
    <row r="719" spans="1:3" ht="15.75" thickBot="1">
      <c r="A719" s="12"/>
      <c r="B719" s="12"/>
      <c r="C719" s="12"/>
    </row>
    <row r="720" spans="1:3" ht="15.75" thickBot="1">
      <c r="A720" s="12"/>
      <c r="B720" s="12"/>
      <c r="C720" s="12"/>
    </row>
    <row r="721" spans="1:3" ht="15.75" thickBot="1">
      <c r="A721" s="12"/>
      <c r="B721" s="12"/>
      <c r="C721" s="12"/>
    </row>
    <row r="722" spans="1:3" ht="15.75" thickBot="1">
      <c r="A722" s="12"/>
      <c r="B722" s="12"/>
      <c r="C722" s="12"/>
    </row>
    <row r="723" spans="1:3" ht="15.75" thickBot="1">
      <c r="A723" s="12"/>
      <c r="B723" s="12"/>
      <c r="C723" s="12"/>
    </row>
    <row r="724" spans="1:3" ht="15.75" thickBot="1">
      <c r="A724" s="12"/>
      <c r="B724" s="12"/>
      <c r="C724" s="12"/>
    </row>
    <row r="725" spans="1:3" ht="15.75" thickBot="1">
      <c r="A725" s="12"/>
      <c r="B725" s="12"/>
      <c r="C725" s="12"/>
    </row>
    <row r="726" spans="1:3" ht="15.75" thickBot="1">
      <c r="A726" s="12"/>
      <c r="B726" s="12"/>
      <c r="C726" s="12"/>
    </row>
    <row r="727" spans="1:3" ht="15.75" thickBot="1">
      <c r="A727" s="12"/>
      <c r="B727" s="12"/>
      <c r="C727" s="12"/>
    </row>
    <row r="728" spans="1:3" ht="15.75" thickBot="1">
      <c r="A728" s="12"/>
      <c r="B728" s="12"/>
      <c r="C728" s="12"/>
    </row>
    <row r="729" spans="1:3" ht="15.75" thickBot="1">
      <c r="A729" s="12"/>
      <c r="B729" s="12"/>
      <c r="C729" s="12"/>
    </row>
    <row r="730" spans="1:3" ht="15.75" thickBot="1">
      <c r="A730" s="12"/>
      <c r="B730" s="12"/>
      <c r="C730" s="12"/>
    </row>
    <row r="731" spans="1:3" ht="15.75" thickBot="1">
      <c r="A731" s="12"/>
      <c r="B731" s="12"/>
      <c r="C731" s="12"/>
    </row>
    <row r="732" spans="1:3" ht="15.75" thickBot="1">
      <c r="A732" s="12"/>
      <c r="B732" s="12"/>
      <c r="C732" s="12"/>
    </row>
    <row r="733" spans="1:3" ht="15.75" thickBot="1">
      <c r="A733" s="12"/>
      <c r="B733" s="12"/>
      <c r="C733" s="12"/>
    </row>
    <row r="734" spans="1:3" ht="15.75" thickBot="1">
      <c r="A734" s="12"/>
      <c r="B734" s="12"/>
      <c r="C734" s="12"/>
    </row>
    <row r="735" spans="1:3" ht="15.75" thickBot="1">
      <c r="A735" s="12"/>
      <c r="B735" s="12"/>
      <c r="C735" s="12"/>
    </row>
    <row r="736" spans="1:3" ht="15.75" thickBot="1">
      <c r="A736" s="12"/>
      <c r="B736" s="12"/>
      <c r="C736" s="12"/>
    </row>
    <row r="737" spans="1:3" ht="15.75" thickBot="1">
      <c r="A737" s="12"/>
      <c r="B737" s="12"/>
      <c r="C737" s="12"/>
    </row>
    <row r="738" spans="1:3" ht="15.75" thickBot="1">
      <c r="A738" s="12"/>
      <c r="B738" s="12"/>
      <c r="C738" s="12"/>
    </row>
    <row r="739" spans="1:3" ht="15.75" thickBot="1">
      <c r="A739" s="12"/>
      <c r="B739" s="12"/>
      <c r="C739" s="12"/>
    </row>
    <row r="740" spans="1:3" ht="15.75" thickBot="1">
      <c r="A740" s="12"/>
      <c r="B740" s="12"/>
      <c r="C740" s="12"/>
    </row>
    <row r="741" spans="1:3" ht="15.75" thickBot="1">
      <c r="A741" s="12"/>
      <c r="B741" s="12"/>
      <c r="C741" s="12"/>
    </row>
    <row r="742" spans="1:3" ht="15.75" thickBot="1">
      <c r="A742" s="12"/>
      <c r="B742" s="12"/>
      <c r="C742" s="12"/>
    </row>
    <row r="743" spans="1:3" ht="15.75" thickBot="1">
      <c r="A743" s="12"/>
      <c r="B743" s="12"/>
      <c r="C743" s="12"/>
    </row>
    <row r="744" spans="1:3" ht="15.75" thickBot="1">
      <c r="A744" s="12"/>
      <c r="B744" s="12"/>
      <c r="C744" s="12"/>
    </row>
    <row r="745" spans="1:3" ht="15.75" thickBot="1">
      <c r="A745" s="12"/>
      <c r="B745" s="12"/>
      <c r="C745" s="12"/>
    </row>
    <row r="746" spans="1:3" ht="15.75" thickBot="1">
      <c r="A746" s="12"/>
      <c r="B746" s="12"/>
      <c r="C746" s="12"/>
    </row>
    <row r="747" spans="1:3" ht="15.75" thickBot="1">
      <c r="A747" s="12"/>
      <c r="B747" s="12"/>
      <c r="C747" s="12"/>
    </row>
    <row r="748" spans="1:3" ht="15.75" thickBot="1">
      <c r="A748" s="12"/>
      <c r="B748" s="12"/>
      <c r="C748" s="12"/>
    </row>
    <row r="749" spans="1:3" ht="15.75" thickBot="1">
      <c r="A749" s="12"/>
      <c r="B749" s="12"/>
      <c r="C749" s="12"/>
    </row>
    <row r="750" spans="1:3" ht="15.75" thickBot="1">
      <c r="A750" s="12"/>
      <c r="B750" s="12"/>
      <c r="C750" s="12"/>
    </row>
    <row r="751" spans="1:3" ht="15.75" thickBot="1">
      <c r="A751" s="12"/>
      <c r="B751" s="12"/>
      <c r="C751" s="12"/>
    </row>
    <row r="752" spans="1:3" ht="15.75" thickBot="1">
      <c r="A752" s="12"/>
      <c r="B752" s="12"/>
      <c r="C752" s="12"/>
    </row>
    <row r="753" spans="1:3" ht="15.75" thickBot="1">
      <c r="A753" s="12"/>
      <c r="B753" s="12"/>
      <c r="C753" s="12"/>
    </row>
    <row r="754" spans="1:3" ht="15.75" thickBot="1">
      <c r="A754" s="12"/>
      <c r="B754" s="12"/>
      <c r="C754" s="12"/>
    </row>
    <row r="755" spans="1:3" ht="15.75" thickBot="1">
      <c r="A755" s="12"/>
      <c r="B755" s="12"/>
      <c r="C755" s="12"/>
    </row>
    <row r="756" spans="1:3" ht="15.75" thickBot="1">
      <c r="A756" s="12"/>
      <c r="B756" s="12"/>
      <c r="C756" s="12"/>
    </row>
    <row r="757" spans="1:3" ht="15.75" thickBot="1">
      <c r="A757" s="12"/>
      <c r="B757" s="12"/>
      <c r="C757" s="12"/>
    </row>
    <row r="758" spans="1:3" ht="15.75" thickBot="1">
      <c r="A758" s="12"/>
      <c r="B758" s="12"/>
      <c r="C758" s="12"/>
    </row>
    <row r="759" spans="1:3" ht="15.75" thickBot="1">
      <c r="A759" s="12"/>
      <c r="B759" s="12"/>
      <c r="C759" s="12"/>
    </row>
    <row r="760" spans="1:3" ht="15.75" thickBot="1">
      <c r="A760" s="12"/>
      <c r="B760" s="12"/>
      <c r="C760" s="12"/>
    </row>
    <row r="761" spans="1:3" ht="15.75" thickBot="1">
      <c r="A761" s="12"/>
      <c r="B761" s="12"/>
      <c r="C761" s="12"/>
    </row>
    <row r="762" spans="1:3" ht="15.75" thickBot="1">
      <c r="A762" s="12"/>
      <c r="B762" s="12"/>
      <c r="C762" s="12"/>
    </row>
    <row r="763" spans="1:3" ht="15.75" thickBot="1">
      <c r="A763" s="12"/>
      <c r="B763" s="12"/>
      <c r="C763" s="12"/>
    </row>
    <row r="764" spans="1:3" ht="15.75" thickBot="1">
      <c r="A764" s="12"/>
      <c r="B764" s="12"/>
      <c r="C764" s="12"/>
    </row>
    <row r="765" spans="1:3" ht="15.75" thickBot="1">
      <c r="A765" s="12"/>
      <c r="B765" s="12"/>
      <c r="C765" s="12"/>
    </row>
    <row r="766" spans="1:3" ht="15.75" thickBot="1">
      <c r="A766" s="12"/>
      <c r="B766" s="12"/>
      <c r="C766" s="12"/>
    </row>
    <row r="767" spans="1:3" ht="15.75" thickBot="1">
      <c r="A767" s="12"/>
      <c r="B767" s="12"/>
      <c r="C767" s="12"/>
    </row>
    <row r="768" spans="1:3" ht="15.75" thickBot="1">
      <c r="A768" s="12"/>
      <c r="B768" s="12"/>
      <c r="C768" s="12"/>
    </row>
    <row r="769" spans="1:3" ht="15.75" thickBot="1">
      <c r="A769" s="12"/>
      <c r="B769" s="12"/>
      <c r="C769" s="12"/>
    </row>
    <row r="770" spans="1:3" ht="15.75" thickBot="1">
      <c r="A770" s="12"/>
      <c r="B770" s="12"/>
      <c r="C770" s="12"/>
    </row>
    <row r="771" spans="1:3" ht="15.75" thickBot="1">
      <c r="A771" s="12"/>
      <c r="B771" s="12"/>
      <c r="C771" s="12"/>
    </row>
    <row r="772" spans="1:3" ht="15.75" thickBot="1">
      <c r="A772" s="12"/>
      <c r="B772" s="12"/>
      <c r="C772" s="12"/>
    </row>
    <row r="773" spans="1:3" ht="15.75" thickBot="1">
      <c r="A773" s="12"/>
      <c r="B773" s="12"/>
      <c r="C773" s="12"/>
    </row>
    <row r="774" spans="1:3" ht="15.75" thickBot="1">
      <c r="A774" s="12"/>
      <c r="B774" s="12"/>
      <c r="C774" s="12"/>
    </row>
    <row r="775" spans="1:3" ht="15.75" thickBot="1">
      <c r="A775" s="12"/>
      <c r="B775" s="12"/>
      <c r="C775" s="12"/>
    </row>
    <row r="776" spans="1:3" ht="15.75" thickBot="1">
      <c r="A776" s="12"/>
      <c r="B776" s="12"/>
      <c r="C776" s="12"/>
    </row>
    <row r="777" spans="1:3" ht="15.75" thickBot="1">
      <c r="A777" s="12"/>
      <c r="B777" s="12"/>
      <c r="C777" s="12"/>
    </row>
    <row r="778" spans="1:3" ht="15.75" thickBot="1">
      <c r="A778" s="12"/>
      <c r="B778" s="12"/>
      <c r="C778" s="12"/>
    </row>
    <row r="779" spans="1:3" ht="15.75" thickBot="1">
      <c r="A779" s="12"/>
      <c r="B779" s="12"/>
      <c r="C779" s="12"/>
    </row>
    <row r="780" spans="1:3" ht="15.75" thickBot="1">
      <c r="A780" s="12"/>
      <c r="B780" s="12"/>
      <c r="C780" s="12"/>
    </row>
    <row r="781" spans="1:3" ht="15.75" thickBot="1">
      <c r="A781" s="12"/>
      <c r="B781" s="12"/>
      <c r="C781" s="12"/>
    </row>
    <row r="782" spans="1:3" ht="15.75" thickBot="1">
      <c r="A782" s="12"/>
      <c r="B782" s="12"/>
      <c r="C782" s="12"/>
    </row>
    <row r="783" spans="1:3" ht="15.75" thickBot="1">
      <c r="A783" s="12"/>
      <c r="B783" s="12"/>
      <c r="C783" s="12"/>
    </row>
    <row r="784" spans="1:3" ht="15.75" thickBot="1">
      <c r="A784" s="12"/>
      <c r="B784" s="12"/>
      <c r="C784" s="12"/>
    </row>
    <row r="785" spans="1:3" ht="15.75" thickBot="1">
      <c r="A785" s="12"/>
      <c r="B785" s="12"/>
      <c r="C785" s="12"/>
    </row>
    <row r="786" spans="1:3" ht="15.75" thickBot="1">
      <c r="A786" s="12"/>
      <c r="B786" s="12"/>
      <c r="C786" s="12"/>
    </row>
    <row r="787" spans="1:3" ht="15.75" thickBot="1">
      <c r="A787" s="12"/>
      <c r="B787" s="12"/>
      <c r="C787" s="12"/>
    </row>
    <row r="788" spans="1:3" ht="15.75" thickBot="1">
      <c r="A788" s="12"/>
      <c r="B788" s="12"/>
      <c r="C788" s="12"/>
    </row>
    <row r="789" spans="1:3" ht="15.75" thickBot="1">
      <c r="A789" s="12"/>
      <c r="B789" s="12"/>
      <c r="C789" s="12"/>
    </row>
    <row r="790" spans="1:3" ht="15.75" thickBot="1">
      <c r="A790" s="12"/>
      <c r="B790" s="12"/>
      <c r="C790" s="12"/>
    </row>
    <row r="791" spans="1:3" ht="15.75" thickBot="1">
      <c r="A791" s="12"/>
      <c r="B791" s="12"/>
      <c r="C791" s="12"/>
    </row>
    <row r="792" spans="1:3" ht="15.75" thickBot="1">
      <c r="A792" s="12"/>
      <c r="B792" s="12"/>
      <c r="C792" s="12"/>
    </row>
    <row r="793" spans="1:3" ht="15.75" thickBot="1">
      <c r="A793" s="12"/>
      <c r="B793" s="12"/>
      <c r="C793" s="12"/>
    </row>
    <row r="794" spans="1:3" ht="15.75" thickBot="1">
      <c r="A794" s="12"/>
      <c r="B794" s="12"/>
      <c r="C794" s="12"/>
    </row>
    <row r="795" spans="1:3" ht="15.75" thickBot="1">
      <c r="A795" s="12"/>
      <c r="B795" s="12"/>
      <c r="C795" s="12"/>
    </row>
    <row r="796" spans="1:3" ht="15.75" thickBot="1">
      <c r="A796" s="12"/>
      <c r="B796" s="12"/>
      <c r="C796" s="12"/>
    </row>
    <row r="797" spans="1:3" ht="15.75" thickBot="1">
      <c r="A797" s="12"/>
      <c r="B797" s="12"/>
      <c r="C797" s="12"/>
    </row>
    <row r="798" spans="1:3" ht="15.75" thickBot="1">
      <c r="A798" s="12"/>
      <c r="B798" s="12"/>
      <c r="C798" s="12"/>
    </row>
    <row r="799" spans="1:3" ht="15.75" thickBot="1">
      <c r="A799" s="12"/>
      <c r="B799" s="12"/>
      <c r="C799" s="12"/>
    </row>
    <row r="800" spans="1:3" ht="15.75" thickBot="1">
      <c r="A800" s="12"/>
      <c r="B800" s="12"/>
      <c r="C800" s="12"/>
    </row>
    <row r="801" spans="1:3" ht="15.75" thickBot="1">
      <c r="A801" s="12"/>
      <c r="B801" s="12"/>
      <c r="C801" s="12"/>
    </row>
    <row r="802" spans="1:3" ht="15.75" thickBot="1">
      <c r="A802" s="12"/>
      <c r="B802" s="12"/>
      <c r="C802" s="12"/>
    </row>
    <row r="803" spans="1:3" ht="15.75" thickBot="1">
      <c r="A803" s="12"/>
      <c r="B803" s="12"/>
      <c r="C803" s="12"/>
    </row>
    <row r="804" spans="1:3" ht="15.75" thickBot="1">
      <c r="A804" s="12"/>
      <c r="B804" s="12"/>
      <c r="C804" s="12"/>
    </row>
    <row r="805" spans="1:3" ht="15.75" thickBot="1">
      <c r="A805" s="12"/>
      <c r="B805" s="12"/>
      <c r="C805" s="12"/>
    </row>
    <row r="806" spans="1:3" ht="15.75" thickBot="1">
      <c r="A806" s="12"/>
      <c r="B806" s="12"/>
      <c r="C806" s="12"/>
    </row>
    <row r="807" spans="1:3" ht="15.75" thickBot="1">
      <c r="A807" s="12"/>
      <c r="B807" s="12"/>
      <c r="C807" s="12"/>
    </row>
    <row r="808" spans="1:3" ht="15.75" thickBot="1">
      <c r="A808" s="12"/>
      <c r="B808" s="12"/>
      <c r="C808" s="12"/>
    </row>
    <row r="809" spans="1:3" ht="15.75" thickBot="1">
      <c r="A809" s="12"/>
      <c r="B809" s="12"/>
      <c r="C809" s="12"/>
    </row>
    <row r="810" spans="1:3" ht="15.75" thickBot="1">
      <c r="A810" s="12"/>
      <c r="B810" s="12"/>
      <c r="C810" s="12"/>
    </row>
    <row r="811" spans="1:3" ht="15.75" thickBot="1">
      <c r="A811" s="12"/>
      <c r="B811" s="12"/>
      <c r="C811" s="12"/>
    </row>
    <row r="812" spans="1:3" ht="15.75" thickBot="1">
      <c r="A812" s="12"/>
      <c r="B812" s="12"/>
      <c r="C812" s="12"/>
    </row>
    <row r="813" spans="1:3" ht="15.75" thickBot="1">
      <c r="A813" s="12"/>
      <c r="B813" s="12"/>
      <c r="C813" s="12"/>
    </row>
    <row r="814" spans="1:3" ht="15.75" thickBot="1">
      <c r="A814" s="12"/>
      <c r="B814" s="12"/>
      <c r="C814" s="12"/>
    </row>
    <row r="815" spans="1:3" ht="15.75" thickBot="1">
      <c r="A815" s="12"/>
      <c r="B815" s="12"/>
      <c r="C815" s="12"/>
    </row>
    <row r="816" spans="1:3" ht="15.75" thickBot="1">
      <c r="A816" s="12"/>
      <c r="B816" s="12"/>
      <c r="C816" s="12"/>
    </row>
    <row r="817" spans="1:3" ht="15.75" thickBot="1">
      <c r="A817" s="12"/>
      <c r="B817" s="12"/>
      <c r="C817" s="12"/>
    </row>
    <row r="818" spans="1:3" ht="15.75" thickBot="1">
      <c r="A818" s="12"/>
      <c r="B818" s="12"/>
      <c r="C818" s="12"/>
    </row>
    <row r="819" spans="1:3" ht="15.75" thickBot="1">
      <c r="A819" s="12"/>
      <c r="B819" s="12"/>
      <c r="C819" s="12"/>
    </row>
    <row r="820" spans="1:3" ht="15.75" thickBot="1">
      <c r="A820" s="12"/>
      <c r="B820" s="12"/>
      <c r="C820" s="12"/>
    </row>
    <row r="821" spans="1:3" ht="15.75" thickBot="1">
      <c r="A821" s="12"/>
      <c r="B821" s="12"/>
      <c r="C821" s="12"/>
    </row>
    <row r="822" spans="1:3" ht="15.75" thickBot="1">
      <c r="A822" s="12"/>
      <c r="B822" s="12"/>
      <c r="C822" s="12"/>
    </row>
    <row r="823" spans="1:3" ht="15.75" thickBot="1">
      <c r="A823" s="12"/>
      <c r="B823" s="12"/>
      <c r="C823" s="12"/>
    </row>
    <row r="824" spans="1:3" ht="15.75" thickBot="1">
      <c r="A824" s="12"/>
      <c r="B824" s="12"/>
      <c r="C824" s="12"/>
    </row>
    <row r="825" spans="1:3" ht="15.75" thickBot="1">
      <c r="A825" s="12"/>
      <c r="B825" s="12"/>
      <c r="C825" s="12"/>
    </row>
    <row r="826" spans="1:3" ht="15.75" thickBot="1">
      <c r="A826" s="12"/>
      <c r="B826" s="12"/>
      <c r="C826" s="12"/>
    </row>
    <row r="827" spans="1:3" ht="15.75" thickBot="1">
      <c r="A827" s="12"/>
      <c r="B827" s="12"/>
      <c r="C827" s="12"/>
    </row>
    <row r="828" spans="1:3" ht="15.75" thickBot="1">
      <c r="A828" s="12"/>
      <c r="B828" s="12"/>
      <c r="C828" s="12"/>
    </row>
    <row r="829" spans="1:3" ht="15.75" thickBot="1">
      <c r="A829" s="12"/>
      <c r="B829" s="12"/>
      <c r="C829" s="12"/>
    </row>
    <row r="830" spans="1:3" ht="15.75" thickBot="1">
      <c r="A830" s="12"/>
      <c r="B830" s="12"/>
      <c r="C830" s="12"/>
    </row>
    <row r="831" spans="1:3" ht="15.75" thickBot="1">
      <c r="A831" s="12"/>
      <c r="B831" s="12"/>
      <c r="C831" s="12"/>
    </row>
    <row r="832" spans="1:3" ht="15.75" thickBot="1">
      <c r="A832" s="12"/>
      <c r="B832" s="12"/>
      <c r="C832" s="12"/>
    </row>
    <row r="833" spans="1:3" ht="15.75" thickBot="1">
      <c r="A833" s="12"/>
      <c r="B833" s="12"/>
      <c r="C833" s="12"/>
    </row>
    <row r="834" spans="1:3" ht="15.75" thickBot="1">
      <c r="A834" s="12"/>
      <c r="B834" s="12"/>
      <c r="C834" s="12"/>
    </row>
    <row r="835" spans="1:3" ht="15.75" thickBot="1">
      <c r="A835" s="12"/>
      <c r="B835" s="12"/>
      <c r="C835" s="12"/>
    </row>
    <row r="836" spans="1:3" ht="15.75" thickBot="1">
      <c r="A836" s="12"/>
      <c r="B836" s="12"/>
      <c r="C836" s="12"/>
    </row>
    <row r="837" spans="1:3" ht="15.75" thickBot="1">
      <c r="A837" s="12"/>
      <c r="B837" s="12"/>
      <c r="C837" s="12"/>
    </row>
    <row r="838" spans="1:3" ht="15.75" thickBot="1">
      <c r="A838" s="12"/>
      <c r="B838" s="12"/>
      <c r="C838" s="12"/>
    </row>
    <row r="839" spans="1:3" ht="15.75" thickBot="1">
      <c r="A839" s="12"/>
      <c r="B839" s="12"/>
      <c r="C839" s="12"/>
    </row>
    <row r="840" spans="1:3" ht="15.75" thickBot="1">
      <c r="A840" s="12"/>
      <c r="B840" s="12"/>
      <c r="C840" s="12"/>
    </row>
    <row r="841" spans="1:3" ht="15.75" thickBot="1">
      <c r="A841" s="12"/>
      <c r="B841" s="12"/>
      <c r="C841" s="12"/>
    </row>
    <row r="842" spans="1:3" ht="15.75" thickBot="1">
      <c r="A842" s="12"/>
      <c r="B842" s="12"/>
      <c r="C842" s="12"/>
    </row>
    <row r="843" spans="1:3" ht="15.75" thickBot="1">
      <c r="A843" s="12"/>
      <c r="B843" s="12"/>
      <c r="C843" s="12"/>
    </row>
    <row r="844" spans="1:3" ht="15.75" thickBot="1">
      <c r="A844" s="12"/>
      <c r="B844" s="12"/>
      <c r="C844" s="12"/>
    </row>
    <row r="845" spans="1:3" ht="15.75" thickBot="1">
      <c r="A845" s="12"/>
      <c r="B845" s="12"/>
      <c r="C845" s="12"/>
    </row>
    <row r="846" spans="1:3" ht="15.75" thickBot="1">
      <c r="A846" s="12"/>
      <c r="B846" s="12"/>
      <c r="C846" s="12"/>
    </row>
    <row r="847" spans="1:3" ht="15.75" thickBot="1">
      <c r="A847" s="12"/>
      <c r="B847" s="12"/>
      <c r="C847" s="12"/>
    </row>
    <row r="848" spans="1:3" ht="15.75" thickBot="1">
      <c r="A848" s="12"/>
      <c r="B848" s="12"/>
      <c r="C848" s="12"/>
    </row>
    <row r="849" spans="1:3" ht="15.75" thickBot="1">
      <c r="A849" s="12"/>
      <c r="B849" s="12"/>
      <c r="C849" s="12"/>
    </row>
    <row r="850" spans="1:3" ht="15.75" thickBot="1">
      <c r="A850" s="12"/>
      <c r="B850" s="12"/>
      <c r="C850" s="12"/>
    </row>
    <row r="851" spans="1:3" ht="15.75" thickBot="1">
      <c r="A851" s="12"/>
      <c r="B851" s="12"/>
      <c r="C851" s="12"/>
    </row>
    <row r="852" spans="1:3" ht="15.75" thickBot="1">
      <c r="A852" s="12"/>
      <c r="B852" s="12"/>
      <c r="C852" s="12"/>
    </row>
    <row r="853" spans="1:3" ht="15.75" thickBot="1">
      <c r="A853" s="12"/>
      <c r="B853" s="12"/>
      <c r="C853" s="12"/>
    </row>
    <row r="854" spans="1:3" ht="15.75" thickBot="1">
      <c r="A854" s="12"/>
      <c r="B854" s="12"/>
      <c r="C854" s="12"/>
    </row>
    <row r="855" spans="1:3" ht="15.75" thickBot="1">
      <c r="A855" s="12"/>
      <c r="B855" s="12"/>
      <c r="C855" s="12"/>
    </row>
    <row r="856" spans="1:3" ht="15.75" thickBot="1">
      <c r="A856" s="12"/>
      <c r="B856" s="12"/>
      <c r="C856" s="12"/>
    </row>
    <row r="857" spans="1:3" ht="15.75" thickBot="1">
      <c r="A857" s="12"/>
      <c r="B857" s="12"/>
      <c r="C857" s="12"/>
    </row>
    <row r="858" spans="1:3" ht="15.75" thickBot="1">
      <c r="A858" s="12"/>
      <c r="B858" s="12"/>
      <c r="C858" s="12"/>
    </row>
    <row r="859" spans="1:3" ht="15.75" thickBot="1">
      <c r="A859" s="12"/>
      <c r="B859" s="12"/>
      <c r="C859" s="12"/>
    </row>
    <row r="860" spans="1:3" ht="15.75" thickBot="1">
      <c r="A860" s="12"/>
      <c r="B860" s="12"/>
      <c r="C860" s="12"/>
    </row>
    <row r="861" spans="1:3" ht="15.75" thickBot="1">
      <c r="A861" s="12"/>
      <c r="B861" s="12"/>
      <c r="C861" s="12"/>
    </row>
    <row r="862" spans="1:3" ht="15.75" thickBot="1">
      <c r="A862" s="12"/>
      <c r="B862" s="12"/>
      <c r="C862" s="12"/>
    </row>
    <row r="863" spans="1:3" ht="15.75" thickBot="1">
      <c r="A863" s="12"/>
      <c r="B863" s="12"/>
      <c r="C863" s="12"/>
    </row>
    <row r="864" spans="1:3" ht="15.75" thickBot="1">
      <c r="A864" s="12"/>
      <c r="B864" s="12"/>
      <c r="C864" s="12"/>
    </row>
    <row r="865" spans="1:3" ht="15.75" thickBot="1">
      <c r="A865" s="12"/>
      <c r="B865" s="12"/>
      <c r="C865" s="12"/>
    </row>
    <row r="866" spans="1:3" ht="15.75" thickBot="1">
      <c r="A866" s="12"/>
      <c r="B866" s="12"/>
      <c r="C866" s="12"/>
    </row>
    <row r="867" spans="1:3" ht="15.75" thickBot="1">
      <c r="A867" s="12"/>
      <c r="B867" s="12"/>
      <c r="C867" s="12"/>
    </row>
    <row r="868" spans="1:3" ht="15.75" thickBot="1">
      <c r="A868" s="12"/>
      <c r="B868" s="12"/>
      <c r="C868" s="12"/>
    </row>
    <row r="869" spans="1:3" ht="15.75" thickBot="1">
      <c r="A869" s="12"/>
      <c r="B869" s="12"/>
      <c r="C869" s="12"/>
    </row>
    <row r="870" spans="1:3" ht="15.75" thickBot="1">
      <c r="A870" s="12"/>
      <c r="B870" s="12"/>
      <c r="C870" s="12"/>
    </row>
    <row r="871" spans="1:3" ht="15.75" thickBot="1">
      <c r="A871" s="12"/>
      <c r="B871" s="12"/>
      <c r="C871" s="12"/>
    </row>
    <row r="872" spans="1:3" ht="15.75" thickBot="1">
      <c r="A872" s="12"/>
      <c r="B872" s="12"/>
      <c r="C872" s="12"/>
    </row>
    <row r="873" spans="1:3" ht="15.75" thickBot="1">
      <c r="A873" s="12"/>
      <c r="B873" s="12"/>
      <c r="C873" s="12"/>
    </row>
    <row r="874" spans="1:3" ht="15.75" thickBot="1">
      <c r="A874" s="12"/>
      <c r="B874" s="12"/>
      <c r="C874" s="12"/>
    </row>
    <row r="875" spans="1:3" ht="15.75" thickBot="1">
      <c r="A875" s="12"/>
      <c r="B875" s="12"/>
      <c r="C875" s="12"/>
    </row>
    <row r="876" spans="1:3" ht="15.75" thickBot="1">
      <c r="A876" s="12"/>
      <c r="B876" s="12"/>
      <c r="C876" s="12"/>
    </row>
    <row r="877" spans="1:3" ht="15.75" thickBot="1">
      <c r="A877" s="12"/>
      <c r="B877" s="12"/>
      <c r="C877" s="12"/>
    </row>
    <row r="878" spans="1:3" ht="15.75" thickBot="1">
      <c r="A878" s="12"/>
      <c r="B878" s="12"/>
      <c r="C878" s="12"/>
    </row>
    <row r="879" spans="1:3" ht="15.75" thickBot="1">
      <c r="A879" s="12"/>
      <c r="B879" s="12"/>
      <c r="C879" s="12"/>
    </row>
    <row r="880" spans="1:3" ht="15.75" thickBot="1">
      <c r="A880" s="12"/>
      <c r="B880" s="12"/>
      <c r="C880" s="12"/>
    </row>
    <row r="881" spans="1:3" ht="15.75" thickBot="1">
      <c r="A881" s="12"/>
      <c r="B881" s="12"/>
      <c r="C881" s="12"/>
    </row>
    <row r="882" spans="1:3" ht="15.75" thickBot="1">
      <c r="A882" s="12"/>
      <c r="B882" s="12"/>
      <c r="C882" s="12"/>
    </row>
    <row r="883" spans="1:3" ht="15.75" thickBot="1">
      <c r="A883" s="12"/>
      <c r="B883" s="12"/>
      <c r="C883" s="12"/>
    </row>
    <row r="884" spans="1:3" ht="15.75" thickBot="1">
      <c r="A884" s="12"/>
      <c r="B884" s="12"/>
      <c r="C884" s="12"/>
    </row>
    <row r="885" spans="1:3" ht="15.75" thickBot="1">
      <c r="A885" s="12"/>
      <c r="B885" s="12"/>
      <c r="C885" s="12"/>
    </row>
    <row r="886" spans="1:3" ht="15.75" thickBot="1">
      <c r="A886" s="12"/>
      <c r="B886" s="12"/>
      <c r="C886" s="12"/>
    </row>
    <row r="887" spans="1:3" ht="15.75" thickBot="1">
      <c r="A887" s="12"/>
      <c r="B887" s="12"/>
      <c r="C887" s="12"/>
    </row>
    <row r="888" spans="1:3" ht="15.75" thickBot="1">
      <c r="A888" s="12"/>
      <c r="B888" s="12"/>
      <c r="C888" s="12"/>
    </row>
    <row r="889" spans="1:3" ht="15.75" thickBot="1">
      <c r="A889" s="12"/>
      <c r="B889" s="12"/>
      <c r="C889" s="12"/>
    </row>
    <row r="890" spans="1:3" ht="15.75" thickBot="1">
      <c r="A890" s="12"/>
      <c r="B890" s="12"/>
      <c r="C890" s="12"/>
    </row>
    <row r="891" spans="1:3" ht="15.75" thickBot="1">
      <c r="A891" s="12"/>
      <c r="B891" s="12"/>
      <c r="C891" s="12"/>
    </row>
    <row r="892" spans="1:3" ht="15.75" thickBot="1">
      <c r="A892" s="12"/>
      <c r="B892" s="12"/>
      <c r="C892" s="12"/>
    </row>
    <row r="893" spans="1:3" ht="15.75" thickBot="1">
      <c r="A893" s="12"/>
      <c r="B893" s="12"/>
      <c r="C893" s="12"/>
    </row>
    <row r="894" spans="1:3" ht="15.75" thickBot="1">
      <c r="A894" s="12"/>
      <c r="B894" s="12"/>
      <c r="C894" s="12"/>
    </row>
    <row r="895" spans="1:3" ht="15.75" thickBot="1">
      <c r="A895" s="12"/>
      <c r="B895" s="12"/>
      <c r="C895" s="12"/>
    </row>
    <row r="896" spans="1:3" ht="15.75" thickBot="1">
      <c r="A896" s="12"/>
      <c r="B896" s="12"/>
      <c r="C896" s="12"/>
    </row>
    <row r="897" spans="1:3" ht="15.75" thickBot="1">
      <c r="A897" s="12"/>
      <c r="B897" s="12"/>
      <c r="C897" s="12"/>
    </row>
    <row r="898" spans="1:3" ht="15.75" thickBot="1">
      <c r="A898" s="12"/>
      <c r="B898" s="12"/>
      <c r="C898" s="12"/>
    </row>
    <row r="899" spans="1:3" ht="15.75" thickBot="1">
      <c r="A899" s="12"/>
      <c r="B899" s="12"/>
      <c r="C899" s="12"/>
    </row>
    <row r="900" spans="1:3" ht="15.75" thickBot="1">
      <c r="A900" s="12"/>
      <c r="B900" s="12"/>
      <c r="C900" s="12"/>
    </row>
    <row r="901" spans="1:3" ht="15.75" thickBot="1">
      <c r="A901" s="12"/>
      <c r="B901" s="12"/>
      <c r="C901" s="12"/>
    </row>
    <row r="902" spans="1:3" ht="15.75" thickBot="1">
      <c r="A902" s="12"/>
      <c r="B902" s="12"/>
      <c r="C902" s="12"/>
    </row>
    <row r="903" spans="1:3" ht="15.75" thickBot="1">
      <c r="A903" s="12"/>
      <c r="B903" s="12"/>
      <c r="C903" s="12"/>
    </row>
    <row r="904" spans="1:3" ht="15.75" thickBot="1">
      <c r="A904" s="12"/>
      <c r="B904" s="12"/>
      <c r="C904" s="12"/>
    </row>
    <row r="905" spans="1:3" ht="15.75" thickBot="1">
      <c r="A905" s="12"/>
      <c r="B905" s="12"/>
      <c r="C905" s="12"/>
    </row>
    <row r="906" spans="1:3" ht="15.75" thickBot="1">
      <c r="A906" s="12"/>
      <c r="B906" s="12"/>
      <c r="C906" s="12"/>
    </row>
    <row r="907" spans="1:3" ht="15.75" thickBot="1">
      <c r="A907" s="12"/>
      <c r="B907" s="12"/>
      <c r="C907" s="12"/>
    </row>
    <row r="908" spans="1:3" ht="15.75" thickBot="1">
      <c r="A908" s="12"/>
      <c r="B908" s="12"/>
      <c r="C908" s="12"/>
    </row>
    <row r="909" spans="1:3" ht="15.75" thickBot="1">
      <c r="A909" s="12"/>
      <c r="B909" s="12"/>
      <c r="C909" s="12"/>
    </row>
    <row r="910" spans="1:3" ht="15.75" thickBot="1">
      <c r="A910" s="12"/>
      <c r="B910" s="12"/>
      <c r="C910" s="12"/>
    </row>
    <row r="911" spans="1:3" ht="15.75" thickBot="1">
      <c r="A911" s="12"/>
      <c r="B911" s="12"/>
      <c r="C911" s="12"/>
    </row>
    <row r="912" spans="1:3" ht="15.75" thickBot="1">
      <c r="A912" s="12"/>
      <c r="B912" s="12"/>
      <c r="C912" s="12"/>
    </row>
    <row r="913" spans="1:3" ht="15.75" thickBot="1">
      <c r="A913" s="12"/>
      <c r="B913" s="12"/>
      <c r="C913" s="12"/>
    </row>
    <row r="914" spans="1:3" ht="15.75" thickBot="1">
      <c r="A914" s="12"/>
      <c r="B914" s="12"/>
      <c r="C914" s="12"/>
    </row>
    <row r="915" spans="1:3" ht="15.75" thickBot="1">
      <c r="A915" s="12"/>
      <c r="B915" s="12"/>
      <c r="C915" s="12"/>
    </row>
    <row r="916" spans="1:3" ht="15.75" thickBot="1">
      <c r="A916" s="12"/>
      <c r="B916" s="12"/>
      <c r="C916" s="12"/>
    </row>
    <row r="917" spans="1:3" ht="15.75" thickBot="1">
      <c r="A917" s="12"/>
      <c r="B917" s="12"/>
      <c r="C917" s="12"/>
    </row>
    <row r="918" spans="1:3" ht="15.75" thickBot="1">
      <c r="A918" s="12"/>
      <c r="B918" s="12"/>
      <c r="C918" s="12"/>
    </row>
    <row r="919" spans="1:3" ht="15.75" thickBot="1">
      <c r="A919" s="12"/>
      <c r="B919" s="12"/>
      <c r="C919" s="12"/>
    </row>
    <row r="920" spans="1:3" ht="15.75" thickBot="1">
      <c r="A920" s="12"/>
      <c r="B920" s="12"/>
      <c r="C920" s="12"/>
    </row>
    <row r="921" spans="1:3" ht="15.75" thickBot="1">
      <c r="A921" s="12"/>
      <c r="B921" s="12"/>
      <c r="C921" s="12"/>
    </row>
    <row r="922" spans="1:3" ht="15.75" thickBot="1">
      <c r="A922" s="12"/>
      <c r="B922" s="12"/>
      <c r="C922" s="12"/>
    </row>
    <row r="923" spans="1:3" ht="15.75" thickBot="1">
      <c r="A923" s="12"/>
      <c r="B923" s="12"/>
      <c r="C923" s="12"/>
    </row>
    <row r="924" spans="1:3" ht="15.75" thickBot="1">
      <c r="A924" s="12"/>
      <c r="B924" s="12"/>
      <c r="C924" s="12"/>
    </row>
    <row r="925" spans="1:3" ht="15.75" thickBot="1">
      <c r="A925" s="12"/>
      <c r="B925" s="12"/>
      <c r="C925" s="12"/>
    </row>
    <row r="926" spans="1:3" ht="15.75" thickBot="1">
      <c r="A926" s="12"/>
      <c r="B926" s="12"/>
      <c r="C926" s="12"/>
    </row>
    <row r="927" spans="1:3" ht="15.75" thickBot="1">
      <c r="A927" s="12"/>
      <c r="B927" s="12"/>
      <c r="C927" s="12"/>
    </row>
    <row r="928" spans="1:3" ht="15.75" thickBot="1">
      <c r="A928" s="12"/>
      <c r="B928" s="12"/>
      <c r="C928" s="12"/>
    </row>
    <row r="929" spans="1:3" ht="15.75" thickBot="1">
      <c r="A929" s="12"/>
      <c r="B929" s="12"/>
      <c r="C929" s="12"/>
    </row>
    <row r="930" spans="1:3" ht="15.75" thickBot="1">
      <c r="A930" s="12"/>
      <c r="B930" s="12"/>
      <c r="C930" s="12"/>
    </row>
    <row r="931" spans="1:3" ht="15.75" thickBot="1">
      <c r="A931" s="12"/>
      <c r="B931" s="12"/>
      <c r="C931" s="12"/>
    </row>
    <row r="932" spans="1:3" ht="15.75" thickBot="1">
      <c r="A932" s="12"/>
      <c r="B932" s="12"/>
      <c r="C932" s="12"/>
    </row>
    <row r="933" spans="1:3" ht="15.75" thickBot="1">
      <c r="A933" s="12"/>
      <c r="B933" s="12"/>
      <c r="C933" s="12"/>
    </row>
    <row r="934" spans="1:3" ht="15.75" thickBot="1">
      <c r="A934" s="12"/>
      <c r="B934" s="12"/>
      <c r="C934" s="12"/>
    </row>
    <row r="935" spans="1:3" ht="15.75" thickBot="1">
      <c r="A935" s="12"/>
      <c r="B935" s="12"/>
      <c r="C935" s="12"/>
    </row>
    <row r="936" spans="1:3" ht="15.75" thickBot="1">
      <c r="A936" s="12"/>
      <c r="B936" s="12"/>
      <c r="C936" s="12"/>
    </row>
    <row r="937" spans="1:3" ht="15.75" thickBot="1">
      <c r="A937" s="12"/>
      <c r="B937" s="12"/>
      <c r="C937" s="12"/>
    </row>
    <row r="938" spans="1:3" ht="15.75" thickBot="1">
      <c r="A938" s="12"/>
      <c r="B938" s="12"/>
      <c r="C938" s="12"/>
    </row>
    <row r="939" spans="1:3" ht="15.75" thickBot="1">
      <c r="A939" s="12"/>
      <c r="B939" s="12"/>
      <c r="C939" s="12"/>
    </row>
    <row r="940" spans="1:3" ht="15.75" thickBot="1">
      <c r="A940" s="12"/>
      <c r="B940" s="12"/>
      <c r="C940" s="12"/>
    </row>
    <row r="941" spans="1:3" ht="15.75" thickBot="1">
      <c r="A941" s="12"/>
      <c r="B941" s="12"/>
      <c r="C941" s="12"/>
    </row>
    <row r="942" spans="1:3" ht="15.75" thickBot="1">
      <c r="A942" s="12"/>
      <c r="B942" s="12"/>
      <c r="C942" s="12"/>
    </row>
    <row r="943" spans="1:3" ht="15.75" thickBot="1">
      <c r="A943" s="12"/>
      <c r="B943" s="12"/>
      <c r="C943" s="12"/>
    </row>
    <row r="944" spans="1:3" ht="15.75" thickBot="1">
      <c r="A944" s="12"/>
      <c r="B944" s="12"/>
      <c r="C944" s="12"/>
    </row>
    <row r="945" spans="1:3" ht="15.75" thickBot="1">
      <c r="A945" s="12"/>
      <c r="B945" s="12"/>
      <c r="C945" s="12"/>
    </row>
    <row r="946" spans="1:3" ht="15.75" thickBot="1">
      <c r="A946" s="12"/>
      <c r="B946" s="12"/>
      <c r="C946" s="12"/>
    </row>
    <row r="947" spans="1:3" ht="15.75" thickBot="1">
      <c r="A947" s="12"/>
      <c r="B947" s="12"/>
      <c r="C947" s="12"/>
    </row>
    <row r="948" spans="1:3" ht="15.75" thickBot="1">
      <c r="A948" s="12"/>
      <c r="B948" s="12"/>
      <c r="C948" s="12"/>
    </row>
    <row r="949" spans="1:3" ht="15.75" thickBot="1">
      <c r="A949" s="12"/>
      <c r="B949" s="12"/>
      <c r="C949" s="12"/>
    </row>
    <row r="950" spans="1:3" ht="15.75" thickBot="1">
      <c r="A950" s="12"/>
      <c r="B950" s="12"/>
      <c r="C950" s="12"/>
    </row>
    <row r="951" spans="1:3" ht="15.75" thickBot="1">
      <c r="A951" s="12"/>
      <c r="B951" s="12"/>
      <c r="C951" s="12"/>
    </row>
    <row r="952" spans="1:3" ht="15.75" thickBot="1">
      <c r="A952" s="12"/>
      <c r="B952" s="12"/>
      <c r="C952" s="12"/>
    </row>
    <row r="953" spans="1:3" ht="15.75" thickBot="1">
      <c r="A953" s="12"/>
      <c r="B953" s="12"/>
      <c r="C953" s="12"/>
    </row>
    <row r="954" spans="1:3" ht="15.75" thickBot="1">
      <c r="A954" s="12"/>
      <c r="B954" s="12"/>
      <c r="C954" s="12"/>
    </row>
    <row r="955" spans="1:3" ht="15.75" thickBot="1">
      <c r="A955" s="12"/>
      <c r="B955" s="12"/>
      <c r="C955" s="12"/>
    </row>
    <row r="956" spans="1:3" ht="15.75" thickBot="1">
      <c r="A956" s="12"/>
      <c r="B956" s="12"/>
      <c r="C956" s="12"/>
    </row>
    <row r="957" spans="1:3" ht="15.75" thickBot="1">
      <c r="A957" s="12"/>
      <c r="B957" s="12"/>
      <c r="C957" s="12"/>
    </row>
    <row r="958" spans="1:3" ht="15.75" thickBot="1">
      <c r="A958" s="12"/>
      <c r="B958" s="12"/>
      <c r="C958" s="12"/>
    </row>
    <row r="959" spans="1:3" ht="15.75" thickBot="1">
      <c r="A959" s="12"/>
      <c r="B959" s="12"/>
      <c r="C959" s="12"/>
    </row>
    <row r="960" spans="1:3" ht="15.75" thickBot="1">
      <c r="A960" s="12"/>
      <c r="B960" s="12"/>
      <c r="C960" s="12"/>
    </row>
    <row r="961" spans="1:3" ht="15.75" thickBot="1">
      <c r="A961" s="12"/>
      <c r="B961" s="12"/>
      <c r="C961" s="12"/>
    </row>
    <row r="962" spans="1:3" ht="15.75" thickBot="1">
      <c r="A962" s="12"/>
      <c r="B962" s="12"/>
      <c r="C962" s="12"/>
    </row>
    <row r="963" spans="1:3" ht="15.75" thickBot="1">
      <c r="A963" s="12"/>
      <c r="B963" s="12"/>
      <c r="C963" s="12"/>
    </row>
    <row r="964" spans="1:3" ht="15.75" thickBot="1">
      <c r="A964" s="12"/>
      <c r="B964" s="12"/>
      <c r="C964" s="12"/>
    </row>
    <row r="965" spans="1:3" ht="15.75" thickBot="1">
      <c r="A965" s="12"/>
      <c r="B965" s="12"/>
      <c r="C965" s="12"/>
    </row>
    <row r="966" spans="1:3" ht="15.75" thickBot="1">
      <c r="A966" s="12"/>
      <c r="B966" s="12"/>
      <c r="C966" s="12"/>
    </row>
    <row r="967" spans="1:3" ht="15.75" thickBot="1">
      <c r="A967" s="12"/>
      <c r="B967" s="12"/>
      <c r="C967" s="12"/>
    </row>
    <row r="968" spans="1:3" ht="15.75" thickBot="1">
      <c r="A968" s="12"/>
      <c r="B968" s="12"/>
      <c r="C968" s="12"/>
    </row>
    <row r="969" spans="1:3" ht="15.75" thickBot="1">
      <c r="A969" s="12"/>
      <c r="B969" s="12"/>
      <c r="C969" s="12"/>
    </row>
    <row r="970" spans="1:3" ht="15.75" thickBot="1">
      <c r="A970" s="12"/>
      <c r="B970" s="12"/>
      <c r="C970" s="1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Y864"/>
  <sheetViews>
    <sheetView workbookViewId="0">
      <pane ySplit="1" topLeftCell="A29" activePane="bottomLeft" state="frozen"/>
      <selection pane="bottomLeft" activeCell="B83" sqref="B83"/>
    </sheetView>
  </sheetViews>
  <sheetFormatPr defaultRowHeight="15"/>
  <cols>
    <col min="1" max="1" width="15.85546875" style="13" bestFit="1" customWidth="1"/>
    <col min="2" max="2" width="9.28515625" style="13" bestFit="1" customWidth="1"/>
    <col min="3" max="3" width="30.42578125" style="13" bestFit="1" customWidth="1"/>
    <col min="4" max="4" width="17.7109375" style="13" bestFit="1" customWidth="1"/>
    <col min="5" max="5" width="16.42578125" style="13" bestFit="1" customWidth="1"/>
    <col min="6" max="6" width="10" style="13" bestFit="1" customWidth="1"/>
    <col min="7" max="7" width="11" style="13" bestFit="1" customWidth="1"/>
    <col min="8" max="8" width="13.85546875" style="13" bestFit="1" customWidth="1"/>
    <col min="9" max="9" width="51.5703125" style="13" bestFit="1" customWidth="1"/>
    <col min="10" max="10" width="20.5703125" style="13" bestFit="1" customWidth="1"/>
    <col min="11" max="11" width="27" style="13" bestFit="1" customWidth="1"/>
    <col min="12" max="12" width="64.140625" style="13" bestFit="1" customWidth="1"/>
    <col min="13" max="13" width="29.7109375" style="13" bestFit="1" customWidth="1"/>
    <col min="14" max="14" width="22.42578125" style="13" bestFit="1" customWidth="1"/>
    <col min="15" max="15" width="17.7109375" style="13" bestFit="1" customWidth="1"/>
    <col min="16" max="16" width="88.28515625" style="13" bestFit="1" customWidth="1"/>
    <col min="17" max="17" width="22.140625" style="13" bestFit="1" customWidth="1"/>
    <col min="18" max="18" width="10.5703125" style="13" bestFit="1" customWidth="1"/>
    <col min="19" max="19" width="29.28515625" style="13" bestFit="1" customWidth="1"/>
    <col min="20" max="20" width="17.5703125" style="13" bestFit="1" customWidth="1"/>
    <col min="21" max="21" width="15.85546875" style="13" bestFit="1" customWidth="1"/>
    <col min="22" max="22" width="38.140625" style="13" bestFit="1" customWidth="1"/>
    <col min="23" max="23" width="17.28515625" style="13" bestFit="1" customWidth="1"/>
    <col min="24" max="24" width="15" style="13" bestFit="1" customWidth="1"/>
    <col min="25" max="25" width="41" style="13" bestFit="1" customWidth="1"/>
    <col min="26" max="256" width="9.140625" style="13"/>
    <col min="257" max="257" width="15.85546875" style="13" bestFit="1" customWidth="1"/>
    <col min="258" max="258" width="9.28515625" style="13" bestFit="1" customWidth="1"/>
    <col min="259" max="259" width="25.140625" style="13" bestFit="1" customWidth="1"/>
    <col min="260" max="260" width="17.7109375" style="13" bestFit="1" customWidth="1"/>
    <col min="261" max="261" width="16.42578125" style="13" bestFit="1" customWidth="1"/>
    <col min="262" max="262" width="10" style="13" bestFit="1" customWidth="1"/>
    <col min="263" max="263" width="11" style="13" bestFit="1" customWidth="1"/>
    <col min="264" max="264" width="13.85546875" style="13" bestFit="1" customWidth="1"/>
    <col min="265" max="265" width="36.5703125" style="13" bestFit="1" customWidth="1"/>
    <col min="266" max="266" width="20.5703125" style="13" bestFit="1" customWidth="1"/>
    <col min="267" max="267" width="27" style="13" bestFit="1" customWidth="1"/>
    <col min="268" max="269" width="36.5703125" style="13" bestFit="1" customWidth="1"/>
    <col min="270" max="270" width="24.28515625" style="13" bestFit="1" customWidth="1"/>
    <col min="271" max="271" width="17.7109375" style="13" bestFit="1" customWidth="1"/>
    <col min="272" max="272" width="36.5703125" style="13" bestFit="1" customWidth="1"/>
    <col min="273" max="273" width="22.140625" style="13" bestFit="1" customWidth="1"/>
    <col min="274" max="274" width="10.5703125" style="13" bestFit="1" customWidth="1"/>
    <col min="275" max="275" width="29.28515625" style="13" bestFit="1" customWidth="1"/>
    <col min="276" max="276" width="17.5703125" style="13" bestFit="1" customWidth="1"/>
    <col min="277" max="277" width="15.85546875" style="13" bestFit="1" customWidth="1"/>
    <col min="278" max="278" width="36.5703125" style="13" bestFit="1" customWidth="1"/>
    <col min="279" max="279" width="17.28515625" style="13" bestFit="1" customWidth="1"/>
    <col min="280" max="280" width="15" style="13" bestFit="1" customWidth="1"/>
    <col min="281" max="512" width="9.140625" style="13"/>
    <col min="513" max="513" width="15.85546875" style="13" bestFit="1" customWidth="1"/>
    <col min="514" max="514" width="9.28515625" style="13" bestFit="1" customWidth="1"/>
    <col min="515" max="515" width="25.140625" style="13" bestFit="1" customWidth="1"/>
    <col min="516" max="516" width="17.7109375" style="13" bestFit="1" customWidth="1"/>
    <col min="517" max="517" width="16.42578125" style="13" bestFit="1" customWidth="1"/>
    <col min="518" max="518" width="10" style="13" bestFit="1" customWidth="1"/>
    <col min="519" max="519" width="11" style="13" bestFit="1" customWidth="1"/>
    <col min="520" max="520" width="13.85546875" style="13" bestFit="1" customWidth="1"/>
    <col min="521" max="521" width="36.5703125" style="13" bestFit="1" customWidth="1"/>
    <col min="522" max="522" width="20.5703125" style="13" bestFit="1" customWidth="1"/>
    <col min="523" max="523" width="27" style="13" bestFit="1" customWidth="1"/>
    <col min="524" max="525" width="36.5703125" style="13" bestFit="1" customWidth="1"/>
    <col min="526" max="526" width="24.28515625" style="13" bestFit="1" customWidth="1"/>
    <col min="527" max="527" width="17.7109375" style="13" bestFit="1" customWidth="1"/>
    <col min="528" max="528" width="36.5703125" style="13" bestFit="1" customWidth="1"/>
    <col min="529" max="529" width="22.140625" style="13" bestFit="1" customWidth="1"/>
    <col min="530" max="530" width="10.5703125" style="13" bestFit="1" customWidth="1"/>
    <col min="531" max="531" width="29.28515625" style="13" bestFit="1" customWidth="1"/>
    <col min="532" max="532" width="17.5703125" style="13" bestFit="1" customWidth="1"/>
    <col min="533" max="533" width="15.85546875" style="13" bestFit="1" customWidth="1"/>
    <col min="534" max="534" width="36.5703125" style="13" bestFit="1" customWidth="1"/>
    <col min="535" max="535" width="17.28515625" style="13" bestFit="1" customWidth="1"/>
    <col min="536" max="536" width="15" style="13" bestFit="1" customWidth="1"/>
    <col min="537" max="768" width="9.140625" style="13"/>
    <col min="769" max="769" width="15.85546875" style="13" bestFit="1" customWidth="1"/>
    <col min="770" max="770" width="9.28515625" style="13" bestFit="1" customWidth="1"/>
    <col min="771" max="771" width="25.140625" style="13" bestFit="1" customWidth="1"/>
    <col min="772" max="772" width="17.7109375" style="13" bestFit="1" customWidth="1"/>
    <col min="773" max="773" width="16.42578125" style="13" bestFit="1" customWidth="1"/>
    <col min="774" max="774" width="10" style="13" bestFit="1" customWidth="1"/>
    <col min="775" max="775" width="11" style="13" bestFit="1" customWidth="1"/>
    <col min="776" max="776" width="13.85546875" style="13" bestFit="1" customWidth="1"/>
    <col min="777" max="777" width="36.5703125" style="13" bestFit="1" customWidth="1"/>
    <col min="778" max="778" width="20.5703125" style="13" bestFit="1" customWidth="1"/>
    <col min="779" max="779" width="27" style="13" bestFit="1" customWidth="1"/>
    <col min="780" max="781" width="36.5703125" style="13" bestFit="1" customWidth="1"/>
    <col min="782" max="782" width="24.28515625" style="13" bestFit="1" customWidth="1"/>
    <col min="783" max="783" width="17.7109375" style="13" bestFit="1" customWidth="1"/>
    <col min="784" max="784" width="36.5703125" style="13" bestFit="1" customWidth="1"/>
    <col min="785" max="785" width="22.140625" style="13" bestFit="1" customWidth="1"/>
    <col min="786" max="786" width="10.5703125" style="13" bestFit="1" customWidth="1"/>
    <col min="787" max="787" width="29.28515625" style="13" bestFit="1" customWidth="1"/>
    <col min="788" max="788" width="17.5703125" style="13" bestFit="1" customWidth="1"/>
    <col min="789" max="789" width="15.85546875" style="13" bestFit="1" customWidth="1"/>
    <col min="790" max="790" width="36.5703125" style="13" bestFit="1" customWidth="1"/>
    <col min="791" max="791" width="17.28515625" style="13" bestFit="1" customWidth="1"/>
    <col min="792" max="792" width="15" style="13" bestFit="1" customWidth="1"/>
    <col min="793" max="1024" width="9.140625" style="13"/>
    <col min="1025" max="1025" width="15.85546875" style="13" bestFit="1" customWidth="1"/>
    <col min="1026" max="1026" width="9.28515625" style="13" bestFit="1" customWidth="1"/>
    <col min="1027" max="1027" width="25.140625" style="13" bestFit="1" customWidth="1"/>
    <col min="1028" max="1028" width="17.7109375" style="13" bestFit="1" customWidth="1"/>
    <col min="1029" max="1029" width="16.42578125" style="13" bestFit="1" customWidth="1"/>
    <col min="1030" max="1030" width="10" style="13" bestFit="1" customWidth="1"/>
    <col min="1031" max="1031" width="11" style="13" bestFit="1" customWidth="1"/>
    <col min="1032" max="1032" width="13.85546875" style="13" bestFit="1" customWidth="1"/>
    <col min="1033" max="1033" width="36.5703125" style="13" bestFit="1" customWidth="1"/>
    <col min="1034" max="1034" width="20.5703125" style="13" bestFit="1" customWidth="1"/>
    <col min="1035" max="1035" width="27" style="13" bestFit="1" customWidth="1"/>
    <col min="1036" max="1037" width="36.5703125" style="13" bestFit="1" customWidth="1"/>
    <col min="1038" max="1038" width="24.28515625" style="13" bestFit="1" customWidth="1"/>
    <col min="1039" max="1039" width="17.7109375" style="13" bestFit="1" customWidth="1"/>
    <col min="1040" max="1040" width="36.5703125" style="13" bestFit="1" customWidth="1"/>
    <col min="1041" max="1041" width="22.140625" style="13" bestFit="1" customWidth="1"/>
    <col min="1042" max="1042" width="10.5703125" style="13" bestFit="1" customWidth="1"/>
    <col min="1043" max="1043" width="29.28515625" style="13" bestFit="1" customWidth="1"/>
    <col min="1044" max="1044" width="17.5703125" style="13" bestFit="1" customWidth="1"/>
    <col min="1045" max="1045" width="15.85546875" style="13" bestFit="1" customWidth="1"/>
    <col min="1046" max="1046" width="36.5703125" style="13" bestFit="1" customWidth="1"/>
    <col min="1047" max="1047" width="17.28515625" style="13" bestFit="1" customWidth="1"/>
    <col min="1048" max="1048" width="15" style="13" bestFit="1" customWidth="1"/>
    <col min="1049" max="1280" width="9.140625" style="13"/>
    <col min="1281" max="1281" width="15.85546875" style="13" bestFit="1" customWidth="1"/>
    <col min="1282" max="1282" width="9.28515625" style="13" bestFit="1" customWidth="1"/>
    <col min="1283" max="1283" width="25.140625" style="13" bestFit="1" customWidth="1"/>
    <col min="1284" max="1284" width="17.7109375" style="13" bestFit="1" customWidth="1"/>
    <col min="1285" max="1285" width="16.42578125" style="13" bestFit="1" customWidth="1"/>
    <col min="1286" max="1286" width="10" style="13" bestFit="1" customWidth="1"/>
    <col min="1287" max="1287" width="11" style="13" bestFit="1" customWidth="1"/>
    <col min="1288" max="1288" width="13.85546875" style="13" bestFit="1" customWidth="1"/>
    <col min="1289" max="1289" width="36.5703125" style="13" bestFit="1" customWidth="1"/>
    <col min="1290" max="1290" width="20.5703125" style="13" bestFit="1" customWidth="1"/>
    <col min="1291" max="1291" width="27" style="13" bestFit="1" customWidth="1"/>
    <col min="1292" max="1293" width="36.5703125" style="13" bestFit="1" customWidth="1"/>
    <col min="1294" max="1294" width="24.28515625" style="13" bestFit="1" customWidth="1"/>
    <col min="1295" max="1295" width="17.7109375" style="13" bestFit="1" customWidth="1"/>
    <col min="1296" max="1296" width="36.5703125" style="13" bestFit="1" customWidth="1"/>
    <col min="1297" max="1297" width="22.140625" style="13" bestFit="1" customWidth="1"/>
    <col min="1298" max="1298" width="10.5703125" style="13" bestFit="1" customWidth="1"/>
    <col min="1299" max="1299" width="29.28515625" style="13" bestFit="1" customWidth="1"/>
    <col min="1300" max="1300" width="17.5703125" style="13" bestFit="1" customWidth="1"/>
    <col min="1301" max="1301" width="15.85546875" style="13" bestFit="1" customWidth="1"/>
    <col min="1302" max="1302" width="36.5703125" style="13" bestFit="1" customWidth="1"/>
    <col min="1303" max="1303" width="17.28515625" style="13" bestFit="1" customWidth="1"/>
    <col min="1304" max="1304" width="15" style="13" bestFit="1" customWidth="1"/>
    <col min="1305" max="1536" width="9.140625" style="13"/>
    <col min="1537" max="1537" width="15.85546875" style="13" bestFit="1" customWidth="1"/>
    <col min="1538" max="1538" width="9.28515625" style="13" bestFit="1" customWidth="1"/>
    <col min="1539" max="1539" width="25.140625" style="13" bestFit="1" customWidth="1"/>
    <col min="1540" max="1540" width="17.7109375" style="13" bestFit="1" customWidth="1"/>
    <col min="1541" max="1541" width="16.42578125" style="13" bestFit="1" customWidth="1"/>
    <col min="1542" max="1542" width="10" style="13" bestFit="1" customWidth="1"/>
    <col min="1543" max="1543" width="11" style="13" bestFit="1" customWidth="1"/>
    <col min="1544" max="1544" width="13.85546875" style="13" bestFit="1" customWidth="1"/>
    <col min="1545" max="1545" width="36.5703125" style="13" bestFit="1" customWidth="1"/>
    <col min="1546" max="1546" width="20.5703125" style="13" bestFit="1" customWidth="1"/>
    <col min="1547" max="1547" width="27" style="13" bestFit="1" customWidth="1"/>
    <col min="1548" max="1549" width="36.5703125" style="13" bestFit="1" customWidth="1"/>
    <col min="1550" max="1550" width="24.28515625" style="13" bestFit="1" customWidth="1"/>
    <col min="1551" max="1551" width="17.7109375" style="13" bestFit="1" customWidth="1"/>
    <col min="1552" max="1552" width="36.5703125" style="13" bestFit="1" customWidth="1"/>
    <col min="1553" max="1553" width="22.140625" style="13" bestFit="1" customWidth="1"/>
    <col min="1554" max="1554" width="10.5703125" style="13" bestFit="1" customWidth="1"/>
    <col min="1555" max="1555" width="29.28515625" style="13" bestFit="1" customWidth="1"/>
    <col min="1556" max="1556" width="17.5703125" style="13" bestFit="1" customWidth="1"/>
    <col min="1557" max="1557" width="15.85546875" style="13" bestFit="1" customWidth="1"/>
    <col min="1558" max="1558" width="36.5703125" style="13" bestFit="1" customWidth="1"/>
    <col min="1559" max="1559" width="17.28515625" style="13" bestFit="1" customWidth="1"/>
    <col min="1560" max="1560" width="15" style="13" bestFit="1" customWidth="1"/>
    <col min="1561" max="1792" width="9.140625" style="13"/>
    <col min="1793" max="1793" width="15.85546875" style="13" bestFit="1" customWidth="1"/>
    <col min="1794" max="1794" width="9.28515625" style="13" bestFit="1" customWidth="1"/>
    <col min="1795" max="1795" width="25.140625" style="13" bestFit="1" customWidth="1"/>
    <col min="1796" max="1796" width="17.7109375" style="13" bestFit="1" customWidth="1"/>
    <col min="1797" max="1797" width="16.42578125" style="13" bestFit="1" customWidth="1"/>
    <col min="1798" max="1798" width="10" style="13" bestFit="1" customWidth="1"/>
    <col min="1799" max="1799" width="11" style="13" bestFit="1" customWidth="1"/>
    <col min="1800" max="1800" width="13.85546875" style="13" bestFit="1" customWidth="1"/>
    <col min="1801" max="1801" width="36.5703125" style="13" bestFit="1" customWidth="1"/>
    <col min="1802" max="1802" width="20.5703125" style="13" bestFit="1" customWidth="1"/>
    <col min="1803" max="1803" width="27" style="13" bestFit="1" customWidth="1"/>
    <col min="1804" max="1805" width="36.5703125" style="13" bestFit="1" customWidth="1"/>
    <col min="1806" max="1806" width="24.28515625" style="13" bestFit="1" customWidth="1"/>
    <col min="1807" max="1807" width="17.7109375" style="13" bestFit="1" customWidth="1"/>
    <col min="1808" max="1808" width="36.5703125" style="13" bestFit="1" customWidth="1"/>
    <col min="1809" max="1809" width="22.140625" style="13" bestFit="1" customWidth="1"/>
    <col min="1810" max="1810" width="10.5703125" style="13" bestFit="1" customWidth="1"/>
    <col min="1811" max="1811" width="29.28515625" style="13" bestFit="1" customWidth="1"/>
    <col min="1812" max="1812" width="17.5703125" style="13" bestFit="1" customWidth="1"/>
    <col min="1813" max="1813" width="15.85546875" style="13" bestFit="1" customWidth="1"/>
    <col min="1814" max="1814" width="36.5703125" style="13" bestFit="1" customWidth="1"/>
    <col min="1815" max="1815" width="17.28515625" style="13" bestFit="1" customWidth="1"/>
    <col min="1816" max="1816" width="15" style="13" bestFit="1" customWidth="1"/>
    <col min="1817" max="2048" width="9.140625" style="13"/>
    <col min="2049" max="2049" width="15.85546875" style="13" bestFit="1" customWidth="1"/>
    <col min="2050" max="2050" width="9.28515625" style="13" bestFit="1" customWidth="1"/>
    <col min="2051" max="2051" width="25.140625" style="13" bestFit="1" customWidth="1"/>
    <col min="2052" max="2052" width="17.7109375" style="13" bestFit="1" customWidth="1"/>
    <col min="2053" max="2053" width="16.42578125" style="13" bestFit="1" customWidth="1"/>
    <col min="2054" max="2054" width="10" style="13" bestFit="1" customWidth="1"/>
    <col min="2055" max="2055" width="11" style="13" bestFit="1" customWidth="1"/>
    <col min="2056" max="2056" width="13.85546875" style="13" bestFit="1" customWidth="1"/>
    <col min="2057" max="2057" width="36.5703125" style="13" bestFit="1" customWidth="1"/>
    <col min="2058" max="2058" width="20.5703125" style="13" bestFit="1" customWidth="1"/>
    <col min="2059" max="2059" width="27" style="13" bestFit="1" customWidth="1"/>
    <col min="2060" max="2061" width="36.5703125" style="13" bestFit="1" customWidth="1"/>
    <col min="2062" max="2062" width="24.28515625" style="13" bestFit="1" customWidth="1"/>
    <col min="2063" max="2063" width="17.7109375" style="13" bestFit="1" customWidth="1"/>
    <col min="2064" max="2064" width="36.5703125" style="13" bestFit="1" customWidth="1"/>
    <col min="2065" max="2065" width="22.140625" style="13" bestFit="1" customWidth="1"/>
    <col min="2066" max="2066" width="10.5703125" style="13" bestFit="1" customWidth="1"/>
    <col min="2067" max="2067" width="29.28515625" style="13" bestFit="1" customWidth="1"/>
    <col min="2068" max="2068" width="17.5703125" style="13" bestFit="1" customWidth="1"/>
    <col min="2069" max="2069" width="15.85546875" style="13" bestFit="1" customWidth="1"/>
    <col min="2070" max="2070" width="36.5703125" style="13" bestFit="1" customWidth="1"/>
    <col min="2071" max="2071" width="17.28515625" style="13" bestFit="1" customWidth="1"/>
    <col min="2072" max="2072" width="15" style="13" bestFit="1" customWidth="1"/>
    <col min="2073" max="2304" width="9.140625" style="13"/>
    <col min="2305" max="2305" width="15.85546875" style="13" bestFit="1" customWidth="1"/>
    <col min="2306" max="2306" width="9.28515625" style="13" bestFit="1" customWidth="1"/>
    <col min="2307" max="2307" width="25.140625" style="13" bestFit="1" customWidth="1"/>
    <col min="2308" max="2308" width="17.7109375" style="13" bestFit="1" customWidth="1"/>
    <col min="2309" max="2309" width="16.42578125" style="13" bestFit="1" customWidth="1"/>
    <col min="2310" max="2310" width="10" style="13" bestFit="1" customWidth="1"/>
    <col min="2311" max="2311" width="11" style="13" bestFit="1" customWidth="1"/>
    <col min="2312" max="2312" width="13.85546875" style="13" bestFit="1" customWidth="1"/>
    <col min="2313" max="2313" width="36.5703125" style="13" bestFit="1" customWidth="1"/>
    <col min="2314" max="2314" width="20.5703125" style="13" bestFit="1" customWidth="1"/>
    <col min="2315" max="2315" width="27" style="13" bestFit="1" customWidth="1"/>
    <col min="2316" max="2317" width="36.5703125" style="13" bestFit="1" customWidth="1"/>
    <col min="2318" max="2318" width="24.28515625" style="13" bestFit="1" customWidth="1"/>
    <col min="2319" max="2319" width="17.7109375" style="13" bestFit="1" customWidth="1"/>
    <col min="2320" max="2320" width="36.5703125" style="13" bestFit="1" customWidth="1"/>
    <col min="2321" max="2321" width="22.140625" style="13" bestFit="1" customWidth="1"/>
    <col min="2322" max="2322" width="10.5703125" style="13" bestFit="1" customWidth="1"/>
    <col min="2323" max="2323" width="29.28515625" style="13" bestFit="1" customWidth="1"/>
    <col min="2324" max="2324" width="17.5703125" style="13" bestFit="1" customWidth="1"/>
    <col min="2325" max="2325" width="15.85546875" style="13" bestFit="1" customWidth="1"/>
    <col min="2326" max="2326" width="36.5703125" style="13" bestFit="1" customWidth="1"/>
    <col min="2327" max="2327" width="17.28515625" style="13" bestFit="1" customWidth="1"/>
    <col min="2328" max="2328" width="15" style="13" bestFit="1" customWidth="1"/>
    <col min="2329" max="2560" width="9.140625" style="13"/>
    <col min="2561" max="2561" width="15.85546875" style="13" bestFit="1" customWidth="1"/>
    <col min="2562" max="2562" width="9.28515625" style="13" bestFit="1" customWidth="1"/>
    <col min="2563" max="2563" width="25.140625" style="13" bestFit="1" customWidth="1"/>
    <col min="2564" max="2564" width="17.7109375" style="13" bestFit="1" customWidth="1"/>
    <col min="2565" max="2565" width="16.42578125" style="13" bestFit="1" customWidth="1"/>
    <col min="2566" max="2566" width="10" style="13" bestFit="1" customWidth="1"/>
    <col min="2567" max="2567" width="11" style="13" bestFit="1" customWidth="1"/>
    <col min="2568" max="2568" width="13.85546875" style="13" bestFit="1" customWidth="1"/>
    <col min="2569" max="2569" width="36.5703125" style="13" bestFit="1" customWidth="1"/>
    <col min="2570" max="2570" width="20.5703125" style="13" bestFit="1" customWidth="1"/>
    <col min="2571" max="2571" width="27" style="13" bestFit="1" customWidth="1"/>
    <col min="2572" max="2573" width="36.5703125" style="13" bestFit="1" customWidth="1"/>
    <col min="2574" max="2574" width="24.28515625" style="13" bestFit="1" customWidth="1"/>
    <col min="2575" max="2575" width="17.7109375" style="13" bestFit="1" customWidth="1"/>
    <col min="2576" max="2576" width="36.5703125" style="13" bestFit="1" customWidth="1"/>
    <col min="2577" max="2577" width="22.140625" style="13" bestFit="1" customWidth="1"/>
    <col min="2578" max="2578" width="10.5703125" style="13" bestFit="1" customWidth="1"/>
    <col min="2579" max="2579" width="29.28515625" style="13" bestFit="1" customWidth="1"/>
    <col min="2580" max="2580" width="17.5703125" style="13" bestFit="1" customWidth="1"/>
    <col min="2581" max="2581" width="15.85546875" style="13" bestFit="1" customWidth="1"/>
    <col min="2582" max="2582" width="36.5703125" style="13" bestFit="1" customWidth="1"/>
    <col min="2583" max="2583" width="17.28515625" style="13" bestFit="1" customWidth="1"/>
    <col min="2584" max="2584" width="15" style="13" bestFit="1" customWidth="1"/>
    <col min="2585" max="2816" width="9.140625" style="13"/>
    <col min="2817" max="2817" width="15.85546875" style="13" bestFit="1" customWidth="1"/>
    <col min="2818" max="2818" width="9.28515625" style="13" bestFit="1" customWidth="1"/>
    <col min="2819" max="2819" width="25.140625" style="13" bestFit="1" customWidth="1"/>
    <col min="2820" max="2820" width="17.7109375" style="13" bestFit="1" customWidth="1"/>
    <col min="2821" max="2821" width="16.42578125" style="13" bestFit="1" customWidth="1"/>
    <col min="2822" max="2822" width="10" style="13" bestFit="1" customWidth="1"/>
    <col min="2823" max="2823" width="11" style="13" bestFit="1" customWidth="1"/>
    <col min="2824" max="2824" width="13.85546875" style="13" bestFit="1" customWidth="1"/>
    <col min="2825" max="2825" width="36.5703125" style="13" bestFit="1" customWidth="1"/>
    <col min="2826" max="2826" width="20.5703125" style="13" bestFit="1" customWidth="1"/>
    <col min="2827" max="2827" width="27" style="13" bestFit="1" customWidth="1"/>
    <col min="2828" max="2829" width="36.5703125" style="13" bestFit="1" customWidth="1"/>
    <col min="2830" max="2830" width="24.28515625" style="13" bestFit="1" customWidth="1"/>
    <col min="2831" max="2831" width="17.7109375" style="13" bestFit="1" customWidth="1"/>
    <col min="2832" max="2832" width="36.5703125" style="13" bestFit="1" customWidth="1"/>
    <col min="2833" max="2833" width="22.140625" style="13" bestFit="1" customWidth="1"/>
    <col min="2834" max="2834" width="10.5703125" style="13" bestFit="1" customWidth="1"/>
    <col min="2835" max="2835" width="29.28515625" style="13" bestFit="1" customWidth="1"/>
    <col min="2836" max="2836" width="17.5703125" style="13" bestFit="1" customWidth="1"/>
    <col min="2837" max="2837" width="15.85546875" style="13" bestFit="1" customWidth="1"/>
    <col min="2838" max="2838" width="36.5703125" style="13" bestFit="1" customWidth="1"/>
    <col min="2839" max="2839" width="17.28515625" style="13" bestFit="1" customWidth="1"/>
    <col min="2840" max="2840" width="15" style="13" bestFit="1" customWidth="1"/>
    <col min="2841" max="3072" width="9.140625" style="13"/>
    <col min="3073" max="3073" width="15.85546875" style="13" bestFit="1" customWidth="1"/>
    <col min="3074" max="3074" width="9.28515625" style="13" bestFit="1" customWidth="1"/>
    <col min="3075" max="3075" width="25.140625" style="13" bestFit="1" customWidth="1"/>
    <col min="3076" max="3076" width="17.7109375" style="13" bestFit="1" customWidth="1"/>
    <col min="3077" max="3077" width="16.42578125" style="13" bestFit="1" customWidth="1"/>
    <col min="3078" max="3078" width="10" style="13" bestFit="1" customWidth="1"/>
    <col min="3079" max="3079" width="11" style="13" bestFit="1" customWidth="1"/>
    <col min="3080" max="3080" width="13.85546875" style="13" bestFit="1" customWidth="1"/>
    <col min="3081" max="3081" width="36.5703125" style="13" bestFit="1" customWidth="1"/>
    <col min="3082" max="3082" width="20.5703125" style="13" bestFit="1" customWidth="1"/>
    <col min="3083" max="3083" width="27" style="13" bestFit="1" customWidth="1"/>
    <col min="3084" max="3085" width="36.5703125" style="13" bestFit="1" customWidth="1"/>
    <col min="3086" max="3086" width="24.28515625" style="13" bestFit="1" customWidth="1"/>
    <col min="3087" max="3087" width="17.7109375" style="13" bestFit="1" customWidth="1"/>
    <col min="3088" max="3088" width="36.5703125" style="13" bestFit="1" customWidth="1"/>
    <col min="3089" max="3089" width="22.140625" style="13" bestFit="1" customWidth="1"/>
    <col min="3090" max="3090" width="10.5703125" style="13" bestFit="1" customWidth="1"/>
    <col min="3091" max="3091" width="29.28515625" style="13" bestFit="1" customWidth="1"/>
    <col min="3092" max="3092" width="17.5703125" style="13" bestFit="1" customWidth="1"/>
    <col min="3093" max="3093" width="15.85546875" style="13" bestFit="1" customWidth="1"/>
    <col min="3094" max="3094" width="36.5703125" style="13" bestFit="1" customWidth="1"/>
    <col min="3095" max="3095" width="17.28515625" style="13" bestFit="1" customWidth="1"/>
    <col min="3096" max="3096" width="15" style="13" bestFit="1" customWidth="1"/>
    <col min="3097" max="3328" width="9.140625" style="13"/>
    <col min="3329" max="3329" width="15.85546875" style="13" bestFit="1" customWidth="1"/>
    <col min="3330" max="3330" width="9.28515625" style="13" bestFit="1" customWidth="1"/>
    <col min="3331" max="3331" width="25.140625" style="13" bestFit="1" customWidth="1"/>
    <col min="3332" max="3332" width="17.7109375" style="13" bestFit="1" customWidth="1"/>
    <col min="3333" max="3333" width="16.42578125" style="13" bestFit="1" customWidth="1"/>
    <col min="3334" max="3334" width="10" style="13" bestFit="1" customWidth="1"/>
    <col min="3335" max="3335" width="11" style="13" bestFit="1" customWidth="1"/>
    <col min="3336" max="3336" width="13.85546875" style="13" bestFit="1" customWidth="1"/>
    <col min="3337" max="3337" width="36.5703125" style="13" bestFit="1" customWidth="1"/>
    <col min="3338" max="3338" width="20.5703125" style="13" bestFit="1" customWidth="1"/>
    <col min="3339" max="3339" width="27" style="13" bestFit="1" customWidth="1"/>
    <col min="3340" max="3341" width="36.5703125" style="13" bestFit="1" customWidth="1"/>
    <col min="3342" max="3342" width="24.28515625" style="13" bestFit="1" customWidth="1"/>
    <col min="3343" max="3343" width="17.7109375" style="13" bestFit="1" customWidth="1"/>
    <col min="3344" max="3344" width="36.5703125" style="13" bestFit="1" customWidth="1"/>
    <col min="3345" max="3345" width="22.140625" style="13" bestFit="1" customWidth="1"/>
    <col min="3346" max="3346" width="10.5703125" style="13" bestFit="1" customWidth="1"/>
    <col min="3347" max="3347" width="29.28515625" style="13" bestFit="1" customWidth="1"/>
    <col min="3348" max="3348" width="17.5703125" style="13" bestFit="1" customWidth="1"/>
    <col min="3349" max="3349" width="15.85546875" style="13" bestFit="1" customWidth="1"/>
    <col min="3350" max="3350" width="36.5703125" style="13" bestFit="1" customWidth="1"/>
    <col min="3351" max="3351" width="17.28515625" style="13" bestFit="1" customWidth="1"/>
    <col min="3352" max="3352" width="15" style="13" bestFit="1" customWidth="1"/>
    <col min="3353" max="3584" width="9.140625" style="13"/>
    <col min="3585" max="3585" width="15.85546875" style="13" bestFit="1" customWidth="1"/>
    <col min="3586" max="3586" width="9.28515625" style="13" bestFit="1" customWidth="1"/>
    <col min="3587" max="3587" width="25.140625" style="13" bestFit="1" customWidth="1"/>
    <col min="3588" max="3588" width="17.7109375" style="13" bestFit="1" customWidth="1"/>
    <col min="3589" max="3589" width="16.42578125" style="13" bestFit="1" customWidth="1"/>
    <col min="3590" max="3590" width="10" style="13" bestFit="1" customWidth="1"/>
    <col min="3591" max="3591" width="11" style="13" bestFit="1" customWidth="1"/>
    <col min="3592" max="3592" width="13.85546875" style="13" bestFit="1" customWidth="1"/>
    <col min="3593" max="3593" width="36.5703125" style="13" bestFit="1" customWidth="1"/>
    <col min="3594" max="3594" width="20.5703125" style="13" bestFit="1" customWidth="1"/>
    <col min="3595" max="3595" width="27" style="13" bestFit="1" customWidth="1"/>
    <col min="3596" max="3597" width="36.5703125" style="13" bestFit="1" customWidth="1"/>
    <col min="3598" max="3598" width="24.28515625" style="13" bestFit="1" customWidth="1"/>
    <col min="3599" max="3599" width="17.7109375" style="13" bestFit="1" customWidth="1"/>
    <col min="3600" max="3600" width="36.5703125" style="13" bestFit="1" customWidth="1"/>
    <col min="3601" max="3601" width="22.140625" style="13" bestFit="1" customWidth="1"/>
    <col min="3602" max="3602" width="10.5703125" style="13" bestFit="1" customWidth="1"/>
    <col min="3603" max="3603" width="29.28515625" style="13" bestFit="1" customWidth="1"/>
    <col min="3604" max="3604" width="17.5703125" style="13" bestFit="1" customWidth="1"/>
    <col min="3605" max="3605" width="15.85546875" style="13" bestFit="1" customWidth="1"/>
    <col min="3606" max="3606" width="36.5703125" style="13" bestFit="1" customWidth="1"/>
    <col min="3607" max="3607" width="17.28515625" style="13" bestFit="1" customWidth="1"/>
    <col min="3608" max="3608" width="15" style="13" bestFit="1" customWidth="1"/>
    <col min="3609" max="3840" width="9.140625" style="13"/>
    <col min="3841" max="3841" width="15.85546875" style="13" bestFit="1" customWidth="1"/>
    <col min="3842" max="3842" width="9.28515625" style="13" bestFit="1" customWidth="1"/>
    <col min="3843" max="3843" width="25.140625" style="13" bestFit="1" customWidth="1"/>
    <col min="3844" max="3844" width="17.7109375" style="13" bestFit="1" customWidth="1"/>
    <col min="3845" max="3845" width="16.42578125" style="13" bestFit="1" customWidth="1"/>
    <col min="3846" max="3846" width="10" style="13" bestFit="1" customWidth="1"/>
    <col min="3847" max="3847" width="11" style="13" bestFit="1" customWidth="1"/>
    <col min="3848" max="3848" width="13.85546875" style="13" bestFit="1" customWidth="1"/>
    <col min="3849" max="3849" width="36.5703125" style="13" bestFit="1" customWidth="1"/>
    <col min="3850" max="3850" width="20.5703125" style="13" bestFit="1" customWidth="1"/>
    <col min="3851" max="3851" width="27" style="13" bestFit="1" customWidth="1"/>
    <col min="3852" max="3853" width="36.5703125" style="13" bestFit="1" customWidth="1"/>
    <col min="3854" max="3854" width="24.28515625" style="13" bestFit="1" customWidth="1"/>
    <col min="3855" max="3855" width="17.7109375" style="13" bestFit="1" customWidth="1"/>
    <col min="3856" max="3856" width="36.5703125" style="13" bestFit="1" customWidth="1"/>
    <col min="3857" max="3857" width="22.140625" style="13" bestFit="1" customWidth="1"/>
    <col min="3858" max="3858" width="10.5703125" style="13" bestFit="1" customWidth="1"/>
    <col min="3859" max="3859" width="29.28515625" style="13" bestFit="1" customWidth="1"/>
    <col min="3860" max="3860" width="17.5703125" style="13" bestFit="1" customWidth="1"/>
    <col min="3861" max="3861" width="15.85546875" style="13" bestFit="1" customWidth="1"/>
    <col min="3862" max="3862" width="36.5703125" style="13" bestFit="1" customWidth="1"/>
    <col min="3863" max="3863" width="17.28515625" style="13" bestFit="1" customWidth="1"/>
    <col min="3864" max="3864" width="15" style="13" bestFit="1" customWidth="1"/>
    <col min="3865" max="4096" width="9.140625" style="13"/>
    <col min="4097" max="4097" width="15.85546875" style="13" bestFit="1" customWidth="1"/>
    <col min="4098" max="4098" width="9.28515625" style="13" bestFit="1" customWidth="1"/>
    <col min="4099" max="4099" width="25.140625" style="13" bestFit="1" customWidth="1"/>
    <col min="4100" max="4100" width="17.7109375" style="13" bestFit="1" customWidth="1"/>
    <col min="4101" max="4101" width="16.42578125" style="13" bestFit="1" customWidth="1"/>
    <col min="4102" max="4102" width="10" style="13" bestFit="1" customWidth="1"/>
    <col min="4103" max="4103" width="11" style="13" bestFit="1" customWidth="1"/>
    <col min="4104" max="4104" width="13.85546875" style="13" bestFit="1" customWidth="1"/>
    <col min="4105" max="4105" width="36.5703125" style="13" bestFit="1" customWidth="1"/>
    <col min="4106" max="4106" width="20.5703125" style="13" bestFit="1" customWidth="1"/>
    <col min="4107" max="4107" width="27" style="13" bestFit="1" customWidth="1"/>
    <col min="4108" max="4109" width="36.5703125" style="13" bestFit="1" customWidth="1"/>
    <col min="4110" max="4110" width="24.28515625" style="13" bestFit="1" customWidth="1"/>
    <col min="4111" max="4111" width="17.7109375" style="13" bestFit="1" customWidth="1"/>
    <col min="4112" max="4112" width="36.5703125" style="13" bestFit="1" customWidth="1"/>
    <col min="4113" max="4113" width="22.140625" style="13" bestFit="1" customWidth="1"/>
    <col min="4114" max="4114" width="10.5703125" style="13" bestFit="1" customWidth="1"/>
    <col min="4115" max="4115" width="29.28515625" style="13" bestFit="1" customWidth="1"/>
    <col min="4116" max="4116" width="17.5703125" style="13" bestFit="1" customWidth="1"/>
    <col min="4117" max="4117" width="15.85546875" style="13" bestFit="1" customWidth="1"/>
    <col min="4118" max="4118" width="36.5703125" style="13" bestFit="1" customWidth="1"/>
    <col min="4119" max="4119" width="17.28515625" style="13" bestFit="1" customWidth="1"/>
    <col min="4120" max="4120" width="15" style="13" bestFit="1" customWidth="1"/>
    <col min="4121" max="4352" width="9.140625" style="13"/>
    <col min="4353" max="4353" width="15.85546875" style="13" bestFit="1" customWidth="1"/>
    <col min="4354" max="4354" width="9.28515625" style="13" bestFit="1" customWidth="1"/>
    <col min="4355" max="4355" width="25.140625" style="13" bestFit="1" customWidth="1"/>
    <col min="4356" max="4356" width="17.7109375" style="13" bestFit="1" customWidth="1"/>
    <col min="4357" max="4357" width="16.42578125" style="13" bestFit="1" customWidth="1"/>
    <col min="4358" max="4358" width="10" style="13" bestFit="1" customWidth="1"/>
    <col min="4359" max="4359" width="11" style="13" bestFit="1" customWidth="1"/>
    <col min="4360" max="4360" width="13.85546875" style="13" bestFit="1" customWidth="1"/>
    <col min="4361" max="4361" width="36.5703125" style="13" bestFit="1" customWidth="1"/>
    <col min="4362" max="4362" width="20.5703125" style="13" bestFit="1" customWidth="1"/>
    <col min="4363" max="4363" width="27" style="13" bestFit="1" customWidth="1"/>
    <col min="4364" max="4365" width="36.5703125" style="13" bestFit="1" customWidth="1"/>
    <col min="4366" max="4366" width="24.28515625" style="13" bestFit="1" customWidth="1"/>
    <col min="4367" max="4367" width="17.7109375" style="13" bestFit="1" customWidth="1"/>
    <col min="4368" max="4368" width="36.5703125" style="13" bestFit="1" customWidth="1"/>
    <col min="4369" max="4369" width="22.140625" style="13" bestFit="1" customWidth="1"/>
    <col min="4370" max="4370" width="10.5703125" style="13" bestFit="1" customWidth="1"/>
    <col min="4371" max="4371" width="29.28515625" style="13" bestFit="1" customWidth="1"/>
    <col min="4372" max="4372" width="17.5703125" style="13" bestFit="1" customWidth="1"/>
    <col min="4373" max="4373" width="15.85546875" style="13" bestFit="1" customWidth="1"/>
    <col min="4374" max="4374" width="36.5703125" style="13" bestFit="1" customWidth="1"/>
    <col min="4375" max="4375" width="17.28515625" style="13" bestFit="1" customWidth="1"/>
    <col min="4376" max="4376" width="15" style="13" bestFit="1" customWidth="1"/>
    <col min="4377" max="4608" width="9.140625" style="13"/>
    <col min="4609" max="4609" width="15.85546875" style="13" bestFit="1" customWidth="1"/>
    <col min="4610" max="4610" width="9.28515625" style="13" bestFit="1" customWidth="1"/>
    <col min="4611" max="4611" width="25.140625" style="13" bestFit="1" customWidth="1"/>
    <col min="4612" max="4612" width="17.7109375" style="13" bestFit="1" customWidth="1"/>
    <col min="4613" max="4613" width="16.42578125" style="13" bestFit="1" customWidth="1"/>
    <col min="4614" max="4614" width="10" style="13" bestFit="1" customWidth="1"/>
    <col min="4615" max="4615" width="11" style="13" bestFit="1" customWidth="1"/>
    <col min="4616" max="4616" width="13.85546875" style="13" bestFit="1" customWidth="1"/>
    <col min="4617" max="4617" width="36.5703125" style="13" bestFit="1" customWidth="1"/>
    <col min="4618" max="4618" width="20.5703125" style="13" bestFit="1" customWidth="1"/>
    <col min="4619" max="4619" width="27" style="13" bestFit="1" customWidth="1"/>
    <col min="4620" max="4621" width="36.5703125" style="13" bestFit="1" customWidth="1"/>
    <col min="4622" max="4622" width="24.28515625" style="13" bestFit="1" customWidth="1"/>
    <col min="4623" max="4623" width="17.7109375" style="13" bestFit="1" customWidth="1"/>
    <col min="4624" max="4624" width="36.5703125" style="13" bestFit="1" customWidth="1"/>
    <col min="4625" max="4625" width="22.140625" style="13" bestFit="1" customWidth="1"/>
    <col min="4626" max="4626" width="10.5703125" style="13" bestFit="1" customWidth="1"/>
    <col min="4627" max="4627" width="29.28515625" style="13" bestFit="1" customWidth="1"/>
    <col min="4628" max="4628" width="17.5703125" style="13" bestFit="1" customWidth="1"/>
    <col min="4629" max="4629" width="15.85546875" style="13" bestFit="1" customWidth="1"/>
    <col min="4630" max="4630" width="36.5703125" style="13" bestFit="1" customWidth="1"/>
    <col min="4631" max="4631" width="17.28515625" style="13" bestFit="1" customWidth="1"/>
    <col min="4632" max="4632" width="15" style="13" bestFit="1" customWidth="1"/>
    <col min="4633" max="4864" width="9.140625" style="13"/>
    <col min="4865" max="4865" width="15.85546875" style="13" bestFit="1" customWidth="1"/>
    <col min="4866" max="4866" width="9.28515625" style="13" bestFit="1" customWidth="1"/>
    <col min="4867" max="4867" width="25.140625" style="13" bestFit="1" customWidth="1"/>
    <col min="4868" max="4868" width="17.7109375" style="13" bestFit="1" customWidth="1"/>
    <col min="4869" max="4869" width="16.42578125" style="13" bestFit="1" customWidth="1"/>
    <col min="4870" max="4870" width="10" style="13" bestFit="1" customWidth="1"/>
    <col min="4871" max="4871" width="11" style="13" bestFit="1" customWidth="1"/>
    <col min="4872" max="4872" width="13.85546875" style="13" bestFit="1" customWidth="1"/>
    <col min="4873" max="4873" width="36.5703125" style="13" bestFit="1" customWidth="1"/>
    <col min="4874" max="4874" width="20.5703125" style="13" bestFit="1" customWidth="1"/>
    <col min="4875" max="4875" width="27" style="13" bestFit="1" customWidth="1"/>
    <col min="4876" max="4877" width="36.5703125" style="13" bestFit="1" customWidth="1"/>
    <col min="4878" max="4878" width="24.28515625" style="13" bestFit="1" customWidth="1"/>
    <col min="4879" max="4879" width="17.7109375" style="13" bestFit="1" customWidth="1"/>
    <col min="4880" max="4880" width="36.5703125" style="13" bestFit="1" customWidth="1"/>
    <col min="4881" max="4881" width="22.140625" style="13" bestFit="1" customWidth="1"/>
    <col min="4882" max="4882" width="10.5703125" style="13" bestFit="1" customWidth="1"/>
    <col min="4883" max="4883" width="29.28515625" style="13" bestFit="1" customWidth="1"/>
    <col min="4884" max="4884" width="17.5703125" style="13" bestFit="1" customWidth="1"/>
    <col min="4885" max="4885" width="15.85546875" style="13" bestFit="1" customWidth="1"/>
    <col min="4886" max="4886" width="36.5703125" style="13" bestFit="1" customWidth="1"/>
    <col min="4887" max="4887" width="17.28515625" style="13" bestFit="1" customWidth="1"/>
    <col min="4888" max="4888" width="15" style="13" bestFit="1" customWidth="1"/>
    <col min="4889" max="5120" width="9.140625" style="13"/>
    <col min="5121" max="5121" width="15.85546875" style="13" bestFit="1" customWidth="1"/>
    <col min="5122" max="5122" width="9.28515625" style="13" bestFit="1" customWidth="1"/>
    <col min="5123" max="5123" width="25.140625" style="13" bestFit="1" customWidth="1"/>
    <col min="5124" max="5124" width="17.7109375" style="13" bestFit="1" customWidth="1"/>
    <col min="5125" max="5125" width="16.42578125" style="13" bestFit="1" customWidth="1"/>
    <col min="5126" max="5126" width="10" style="13" bestFit="1" customWidth="1"/>
    <col min="5127" max="5127" width="11" style="13" bestFit="1" customWidth="1"/>
    <col min="5128" max="5128" width="13.85546875" style="13" bestFit="1" customWidth="1"/>
    <col min="5129" max="5129" width="36.5703125" style="13" bestFit="1" customWidth="1"/>
    <col min="5130" max="5130" width="20.5703125" style="13" bestFit="1" customWidth="1"/>
    <col min="5131" max="5131" width="27" style="13" bestFit="1" customWidth="1"/>
    <col min="5132" max="5133" width="36.5703125" style="13" bestFit="1" customWidth="1"/>
    <col min="5134" max="5134" width="24.28515625" style="13" bestFit="1" customWidth="1"/>
    <col min="5135" max="5135" width="17.7109375" style="13" bestFit="1" customWidth="1"/>
    <col min="5136" max="5136" width="36.5703125" style="13" bestFit="1" customWidth="1"/>
    <col min="5137" max="5137" width="22.140625" style="13" bestFit="1" customWidth="1"/>
    <col min="5138" max="5138" width="10.5703125" style="13" bestFit="1" customWidth="1"/>
    <col min="5139" max="5139" width="29.28515625" style="13" bestFit="1" customWidth="1"/>
    <col min="5140" max="5140" width="17.5703125" style="13" bestFit="1" customWidth="1"/>
    <col min="5141" max="5141" width="15.85546875" style="13" bestFit="1" customWidth="1"/>
    <col min="5142" max="5142" width="36.5703125" style="13" bestFit="1" customWidth="1"/>
    <col min="5143" max="5143" width="17.28515625" style="13" bestFit="1" customWidth="1"/>
    <col min="5144" max="5144" width="15" style="13" bestFit="1" customWidth="1"/>
    <col min="5145" max="5376" width="9.140625" style="13"/>
    <col min="5377" max="5377" width="15.85546875" style="13" bestFit="1" customWidth="1"/>
    <col min="5378" max="5378" width="9.28515625" style="13" bestFit="1" customWidth="1"/>
    <col min="5379" max="5379" width="25.140625" style="13" bestFit="1" customWidth="1"/>
    <col min="5380" max="5380" width="17.7109375" style="13" bestFit="1" customWidth="1"/>
    <col min="5381" max="5381" width="16.42578125" style="13" bestFit="1" customWidth="1"/>
    <col min="5382" max="5382" width="10" style="13" bestFit="1" customWidth="1"/>
    <col min="5383" max="5383" width="11" style="13" bestFit="1" customWidth="1"/>
    <col min="5384" max="5384" width="13.85546875" style="13" bestFit="1" customWidth="1"/>
    <col min="5385" max="5385" width="36.5703125" style="13" bestFit="1" customWidth="1"/>
    <col min="5386" max="5386" width="20.5703125" style="13" bestFit="1" customWidth="1"/>
    <col min="5387" max="5387" width="27" style="13" bestFit="1" customWidth="1"/>
    <col min="5388" max="5389" width="36.5703125" style="13" bestFit="1" customWidth="1"/>
    <col min="5390" max="5390" width="24.28515625" style="13" bestFit="1" customWidth="1"/>
    <col min="5391" max="5391" width="17.7109375" style="13" bestFit="1" customWidth="1"/>
    <col min="5392" max="5392" width="36.5703125" style="13" bestFit="1" customWidth="1"/>
    <col min="5393" max="5393" width="22.140625" style="13" bestFit="1" customWidth="1"/>
    <col min="5394" max="5394" width="10.5703125" style="13" bestFit="1" customWidth="1"/>
    <col min="5395" max="5395" width="29.28515625" style="13" bestFit="1" customWidth="1"/>
    <col min="5396" max="5396" width="17.5703125" style="13" bestFit="1" customWidth="1"/>
    <col min="5397" max="5397" width="15.85546875" style="13" bestFit="1" customWidth="1"/>
    <col min="5398" max="5398" width="36.5703125" style="13" bestFit="1" customWidth="1"/>
    <col min="5399" max="5399" width="17.28515625" style="13" bestFit="1" customWidth="1"/>
    <col min="5400" max="5400" width="15" style="13" bestFit="1" customWidth="1"/>
    <col min="5401" max="5632" width="9.140625" style="13"/>
    <col min="5633" max="5633" width="15.85546875" style="13" bestFit="1" customWidth="1"/>
    <col min="5634" max="5634" width="9.28515625" style="13" bestFit="1" customWidth="1"/>
    <col min="5635" max="5635" width="25.140625" style="13" bestFit="1" customWidth="1"/>
    <col min="5636" max="5636" width="17.7109375" style="13" bestFit="1" customWidth="1"/>
    <col min="5637" max="5637" width="16.42578125" style="13" bestFit="1" customWidth="1"/>
    <col min="5638" max="5638" width="10" style="13" bestFit="1" customWidth="1"/>
    <col min="5639" max="5639" width="11" style="13" bestFit="1" customWidth="1"/>
    <col min="5640" max="5640" width="13.85546875" style="13" bestFit="1" customWidth="1"/>
    <col min="5641" max="5641" width="36.5703125" style="13" bestFit="1" customWidth="1"/>
    <col min="5642" max="5642" width="20.5703125" style="13" bestFit="1" customWidth="1"/>
    <col min="5643" max="5643" width="27" style="13" bestFit="1" customWidth="1"/>
    <col min="5644" max="5645" width="36.5703125" style="13" bestFit="1" customWidth="1"/>
    <col min="5646" max="5646" width="24.28515625" style="13" bestFit="1" customWidth="1"/>
    <col min="5647" max="5647" width="17.7109375" style="13" bestFit="1" customWidth="1"/>
    <col min="5648" max="5648" width="36.5703125" style="13" bestFit="1" customWidth="1"/>
    <col min="5649" max="5649" width="22.140625" style="13" bestFit="1" customWidth="1"/>
    <col min="5650" max="5650" width="10.5703125" style="13" bestFit="1" customWidth="1"/>
    <col min="5651" max="5651" width="29.28515625" style="13" bestFit="1" customWidth="1"/>
    <col min="5652" max="5652" width="17.5703125" style="13" bestFit="1" customWidth="1"/>
    <col min="5653" max="5653" width="15.85546875" style="13" bestFit="1" customWidth="1"/>
    <col min="5654" max="5654" width="36.5703125" style="13" bestFit="1" customWidth="1"/>
    <col min="5655" max="5655" width="17.28515625" style="13" bestFit="1" customWidth="1"/>
    <col min="5656" max="5656" width="15" style="13" bestFit="1" customWidth="1"/>
    <col min="5657" max="5888" width="9.140625" style="13"/>
    <col min="5889" max="5889" width="15.85546875" style="13" bestFit="1" customWidth="1"/>
    <col min="5890" max="5890" width="9.28515625" style="13" bestFit="1" customWidth="1"/>
    <col min="5891" max="5891" width="25.140625" style="13" bestFit="1" customWidth="1"/>
    <col min="5892" max="5892" width="17.7109375" style="13" bestFit="1" customWidth="1"/>
    <col min="5893" max="5893" width="16.42578125" style="13" bestFit="1" customWidth="1"/>
    <col min="5894" max="5894" width="10" style="13" bestFit="1" customWidth="1"/>
    <col min="5895" max="5895" width="11" style="13" bestFit="1" customWidth="1"/>
    <col min="5896" max="5896" width="13.85546875" style="13" bestFit="1" customWidth="1"/>
    <col min="5897" max="5897" width="36.5703125" style="13" bestFit="1" customWidth="1"/>
    <col min="5898" max="5898" width="20.5703125" style="13" bestFit="1" customWidth="1"/>
    <col min="5899" max="5899" width="27" style="13" bestFit="1" customWidth="1"/>
    <col min="5900" max="5901" width="36.5703125" style="13" bestFit="1" customWidth="1"/>
    <col min="5902" max="5902" width="24.28515625" style="13" bestFit="1" customWidth="1"/>
    <col min="5903" max="5903" width="17.7109375" style="13" bestFit="1" customWidth="1"/>
    <col min="5904" max="5904" width="36.5703125" style="13" bestFit="1" customWidth="1"/>
    <col min="5905" max="5905" width="22.140625" style="13" bestFit="1" customWidth="1"/>
    <col min="5906" max="5906" width="10.5703125" style="13" bestFit="1" customWidth="1"/>
    <col min="5907" max="5907" width="29.28515625" style="13" bestFit="1" customWidth="1"/>
    <col min="5908" max="5908" width="17.5703125" style="13" bestFit="1" customWidth="1"/>
    <col min="5909" max="5909" width="15.85546875" style="13" bestFit="1" customWidth="1"/>
    <col min="5910" max="5910" width="36.5703125" style="13" bestFit="1" customWidth="1"/>
    <col min="5911" max="5911" width="17.28515625" style="13" bestFit="1" customWidth="1"/>
    <col min="5912" max="5912" width="15" style="13" bestFit="1" customWidth="1"/>
    <col min="5913" max="6144" width="9.140625" style="13"/>
    <col min="6145" max="6145" width="15.85546875" style="13" bestFit="1" customWidth="1"/>
    <col min="6146" max="6146" width="9.28515625" style="13" bestFit="1" customWidth="1"/>
    <col min="6147" max="6147" width="25.140625" style="13" bestFit="1" customWidth="1"/>
    <col min="6148" max="6148" width="17.7109375" style="13" bestFit="1" customWidth="1"/>
    <col min="6149" max="6149" width="16.42578125" style="13" bestFit="1" customWidth="1"/>
    <col min="6150" max="6150" width="10" style="13" bestFit="1" customWidth="1"/>
    <col min="6151" max="6151" width="11" style="13" bestFit="1" customWidth="1"/>
    <col min="6152" max="6152" width="13.85546875" style="13" bestFit="1" customWidth="1"/>
    <col min="6153" max="6153" width="36.5703125" style="13" bestFit="1" customWidth="1"/>
    <col min="6154" max="6154" width="20.5703125" style="13" bestFit="1" customWidth="1"/>
    <col min="6155" max="6155" width="27" style="13" bestFit="1" customWidth="1"/>
    <col min="6156" max="6157" width="36.5703125" style="13" bestFit="1" customWidth="1"/>
    <col min="6158" max="6158" width="24.28515625" style="13" bestFit="1" customWidth="1"/>
    <col min="6159" max="6159" width="17.7109375" style="13" bestFit="1" customWidth="1"/>
    <col min="6160" max="6160" width="36.5703125" style="13" bestFit="1" customWidth="1"/>
    <col min="6161" max="6161" width="22.140625" style="13" bestFit="1" customWidth="1"/>
    <col min="6162" max="6162" width="10.5703125" style="13" bestFit="1" customWidth="1"/>
    <col min="6163" max="6163" width="29.28515625" style="13" bestFit="1" customWidth="1"/>
    <col min="6164" max="6164" width="17.5703125" style="13" bestFit="1" customWidth="1"/>
    <col min="6165" max="6165" width="15.85546875" style="13" bestFit="1" customWidth="1"/>
    <col min="6166" max="6166" width="36.5703125" style="13" bestFit="1" customWidth="1"/>
    <col min="6167" max="6167" width="17.28515625" style="13" bestFit="1" customWidth="1"/>
    <col min="6168" max="6168" width="15" style="13" bestFit="1" customWidth="1"/>
    <col min="6169" max="6400" width="9.140625" style="13"/>
    <col min="6401" max="6401" width="15.85546875" style="13" bestFit="1" customWidth="1"/>
    <col min="6402" max="6402" width="9.28515625" style="13" bestFit="1" customWidth="1"/>
    <col min="6403" max="6403" width="25.140625" style="13" bestFit="1" customWidth="1"/>
    <col min="6404" max="6404" width="17.7109375" style="13" bestFit="1" customWidth="1"/>
    <col min="6405" max="6405" width="16.42578125" style="13" bestFit="1" customWidth="1"/>
    <col min="6406" max="6406" width="10" style="13" bestFit="1" customWidth="1"/>
    <col min="6407" max="6407" width="11" style="13" bestFit="1" customWidth="1"/>
    <col min="6408" max="6408" width="13.85546875" style="13" bestFit="1" customWidth="1"/>
    <col min="6409" max="6409" width="36.5703125" style="13" bestFit="1" customWidth="1"/>
    <col min="6410" max="6410" width="20.5703125" style="13" bestFit="1" customWidth="1"/>
    <col min="6411" max="6411" width="27" style="13" bestFit="1" customWidth="1"/>
    <col min="6412" max="6413" width="36.5703125" style="13" bestFit="1" customWidth="1"/>
    <col min="6414" max="6414" width="24.28515625" style="13" bestFit="1" customWidth="1"/>
    <col min="6415" max="6415" width="17.7109375" style="13" bestFit="1" customWidth="1"/>
    <col min="6416" max="6416" width="36.5703125" style="13" bestFit="1" customWidth="1"/>
    <col min="6417" max="6417" width="22.140625" style="13" bestFit="1" customWidth="1"/>
    <col min="6418" max="6418" width="10.5703125" style="13" bestFit="1" customWidth="1"/>
    <col min="6419" max="6419" width="29.28515625" style="13" bestFit="1" customWidth="1"/>
    <col min="6420" max="6420" width="17.5703125" style="13" bestFit="1" customWidth="1"/>
    <col min="6421" max="6421" width="15.85546875" style="13" bestFit="1" customWidth="1"/>
    <col min="6422" max="6422" width="36.5703125" style="13" bestFit="1" customWidth="1"/>
    <col min="6423" max="6423" width="17.28515625" style="13" bestFit="1" customWidth="1"/>
    <col min="6424" max="6424" width="15" style="13" bestFit="1" customWidth="1"/>
    <col min="6425" max="6656" width="9.140625" style="13"/>
    <col min="6657" max="6657" width="15.85546875" style="13" bestFit="1" customWidth="1"/>
    <col min="6658" max="6658" width="9.28515625" style="13" bestFit="1" customWidth="1"/>
    <col min="6659" max="6659" width="25.140625" style="13" bestFit="1" customWidth="1"/>
    <col min="6660" max="6660" width="17.7109375" style="13" bestFit="1" customWidth="1"/>
    <col min="6661" max="6661" width="16.42578125" style="13" bestFit="1" customWidth="1"/>
    <col min="6662" max="6662" width="10" style="13" bestFit="1" customWidth="1"/>
    <col min="6663" max="6663" width="11" style="13" bestFit="1" customWidth="1"/>
    <col min="6664" max="6664" width="13.85546875" style="13" bestFit="1" customWidth="1"/>
    <col min="6665" max="6665" width="36.5703125" style="13" bestFit="1" customWidth="1"/>
    <col min="6666" max="6666" width="20.5703125" style="13" bestFit="1" customWidth="1"/>
    <col min="6667" max="6667" width="27" style="13" bestFit="1" customWidth="1"/>
    <col min="6668" max="6669" width="36.5703125" style="13" bestFit="1" customWidth="1"/>
    <col min="6670" max="6670" width="24.28515625" style="13" bestFit="1" customWidth="1"/>
    <col min="6671" max="6671" width="17.7109375" style="13" bestFit="1" customWidth="1"/>
    <col min="6672" max="6672" width="36.5703125" style="13" bestFit="1" customWidth="1"/>
    <col min="6673" max="6673" width="22.140625" style="13" bestFit="1" customWidth="1"/>
    <col min="6674" max="6674" width="10.5703125" style="13" bestFit="1" customWidth="1"/>
    <col min="6675" max="6675" width="29.28515625" style="13" bestFit="1" customWidth="1"/>
    <col min="6676" max="6676" width="17.5703125" style="13" bestFit="1" customWidth="1"/>
    <col min="6677" max="6677" width="15.85546875" style="13" bestFit="1" customWidth="1"/>
    <col min="6678" max="6678" width="36.5703125" style="13" bestFit="1" customWidth="1"/>
    <col min="6679" max="6679" width="17.28515625" style="13" bestFit="1" customWidth="1"/>
    <col min="6680" max="6680" width="15" style="13" bestFit="1" customWidth="1"/>
    <col min="6681" max="6912" width="9.140625" style="13"/>
    <col min="6913" max="6913" width="15.85546875" style="13" bestFit="1" customWidth="1"/>
    <col min="6914" max="6914" width="9.28515625" style="13" bestFit="1" customWidth="1"/>
    <col min="6915" max="6915" width="25.140625" style="13" bestFit="1" customWidth="1"/>
    <col min="6916" max="6916" width="17.7109375" style="13" bestFit="1" customWidth="1"/>
    <col min="6917" max="6917" width="16.42578125" style="13" bestFit="1" customWidth="1"/>
    <col min="6918" max="6918" width="10" style="13" bestFit="1" customWidth="1"/>
    <col min="6919" max="6919" width="11" style="13" bestFit="1" customWidth="1"/>
    <col min="6920" max="6920" width="13.85546875" style="13" bestFit="1" customWidth="1"/>
    <col min="6921" max="6921" width="36.5703125" style="13" bestFit="1" customWidth="1"/>
    <col min="6922" max="6922" width="20.5703125" style="13" bestFit="1" customWidth="1"/>
    <col min="6923" max="6923" width="27" style="13" bestFit="1" customWidth="1"/>
    <col min="6924" max="6925" width="36.5703125" style="13" bestFit="1" customWidth="1"/>
    <col min="6926" max="6926" width="24.28515625" style="13" bestFit="1" customWidth="1"/>
    <col min="6927" max="6927" width="17.7109375" style="13" bestFit="1" customWidth="1"/>
    <col min="6928" max="6928" width="36.5703125" style="13" bestFit="1" customWidth="1"/>
    <col min="6929" max="6929" width="22.140625" style="13" bestFit="1" customWidth="1"/>
    <col min="6930" max="6930" width="10.5703125" style="13" bestFit="1" customWidth="1"/>
    <col min="6931" max="6931" width="29.28515625" style="13" bestFit="1" customWidth="1"/>
    <col min="6932" max="6932" width="17.5703125" style="13" bestFit="1" customWidth="1"/>
    <col min="6933" max="6933" width="15.85546875" style="13" bestFit="1" customWidth="1"/>
    <col min="6934" max="6934" width="36.5703125" style="13" bestFit="1" customWidth="1"/>
    <col min="6935" max="6935" width="17.28515625" style="13" bestFit="1" customWidth="1"/>
    <col min="6936" max="6936" width="15" style="13" bestFit="1" customWidth="1"/>
    <col min="6937" max="7168" width="9.140625" style="13"/>
    <col min="7169" max="7169" width="15.85546875" style="13" bestFit="1" customWidth="1"/>
    <col min="7170" max="7170" width="9.28515625" style="13" bestFit="1" customWidth="1"/>
    <col min="7171" max="7171" width="25.140625" style="13" bestFit="1" customWidth="1"/>
    <col min="7172" max="7172" width="17.7109375" style="13" bestFit="1" customWidth="1"/>
    <col min="7173" max="7173" width="16.42578125" style="13" bestFit="1" customWidth="1"/>
    <col min="7174" max="7174" width="10" style="13" bestFit="1" customWidth="1"/>
    <col min="7175" max="7175" width="11" style="13" bestFit="1" customWidth="1"/>
    <col min="7176" max="7176" width="13.85546875" style="13" bestFit="1" customWidth="1"/>
    <col min="7177" max="7177" width="36.5703125" style="13" bestFit="1" customWidth="1"/>
    <col min="7178" max="7178" width="20.5703125" style="13" bestFit="1" customWidth="1"/>
    <col min="7179" max="7179" width="27" style="13" bestFit="1" customWidth="1"/>
    <col min="7180" max="7181" width="36.5703125" style="13" bestFit="1" customWidth="1"/>
    <col min="7182" max="7182" width="24.28515625" style="13" bestFit="1" customWidth="1"/>
    <col min="7183" max="7183" width="17.7109375" style="13" bestFit="1" customWidth="1"/>
    <col min="7184" max="7184" width="36.5703125" style="13" bestFit="1" customWidth="1"/>
    <col min="7185" max="7185" width="22.140625" style="13" bestFit="1" customWidth="1"/>
    <col min="7186" max="7186" width="10.5703125" style="13" bestFit="1" customWidth="1"/>
    <col min="7187" max="7187" width="29.28515625" style="13" bestFit="1" customWidth="1"/>
    <col min="7188" max="7188" width="17.5703125" style="13" bestFit="1" customWidth="1"/>
    <col min="7189" max="7189" width="15.85546875" style="13" bestFit="1" customWidth="1"/>
    <col min="7190" max="7190" width="36.5703125" style="13" bestFit="1" customWidth="1"/>
    <col min="7191" max="7191" width="17.28515625" style="13" bestFit="1" customWidth="1"/>
    <col min="7192" max="7192" width="15" style="13" bestFit="1" customWidth="1"/>
    <col min="7193" max="7424" width="9.140625" style="13"/>
    <col min="7425" max="7425" width="15.85546875" style="13" bestFit="1" customWidth="1"/>
    <col min="7426" max="7426" width="9.28515625" style="13" bestFit="1" customWidth="1"/>
    <col min="7427" max="7427" width="25.140625" style="13" bestFit="1" customWidth="1"/>
    <col min="7428" max="7428" width="17.7109375" style="13" bestFit="1" customWidth="1"/>
    <col min="7429" max="7429" width="16.42578125" style="13" bestFit="1" customWidth="1"/>
    <col min="7430" max="7430" width="10" style="13" bestFit="1" customWidth="1"/>
    <col min="7431" max="7431" width="11" style="13" bestFit="1" customWidth="1"/>
    <col min="7432" max="7432" width="13.85546875" style="13" bestFit="1" customWidth="1"/>
    <col min="7433" max="7433" width="36.5703125" style="13" bestFit="1" customWidth="1"/>
    <col min="7434" max="7434" width="20.5703125" style="13" bestFit="1" customWidth="1"/>
    <col min="7435" max="7435" width="27" style="13" bestFit="1" customWidth="1"/>
    <col min="7436" max="7437" width="36.5703125" style="13" bestFit="1" customWidth="1"/>
    <col min="7438" max="7438" width="24.28515625" style="13" bestFit="1" customWidth="1"/>
    <col min="7439" max="7439" width="17.7109375" style="13" bestFit="1" customWidth="1"/>
    <col min="7440" max="7440" width="36.5703125" style="13" bestFit="1" customWidth="1"/>
    <col min="7441" max="7441" width="22.140625" style="13" bestFit="1" customWidth="1"/>
    <col min="7442" max="7442" width="10.5703125" style="13" bestFit="1" customWidth="1"/>
    <col min="7443" max="7443" width="29.28515625" style="13" bestFit="1" customWidth="1"/>
    <col min="7444" max="7444" width="17.5703125" style="13" bestFit="1" customWidth="1"/>
    <col min="7445" max="7445" width="15.85546875" style="13" bestFit="1" customWidth="1"/>
    <col min="7446" max="7446" width="36.5703125" style="13" bestFit="1" customWidth="1"/>
    <col min="7447" max="7447" width="17.28515625" style="13" bestFit="1" customWidth="1"/>
    <col min="7448" max="7448" width="15" style="13" bestFit="1" customWidth="1"/>
    <col min="7449" max="7680" width="9.140625" style="13"/>
    <col min="7681" max="7681" width="15.85546875" style="13" bestFit="1" customWidth="1"/>
    <col min="7682" max="7682" width="9.28515625" style="13" bestFit="1" customWidth="1"/>
    <col min="7683" max="7683" width="25.140625" style="13" bestFit="1" customWidth="1"/>
    <col min="7684" max="7684" width="17.7109375" style="13" bestFit="1" customWidth="1"/>
    <col min="7685" max="7685" width="16.42578125" style="13" bestFit="1" customWidth="1"/>
    <col min="7686" max="7686" width="10" style="13" bestFit="1" customWidth="1"/>
    <col min="7687" max="7687" width="11" style="13" bestFit="1" customWidth="1"/>
    <col min="7688" max="7688" width="13.85546875" style="13" bestFit="1" customWidth="1"/>
    <col min="7689" max="7689" width="36.5703125" style="13" bestFit="1" customWidth="1"/>
    <col min="7690" max="7690" width="20.5703125" style="13" bestFit="1" customWidth="1"/>
    <col min="7691" max="7691" width="27" style="13" bestFit="1" customWidth="1"/>
    <col min="7692" max="7693" width="36.5703125" style="13" bestFit="1" customWidth="1"/>
    <col min="7694" max="7694" width="24.28515625" style="13" bestFit="1" customWidth="1"/>
    <col min="7695" max="7695" width="17.7109375" style="13" bestFit="1" customWidth="1"/>
    <col min="7696" max="7696" width="36.5703125" style="13" bestFit="1" customWidth="1"/>
    <col min="7697" max="7697" width="22.140625" style="13" bestFit="1" customWidth="1"/>
    <col min="7698" max="7698" width="10.5703125" style="13" bestFit="1" customWidth="1"/>
    <col min="7699" max="7699" width="29.28515625" style="13" bestFit="1" customWidth="1"/>
    <col min="7700" max="7700" width="17.5703125" style="13" bestFit="1" customWidth="1"/>
    <col min="7701" max="7701" width="15.85546875" style="13" bestFit="1" customWidth="1"/>
    <col min="7702" max="7702" width="36.5703125" style="13" bestFit="1" customWidth="1"/>
    <col min="7703" max="7703" width="17.28515625" style="13" bestFit="1" customWidth="1"/>
    <col min="7704" max="7704" width="15" style="13" bestFit="1" customWidth="1"/>
    <col min="7705" max="7936" width="9.140625" style="13"/>
    <col min="7937" max="7937" width="15.85546875" style="13" bestFit="1" customWidth="1"/>
    <col min="7938" max="7938" width="9.28515625" style="13" bestFit="1" customWidth="1"/>
    <col min="7939" max="7939" width="25.140625" style="13" bestFit="1" customWidth="1"/>
    <col min="7940" max="7940" width="17.7109375" style="13" bestFit="1" customWidth="1"/>
    <col min="7941" max="7941" width="16.42578125" style="13" bestFit="1" customWidth="1"/>
    <col min="7942" max="7942" width="10" style="13" bestFit="1" customWidth="1"/>
    <col min="7943" max="7943" width="11" style="13" bestFit="1" customWidth="1"/>
    <col min="7944" max="7944" width="13.85546875" style="13" bestFit="1" customWidth="1"/>
    <col min="7945" max="7945" width="36.5703125" style="13" bestFit="1" customWidth="1"/>
    <col min="7946" max="7946" width="20.5703125" style="13" bestFit="1" customWidth="1"/>
    <col min="7947" max="7947" width="27" style="13" bestFit="1" customWidth="1"/>
    <col min="7948" max="7949" width="36.5703125" style="13" bestFit="1" customWidth="1"/>
    <col min="7950" max="7950" width="24.28515625" style="13" bestFit="1" customWidth="1"/>
    <col min="7951" max="7951" width="17.7109375" style="13" bestFit="1" customWidth="1"/>
    <col min="7952" max="7952" width="36.5703125" style="13" bestFit="1" customWidth="1"/>
    <col min="7953" max="7953" width="22.140625" style="13" bestFit="1" customWidth="1"/>
    <col min="7954" max="7954" width="10.5703125" style="13" bestFit="1" customWidth="1"/>
    <col min="7955" max="7955" width="29.28515625" style="13" bestFit="1" customWidth="1"/>
    <col min="7956" max="7956" width="17.5703125" style="13" bestFit="1" customWidth="1"/>
    <col min="7957" max="7957" width="15.85546875" style="13" bestFit="1" customWidth="1"/>
    <col min="7958" max="7958" width="36.5703125" style="13" bestFit="1" customWidth="1"/>
    <col min="7959" max="7959" width="17.28515625" style="13" bestFit="1" customWidth="1"/>
    <col min="7960" max="7960" width="15" style="13" bestFit="1" customWidth="1"/>
    <col min="7961" max="8192" width="9.140625" style="13"/>
    <col min="8193" max="8193" width="15.85546875" style="13" bestFit="1" customWidth="1"/>
    <col min="8194" max="8194" width="9.28515625" style="13" bestFit="1" customWidth="1"/>
    <col min="8195" max="8195" width="25.140625" style="13" bestFit="1" customWidth="1"/>
    <col min="8196" max="8196" width="17.7109375" style="13" bestFit="1" customWidth="1"/>
    <col min="8197" max="8197" width="16.42578125" style="13" bestFit="1" customWidth="1"/>
    <col min="8198" max="8198" width="10" style="13" bestFit="1" customWidth="1"/>
    <col min="8199" max="8199" width="11" style="13" bestFit="1" customWidth="1"/>
    <col min="8200" max="8200" width="13.85546875" style="13" bestFit="1" customWidth="1"/>
    <col min="8201" max="8201" width="36.5703125" style="13" bestFit="1" customWidth="1"/>
    <col min="8202" max="8202" width="20.5703125" style="13" bestFit="1" customWidth="1"/>
    <col min="8203" max="8203" width="27" style="13" bestFit="1" customWidth="1"/>
    <col min="8204" max="8205" width="36.5703125" style="13" bestFit="1" customWidth="1"/>
    <col min="8206" max="8206" width="24.28515625" style="13" bestFit="1" customWidth="1"/>
    <col min="8207" max="8207" width="17.7109375" style="13" bestFit="1" customWidth="1"/>
    <col min="8208" max="8208" width="36.5703125" style="13" bestFit="1" customWidth="1"/>
    <col min="8209" max="8209" width="22.140625" style="13" bestFit="1" customWidth="1"/>
    <col min="8210" max="8210" width="10.5703125" style="13" bestFit="1" customWidth="1"/>
    <col min="8211" max="8211" width="29.28515625" style="13" bestFit="1" customWidth="1"/>
    <col min="8212" max="8212" width="17.5703125" style="13" bestFit="1" customWidth="1"/>
    <col min="8213" max="8213" width="15.85546875" style="13" bestFit="1" customWidth="1"/>
    <col min="8214" max="8214" width="36.5703125" style="13" bestFit="1" customWidth="1"/>
    <col min="8215" max="8215" width="17.28515625" style="13" bestFit="1" customWidth="1"/>
    <col min="8216" max="8216" width="15" style="13" bestFit="1" customWidth="1"/>
    <col min="8217" max="8448" width="9.140625" style="13"/>
    <col min="8449" max="8449" width="15.85546875" style="13" bestFit="1" customWidth="1"/>
    <col min="8450" max="8450" width="9.28515625" style="13" bestFit="1" customWidth="1"/>
    <col min="8451" max="8451" width="25.140625" style="13" bestFit="1" customWidth="1"/>
    <col min="8452" max="8452" width="17.7109375" style="13" bestFit="1" customWidth="1"/>
    <col min="8453" max="8453" width="16.42578125" style="13" bestFit="1" customWidth="1"/>
    <col min="8454" max="8454" width="10" style="13" bestFit="1" customWidth="1"/>
    <col min="8455" max="8455" width="11" style="13" bestFit="1" customWidth="1"/>
    <col min="8456" max="8456" width="13.85546875" style="13" bestFit="1" customWidth="1"/>
    <col min="8457" max="8457" width="36.5703125" style="13" bestFit="1" customWidth="1"/>
    <col min="8458" max="8458" width="20.5703125" style="13" bestFit="1" customWidth="1"/>
    <col min="8459" max="8459" width="27" style="13" bestFit="1" customWidth="1"/>
    <col min="8460" max="8461" width="36.5703125" style="13" bestFit="1" customWidth="1"/>
    <col min="8462" max="8462" width="24.28515625" style="13" bestFit="1" customWidth="1"/>
    <col min="8463" max="8463" width="17.7109375" style="13" bestFit="1" customWidth="1"/>
    <col min="8464" max="8464" width="36.5703125" style="13" bestFit="1" customWidth="1"/>
    <col min="8465" max="8465" width="22.140625" style="13" bestFit="1" customWidth="1"/>
    <col min="8466" max="8466" width="10.5703125" style="13" bestFit="1" customWidth="1"/>
    <col min="8467" max="8467" width="29.28515625" style="13" bestFit="1" customWidth="1"/>
    <col min="8468" max="8468" width="17.5703125" style="13" bestFit="1" customWidth="1"/>
    <col min="8469" max="8469" width="15.85546875" style="13" bestFit="1" customWidth="1"/>
    <col min="8470" max="8470" width="36.5703125" style="13" bestFit="1" customWidth="1"/>
    <col min="8471" max="8471" width="17.28515625" style="13" bestFit="1" customWidth="1"/>
    <col min="8472" max="8472" width="15" style="13" bestFit="1" customWidth="1"/>
    <col min="8473" max="8704" width="9.140625" style="13"/>
    <col min="8705" max="8705" width="15.85546875" style="13" bestFit="1" customWidth="1"/>
    <col min="8706" max="8706" width="9.28515625" style="13" bestFit="1" customWidth="1"/>
    <col min="8707" max="8707" width="25.140625" style="13" bestFit="1" customWidth="1"/>
    <col min="8708" max="8708" width="17.7109375" style="13" bestFit="1" customWidth="1"/>
    <col min="8709" max="8709" width="16.42578125" style="13" bestFit="1" customWidth="1"/>
    <col min="8710" max="8710" width="10" style="13" bestFit="1" customWidth="1"/>
    <col min="8711" max="8711" width="11" style="13" bestFit="1" customWidth="1"/>
    <col min="8712" max="8712" width="13.85546875" style="13" bestFit="1" customWidth="1"/>
    <col min="8713" max="8713" width="36.5703125" style="13" bestFit="1" customWidth="1"/>
    <col min="8714" max="8714" width="20.5703125" style="13" bestFit="1" customWidth="1"/>
    <col min="8715" max="8715" width="27" style="13" bestFit="1" customWidth="1"/>
    <col min="8716" max="8717" width="36.5703125" style="13" bestFit="1" customWidth="1"/>
    <col min="8718" max="8718" width="24.28515625" style="13" bestFit="1" customWidth="1"/>
    <col min="8719" max="8719" width="17.7109375" style="13" bestFit="1" customWidth="1"/>
    <col min="8720" max="8720" width="36.5703125" style="13" bestFit="1" customWidth="1"/>
    <col min="8721" max="8721" width="22.140625" style="13" bestFit="1" customWidth="1"/>
    <col min="8722" max="8722" width="10.5703125" style="13" bestFit="1" customWidth="1"/>
    <col min="8723" max="8723" width="29.28515625" style="13" bestFit="1" customWidth="1"/>
    <col min="8724" max="8724" width="17.5703125" style="13" bestFit="1" customWidth="1"/>
    <col min="8725" max="8725" width="15.85546875" style="13" bestFit="1" customWidth="1"/>
    <col min="8726" max="8726" width="36.5703125" style="13" bestFit="1" customWidth="1"/>
    <col min="8727" max="8727" width="17.28515625" style="13" bestFit="1" customWidth="1"/>
    <col min="8728" max="8728" width="15" style="13" bestFit="1" customWidth="1"/>
    <col min="8729" max="8960" width="9.140625" style="13"/>
    <col min="8961" max="8961" width="15.85546875" style="13" bestFit="1" customWidth="1"/>
    <col min="8962" max="8962" width="9.28515625" style="13" bestFit="1" customWidth="1"/>
    <col min="8963" max="8963" width="25.140625" style="13" bestFit="1" customWidth="1"/>
    <col min="8964" max="8964" width="17.7109375" style="13" bestFit="1" customWidth="1"/>
    <col min="8965" max="8965" width="16.42578125" style="13" bestFit="1" customWidth="1"/>
    <col min="8966" max="8966" width="10" style="13" bestFit="1" customWidth="1"/>
    <col min="8967" max="8967" width="11" style="13" bestFit="1" customWidth="1"/>
    <col min="8968" max="8968" width="13.85546875" style="13" bestFit="1" customWidth="1"/>
    <col min="8969" max="8969" width="36.5703125" style="13" bestFit="1" customWidth="1"/>
    <col min="8970" max="8970" width="20.5703125" style="13" bestFit="1" customWidth="1"/>
    <col min="8971" max="8971" width="27" style="13" bestFit="1" customWidth="1"/>
    <col min="8972" max="8973" width="36.5703125" style="13" bestFit="1" customWidth="1"/>
    <col min="8974" max="8974" width="24.28515625" style="13" bestFit="1" customWidth="1"/>
    <col min="8975" max="8975" width="17.7109375" style="13" bestFit="1" customWidth="1"/>
    <col min="8976" max="8976" width="36.5703125" style="13" bestFit="1" customWidth="1"/>
    <col min="8977" max="8977" width="22.140625" style="13" bestFit="1" customWidth="1"/>
    <col min="8978" max="8978" width="10.5703125" style="13" bestFit="1" customWidth="1"/>
    <col min="8979" max="8979" width="29.28515625" style="13" bestFit="1" customWidth="1"/>
    <col min="8980" max="8980" width="17.5703125" style="13" bestFit="1" customWidth="1"/>
    <col min="8981" max="8981" width="15.85546875" style="13" bestFit="1" customWidth="1"/>
    <col min="8982" max="8982" width="36.5703125" style="13" bestFit="1" customWidth="1"/>
    <col min="8983" max="8983" width="17.28515625" style="13" bestFit="1" customWidth="1"/>
    <col min="8984" max="8984" width="15" style="13" bestFit="1" customWidth="1"/>
    <col min="8985" max="9216" width="9.140625" style="13"/>
    <col min="9217" max="9217" width="15.85546875" style="13" bestFit="1" customWidth="1"/>
    <col min="9218" max="9218" width="9.28515625" style="13" bestFit="1" customWidth="1"/>
    <col min="9219" max="9219" width="25.140625" style="13" bestFit="1" customWidth="1"/>
    <col min="9220" max="9220" width="17.7109375" style="13" bestFit="1" customWidth="1"/>
    <col min="9221" max="9221" width="16.42578125" style="13" bestFit="1" customWidth="1"/>
    <col min="9222" max="9222" width="10" style="13" bestFit="1" customWidth="1"/>
    <col min="9223" max="9223" width="11" style="13" bestFit="1" customWidth="1"/>
    <col min="9224" max="9224" width="13.85546875" style="13" bestFit="1" customWidth="1"/>
    <col min="9225" max="9225" width="36.5703125" style="13" bestFit="1" customWidth="1"/>
    <col min="9226" max="9226" width="20.5703125" style="13" bestFit="1" customWidth="1"/>
    <col min="9227" max="9227" width="27" style="13" bestFit="1" customWidth="1"/>
    <col min="9228" max="9229" width="36.5703125" style="13" bestFit="1" customWidth="1"/>
    <col min="9230" max="9230" width="24.28515625" style="13" bestFit="1" customWidth="1"/>
    <col min="9231" max="9231" width="17.7109375" style="13" bestFit="1" customWidth="1"/>
    <col min="9232" max="9232" width="36.5703125" style="13" bestFit="1" customWidth="1"/>
    <col min="9233" max="9233" width="22.140625" style="13" bestFit="1" customWidth="1"/>
    <col min="9234" max="9234" width="10.5703125" style="13" bestFit="1" customWidth="1"/>
    <col min="9235" max="9235" width="29.28515625" style="13" bestFit="1" customWidth="1"/>
    <col min="9236" max="9236" width="17.5703125" style="13" bestFit="1" customWidth="1"/>
    <col min="9237" max="9237" width="15.85546875" style="13" bestFit="1" customWidth="1"/>
    <col min="9238" max="9238" width="36.5703125" style="13" bestFit="1" customWidth="1"/>
    <col min="9239" max="9239" width="17.28515625" style="13" bestFit="1" customWidth="1"/>
    <col min="9240" max="9240" width="15" style="13" bestFit="1" customWidth="1"/>
    <col min="9241" max="9472" width="9.140625" style="13"/>
    <col min="9473" max="9473" width="15.85546875" style="13" bestFit="1" customWidth="1"/>
    <col min="9474" max="9474" width="9.28515625" style="13" bestFit="1" customWidth="1"/>
    <col min="9475" max="9475" width="25.140625" style="13" bestFit="1" customWidth="1"/>
    <col min="9476" max="9476" width="17.7109375" style="13" bestFit="1" customWidth="1"/>
    <col min="9477" max="9477" width="16.42578125" style="13" bestFit="1" customWidth="1"/>
    <col min="9478" max="9478" width="10" style="13" bestFit="1" customWidth="1"/>
    <col min="9479" max="9479" width="11" style="13" bestFit="1" customWidth="1"/>
    <col min="9480" max="9480" width="13.85546875" style="13" bestFit="1" customWidth="1"/>
    <col min="9481" max="9481" width="36.5703125" style="13" bestFit="1" customWidth="1"/>
    <col min="9482" max="9482" width="20.5703125" style="13" bestFit="1" customWidth="1"/>
    <col min="9483" max="9483" width="27" style="13" bestFit="1" customWidth="1"/>
    <col min="9484" max="9485" width="36.5703125" style="13" bestFit="1" customWidth="1"/>
    <col min="9486" max="9486" width="24.28515625" style="13" bestFit="1" customWidth="1"/>
    <col min="9487" max="9487" width="17.7109375" style="13" bestFit="1" customWidth="1"/>
    <col min="9488" max="9488" width="36.5703125" style="13" bestFit="1" customWidth="1"/>
    <col min="9489" max="9489" width="22.140625" style="13" bestFit="1" customWidth="1"/>
    <col min="9490" max="9490" width="10.5703125" style="13" bestFit="1" customWidth="1"/>
    <col min="9491" max="9491" width="29.28515625" style="13" bestFit="1" customWidth="1"/>
    <col min="9492" max="9492" width="17.5703125" style="13" bestFit="1" customWidth="1"/>
    <col min="9493" max="9493" width="15.85546875" style="13" bestFit="1" customWidth="1"/>
    <col min="9494" max="9494" width="36.5703125" style="13" bestFit="1" customWidth="1"/>
    <col min="9495" max="9495" width="17.28515625" style="13" bestFit="1" customWidth="1"/>
    <col min="9496" max="9496" width="15" style="13" bestFit="1" customWidth="1"/>
    <col min="9497" max="9728" width="9.140625" style="13"/>
    <col min="9729" max="9729" width="15.85546875" style="13" bestFit="1" customWidth="1"/>
    <col min="9730" max="9730" width="9.28515625" style="13" bestFit="1" customWidth="1"/>
    <col min="9731" max="9731" width="25.140625" style="13" bestFit="1" customWidth="1"/>
    <col min="9732" max="9732" width="17.7109375" style="13" bestFit="1" customWidth="1"/>
    <col min="9733" max="9733" width="16.42578125" style="13" bestFit="1" customWidth="1"/>
    <col min="9734" max="9734" width="10" style="13" bestFit="1" customWidth="1"/>
    <col min="9735" max="9735" width="11" style="13" bestFit="1" customWidth="1"/>
    <col min="9736" max="9736" width="13.85546875" style="13" bestFit="1" customWidth="1"/>
    <col min="9737" max="9737" width="36.5703125" style="13" bestFit="1" customWidth="1"/>
    <col min="9738" max="9738" width="20.5703125" style="13" bestFit="1" customWidth="1"/>
    <col min="9739" max="9739" width="27" style="13" bestFit="1" customWidth="1"/>
    <col min="9740" max="9741" width="36.5703125" style="13" bestFit="1" customWidth="1"/>
    <col min="9742" max="9742" width="24.28515625" style="13" bestFit="1" customWidth="1"/>
    <col min="9743" max="9743" width="17.7109375" style="13" bestFit="1" customWidth="1"/>
    <col min="9744" max="9744" width="36.5703125" style="13" bestFit="1" customWidth="1"/>
    <col min="9745" max="9745" width="22.140625" style="13" bestFit="1" customWidth="1"/>
    <col min="9746" max="9746" width="10.5703125" style="13" bestFit="1" customWidth="1"/>
    <col min="9747" max="9747" width="29.28515625" style="13" bestFit="1" customWidth="1"/>
    <col min="9748" max="9748" width="17.5703125" style="13" bestFit="1" customWidth="1"/>
    <col min="9749" max="9749" width="15.85546875" style="13" bestFit="1" customWidth="1"/>
    <col min="9750" max="9750" width="36.5703125" style="13" bestFit="1" customWidth="1"/>
    <col min="9751" max="9751" width="17.28515625" style="13" bestFit="1" customWidth="1"/>
    <col min="9752" max="9752" width="15" style="13" bestFit="1" customWidth="1"/>
    <col min="9753" max="9984" width="9.140625" style="13"/>
    <col min="9985" max="9985" width="15.85546875" style="13" bestFit="1" customWidth="1"/>
    <col min="9986" max="9986" width="9.28515625" style="13" bestFit="1" customWidth="1"/>
    <col min="9987" max="9987" width="25.140625" style="13" bestFit="1" customWidth="1"/>
    <col min="9988" max="9988" width="17.7109375" style="13" bestFit="1" customWidth="1"/>
    <col min="9989" max="9989" width="16.42578125" style="13" bestFit="1" customWidth="1"/>
    <col min="9990" max="9990" width="10" style="13" bestFit="1" customWidth="1"/>
    <col min="9991" max="9991" width="11" style="13" bestFit="1" customWidth="1"/>
    <col min="9992" max="9992" width="13.85546875" style="13" bestFit="1" customWidth="1"/>
    <col min="9993" max="9993" width="36.5703125" style="13" bestFit="1" customWidth="1"/>
    <col min="9994" max="9994" width="20.5703125" style="13" bestFit="1" customWidth="1"/>
    <col min="9995" max="9995" width="27" style="13" bestFit="1" customWidth="1"/>
    <col min="9996" max="9997" width="36.5703125" style="13" bestFit="1" customWidth="1"/>
    <col min="9998" max="9998" width="24.28515625" style="13" bestFit="1" customWidth="1"/>
    <col min="9999" max="9999" width="17.7109375" style="13" bestFit="1" customWidth="1"/>
    <col min="10000" max="10000" width="36.5703125" style="13" bestFit="1" customWidth="1"/>
    <col min="10001" max="10001" width="22.140625" style="13" bestFit="1" customWidth="1"/>
    <col min="10002" max="10002" width="10.5703125" style="13" bestFit="1" customWidth="1"/>
    <col min="10003" max="10003" width="29.28515625" style="13" bestFit="1" customWidth="1"/>
    <col min="10004" max="10004" width="17.5703125" style="13" bestFit="1" customWidth="1"/>
    <col min="10005" max="10005" width="15.85546875" style="13" bestFit="1" customWidth="1"/>
    <col min="10006" max="10006" width="36.5703125" style="13" bestFit="1" customWidth="1"/>
    <col min="10007" max="10007" width="17.28515625" style="13" bestFit="1" customWidth="1"/>
    <col min="10008" max="10008" width="15" style="13" bestFit="1" customWidth="1"/>
    <col min="10009" max="10240" width="9.140625" style="13"/>
    <col min="10241" max="10241" width="15.85546875" style="13" bestFit="1" customWidth="1"/>
    <col min="10242" max="10242" width="9.28515625" style="13" bestFit="1" customWidth="1"/>
    <col min="10243" max="10243" width="25.140625" style="13" bestFit="1" customWidth="1"/>
    <col min="10244" max="10244" width="17.7109375" style="13" bestFit="1" customWidth="1"/>
    <col min="10245" max="10245" width="16.42578125" style="13" bestFit="1" customWidth="1"/>
    <col min="10246" max="10246" width="10" style="13" bestFit="1" customWidth="1"/>
    <col min="10247" max="10247" width="11" style="13" bestFit="1" customWidth="1"/>
    <col min="10248" max="10248" width="13.85546875" style="13" bestFit="1" customWidth="1"/>
    <col min="10249" max="10249" width="36.5703125" style="13" bestFit="1" customWidth="1"/>
    <col min="10250" max="10250" width="20.5703125" style="13" bestFit="1" customWidth="1"/>
    <col min="10251" max="10251" width="27" style="13" bestFit="1" customWidth="1"/>
    <col min="10252" max="10253" width="36.5703125" style="13" bestFit="1" customWidth="1"/>
    <col min="10254" max="10254" width="24.28515625" style="13" bestFit="1" customWidth="1"/>
    <col min="10255" max="10255" width="17.7109375" style="13" bestFit="1" customWidth="1"/>
    <col min="10256" max="10256" width="36.5703125" style="13" bestFit="1" customWidth="1"/>
    <col min="10257" max="10257" width="22.140625" style="13" bestFit="1" customWidth="1"/>
    <col min="10258" max="10258" width="10.5703125" style="13" bestFit="1" customWidth="1"/>
    <col min="10259" max="10259" width="29.28515625" style="13" bestFit="1" customWidth="1"/>
    <col min="10260" max="10260" width="17.5703125" style="13" bestFit="1" customWidth="1"/>
    <col min="10261" max="10261" width="15.85546875" style="13" bestFit="1" customWidth="1"/>
    <col min="10262" max="10262" width="36.5703125" style="13" bestFit="1" customWidth="1"/>
    <col min="10263" max="10263" width="17.28515625" style="13" bestFit="1" customWidth="1"/>
    <col min="10264" max="10264" width="15" style="13" bestFit="1" customWidth="1"/>
    <col min="10265" max="10496" width="9.140625" style="13"/>
    <col min="10497" max="10497" width="15.85546875" style="13" bestFit="1" customWidth="1"/>
    <col min="10498" max="10498" width="9.28515625" style="13" bestFit="1" customWidth="1"/>
    <col min="10499" max="10499" width="25.140625" style="13" bestFit="1" customWidth="1"/>
    <col min="10500" max="10500" width="17.7109375" style="13" bestFit="1" customWidth="1"/>
    <col min="10501" max="10501" width="16.42578125" style="13" bestFit="1" customWidth="1"/>
    <col min="10502" max="10502" width="10" style="13" bestFit="1" customWidth="1"/>
    <col min="10503" max="10503" width="11" style="13" bestFit="1" customWidth="1"/>
    <col min="10504" max="10504" width="13.85546875" style="13" bestFit="1" customWidth="1"/>
    <col min="10505" max="10505" width="36.5703125" style="13" bestFit="1" customWidth="1"/>
    <col min="10506" max="10506" width="20.5703125" style="13" bestFit="1" customWidth="1"/>
    <col min="10507" max="10507" width="27" style="13" bestFit="1" customWidth="1"/>
    <col min="10508" max="10509" width="36.5703125" style="13" bestFit="1" customWidth="1"/>
    <col min="10510" max="10510" width="24.28515625" style="13" bestFit="1" customWidth="1"/>
    <col min="10511" max="10511" width="17.7109375" style="13" bestFit="1" customWidth="1"/>
    <col min="10512" max="10512" width="36.5703125" style="13" bestFit="1" customWidth="1"/>
    <col min="10513" max="10513" width="22.140625" style="13" bestFit="1" customWidth="1"/>
    <col min="10514" max="10514" width="10.5703125" style="13" bestFit="1" customWidth="1"/>
    <col min="10515" max="10515" width="29.28515625" style="13" bestFit="1" customWidth="1"/>
    <col min="10516" max="10516" width="17.5703125" style="13" bestFit="1" customWidth="1"/>
    <col min="10517" max="10517" width="15.85546875" style="13" bestFit="1" customWidth="1"/>
    <col min="10518" max="10518" width="36.5703125" style="13" bestFit="1" customWidth="1"/>
    <col min="10519" max="10519" width="17.28515625" style="13" bestFit="1" customWidth="1"/>
    <col min="10520" max="10520" width="15" style="13" bestFit="1" customWidth="1"/>
    <col min="10521" max="10752" width="9.140625" style="13"/>
    <col min="10753" max="10753" width="15.85546875" style="13" bestFit="1" customWidth="1"/>
    <col min="10754" max="10754" width="9.28515625" style="13" bestFit="1" customWidth="1"/>
    <col min="10755" max="10755" width="25.140625" style="13" bestFit="1" customWidth="1"/>
    <col min="10756" max="10756" width="17.7109375" style="13" bestFit="1" customWidth="1"/>
    <col min="10757" max="10757" width="16.42578125" style="13" bestFit="1" customWidth="1"/>
    <col min="10758" max="10758" width="10" style="13" bestFit="1" customWidth="1"/>
    <col min="10759" max="10759" width="11" style="13" bestFit="1" customWidth="1"/>
    <col min="10760" max="10760" width="13.85546875" style="13" bestFit="1" customWidth="1"/>
    <col min="10761" max="10761" width="36.5703125" style="13" bestFit="1" customWidth="1"/>
    <col min="10762" max="10762" width="20.5703125" style="13" bestFit="1" customWidth="1"/>
    <col min="10763" max="10763" width="27" style="13" bestFit="1" customWidth="1"/>
    <col min="10764" max="10765" width="36.5703125" style="13" bestFit="1" customWidth="1"/>
    <col min="10766" max="10766" width="24.28515625" style="13" bestFit="1" customWidth="1"/>
    <col min="10767" max="10767" width="17.7109375" style="13" bestFit="1" customWidth="1"/>
    <col min="10768" max="10768" width="36.5703125" style="13" bestFit="1" customWidth="1"/>
    <col min="10769" max="10769" width="22.140625" style="13" bestFit="1" customWidth="1"/>
    <col min="10770" max="10770" width="10.5703125" style="13" bestFit="1" customWidth="1"/>
    <col min="10771" max="10771" width="29.28515625" style="13" bestFit="1" customWidth="1"/>
    <col min="10772" max="10772" width="17.5703125" style="13" bestFit="1" customWidth="1"/>
    <col min="10773" max="10773" width="15.85546875" style="13" bestFit="1" customWidth="1"/>
    <col min="10774" max="10774" width="36.5703125" style="13" bestFit="1" customWidth="1"/>
    <col min="10775" max="10775" width="17.28515625" style="13" bestFit="1" customWidth="1"/>
    <col min="10776" max="10776" width="15" style="13" bestFit="1" customWidth="1"/>
    <col min="10777" max="11008" width="9.140625" style="13"/>
    <col min="11009" max="11009" width="15.85546875" style="13" bestFit="1" customWidth="1"/>
    <col min="11010" max="11010" width="9.28515625" style="13" bestFit="1" customWidth="1"/>
    <col min="11011" max="11011" width="25.140625" style="13" bestFit="1" customWidth="1"/>
    <col min="11012" max="11012" width="17.7109375" style="13" bestFit="1" customWidth="1"/>
    <col min="11013" max="11013" width="16.42578125" style="13" bestFit="1" customWidth="1"/>
    <col min="11014" max="11014" width="10" style="13" bestFit="1" customWidth="1"/>
    <col min="11015" max="11015" width="11" style="13" bestFit="1" customWidth="1"/>
    <col min="11016" max="11016" width="13.85546875" style="13" bestFit="1" customWidth="1"/>
    <col min="11017" max="11017" width="36.5703125" style="13" bestFit="1" customWidth="1"/>
    <col min="11018" max="11018" width="20.5703125" style="13" bestFit="1" customWidth="1"/>
    <col min="11019" max="11019" width="27" style="13" bestFit="1" customWidth="1"/>
    <col min="11020" max="11021" width="36.5703125" style="13" bestFit="1" customWidth="1"/>
    <col min="11022" max="11022" width="24.28515625" style="13" bestFit="1" customWidth="1"/>
    <col min="11023" max="11023" width="17.7109375" style="13" bestFit="1" customWidth="1"/>
    <col min="11024" max="11024" width="36.5703125" style="13" bestFit="1" customWidth="1"/>
    <col min="11025" max="11025" width="22.140625" style="13" bestFit="1" customWidth="1"/>
    <col min="11026" max="11026" width="10.5703125" style="13" bestFit="1" customWidth="1"/>
    <col min="11027" max="11027" width="29.28515625" style="13" bestFit="1" customWidth="1"/>
    <col min="11028" max="11028" width="17.5703125" style="13" bestFit="1" customWidth="1"/>
    <col min="11029" max="11029" width="15.85546875" style="13" bestFit="1" customWidth="1"/>
    <col min="11030" max="11030" width="36.5703125" style="13" bestFit="1" customWidth="1"/>
    <col min="11031" max="11031" width="17.28515625" style="13" bestFit="1" customWidth="1"/>
    <col min="11032" max="11032" width="15" style="13" bestFit="1" customWidth="1"/>
    <col min="11033" max="11264" width="9.140625" style="13"/>
    <col min="11265" max="11265" width="15.85546875" style="13" bestFit="1" customWidth="1"/>
    <col min="11266" max="11266" width="9.28515625" style="13" bestFit="1" customWidth="1"/>
    <col min="11267" max="11267" width="25.140625" style="13" bestFit="1" customWidth="1"/>
    <col min="11268" max="11268" width="17.7109375" style="13" bestFit="1" customWidth="1"/>
    <col min="11269" max="11269" width="16.42578125" style="13" bestFit="1" customWidth="1"/>
    <col min="11270" max="11270" width="10" style="13" bestFit="1" customWidth="1"/>
    <col min="11271" max="11271" width="11" style="13" bestFit="1" customWidth="1"/>
    <col min="11272" max="11272" width="13.85546875" style="13" bestFit="1" customWidth="1"/>
    <col min="11273" max="11273" width="36.5703125" style="13" bestFit="1" customWidth="1"/>
    <col min="11274" max="11274" width="20.5703125" style="13" bestFit="1" customWidth="1"/>
    <col min="11275" max="11275" width="27" style="13" bestFit="1" customWidth="1"/>
    <col min="11276" max="11277" width="36.5703125" style="13" bestFit="1" customWidth="1"/>
    <col min="11278" max="11278" width="24.28515625" style="13" bestFit="1" customWidth="1"/>
    <col min="11279" max="11279" width="17.7109375" style="13" bestFit="1" customWidth="1"/>
    <col min="11280" max="11280" width="36.5703125" style="13" bestFit="1" customWidth="1"/>
    <col min="11281" max="11281" width="22.140625" style="13" bestFit="1" customWidth="1"/>
    <col min="11282" max="11282" width="10.5703125" style="13" bestFit="1" customWidth="1"/>
    <col min="11283" max="11283" width="29.28515625" style="13" bestFit="1" customWidth="1"/>
    <col min="11284" max="11284" width="17.5703125" style="13" bestFit="1" customWidth="1"/>
    <col min="11285" max="11285" width="15.85546875" style="13" bestFit="1" customWidth="1"/>
    <col min="11286" max="11286" width="36.5703125" style="13" bestFit="1" customWidth="1"/>
    <col min="11287" max="11287" width="17.28515625" style="13" bestFit="1" customWidth="1"/>
    <col min="11288" max="11288" width="15" style="13" bestFit="1" customWidth="1"/>
    <col min="11289" max="11520" width="9.140625" style="13"/>
    <col min="11521" max="11521" width="15.85546875" style="13" bestFit="1" customWidth="1"/>
    <col min="11522" max="11522" width="9.28515625" style="13" bestFit="1" customWidth="1"/>
    <col min="11523" max="11523" width="25.140625" style="13" bestFit="1" customWidth="1"/>
    <col min="11524" max="11524" width="17.7109375" style="13" bestFit="1" customWidth="1"/>
    <col min="11525" max="11525" width="16.42578125" style="13" bestFit="1" customWidth="1"/>
    <col min="11526" max="11526" width="10" style="13" bestFit="1" customWidth="1"/>
    <col min="11527" max="11527" width="11" style="13" bestFit="1" customWidth="1"/>
    <col min="11528" max="11528" width="13.85546875" style="13" bestFit="1" customWidth="1"/>
    <col min="11529" max="11529" width="36.5703125" style="13" bestFit="1" customWidth="1"/>
    <col min="11530" max="11530" width="20.5703125" style="13" bestFit="1" customWidth="1"/>
    <col min="11531" max="11531" width="27" style="13" bestFit="1" customWidth="1"/>
    <col min="11532" max="11533" width="36.5703125" style="13" bestFit="1" customWidth="1"/>
    <col min="11534" max="11534" width="24.28515625" style="13" bestFit="1" customWidth="1"/>
    <col min="11535" max="11535" width="17.7109375" style="13" bestFit="1" customWidth="1"/>
    <col min="11536" max="11536" width="36.5703125" style="13" bestFit="1" customWidth="1"/>
    <col min="11537" max="11537" width="22.140625" style="13" bestFit="1" customWidth="1"/>
    <col min="11538" max="11538" width="10.5703125" style="13" bestFit="1" customWidth="1"/>
    <col min="11539" max="11539" width="29.28515625" style="13" bestFit="1" customWidth="1"/>
    <col min="11540" max="11540" width="17.5703125" style="13" bestFit="1" customWidth="1"/>
    <col min="11541" max="11541" width="15.85546875" style="13" bestFit="1" customWidth="1"/>
    <col min="11542" max="11542" width="36.5703125" style="13" bestFit="1" customWidth="1"/>
    <col min="11543" max="11543" width="17.28515625" style="13" bestFit="1" customWidth="1"/>
    <col min="11544" max="11544" width="15" style="13" bestFit="1" customWidth="1"/>
    <col min="11545" max="11776" width="9.140625" style="13"/>
    <col min="11777" max="11777" width="15.85546875" style="13" bestFit="1" customWidth="1"/>
    <col min="11778" max="11778" width="9.28515625" style="13" bestFit="1" customWidth="1"/>
    <col min="11779" max="11779" width="25.140625" style="13" bestFit="1" customWidth="1"/>
    <col min="11780" max="11780" width="17.7109375" style="13" bestFit="1" customWidth="1"/>
    <col min="11781" max="11781" width="16.42578125" style="13" bestFit="1" customWidth="1"/>
    <col min="11782" max="11782" width="10" style="13" bestFit="1" customWidth="1"/>
    <col min="11783" max="11783" width="11" style="13" bestFit="1" customWidth="1"/>
    <col min="11784" max="11784" width="13.85546875" style="13" bestFit="1" customWidth="1"/>
    <col min="11785" max="11785" width="36.5703125" style="13" bestFit="1" customWidth="1"/>
    <col min="11786" max="11786" width="20.5703125" style="13" bestFit="1" customWidth="1"/>
    <col min="11787" max="11787" width="27" style="13" bestFit="1" customWidth="1"/>
    <col min="11788" max="11789" width="36.5703125" style="13" bestFit="1" customWidth="1"/>
    <col min="11790" max="11790" width="24.28515625" style="13" bestFit="1" customWidth="1"/>
    <col min="11791" max="11791" width="17.7109375" style="13" bestFit="1" customWidth="1"/>
    <col min="11792" max="11792" width="36.5703125" style="13" bestFit="1" customWidth="1"/>
    <col min="11793" max="11793" width="22.140625" style="13" bestFit="1" customWidth="1"/>
    <col min="11794" max="11794" width="10.5703125" style="13" bestFit="1" customWidth="1"/>
    <col min="11795" max="11795" width="29.28515625" style="13" bestFit="1" customWidth="1"/>
    <col min="11796" max="11796" width="17.5703125" style="13" bestFit="1" customWidth="1"/>
    <col min="11797" max="11797" width="15.85546875" style="13" bestFit="1" customWidth="1"/>
    <col min="11798" max="11798" width="36.5703125" style="13" bestFit="1" customWidth="1"/>
    <col min="11799" max="11799" width="17.28515625" style="13" bestFit="1" customWidth="1"/>
    <col min="11800" max="11800" width="15" style="13" bestFit="1" customWidth="1"/>
    <col min="11801" max="12032" width="9.140625" style="13"/>
    <col min="12033" max="12033" width="15.85546875" style="13" bestFit="1" customWidth="1"/>
    <col min="12034" max="12034" width="9.28515625" style="13" bestFit="1" customWidth="1"/>
    <col min="12035" max="12035" width="25.140625" style="13" bestFit="1" customWidth="1"/>
    <col min="12036" max="12036" width="17.7109375" style="13" bestFit="1" customWidth="1"/>
    <col min="12037" max="12037" width="16.42578125" style="13" bestFit="1" customWidth="1"/>
    <col min="12038" max="12038" width="10" style="13" bestFit="1" customWidth="1"/>
    <col min="12039" max="12039" width="11" style="13" bestFit="1" customWidth="1"/>
    <col min="12040" max="12040" width="13.85546875" style="13" bestFit="1" customWidth="1"/>
    <col min="12041" max="12041" width="36.5703125" style="13" bestFit="1" customWidth="1"/>
    <col min="12042" max="12042" width="20.5703125" style="13" bestFit="1" customWidth="1"/>
    <col min="12043" max="12043" width="27" style="13" bestFit="1" customWidth="1"/>
    <col min="12044" max="12045" width="36.5703125" style="13" bestFit="1" customWidth="1"/>
    <col min="12046" max="12046" width="24.28515625" style="13" bestFit="1" customWidth="1"/>
    <col min="12047" max="12047" width="17.7109375" style="13" bestFit="1" customWidth="1"/>
    <col min="12048" max="12048" width="36.5703125" style="13" bestFit="1" customWidth="1"/>
    <col min="12049" max="12049" width="22.140625" style="13" bestFit="1" customWidth="1"/>
    <col min="12050" max="12050" width="10.5703125" style="13" bestFit="1" customWidth="1"/>
    <col min="12051" max="12051" width="29.28515625" style="13" bestFit="1" customWidth="1"/>
    <col min="12052" max="12052" width="17.5703125" style="13" bestFit="1" customWidth="1"/>
    <col min="12053" max="12053" width="15.85546875" style="13" bestFit="1" customWidth="1"/>
    <col min="12054" max="12054" width="36.5703125" style="13" bestFit="1" customWidth="1"/>
    <col min="12055" max="12055" width="17.28515625" style="13" bestFit="1" customWidth="1"/>
    <col min="12056" max="12056" width="15" style="13" bestFit="1" customWidth="1"/>
    <col min="12057" max="12288" width="9.140625" style="13"/>
    <col min="12289" max="12289" width="15.85546875" style="13" bestFit="1" customWidth="1"/>
    <col min="12290" max="12290" width="9.28515625" style="13" bestFit="1" customWidth="1"/>
    <col min="12291" max="12291" width="25.140625" style="13" bestFit="1" customWidth="1"/>
    <col min="12292" max="12292" width="17.7109375" style="13" bestFit="1" customWidth="1"/>
    <col min="12293" max="12293" width="16.42578125" style="13" bestFit="1" customWidth="1"/>
    <col min="12294" max="12294" width="10" style="13" bestFit="1" customWidth="1"/>
    <col min="12295" max="12295" width="11" style="13" bestFit="1" customWidth="1"/>
    <col min="12296" max="12296" width="13.85546875" style="13" bestFit="1" customWidth="1"/>
    <col min="12297" max="12297" width="36.5703125" style="13" bestFit="1" customWidth="1"/>
    <col min="12298" max="12298" width="20.5703125" style="13" bestFit="1" customWidth="1"/>
    <col min="12299" max="12299" width="27" style="13" bestFit="1" customWidth="1"/>
    <col min="12300" max="12301" width="36.5703125" style="13" bestFit="1" customWidth="1"/>
    <col min="12302" max="12302" width="24.28515625" style="13" bestFit="1" customWidth="1"/>
    <col min="12303" max="12303" width="17.7109375" style="13" bestFit="1" customWidth="1"/>
    <col min="12304" max="12304" width="36.5703125" style="13" bestFit="1" customWidth="1"/>
    <col min="12305" max="12305" width="22.140625" style="13" bestFit="1" customWidth="1"/>
    <col min="12306" max="12306" width="10.5703125" style="13" bestFit="1" customWidth="1"/>
    <col min="12307" max="12307" width="29.28515625" style="13" bestFit="1" customWidth="1"/>
    <col min="12308" max="12308" width="17.5703125" style="13" bestFit="1" customWidth="1"/>
    <col min="12309" max="12309" width="15.85546875" style="13" bestFit="1" customWidth="1"/>
    <col min="12310" max="12310" width="36.5703125" style="13" bestFit="1" customWidth="1"/>
    <col min="12311" max="12311" width="17.28515625" style="13" bestFit="1" customWidth="1"/>
    <col min="12312" max="12312" width="15" style="13" bestFit="1" customWidth="1"/>
    <col min="12313" max="12544" width="9.140625" style="13"/>
    <col min="12545" max="12545" width="15.85546875" style="13" bestFit="1" customWidth="1"/>
    <col min="12546" max="12546" width="9.28515625" style="13" bestFit="1" customWidth="1"/>
    <col min="12547" max="12547" width="25.140625" style="13" bestFit="1" customWidth="1"/>
    <col min="12548" max="12548" width="17.7109375" style="13" bestFit="1" customWidth="1"/>
    <col min="12549" max="12549" width="16.42578125" style="13" bestFit="1" customWidth="1"/>
    <col min="12550" max="12550" width="10" style="13" bestFit="1" customWidth="1"/>
    <col min="12551" max="12551" width="11" style="13" bestFit="1" customWidth="1"/>
    <col min="12552" max="12552" width="13.85546875" style="13" bestFit="1" customWidth="1"/>
    <col min="12553" max="12553" width="36.5703125" style="13" bestFit="1" customWidth="1"/>
    <col min="12554" max="12554" width="20.5703125" style="13" bestFit="1" customWidth="1"/>
    <col min="12555" max="12555" width="27" style="13" bestFit="1" customWidth="1"/>
    <col min="12556" max="12557" width="36.5703125" style="13" bestFit="1" customWidth="1"/>
    <col min="12558" max="12558" width="24.28515625" style="13" bestFit="1" customWidth="1"/>
    <col min="12559" max="12559" width="17.7109375" style="13" bestFit="1" customWidth="1"/>
    <col min="12560" max="12560" width="36.5703125" style="13" bestFit="1" customWidth="1"/>
    <col min="12561" max="12561" width="22.140625" style="13" bestFit="1" customWidth="1"/>
    <col min="12562" max="12562" width="10.5703125" style="13" bestFit="1" customWidth="1"/>
    <col min="12563" max="12563" width="29.28515625" style="13" bestFit="1" customWidth="1"/>
    <col min="12564" max="12564" width="17.5703125" style="13" bestFit="1" customWidth="1"/>
    <col min="12565" max="12565" width="15.85546875" style="13" bestFit="1" customWidth="1"/>
    <col min="12566" max="12566" width="36.5703125" style="13" bestFit="1" customWidth="1"/>
    <col min="12567" max="12567" width="17.28515625" style="13" bestFit="1" customWidth="1"/>
    <col min="12568" max="12568" width="15" style="13" bestFit="1" customWidth="1"/>
    <col min="12569" max="12800" width="9.140625" style="13"/>
    <col min="12801" max="12801" width="15.85546875" style="13" bestFit="1" customWidth="1"/>
    <col min="12802" max="12802" width="9.28515625" style="13" bestFit="1" customWidth="1"/>
    <col min="12803" max="12803" width="25.140625" style="13" bestFit="1" customWidth="1"/>
    <col min="12804" max="12804" width="17.7109375" style="13" bestFit="1" customWidth="1"/>
    <col min="12805" max="12805" width="16.42578125" style="13" bestFit="1" customWidth="1"/>
    <col min="12806" max="12806" width="10" style="13" bestFit="1" customWidth="1"/>
    <col min="12807" max="12807" width="11" style="13" bestFit="1" customWidth="1"/>
    <col min="12808" max="12808" width="13.85546875" style="13" bestFit="1" customWidth="1"/>
    <col min="12809" max="12809" width="36.5703125" style="13" bestFit="1" customWidth="1"/>
    <col min="12810" max="12810" width="20.5703125" style="13" bestFit="1" customWidth="1"/>
    <col min="12811" max="12811" width="27" style="13" bestFit="1" customWidth="1"/>
    <col min="12812" max="12813" width="36.5703125" style="13" bestFit="1" customWidth="1"/>
    <col min="12814" max="12814" width="24.28515625" style="13" bestFit="1" customWidth="1"/>
    <col min="12815" max="12815" width="17.7109375" style="13" bestFit="1" customWidth="1"/>
    <col min="12816" max="12816" width="36.5703125" style="13" bestFit="1" customWidth="1"/>
    <col min="12817" max="12817" width="22.140625" style="13" bestFit="1" customWidth="1"/>
    <col min="12818" max="12818" width="10.5703125" style="13" bestFit="1" customWidth="1"/>
    <col min="12819" max="12819" width="29.28515625" style="13" bestFit="1" customWidth="1"/>
    <col min="12820" max="12820" width="17.5703125" style="13" bestFit="1" customWidth="1"/>
    <col min="12821" max="12821" width="15.85546875" style="13" bestFit="1" customWidth="1"/>
    <col min="12822" max="12822" width="36.5703125" style="13" bestFit="1" customWidth="1"/>
    <col min="12823" max="12823" width="17.28515625" style="13" bestFit="1" customWidth="1"/>
    <col min="12824" max="12824" width="15" style="13" bestFit="1" customWidth="1"/>
    <col min="12825" max="13056" width="9.140625" style="13"/>
    <col min="13057" max="13057" width="15.85546875" style="13" bestFit="1" customWidth="1"/>
    <col min="13058" max="13058" width="9.28515625" style="13" bestFit="1" customWidth="1"/>
    <col min="13059" max="13059" width="25.140625" style="13" bestFit="1" customWidth="1"/>
    <col min="13060" max="13060" width="17.7109375" style="13" bestFit="1" customWidth="1"/>
    <col min="13061" max="13061" width="16.42578125" style="13" bestFit="1" customWidth="1"/>
    <col min="13062" max="13062" width="10" style="13" bestFit="1" customWidth="1"/>
    <col min="13063" max="13063" width="11" style="13" bestFit="1" customWidth="1"/>
    <col min="13064" max="13064" width="13.85546875" style="13" bestFit="1" customWidth="1"/>
    <col min="13065" max="13065" width="36.5703125" style="13" bestFit="1" customWidth="1"/>
    <col min="13066" max="13066" width="20.5703125" style="13" bestFit="1" customWidth="1"/>
    <col min="13067" max="13067" width="27" style="13" bestFit="1" customWidth="1"/>
    <col min="13068" max="13069" width="36.5703125" style="13" bestFit="1" customWidth="1"/>
    <col min="13070" max="13070" width="24.28515625" style="13" bestFit="1" customWidth="1"/>
    <col min="13071" max="13071" width="17.7109375" style="13" bestFit="1" customWidth="1"/>
    <col min="13072" max="13072" width="36.5703125" style="13" bestFit="1" customWidth="1"/>
    <col min="13073" max="13073" width="22.140625" style="13" bestFit="1" customWidth="1"/>
    <col min="13074" max="13074" width="10.5703125" style="13" bestFit="1" customWidth="1"/>
    <col min="13075" max="13075" width="29.28515625" style="13" bestFit="1" customWidth="1"/>
    <col min="13076" max="13076" width="17.5703125" style="13" bestFit="1" customWidth="1"/>
    <col min="13077" max="13077" width="15.85546875" style="13" bestFit="1" customWidth="1"/>
    <col min="13078" max="13078" width="36.5703125" style="13" bestFit="1" customWidth="1"/>
    <col min="13079" max="13079" width="17.28515625" style="13" bestFit="1" customWidth="1"/>
    <col min="13080" max="13080" width="15" style="13" bestFit="1" customWidth="1"/>
    <col min="13081" max="13312" width="9.140625" style="13"/>
    <col min="13313" max="13313" width="15.85546875" style="13" bestFit="1" customWidth="1"/>
    <col min="13314" max="13314" width="9.28515625" style="13" bestFit="1" customWidth="1"/>
    <col min="13315" max="13315" width="25.140625" style="13" bestFit="1" customWidth="1"/>
    <col min="13316" max="13316" width="17.7109375" style="13" bestFit="1" customWidth="1"/>
    <col min="13317" max="13317" width="16.42578125" style="13" bestFit="1" customWidth="1"/>
    <col min="13318" max="13318" width="10" style="13" bestFit="1" customWidth="1"/>
    <col min="13319" max="13319" width="11" style="13" bestFit="1" customWidth="1"/>
    <col min="13320" max="13320" width="13.85546875" style="13" bestFit="1" customWidth="1"/>
    <col min="13321" max="13321" width="36.5703125" style="13" bestFit="1" customWidth="1"/>
    <col min="13322" max="13322" width="20.5703125" style="13" bestFit="1" customWidth="1"/>
    <col min="13323" max="13323" width="27" style="13" bestFit="1" customWidth="1"/>
    <col min="13324" max="13325" width="36.5703125" style="13" bestFit="1" customWidth="1"/>
    <col min="13326" max="13326" width="24.28515625" style="13" bestFit="1" customWidth="1"/>
    <col min="13327" max="13327" width="17.7109375" style="13" bestFit="1" customWidth="1"/>
    <col min="13328" max="13328" width="36.5703125" style="13" bestFit="1" customWidth="1"/>
    <col min="13329" max="13329" width="22.140625" style="13" bestFit="1" customWidth="1"/>
    <col min="13330" max="13330" width="10.5703125" style="13" bestFit="1" customWidth="1"/>
    <col min="13331" max="13331" width="29.28515625" style="13" bestFit="1" customWidth="1"/>
    <col min="13332" max="13332" width="17.5703125" style="13" bestFit="1" customWidth="1"/>
    <col min="13333" max="13333" width="15.85546875" style="13" bestFit="1" customWidth="1"/>
    <col min="13334" max="13334" width="36.5703125" style="13" bestFit="1" customWidth="1"/>
    <col min="13335" max="13335" width="17.28515625" style="13" bestFit="1" customWidth="1"/>
    <col min="13336" max="13336" width="15" style="13" bestFit="1" customWidth="1"/>
    <col min="13337" max="13568" width="9.140625" style="13"/>
    <col min="13569" max="13569" width="15.85546875" style="13" bestFit="1" customWidth="1"/>
    <col min="13570" max="13570" width="9.28515625" style="13" bestFit="1" customWidth="1"/>
    <col min="13571" max="13571" width="25.140625" style="13" bestFit="1" customWidth="1"/>
    <col min="13572" max="13572" width="17.7109375" style="13" bestFit="1" customWidth="1"/>
    <col min="13573" max="13573" width="16.42578125" style="13" bestFit="1" customWidth="1"/>
    <col min="13574" max="13574" width="10" style="13" bestFit="1" customWidth="1"/>
    <col min="13575" max="13575" width="11" style="13" bestFit="1" customWidth="1"/>
    <col min="13576" max="13576" width="13.85546875" style="13" bestFit="1" customWidth="1"/>
    <col min="13577" max="13577" width="36.5703125" style="13" bestFit="1" customWidth="1"/>
    <col min="13578" max="13578" width="20.5703125" style="13" bestFit="1" customWidth="1"/>
    <col min="13579" max="13579" width="27" style="13" bestFit="1" customWidth="1"/>
    <col min="13580" max="13581" width="36.5703125" style="13" bestFit="1" customWidth="1"/>
    <col min="13582" max="13582" width="24.28515625" style="13" bestFit="1" customWidth="1"/>
    <col min="13583" max="13583" width="17.7109375" style="13" bestFit="1" customWidth="1"/>
    <col min="13584" max="13584" width="36.5703125" style="13" bestFit="1" customWidth="1"/>
    <col min="13585" max="13585" width="22.140625" style="13" bestFit="1" customWidth="1"/>
    <col min="13586" max="13586" width="10.5703125" style="13" bestFit="1" customWidth="1"/>
    <col min="13587" max="13587" width="29.28515625" style="13" bestFit="1" customWidth="1"/>
    <col min="13588" max="13588" width="17.5703125" style="13" bestFit="1" customWidth="1"/>
    <col min="13589" max="13589" width="15.85546875" style="13" bestFit="1" customWidth="1"/>
    <col min="13590" max="13590" width="36.5703125" style="13" bestFit="1" customWidth="1"/>
    <col min="13591" max="13591" width="17.28515625" style="13" bestFit="1" customWidth="1"/>
    <col min="13592" max="13592" width="15" style="13" bestFit="1" customWidth="1"/>
    <col min="13593" max="13824" width="9.140625" style="13"/>
    <col min="13825" max="13825" width="15.85546875" style="13" bestFit="1" customWidth="1"/>
    <col min="13826" max="13826" width="9.28515625" style="13" bestFit="1" customWidth="1"/>
    <col min="13827" max="13827" width="25.140625" style="13" bestFit="1" customWidth="1"/>
    <col min="13828" max="13828" width="17.7109375" style="13" bestFit="1" customWidth="1"/>
    <col min="13829" max="13829" width="16.42578125" style="13" bestFit="1" customWidth="1"/>
    <col min="13830" max="13830" width="10" style="13" bestFit="1" customWidth="1"/>
    <col min="13831" max="13831" width="11" style="13" bestFit="1" customWidth="1"/>
    <col min="13832" max="13832" width="13.85546875" style="13" bestFit="1" customWidth="1"/>
    <col min="13833" max="13833" width="36.5703125" style="13" bestFit="1" customWidth="1"/>
    <col min="13834" max="13834" width="20.5703125" style="13" bestFit="1" customWidth="1"/>
    <col min="13835" max="13835" width="27" style="13" bestFit="1" customWidth="1"/>
    <col min="13836" max="13837" width="36.5703125" style="13" bestFit="1" customWidth="1"/>
    <col min="13838" max="13838" width="24.28515625" style="13" bestFit="1" customWidth="1"/>
    <col min="13839" max="13839" width="17.7109375" style="13" bestFit="1" customWidth="1"/>
    <col min="13840" max="13840" width="36.5703125" style="13" bestFit="1" customWidth="1"/>
    <col min="13841" max="13841" width="22.140625" style="13" bestFit="1" customWidth="1"/>
    <col min="13842" max="13842" width="10.5703125" style="13" bestFit="1" customWidth="1"/>
    <col min="13843" max="13843" width="29.28515625" style="13" bestFit="1" customWidth="1"/>
    <col min="13844" max="13844" width="17.5703125" style="13" bestFit="1" customWidth="1"/>
    <col min="13845" max="13845" width="15.85546875" style="13" bestFit="1" customWidth="1"/>
    <col min="13846" max="13846" width="36.5703125" style="13" bestFit="1" customWidth="1"/>
    <col min="13847" max="13847" width="17.28515625" style="13" bestFit="1" customWidth="1"/>
    <col min="13848" max="13848" width="15" style="13" bestFit="1" customWidth="1"/>
    <col min="13849" max="14080" width="9.140625" style="13"/>
    <col min="14081" max="14081" width="15.85546875" style="13" bestFit="1" customWidth="1"/>
    <col min="14082" max="14082" width="9.28515625" style="13" bestFit="1" customWidth="1"/>
    <col min="14083" max="14083" width="25.140625" style="13" bestFit="1" customWidth="1"/>
    <col min="14084" max="14084" width="17.7109375" style="13" bestFit="1" customWidth="1"/>
    <col min="14085" max="14085" width="16.42578125" style="13" bestFit="1" customWidth="1"/>
    <col min="14086" max="14086" width="10" style="13" bestFit="1" customWidth="1"/>
    <col min="14087" max="14087" width="11" style="13" bestFit="1" customWidth="1"/>
    <col min="14088" max="14088" width="13.85546875" style="13" bestFit="1" customWidth="1"/>
    <col min="14089" max="14089" width="36.5703125" style="13" bestFit="1" customWidth="1"/>
    <col min="14090" max="14090" width="20.5703125" style="13" bestFit="1" customWidth="1"/>
    <col min="14091" max="14091" width="27" style="13" bestFit="1" customWidth="1"/>
    <col min="14092" max="14093" width="36.5703125" style="13" bestFit="1" customWidth="1"/>
    <col min="14094" max="14094" width="24.28515625" style="13" bestFit="1" customWidth="1"/>
    <col min="14095" max="14095" width="17.7109375" style="13" bestFit="1" customWidth="1"/>
    <col min="14096" max="14096" width="36.5703125" style="13" bestFit="1" customWidth="1"/>
    <col min="14097" max="14097" width="22.140625" style="13" bestFit="1" customWidth="1"/>
    <col min="14098" max="14098" width="10.5703125" style="13" bestFit="1" customWidth="1"/>
    <col min="14099" max="14099" width="29.28515625" style="13" bestFit="1" customWidth="1"/>
    <col min="14100" max="14100" width="17.5703125" style="13" bestFit="1" customWidth="1"/>
    <col min="14101" max="14101" width="15.85546875" style="13" bestFit="1" customWidth="1"/>
    <col min="14102" max="14102" width="36.5703125" style="13" bestFit="1" customWidth="1"/>
    <col min="14103" max="14103" width="17.28515625" style="13" bestFit="1" customWidth="1"/>
    <col min="14104" max="14104" width="15" style="13" bestFit="1" customWidth="1"/>
    <col min="14105" max="14336" width="9.140625" style="13"/>
    <col min="14337" max="14337" width="15.85546875" style="13" bestFit="1" customWidth="1"/>
    <col min="14338" max="14338" width="9.28515625" style="13" bestFit="1" customWidth="1"/>
    <col min="14339" max="14339" width="25.140625" style="13" bestFit="1" customWidth="1"/>
    <col min="14340" max="14340" width="17.7109375" style="13" bestFit="1" customWidth="1"/>
    <col min="14341" max="14341" width="16.42578125" style="13" bestFit="1" customWidth="1"/>
    <col min="14342" max="14342" width="10" style="13" bestFit="1" customWidth="1"/>
    <col min="14343" max="14343" width="11" style="13" bestFit="1" customWidth="1"/>
    <col min="14344" max="14344" width="13.85546875" style="13" bestFit="1" customWidth="1"/>
    <col min="14345" max="14345" width="36.5703125" style="13" bestFit="1" customWidth="1"/>
    <col min="14346" max="14346" width="20.5703125" style="13" bestFit="1" customWidth="1"/>
    <col min="14347" max="14347" width="27" style="13" bestFit="1" customWidth="1"/>
    <col min="14348" max="14349" width="36.5703125" style="13" bestFit="1" customWidth="1"/>
    <col min="14350" max="14350" width="24.28515625" style="13" bestFit="1" customWidth="1"/>
    <col min="14351" max="14351" width="17.7109375" style="13" bestFit="1" customWidth="1"/>
    <col min="14352" max="14352" width="36.5703125" style="13" bestFit="1" customWidth="1"/>
    <col min="14353" max="14353" width="22.140625" style="13" bestFit="1" customWidth="1"/>
    <col min="14354" max="14354" width="10.5703125" style="13" bestFit="1" customWidth="1"/>
    <col min="14355" max="14355" width="29.28515625" style="13" bestFit="1" customWidth="1"/>
    <col min="14356" max="14356" width="17.5703125" style="13" bestFit="1" customWidth="1"/>
    <col min="14357" max="14357" width="15.85546875" style="13" bestFit="1" customWidth="1"/>
    <col min="14358" max="14358" width="36.5703125" style="13" bestFit="1" customWidth="1"/>
    <col min="14359" max="14359" width="17.28515625" style="13" bestFit="1" customWidth="1"/>
    <col min="14360" max="14360" width="15" style="13" bestFit="1" customWidth="1"/>
    <col min="14361" max="14592" width="9.140625" style="13"/>
    <col min="14593" max="14593" width="15.85546875" style="13" bestFit="1" customWidth="1"/>
    <col min="14594" max="14594" width="9.28515625" style="13" bestFit="1" customWidth="1"/>
    <col min="14595" max="14595" width="25.140625" style="13" bestFit="1" customWidth="1"/>
    <col min="14596" max="14596" width="17.7109375" style="13" bestFit="1" customWidth="1"/>
    <col min="14597" max="14597" width="16.42578125" style="13" bestFit="1" customWidth="1"/>
    <col min="14598" max="14598" width="10" style="13" bestFit="1" customWidth="1"/>
    <col min="14599" max="14599" width="11" style="13" bestFit="1" customWidth="1"/>
    <col min="14600" max="14600" width="13.85546875" style="13" bestFit="1" customWidth="1"/>
    <col min="14601" max="14601" width="36.5703125" style="13" bestFit="1" customWidth="1"/>
    <col min="14602" max="14602" width="20.5703125" style="13" bestFit="1" customWidth="1"/>
    <col min="14603" max="14603" width="27" style="13" bestFit="1" customWidth="1"/>
    <col min="14604" max="14605" width="36.5703125" style="13" bestFit="1" customWidth="1"/>
    <col min="14606" max="14606" width="24.28515625" style="13" bestFit="1" customWidth="1"/>
    <col min="14607" max="14607" width="17.7109375" style="13" bestFit="1" customWidth="1"/>
    <col min="14608" max="14608" width="36.5703125" style="13" bestFit="1" customWidth="1"/>
    <col min="14609" max="14609" width="22.140625" style="13" bestFit="1" customWidth="1"/>
    <col min="14610" max="14610" width="10.5703125" style="13" bestFit="1" customWidth="1"/>
    <col min="14611" max="14611" width="29.28515625" style="13" bestFit="1" customWidth="1"/>
    <col min="14612" max="14612" width="17.5703125" style="13" bestFit="1" customWidth="1"/>
    <col min="14613" max="14613" width="15.85546875" style="13" bestFit="1" customWidth="1"/>
    <col min="14614" max="14614" width="36.5703125" style="13" bestFit="1" customWidth="1"/>
    <col min="14615" max="14615" width="17.28515625" style="13" bestFit="1" customWidth="1"/>
    <col min="14616" max="14616" width="15" style="13" bestFit="1" customWidth="1"/>
    <col min="14617" max="14848" width="9.140625" style="13"/>
    <col min="14849" max="14849" width="15.85546875" style="13" bestFit="1" customWidth="1"/>
    <col min="14850" max="14850" width="9.28515625" style="13" bestFit="1" customWidth="1"/>
    <col min="14851" max="14851" width="25.140625" style="13" bestFit="1" customWidth="1"/>
    <col min="14852" max="14852" width="17.7109375" style="13" bestFit="1" customWidth="1"/>
    <col min="14853" max="14853" width="16.42578125" style="13" bestFit="1" customWidth="1"/>
    <col min="14854" max="14854" width="10" style="13" bestFit="1" customWidth="1"/>
    <col min="14855" max="14855" width="11" style="13" bestFit="1" customWidth="1"/>
    <col min="14856" max="14856" width="13.85546875" style="13" bestFit="1" customWidth="1"/>
    <col min="14857" max="14857" width="36.5703125" style="13" bestFit="1" customWidth="1"/>
    <col min="14858" max="14858" width="20.5703125" style="13" bestFit="1" customWidth="1"/>
    <col min="14859" max="14859" width="27" style="13" bestFit="1" customWidth="1"/>
    <col min="14860" max="14861" width="36.5703125" style="13" bestFit="1" customWidth="1"/>
    <col min="14862" max="14862" width="24.28515625" style="13" bestFit="1" customWidth="1"/>
    <col min="14863" max="14863" width="17.7109375" style="13" bestFit="1" customWidth="1"/>
    <col min="14864" max="14864" width="36.5703125" style="13" bestFit="1" customWidth="1"/>
    <col min="14865" max="14865" width="22.140625" style="13" bestFit="1" customWidth="1"/>
    <col min="14866" max="14866" width="10.5703125" style="13" bestFit="1" customWidth="1"/>
    <col min="14867" max="14867" width="29.28515625" style="13" bestFit="1" customWidth="1"/>
    <col min="14868" max="14868" width="17.5703125" style="13" bestFit="1" customWidth="1"/>
    <col min="14869" max="14869" width="15.85546875" style="13" bestFit="1" customWidth="1"/>
    <col min="14870" max="14870" width="36.5703125" style="13" bestFit="1" customWidth="1"/>
    <col min="14871" max="14871" width="17.28515625" style="13" bestFit="1" customWidth="1"/>
    <col min="14872" max="14872" width="15" style="13" bestFit="1" customWidth="1"/>
    <col min="14873" max="15104" width="9.140625" style="13"/>
    <col min="15105" max="15105" width="15.85546875" style="13" bestFit="1" customWidth="1"/>
    <col min="15106" max="15106" width="9.28515625" style="13" bestFit="1" customWidth="1"/>
    <col min="15107" max="15107" width="25.140625" style="13" bestFit="1" customWidth="1"/>
    <col min="15108" max="15108" width="17.7109375" style="13" bestFit="1" customWidth="1"/>
    <col min="15109" max="15109" width="16.42578125" style="13" bestFit="1" customWidth="1"/>
    <col min="15110" max="15110" width="10" style="13" bestFit="1" customWidth="1"/>
    <col min="15111" max="15111" width="11" style="13" bestFit="1" customWidth="1"/>
    <col min="15112" max="15112" width="13.85546875" style="13" bestFit="1" customWidth="1"/>
    <col min="15113" max="15113" width="36.5703125" style="13" bestFit="1" customWidth="1"/>
    <col min="15114" max="15114" width="20.5703125" style="13" bestFit="1" customWidth="1"/>
    <col min="15115" max="15115" width="27" style="13" bestFit="1" customWidth="1"/>
    <col min="15116" max="15117" width="36.5703125" style="13" bestFit="1" customWidth="1"/>
    <col min="15118" max="15118" width="24.28515625" style="13" bestFit="1" customWidth="1"/>
    <col min="15119" max="15119" width="17.7109375" style="13" bestFit="1" customWidth="1"/>
    <col min="15120" max="15120" width="36.5703125" style="13" bestFit="1" customWidth="1"/>
    <col min="15121" max="15121" width="22.140625" style="13" bestFit="1" customWidth="1"/>
    <col min="15122" max="15122" width="10.5703125" style="13" bestFit="1" customWidth="1"/>
    <col min="15123" max="15123" width="29.28515625" style="13" bestFit="1" customWidth="1"/>
    <col min="15124" max="15124" width="17.5703125" style="13" bestFit="1" customWidth="1"/>
    <col min="15125" max="15125" width="15.85546875" style="13" bestFit="1" customWidth="1"/>
    <col min="15126" max="15126" width="36.5703125" style="13" bestFit="1" customWidth="1"/>
    <col min="15127" max="15127" width="17.28515625" style="13" bestFit="1" customWidth="1"/>
    <col min="15128" max="15128" width="15" style="13" bestFit="1" customWidth="1"/>
    <col min="15129" max="15360" width="9.140625" style="13"/>
    <col min="15361" max="15361" width="15.85546875" style="13" bestFit="1" customWidth="1"/>
    <col min="15362" max="15362" width="9.28515625" style="13" bestFit="1" customWidth="1"/>
    <col min="15363" max="15363" width="25.140625" style="13" bestFit="1" customWidth="1"/>
    <col min="15364" max="15364" width="17.7109375" style="13" bestFit="1" customWidth="1"/>
    <col min="15365" max="15365" width="16.42578125" style="13" bestFit="1" customWidth="1"/>
    <col min="15366" max="15366" width="10" style="13" bestFit="1" customWidth="1"/>
    <col min="15367" max="15367" width="11" style="13" bestFit="1" customWidth="1"/>
    <col min="15368" max="15368" width="13.85546875" style="13" bestFit="1" customWidth="1"/>
    <col min="15369" max="15369" width="36.5703125" style="13" bestFit="1" customWidth="1"/>
    <col min="15370" max="15370" width="20.5703125" style="13" bestFit="1" customWidth="1"/>
    <col min="15371" max="15371" width="27" style="13" bestFit="1" customWidth="1"/>
    <col min="15372" max="15373" width="36.5703125" style="13" bestFit="1" customWidth="1"/>
    <col min="15374" max="15374" width="24.28515625" style="13" bestFit="1" customWidth="1"/>
    <col min="15375" max="15375" width="17.7109375" style="13" bestFit="1" customWidth="1"/>
    <col min="15376" max="15376" width="36.5703125" style="13" bestFit="1" customWidth="1"/>
    <col min="15377" max="15377" width="22.140625" style="13" bestFit="1" customWidth="1"/>
    <col min="15378" max="15378" width="10.5703125" style="13" bestFit="1" customWidth="1"/>
    <col min="15379" max="15379" width="29.28515625" style="13" bestFit="1" customWidth="1"/>
    <col min="15380" max="15380" width="17.5703125" style="13" bestFit="1" customWidth="1"/>
    <col min="15381" max="15381" width="15.85546875" style="13" bestFit="1" customWidth="1"/>
    <col min="15382" max="15382" width="36.5703125" style="13" bestFit="1" customWidth="1"/>
    <col min="15383" max="15383" width="17.28515625" style="13" bestFit="1" customWidth="1"/>
    <col min="15384" max="15384" width="15" style="13" bestFit="1" customWidth="1"/>
    <col min="15385" max="15616" width="9.140625" style="13"/>
    <col min="15617" max="15617" width="15.85546875" style="13" bestFit="1" customWidth="1"/>
    <col min="15618" max="15618" width="9.28515625" style="13" bestFit="1" customWidth="1"/>
    <col min="15619" max="15619" width="25.140625" style="13" bestFit="1" customWidth="1"/>
    <col min="15620" max="15620" width="17.7109375" style="13" bestFit="1" customWidth="1"/>
    <col min="15621" max="15621" width="16.42578125" style="13" bestFit="1" customWidth="1"/>
    <col min="15622" max="15622" width="10" style="13" bestFit="1" customWidth="1"/>
    <col min="15623" max="15623" width="11" style="13" bestFit="1" customWidth="1"/>
    <col min="15624" max="15624" width="13.85546875" style="13" bestFit="1" customWidth="1"/>
    <col min="15625" max="15625" width="36.5703125" style="13" bestFit="1" customWidth="1"/>
    <col min="15626" max="15626" width="20.5703125" style="13" bestFit="1" customWidth="1"/>
    <col min="15627" max="15627" width="27" style="13" bestFit="1" customWidth="1"/>
    <col min="15628" max="15629" width="36.5703125" style="13" bestFit="1" customWidth="1"/>
    <col min="15630" max="15630" width="24.28515625" style="13" bestFit="1" customWidth="1"/>
    <col min="15631" max="15631" width="17.7109375" style="13" bestFit="1" customWidth="1"/>
    <col min="15632" max="15632" width="36.5703125" style="13" bestFit="1" customWidth="1"/>
    <col min="15633" max="15633" width="22.140625" style="13" bestFit="1" customWidth="1"/>
    <col min="15634" max="15634" width="10.5703125" style="13" bestFit="1" customWidth="1"/>
    <col min="15635" max="15635" width="29.28515625" style="13" bestFit="1" customWidth="1"/>
    <col min="15636" max="15636" width="17.5703125" style="13" bestFit="1" customWidth="1"/>
    <col min="15637" max="15637" width="15.85546875" style="13" bestFit="1" customWidth="1"/>
    <col min="15638" max="15638" width="36.5703125" style="13" bestFit="1" customWidth="1"/>
    <col min="15639" max="15639" width="17.28515625" style="13" bestFit="1" customWidth="1"/>
    <col min="15640" max="15640" width="15" style="13" bestFit="1" customWidth="1"/>
    <col min="15641" max="15872" width="9.140625" style="13"/>
    <col min="15873" max="15873" width="15.85546875" style="13" bestFit="1" customWidth="1"/>
    <col min="15874" max="15874" width="9.28515625" style="13" bestFit="1" customWidth="1"/>
    <col min="15875" max="15875" width="25.140625" style="13" bestFit="1" customWidth="1"/>
    <col min="15876" max="15876" width="17.7109375" style="13" bestFit="1" customWidth="1"/>
    <col min="15877" max="15877" width="16.42578125" style="13" bestFit="1" customWidth="1"/>
    <col min="15878" max="15878" width="10" style="13" bestFit="1" customWidth="1"/>
    <col min="15879" max="15879" width="11" style="13" bestFit="1" customWidth="1"/>
    <col min="15880" max="15880" width="13.85546875" style="13" bestFit="1" customWidth="1"/>
    <col min="15881" max="15881" width="36.5703125" style="13" bestFit="1" customWidth="1"/>
    <col min="15882" max="15882" width="20.5703125" style="13" bestFit="1" customWidth="1"/>
    <col min="15883" max="15883" width="27" style="13" bestFit="1" customWidth="1"/>
    <col min="15884" max="15885" width="36.5703125" style="13" bestFit="1" customWidth="1"/>
    <col min="15886" max="15886" width="24.28515625" style="13" bestFit="1" customWidth="1"/>
    <col min="15887" max="15887" width="17.7109375" style="13" bestFit="1" customWidth="1"/>
    <col min="15888" max="15888" width="36.5703125" style="13" bestFit="1" customWidth="1"/>
    <col min="15889" max="15889" width="22.140625" style="13" bestFit="1" customWidth="1"/>
    <col min="15890" max="15890" width="10.5703125" style="13" bestFit="1" customWidth="1"/>
    <col min="15891" max="15891" width="29.28515625" style="13" bestFit="1" customWidth="1"/>
    <col min="15892" max="15892" width="17.5703125" style="13" bestFit="1" customWidth="1"/>
    <col min="15893" max="15893" width="15.85546875" style="13" bestFit="1" customWidth="1"/>
    <col min="15894" max="15894" width="36.5703125" style="13" bestFit="1" customWidth="1"/>
    <col min="15895" max="15895" width="17.28515625" style="13" bestFit="1" customWidth="1"/>
    <col min="15896" max="15896" width="15" style="13" bestFit="1" customWidth="1"/>
    <col min="15897" max="16128" width="9.140625" style="13"/>
    <col min="16129" max="16129" width="15.85546875" style="13" bestFit="1" customWidth="1"/>
    <col min="16130" max="16130" width="9.28515625" style="13" bestFit="1" customWidth="1"/>
    <col min="16131" max="16131" width="25.140625" style="13" bestFit="1" customWidth="1"/>
    <col min="16132" max="16132" width="17.7109375" style="13" bestFit="1" customWidth="1"/>
    <col min="16133" max="16133" width="16.42578125" style="13" bestFit="1" customWidth="1"/>
    <col min="16134" max="16134" width="10" style="13" bestFit="1" customWidth="1"/>
    <col min="16135" max="16135" width="11" style="13" bestFit="1" customWidth="1"/>
    <col min="16136" max="16136" width="13.85546875" style="13" bestFit="1" customWidth="1"/>
    <col min="16137" max="16137" width="36.5703125" style="13" bestFit="1" customWidth="1"/>
    <col min="16138" max="16138" width="20.5703125" style="13" bestFit="1" customWidth="1"/>
    <col min="16139" max="16139" width="27" style="13" bestFit="1" customWidth="1"/>
    <col min="16140" max="16141" width="36.5703125" style="13" bestFit="1" customWidth="1"/>
    <col min="16142" max="16142" width="24.28515625" style="13" bestFit="1" customWidth="1"/>
    <col min="16143" max="16143" width="17.7109375" style="13" bestFit="1" customWidth="1"/>
    <col min="16144" max="16144" width="36.5703125" style="13" bestFit="1" customWidth="1"/>
    <col min="16145" max="16145" width="22.140625" style="13" bestFit="1" customWidth="1"/>
    <col min="16146" max="16146" width="10.5703125" style="13" bestFit="1" customWidth="1"/>
    <col min="16147" max="16147" width="29.28515625" style="13" bestFit="1" customWidth="1"/>
    <col min="16148" max="16148" width="17.5703125" style="13" bestFit="1" customWidth="1"/>
    <col min="16149" max="16149" width="15.85546875" style="13" bestFit="1" customWidth="1"/>
    <col min="16150" max="16150" width="36.5703125" style="13" bestFit="1" customWidth="1"/>
    <col min="16151" max="16151" width="17.28515625" style="13" bestFit="1" customWidth="1"/>
    <col min="16152" max="16152" width="15" style="13" bestFit="1" customWidth="1"/>
    <col min="16153" max="16384" width="9.140625" style="13"/>
  </cols>
  <sheetData>
    <row r="1" spans="1:25">
      <c r="A1" s="17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7" t="s">
        <v>56</v>
      </c>
      <c r="T1" s="17" t="s">
        <v>57</v>
      </c>
      <c r="U1" s="17" t="s">
        <v>58</v>
      </c>
      <c r="V1" s="17" t="s">
        <v>59</v>
      </c>
      <c r="W1" s="17" t="s">
        <v>60</v>
      </c>
      <c r="X1" s="17" t="s">
        <v>61</v>
      </c>
      <c r="Y1" s="17" t="s">
        <v>465</v>
      </c>
    </row>
    <row r="2" spans="1:25" s="21" customFormat="1" hidden="1">
      <c r="A2" s="18">
        <v>46066.423634259256</v>
      </c>
      <c r="B2" s="19">
        <v>555555</v>
      </c>
      <c r="C2" s="20" t="s">
        <v>89</v>
      </c>
      <c r="D2" s="19">
        <v>555555</v>
      </c>
      <c r="E2" s="19"/>
      <c r="F2" s="20" t="s">
        <v>62</v>
      </c>
      <c r="G2" s="19">
        <v>9999999</v>
      </c>
      <c r="H2" s="20">
        <v>47380171000157</v>
      </c>
      <c r="I2" s="20" t="s">
        <v>63</v>
      </c>
      <c r="J2" s="19"/>
      <c r="K2" s="20" t="s">
        <v>64</v>
      </c>
      <c r="L2" s="20" t="s">
        <v>65</v>
      </c>
      <c r="M2" s="20" t="s">
        <v>66</v>
      </c>
      <c r="N2" s="20" t="s">
        <v>67</v>
      </c>
      <c r="O2" s="19">
        <v>3000</v>
      </c>
      <c r="P2" s="19" t="s">
        <v>451</v>
      </c>
      <c r="Q2" s="19">
        <v>3</v>
      </c>
      <c r="R2" s="19"/>
      <c r="S2" s="19" t="s">
        <v>76</v>
      </c>
      <c r="T2" s="19">
        <v>2.5</v>
      </c>
      <c r="U2" s="18">
        <v>46069.291666666664</v>
      </c>
      <c r="V2" s="20" t="s">
        <v>71</v>
      </c>
      <c r="W2" s="20">
        <v>0</v>
      </c>
      <c r="X2" s="20">
        <v>28000</v>
      </c>
      <c r="Y2" s="21" t="s">
        <v>545</v>
      </c>
    </row>
    <row r="3" spans="1:25" s="21" customFormat="1" hidden="1">
      <c r="A3" s="18">
        <v>46066.423634259256</v>
      </c>
      <c r="B3" s="19">
        <v>555555</v>
      </c>
      <c r="C3" s="20" t="s">
        <v>89</v>
      </c>
      <c r="D3" s="19">
        <v>555555</v>
      </c>
      <c r="E3" s="18">
        <v>46065.547592592593</v>
      </c>
      <c r="F3" s="20" t="s">
        <v>62</v>
      </c>
      <c r="G3" s="19">
        <v>9999999</v>
      </c>
      <c r="H3" s="20">
        <v>47380171000157</v>
      </c>
      <c r="I3" s="20" t="s">
        <v>63</v>
      </c>
      <c r="J3" s="19"/>
      <c r="K3" s="20" t="s">
        <v>64</v>
      </c>
      <c r="L3" s="20" t="s">
        <v>65</v>
      </c>
      <c r="M3" s="20" t="s">
        <v>66</v>
      </c>
      <c r="N3" s="20" t="s">
        <v>67</v>
      </c>
      <c r="O3" s="20">
        <v>2000</v>
      </c>
      <c r="P3" s="20" t="s">
        <v>450</v>
      </c>
      <c r="Q3" s="19">
        <v>10</v>
      </c>
      <c r="R3" s="19"/>
      <c r="S3" s="20" t="s">
        <v>76</v>
      </c>
      <c r="T3" s="19">
        <v>3.2</v>
      </c>
      <c r="U3" s="18">
        <v>46069.291666666664</v>
      </c>
      <c r="V3" s="20" t="s">
        <v>71</v>
      </c>
      <c r="W3" s="20">
        <v>0</v>
      </c>
      <c r="X3" s="20">
        <v>28000</v>
      </c>
      <c r="Y3" s="21" t="s">
        <v>545</v>
      </c>
    </row>
    <row r="4" spans="1:25" hidden="1">
      <c r="A4" s="62">
        <v>46071.486967592595</v>
      </c>
      <c r="B4" s="63">
        <v>641160</v>
      </c>
      <c r="C4" s="63" t="s">
        <v>179</v>
      </c>
      <c r="D4" s="63">
        <v>18711426</v>
      </c>
      <c r="E4" s="62">
        <v>46071.609016203707</v>
      </c>
      <c r="F4" s="63" t="s">
        <v>82</v>
      </c>
      <c r="G4" s="63">
        <v>1722430201</v>
      </c>
      <c r="H4" s="63">
        <v>26563652080059</v>
      </c>
      <c r="I4" s="63" t="s">
        <v>2442</v>
      </c>
      <c r="J4" s="63" t="s">
        <v>159</v>
      </c>
      <c r="K4" s="63" t="s">
        <v>64</v>
      </c>
      <c r="L4" s="63" t="s">
        <v>2443</v>
      </c>
      <c r="M4" s="63" t="s">
        <v>2444</v>
      </c>
      <c r="N4" s="63" t="s">
        <v>84</v>
      </c>
      <c r="O4" s="63" t="s">
        <v>68</v>
      </c>
      <c r="P4" s="63" t="s">
        <v>69</v>
      </c>
      <c r="Q4" s="63">
        <v>40</v>
      </c>
      <c r="R4" s="63">
        <v>0</v>
      </c>
      <c r="S4" s="63" t="s">
        <v>70</v>
      </c>
      <c r="T4" s="63">
        <v>0</v>
      </c>
      <c r="U4" s="62">
        <v>46071.416666666664</v>
      </c>
      <c r="V4" s="63" t="s">
        <v>86</v>
      </c>
      <c r="W4" s="63">
        <v>0</v>
      </c>
      <c r="X4" s="63">
        <v>4000</v>
      </c>
      <c r="Y4" s="63" t="s">
        <v>2193</v>
      </c>
    </row>
    <row r="5" spans="1:25" hidden="1">
      <c r="A5" s="62">
        <v>46071.486967592595</v>
      </c>
      <c r="B5" s="63">
        <v>641160</v>
      </c>
      <c r="C5" s="63" t="s">
        <v>179</v>
      </c>
      <c r="D5" s="63">
        <v>18711426</v>
      </c>
      <c r="E5" s="62">
        <v>46071.609016203707</v>
      </c>
      <c r="F5" s="63" t="s">
        <v>82</v>
      </c>
      <c r="G5" s="63">
        <v>1722430201</v>
      </c>
      <c r="H5" s="63">
        <v>26563652080059</v>
      </c>
      <c r="I5" s="63" t="s">
        <v>2442</v>
      </c>
      <c r="J5" s="63" t="s">
        <v>159</v>
      </c>
      <c r="K5" s="63" t="s">
        <v>64</v>
      </c>
      <c r="L5" s="63" t="s">
        <v>2443</v>
      </c>
      <c r="M5" s="63" t="s">
        <v>2444</v>
      </c>
      <c r="N5" s="63" t="s">
        <v>84</v>
      </c>
      <c r="O5" s="63" t="s">
        <v>119</v>
      </c>
      <c r="P5" s="63" t="s">
        <v>120</v>
      </c>
      <c r="Q5" s="63">
        <v>1</v>
      </c>
      <c r="R5" s="63">
        <v>0</v>
      </c>
      <c r="S5" s="63" t="s">
        <v>76</v>
      </c>
      <c r="T5" s="63">
        <v>0</v>
      </c>
      <c r="U5" s="62">
        <v>46071.416666666664</v>
      </c>
      <c r="V5" s="63" t="s">
        <v>86</v>
      </c>
      <c r="W5" s="63">
        <v>0</v>
      </c>
      <c r="X5" s="63">
        <v>4000</v>
      </c>
      <c r="Y5" s="63" t="s">
        <v>2193</v>
      </c>
    </row>
    <row r="6" spans="1:25" hidden="1">
      <c r="A6" s="62">
        <v>46071.738599537035</v>
      </c>
      <c r="B6" s="63">
        <v>641511</v>
      </c>
      <c r="C6" s="63" t="s">
        <v>2201</v>
      </c>
      <c r="D6" s="63"/>
      <c r="E6" s="62">
        <v>46070.856689814813</v>
      </c>
      <c r="F6" s="63" t="s">
        <v>240</v>
      </c>
      <c r="G6" s="63">
        <v>1714870201</v>
      </c>
      <c r="H6" s="63">
        <v>26563652046705</v>
      </c>
      <c r="I6" s="63" t="s">
        <v>2206</v>
      </c>
      <c r="J6" s="63" t="s">
        <v>159</v>
      </c>
      <c r="K6" s="63" t="s">
        <v>64</v>
      </c>
      <c r="L6" s="63" t="s">
        <v>2207</v>
      </c>
      <c r="M6" s="63" t="s">
        <v>160</v>
      </c>
      <c r="N6" s="63" t="s">
        <v>2204</v>
      </c>
      <c r="O6" s="63" t="s">
        <v>68</v>
      </c>
      <c r="P6" s="63" t="s">
        <v>69</v>
      </c>
      <c r="Q6" s="63">
        <v>7</v>
      </c>
      <c r="R6" s="63">
        <v>10</v>
      </c>
      <c r="S6" s="63" t="s">
        <v>70</v>
      </c>
      <c r="T6" s="63">
        <v>57.335999999999999</v>
      </c>
      <c r="U6" s="62">
        <v>46072.291666666664</v>
      </c>
      <c r="V6" s="63" t="s">
        <v>86</v>
      </c>
      <c r="W6" s="63">
        <v>717.31</v>
      </c>
      <c r="X6" s="63">
        <v>4000</v>
      </c>
      <c r="Y6" s="63" t="s">
        <v>503</v>
      </c>
    </row>
    <row r="7" spans="1:25" hidden="1">
      <c r="A7" s="62">
        <v>46071.738599537035</v>
      </c>
      <c r="B7" s="63">
        <v>641511</v>
      </c>
      <c r="C7" s="63" t="s">
        <v>2201</v>
      </c>
      <c r="D7" s="63"/>
      <c r="E7" s="62">
        <v>46070.856689814813</v>
      </c>
      <c r="F7" s="63" t="s">
        <v>240</v>
      </c>
      <c r="G7" s="63">
        <v>1714870201</v>
      </c>
      <c r="H7" s="63">
        <v>26563652046705</v>
      </c>
      <c r="I7" s="63" t="s">
        <v>2206</v>
      </c>
      <c r="J7" s="63" t="s">
        <v>159</v>
      </c>
      <c r="K7" s="63" t="s">
        <v>64</v>
      </c>
      <c r="L7" s="63" t="s">
        <v>2207</v>
      </c>
      <c r="M7" s="63" t="s">
        <v>160</v>
      </c>
      <c r="N7" s="63" t="s">
        <v>2204</v>
      </c>
      <c r="O7" s="63" t="s">
        <v>72</v>
      </c>
      <c r="P7" s="63" t="s">
        <v>73</v>
      </c>
      <c r="Q7" s="63">
        <v>1</v>
      </c>
      <c r="R7" s="63">
        <v>10</v>
      </c>
      <c r="S7" s="63" t="s">
        <v>70</v>
      </c>
      <c r="T7" s="63">
        <v>57.335999999999999</v>
      </c>
      <c r="U7" s="62">
        <v>46072.291666666664</v>
      </c>
      <c r="V7" s="63" t="s">
        <v>86</v>
      </c>
      <c r="W7" s="63">
        <v>717.31</v>
      </c>
      <c r="X7" s="63">
        <v>4000</v>
      </c>
      <c r="Y7" s="63" t="s">
        <v>503</v>
      </c>
    </row>
    <row r="8" spans="1:25" hidden="1">
      <c r="A8" s="62">
        <v>46071.738599537035</v>
      </c>
      <c r="B8" s="63">
        <v>641511</v>
      </c>
      <c r="C8" s="63" t="s">
        <v>2201</v>
      </c>
      <c r="D8" s="63"/>
      <c r="E8" s="62">
        <v>46070.856689814813</v>
      </c>
      <c r="F8" s="63" t="s">
        <v>240</v>
      </c>
      <c r="G8" s="63">
        <v>1714870201</v>
      </c>
      <c r="H8" s="63">
        <v>26563652046705</v>
      </c>
      <c r="I8" s="63" t="s">
        <v>2206</v>
      </c>
      <c r="J8" s="63" t="s">
        <v>159</v>
      </c>
      <c r="K8" s="63" t="s">
        <v>64</v>
      </c>
      <c r="L8" s="63" t="s">
        <v>2207</v>
      </c>
      <c r="M8" s="63" t="s">
        <v>160</v>
      </c>
      <c r="N8" s="63" t="s">
        <v>2204</v>
      </c>
      <c r="O8" s="63" t="s">
        <v>74</v>
      </c>
      <c r="P8" s="63" t="s">
        <v>75</v>
      </c>
      <c r="Q8" s="63">
        <v>1</v>
      </c>
      <c r="R8" s="63">
        <v>10</v>
      </c>
      <c r="S8" s="63" t="s">
        <v>76</v>
      </c>
      <c r="T8" s="63">
        <v>57.335999999999999</v>
      </c>
      <c r="U8" s="62">
        <v>46072.291666666664</v>
      </c>
      <c r="V8" s="63" t="s">
        <v>86</v>
      </c>
      <c r="W8" s="63">
        <v>717.31</v>
      </c>
      <c r="X8" s="63">
        <v>4000</v>
      </c>
      <c r="Y8" s="63" t="s">
        <v>503</v>
      </c>
    </row>
    <row r="9" spans="1:25" hidden="1">
      <c r="A9" s="62">
        <v>46071.738599537035</v>
      </c>
      <c r="B9" s="63">
        <v>641511</v>
      </c>
      <c r="C9" s="63" t="s">
        <v>2201</v>
      </c>
      <c r="D9" s="63"/>
      <c r="E9" s="62">
        <v>46070.856689814813</v>
      </c>
      <c r="F9" s="63" t="s">
        <v>240</v>
      </c>
      <c r="G9" s="63">
        <v>1714870201</v>
      </c>
      <c r="H9" s="63">
        <v>26563652046705</v>
      </c>
      <c r="I9" s="63" t="s">
        <v>2206</v>
      </c>
      <c r="J9" s="63" t="s">
        <v>159</v>
      </c>
      <c r="K9" s="63" t="s">
        <v>64</v>
      </c>
      <c r="L9" s="63" t="s">
        <v>2207</v>
      </c>
      <c r="M9" s="63" t="s">
        <v>160</v>
      </c>
      <c r="N9" s="63" t="s">
        <v>2204</v>
      </c>
      <c r="O9" s="63" t="s">
        <v>163</v>
      </c>
      <c r="P9" s="63" t="s">
        <v>164</v>
      </c>
      <c r="Q9" s="63">
        <v>1</v>
      </c>
      <c r="R9" s="63">
        <v>10</v>
      </c>
      <c r="S9" s="63" t="s">
        <v>76</v>
      </c>
      <c r="T9" s="63">
        <v>57.335999999999999</v>
      </c>
      <c r="U9" s="62">
        <v>46072.291666666664</v>
      </c>
      <c r="V9" s="63" t="s">
        <v>86</v>
      </c>
      <c r="W9" s="63">
        <v>717.31</v>
      </c>
      <c r="X9" s="63">
        <v>4000</v>
      </c>
      <c r="Y9" s="63" t="s">
        <v>503</v>
      </c>
    </row>
    <row r="10" spans="1:25" hidden="1">
      <c r="A10" s="62">
        <v>46071.738599537035</v>
      </c>
      <c r="B10" s="63">
        <v>641511</v>
      </c>
      <c r="C10" s="63" t="s">
        <v>2201</v>
      </c>
      <c r="D10" s="63"/>
      <c r="E10" s="62">
        <v>46072.772928240738</v>
      </c>
      <c r="F10" s="63" t="s">
        <v>240</v>
      </c>
      <c r="G10" s="63">
        <v>1725780201</v>
      </c>
      <c r="H10" s="63">
        <v>26563652029703</v>
      </c>
      <c r="I10" s="63" t="s">
        <v>2208</v>
      </c>
      <c r="J10" s="63" t="s">
        <v>159</v>
      </c>
      <c r="K10" s="63" t="s">
        <v>64</v>
      </c>
      <c r="L10" s="63" t="s">
        <v>2209</v>
      </c>
      <c r="M10" s="63" t="s">
        <v>2210</v>
      </c>
      <c r="N10" s="63" t="s">
        <v>2204</v>
      </c>
      <c r="O10" s="63" t="s">
        <v>68</v>
      </c>
      <c r="P10" s="63" t="s">
        <v>69</v>
      </c>
      <c r="Q10" s="63">
        <v>14</v>
      </c>
      <c r="R10" s="63">
        <v>0</v>
      </c>
      <c r="S10" s="63" t="s">
        <v>70</v>
      </c>
      <c r="T10" s="63">
        <v>70.251999999999995</v>
      </c>
      <c r="U10" s="62">
        <v>46072.291666666664</v>
      </c>
      <c r="V10" s="63" t="s">
        <v>86</v>
      </c>
      <c r="W10" s="63">
        <v>478.66</v>
      </c>
      <c r="X10" s="63">
        <v>4000</v>
      </c>
      <c r="Y10" s="63" t="s">
        <v>503</v>
      </c>
    </row>
    <row r="11" spans="1:25" hidden="1">
      <c r="A11" s="62">
        <v>46071.738599537035</v>
      </c>
      <c r="B11" s="63">
        <v>641511</v>
      </c>
      <c r="C11" s="63" t="s">
        <v>2201</v>
      </c>
      <c r="D11" s="63"/>
      <c r="E11" s="62">
        <v>46072.772939814815</v>
      </c>
      <c r="F11" s="63" t="s">
        <v>240</v>
      </c>
      <c r="G11" s="63">
        <v>1723350201</v>
      </c>
      <c r="H11" s="63">
        <v>26563652040006</v>
      </c>
      <c r="I11" s="63" t="s">
        <v>257</v>
      </c>
      <c r="J11" s="63" t="s">
        <v>159</v>
      </c>
      <c r="K11" s="63" t="s">
        <v>64</v>
      </c>
      <c r="L11" s="63" t="s">
        <v>258</v>
      </c>
      <c r="M11" s="63" t="s">
        <v>259</v>
      </c>
      <c r="N11" s="63" t="s">
        <v>84</v>
      </c>
      <c r="O11" s="63" t="s">
        <v>68</v>
      </c>
      <c r="P11" s="63" t="s">
        <v>69</v>
      </c>
      <c r="Q11" s="63">
        <v>9</v>
      </c>
      <c r="R11" s="63">
        <v>0</v>
      </c>
      <c r="S11" s="63" t="s">
        <v>70</v>
      </c>
      <c r="T11" s="63">
        <v>50.161999999999999</v>
      </c>
      <c r="U11" s="62">
        <v>46072.291666666664</v>
      </c>
      <c r="V11" s="63" t="s">
        <v>86</v>
      </c>
      <c r="W11" s="63">
        <v>356.72</v>
      </c>
      <c r="X11" s="63">
        <v>4000</v>
      </c>
      <c r="Y11" s="63" t="s">
        <v>503</v>
      </c>
    </row>
    <row r="12" spans="1:25" hidden="1">
      <c r="A12" s="62">
        <v>46071.738599537035</v>
      </c>
      <c r="B12" s="63">
        <v>641511</v>
      </c>
      <c r="C12" s="63" t="s">
        <v>2201</v>
      </c>
      <c r="D12" s="63"/>
      <c r="E12" s="62">
        <v>46072.772939814815</v>
      </c>
      <c r="F12" s="63" t="s">
        <v>240</v>
      </c>
      <c r="G12" s="63">
        <v>1723350201</v>
      </c>
      <c r="H12" s="63">
        <v>26563652040006</v>
      </c>
      <c r="I12" s="63" t="s">
        <v>257</v>
      </c>
      <c r="J12" s="63" t="s">
        <v>159</v>
      </c>
      <c r="K12" s="63" t="s">
        <v>64</v>
      </c>
      <c r="L12" s="63" t="s">
        <v>258</v>
      </c>
      <c r="M12" s="63" t="s">
        <v>259</v>
      </c>
      <c r="N12" s="63" t="s">
        <v>84</v>
      </c>
      <c r="O12" s="63" t="s">
        <v>72</v>
      </c>
      <c r="P12" s="63" t="s">
        <v>73</v>
      </c>
      <c r="Q12" s="63">
        <v>1</v>
      </c>
      <c r="R12" s="63">
        <v>0</v>
      </c>
      <c r="S12" s="63" t="s">
        <v>70</v>
      </c>
      <c r="T12" s="63">
        <v>50.161999999999999</v>
      </c>
      <c r="U12" s="62">
        <v>46072.291666666664</v>
      </c>
      <c r="V12" s="63" t="s">
        <v>86</v>
      </c>
      <c r="W12" s="63">
        <v>356.72</v>
      </c>
      <c r="X12" s="63">
        <v>4000</v>
      </c>
      <c r="Y12" s="63" t="s">
        <v>503</v>
      </c>
    </row>
    <row r="13" spans="1:25" hidden="1">
      <c r="A13" s="62">
        <v>46071.738599537035</v>
      </c>
      <c r="B13" s="63">
        <v>641511</v>
      </c>
      <c r="C13" s="63" t="s">
        <v>2201</v>
      </c>
      <c r="D13" s="63"/>
      <c r="E13" s="62">
        <v>46072.772939814815</v>
      </c>
      <c r="F13" s="63" t="s">
        <v>240</v>
      </c>
      <c r="G13" s="63">
        <v>1723430201</v>
      </c>
      <c r="H13" s="63">
        <v>26563652067540</v>
      </c>
      <c r="I13" s="63" t="s">
        <v>2383</v>
      </c>
      <c r="J13" s="63" t="s">
        <v>159</v>
      </c>
      <c r="K13" s="63" t="s">
        <v>64</v>
      </c>
      <c r="L13" s="63"/>
      <c r="M13" s="63" t="s">
        <v>2384</v>
      </c>
      <c r="N13" s="63" t="s">
        <v>84</v>
      </c>
      <c r="O13" s="63" t="s">
        <v>68</v>
      </c>
      <c r="P13" s="63" t="s">
        <v>69</v>
      </c>
      <c r="Q13" s="63">
        <v>3</v>
      </c>
      <c r="R13" s="63">
        <v>0</v>
      </c>
      <c r="S13" s="63" t="s">
        <v>70</v>
      </c>
      <c r="T13" s="63">
        <v>25.684000000000001</v>
      </c>
      <c r="U13" s="62">
        <v>46072.291666666664</v>
      </c>
      <c r="V13" s="63" t="s">
        <v>86</v>
      </c>
      <c r="W13" s="63">
        <v>363.57</v>
      </c>
      <c r="X13" s="63">
        <v>4000</v>
      </c>
      <c r="Y13" s="63" t="s">
        <v>503</v>
      </c>
    </row>
    <row r="14" spans="1:25" hidden="1">
      <c r="A14" s="62">
        <v>46071.738599537035</v>
      </c>
      <c r="B14" s="63">
        <v>641511</v>
      </c>
      <c r="C14" s="63" t="s">
        <v>2201</v>
      </c>
      <c r="D14" s="63"/>
      <c r="E14" s="62">
        <v>46072.772939814815</v>
      </c>
      <c r="F14" s="63" t="s">
        <v>240</v>
      </c>
      <c r="G14" s="63">
        <v>1723430201</v>
      </c>
      <c r="H14" s="63">
        <v>26563652067540</v>
      </c>
      <c r="I14" s="63" t="s">
        <v>2383</v>
      </c>
      <c r="J14" s="63" t="s">
        <v>159</v>
      </c>
      <c r="K14" s="63" t="s">
        <v>64</v>
      </c>
      <c r="L14" s="63"/>
      <c r="M14" s="63" t="s">
        <v>2384</v>
      </c>
      <c r="N14" s="63" t="s">
        <v>84</v>
      </c>
      <c r="O14" s="63" t="s">
        <v>169</v>
      </c>
      <c r="P14" s="63" t="s">
        <v>170</v>
      </c>
      <c r="Q14" s="63">
        <v>1</v>
      </c>
      <c r="R14" s="63">
        <v>0</v>
      </c>
      <c r="S14" s="63" t="s">
        <v>76</v>
      </c>
      <c r="T14" s="63">
        <v>25.684000000000001</v>
      </c>
      <c r="U14" s="62">
        <v>46072.291666666664</v>
      </c>
      <c r="V14" s="63" t="s">
        <v>86</v>
      </c>
      <c r="W14" s="63">
        <v>363.57</v>
      </c>
      <c r="X14" s="63">
        <v>4000</v>
      </c>
      <c r="Y14" s="63" t="s">
        <v>503</v>
      </c>
    </row>
    <row r="15" spans="1:25" hidden="1">
      <c r="A15" s="62">
        <v>46071.738599537035</v>
      </c>
      <c r="B15" s="63">
        <v>641511</v>
      </c>
      <c r="C15" s="63" t="s">
        <v>2201</v>
      </c>
      <c r="D15" s="63"/>
      <c r="E15" s="62">
        <v>46072.772939814815</v>
      </c>
      <c r="F15" s="63" t="s">
        <v>240</v>
      </c>
      <c r="G15" s="63">
        <v>1725940201</v>
      </c>
      <c r="H15" s="63">
        <v>26563652032674</v>
      </c>
      <c r="I15" s="63" t="s">
        <v>2218</v>
      </c>
      <c r="J15" s="63" t="s">
        <v>159</v>
      </c>
      <c r="K15" s="63" t="s">
        <v>64</v>
      </c>
      <c r="L15" s="63"/>
      <c r="M15" s="63" t="s">
        <v>160</v>
      </c>
      <c r="N15" s="63" t="s">
        <v>2204</v>
      </c>
      <c r="O15" s="63" t="s">
        <v>68</v>
      </c>
      <c r="P15" s="63" t="s">
        <v>69</v>
      </c>
      <c r="Q15" s="63">
        <v>10</v>
      </c>
      <c r="R15" s="63">
        <v>0</v>
      </c>
      <c r="S15" s="63" t="s">
        <v>70</v>
      </c>
      <c r="T15" s="63">
        <v>50.18</v>
      </c>
      <c r="U15" s="62">
        <v>46072.291666666664</v>
      </c>
      <c r="V15" s="63" t="s">
        <v>86</v>
      </c>
      <c r="W15" s="63">
        <v>341.9</v>
      </c>
      <c r="X15" s="63">
        <v>4000</v>
      </c>
      <c r="Y15" s="63" t="s">
        <v>503</v>
      </c>
    </row>
    <row r="16" spans="1:25" hidden="1">
      <c r="A16" s="62">
        <v>46071.738599537035</v>
      </c>
      <c r="B16" s="63">
        <v>641511</v>
      </c>
      <c r="C16" s="63" t="s">
        <v>2201</v>
      </c>
      <c r="D16" s="63"/>
      <c r="E16" s="62">
        <v>46072.772951388892</v>
      </c>
      <c r="F16" s="63" t="s">
        <v>240</v>
      </c>
      <c r="G16" s="63">
        <v>1724030201</v>
      </c>
      <c r="H16" s="63">
        <v>26563652045300</v>
      </c>
      <c r="I16" s="63" t="s">
        <v>2414</v>
      </c>
      <c r="J16" s="63" t="s">
        <v>159</v>
      </c>
      <c r="K16" s="63" t="s">
        <v>64</v>
      </c>
      <c r="L16" s="63" t="s">
        <v>2415</v>
      </c>
      <c r="M16" s="63" t="s">
        <v>2416</v>
      </c>
      <c r="N16" s="63" t="s">
        <v>84</v>
      </c>
      <c r="O16" s="63" t="s">
        <v>68</v>
      </c>
      <c r="P16" s="63" t="s">
        <v>69</v>
      </c>
      <c r="Q16" s="63">
        <v>9</v>
      </c>
      <c r="R16" s="63">
        <v>0</v>
      </c>
      <c r="S16" s="63" t="s">
        <v>70</v>
      </c>
      <c r="T16" s="63">
        <v>50.161999999999999</v>
      </c>
      <c r="U16" s="62">
        <v>46072.291666666664</v>
      </c>
      <c r="V16" s="63" t="s">
        <v>86</v>
      </c>
      <c r="W16" s="63">
        <v>356.72</v>
      </c>
      <c r="X16" s="63">
        <v>4000</v>
      </c>
      <c r="Y16" s="63" t="s">
        <v>503</v>
      </c>
    </row>
    <row r="17" spans="1:25" hidden="1">
      <c r="A17" s="62">
        <v>46071.738599537035</v>
      </c>
      <c r="B17" s="63">
        <v>641511</v>
      </c>
      <c r="C17" s="63" t="s">
        <v>2201</v>
      </c>
      <c r="D17" s="63"/>
      <c r="E17" s="62">
        <v>46072.772951388892</v>
      </c>
      <c r="F17" s="63" t="s">
        <v>240</v>
      </c>
      <c r="G17" s="63">
        <v>1724030201</v>
      </c>
      <c r="H17" s="63">
        <v>26563652045300</v>
      </c>
      <c r="I17" s="63" t="s">
        <v>2414</v>
      </c>
      <c r="J17" s="63" t="s">
        <v>159</v>
      </c>
      <c r="K17" s="63" t="s">
        <v>64</v>
      </c>
      <c r="L17" s="63" t="s">
        <v>2415</v>
      </c>
      <c r="M17" s="63" t="s">
        <v>2416</v>
      </c>
      <c r="N17" s="63" t="s">
        <v>84</v>
      </c>
      <c r="O17" s="63" t="s">
        <v>72</v>
      </c>
      <c r="P17" s="63" t="s">
        <v>73</v>
      </c>
      <c r="Q17" s="63">
        <v>1</v>
      </c>
      <c r="R17" s="63">
        <v>0</v>
      </c>
      <c r="S17" s="63" t="s">
        <v>70</v>
      </c>
      <c r="T17" s="63">
        <v>50.161999999999999</v>
      </c>
      <c r="U17" s="62">
        <v>46072.291666666664</v>
      </c>
      <c r="V17" s="63" t="s">
        <v>86</v>
      </c>
      <c r="W17" s="63">
        <v>356.72</v>
      </c>
      <c r="X17" s="63">
        <v>4000</v>
      </c>
      <c r="Y17" s="63" t="s">
        <v>503</v>
      </c>
    </row>
    <row r="18" spans="1:25" hidden="1">
      <c r="A18" s="62">
        <v>46071.738599537035</v>
      </c>
      <c r="B18" s="63">
        <v>641511</v>
      </c>
      <c r="C18" s="63" t="s">
        <v>2201</v>
      </c>
      <c r="D18" s="63"/>
      <c r="E18" s="62">
        <v>46072.772951388892</v>
      </c>
      <c r="F18" s="63" t="s">
        <v>240</v>
      </c>
      <c r="G18" s="63">
        <v>1726120201</v>
      </c>
      <c r="H18" s="63">
        <v>26563652060023</v>
      </c>
      <c r="I18" s="63" t="s">
        <v>2212</v>
      </c>
      <c r="J18" s="63" t="s">
        <v>159</v>
      </c>
      <c r="K18" s="63" t="s">
        <v>64</v>
      </c>
      <c r="L18" s="63"/>
      <c r="M18" s="63" t="s">
        <v>2213</v>
      </c>
      <c r="N18" s="63" t="s">
        <v>2204</v>
      </c>
      <c r="O18" s="63" t="s">
        <v>68</v>
      </c>
      <c r="P18" s="63" t="s">
        <v>69</v>
      </c>
      <c r="Q18" s="63">
        <v>8</v>
      </c>
      <c r="R18" s="63">
        <v>0</v>
      </c>
      <c r="S18" s="63" t="s">
        <v>70</v>
      </c>
      <c r="T18" s="63">
        <v>52.353999999999999</v>
      </c>
      <c r="U18" s="62">
        <v>46072.291666666664</v>
      </c>
      <c r="V18" s="63" t="s">
        <v>86</v>
      </c>
      <c r="W18" s="63">
        <v>576.78</v>
      </c>
      <c r="X18" s="63">
        <v>4000</v>
      </c>
      <c r="Y18" s="63" t="s">
        <v>503</v>
      </c>
    </row>
    <row r="19" spans="1:25" hidden="1">
      <c r="A19" s="62">
        <v>46071.738599537035</v>
      </c>
      <c r="B19" s="63">
        <v>641511</v>
      </c>
      <c r="C19" s="63" t="s">
        <v>2201</v>
      </c>
      <c r="D19" s="63"/>
      <c r="E19" s="62">
        <v>46072.772951388892</v>
      </c>
      <c r="F19" s="63" t="s">
        <v>240</v>
      </c>
      <c r="G19" s="63">
        <v>1726120201</v>
      </c>
      <c r="H19" s="63">
        <v>26563652060023</v>
      </c>
      <c r="I19" s="63" t="s">
        <v>2212</v>
      </c>
      <c r="J19" s="63" t="s">
        <v>159</v>
      </c>
      <c r="K19" s="63" t="s">
        <v>64</v>
      </c>
      <c r="L19" s="63"/>
      <c r="M19" s="63" t="s">
        <v>2213</v>
      </c>
      <c r="N19" s="63" t="s">
        <v>2204</v>
      </c>
      <c r="O19" s="63" t="s">
        <v>72</v>
      </c>
      <c r="P19" s="63" t="s">
        <v>73</v>
      </c>
      <c r="Q19" s="63">
        <v>1</v>
      </c>
      <c r="R19" s="63">
        <v>0</v>
      </c>
      <c r="S19" s="63" t="s">
        <v>70</v>
      </c>
      <c r="T19" s="63">
        <v>52.353999999999999</v>
      </c>
      <c r="U19" s="62">
        <v>46072.291666666664</v>
      </c>
      <c r="V19" s="63" t="s">
        <v>86</v>
      </c>
      <c r="W19" s="63">
        <v>576.78</v>
      </c>
      <c r="X19" s="63">
        <v>4000</v>
      </c>
      <c r="Y19" s="63" t="s">
        <v>503</v>
      </c>
    </row>
    <row r="20" spans="1:25" hidden="1">
      <c r="A20" s="62">
        <v>46071.738599537035</v>
      </c>
      <c r="B20" s="63">
        <v>641511</v>
      </c>
      <c r="C20" s="63" t="s">
        <v>2201</v>
      </c>
      <c r="D20" s="63"/>
      <c r="E20" s="62">
        <v>46072.772951388892</v>
      </c>
      <c r="F20" s="63" t="s">
        <v>240</v>
      </c>
      <c r="G20" s="63">
        <v>1726120201</v>
      </c>
      <c r="H20" s="63">
        <v>26563652060023</v>
      </c>
      <c r="I20" s="63" t="s">
        <v>2212</v>
      </c>
      <c r="J20" s="63" t="s">
        <v>159</v>
      </c>
      <c r="K20" s="63" t="s">
        <v>64</v>
      </c>
      <c r="L20" s="63"/>
      <c r="M20" s="63" t="s">
        <v>2213</v>
      </c>
      <c r="N20" s="63" t="s">
        <v>2204</v>
      </c>
      <c r="O20" s="63" t="s">
        <v>163</v>
      </c>
      <c r="P20" s="63" t="s">
        <v>164</v>
      </c>
      <c r="Q20" s="63">
        <v>1</v>
      </c>
      <c r="R20" s="63">
        <v>0</v>
      </c>
      <c r="S20" s="63" t="s">
        <v>76</v>
      </c>
      <c r="T20" s="63">
        <v>52.353999999999999</v>
      </c>
      <c r="U20" s="62">
        <v>46072.291666666664</v>
      </c>
      <c r="V20" s="63" t="s">
        <v>86</v>
      </c>
      <c r="W20" s="63">
        <v>576.78</v>
      </c>
      <c r="X20" s="63">
        <v>4000</v>
      </c>
      <c r="Y20" s="63" t="s">
        <v>503</v>
      </c>
    </row>
    <row r="21" spans="1:25" hidden="1">
      <c r="A21" s="62">
        <v>46071.738599537035</v>
      </c>
      <c r="B21" s="63">
        <v>641511</v>
      </c>
      <c r="C21" s="63" t="s">
        <v>2201</v>
      </c>
      <c r="D21" s="63"/>
      <c r="E21" s="62">
        <v>46072.772951388892</v>
      </c>
      <c r="F21" s="63" t="s">
        <v>240</v>
      </c>
      <c r="G21" s="63">
        <v>1726140201</v>
      </c>
      <c r="H21" s="63">
        <v>26563652038109</v>
      </c>
      <c r="I21" s="63" t="s">
        <v>2214</v>
      </c>
      <c r="J21" s="63" t="s">
        <v>159</v>
      </c>
      <c r="K21" s="63" t="s">
        <v>64</v>
      </c>
      <c r="L21" s="63"/>
      <c r="M21" s="63" t="s">
        <v>2210</v>
      </c>
      <c r="N21" s="63" t="s">
        <v>2204</v>
      </c>
      <c r="O21" s="63" t="s">
        <v>68</v>
      </c>
      <c r="P21" s="63" t="s">
        <v>69</v>
      </c>
      <c r="Q21" s="63">
        <v>6</v>
      </c>
      <c r="R21" s="63">
        <v>0</v>
      </c>
      <c r="S21" s="63" t="s">
        <v>70</v>
      </c>
      <c r="T21" s="63">
        <v>40.107999999999997</v>
      </c>
      <c r="U21" s="62">
        <v>46072.291666666664</v>
      </c>
      <c r="V21" s="63" t="s">
        <v>86</v>
      </c>
      <c r="W21" s="63">
        <v>379.86</v>
      </c>
      <c r="X21" s="63">
        <v>4000</v>
      </c>
      <c r="Y21" s="63" t="s">
        <v>503</v>
      </c>
    </row>
    <row r="22" spans="1:25" hidden="1">
      <c r="A22" s="62">
        <v>46071.738599537035</v>
      </c>
      <c r="B22" s="63">
        <v>641511</v>
      </c>
      <c r="C22" s="63" t="s">
        <v>2201</v>
      </c>
      <c r="D22" s="63"/>
      <c r="E22" s="62">
        <v>46072.772951388892</v>
      </c>
      <c r="F22" s="63" t="s">
        <v>240</v>
      </c>
      <c r="G22" s="63">
        <v>1726140201</v>
      </c>
      <c r="H22" s="63">
        <v>26563652038109</v>
      </c>
      <c r="I22" s="63" t="s">
        <v>2214</v>
      </c>
      <c r="J22" s="63" t="s">
        <v>159</v>
      </c>
      <c r="K22" s="63" t="s">
        <v>64</v>
      </c>
      <c r="L22" s="63"/>
      <c r="M22" s="63" t="s">
        <v>2210</v>
      </c>
      <c r="N22" s="63" t="s">
        <v>2204</v>
      </c>
      <c r="O22" s="63" t="s">
        <v>74</v>
      </c>
      <c r="P22" s="63" t="s">
        <v>75</v>
      </c>
      <c r="Q22" s="63">
        <v>1</v>
      </c>
      <c r="R22" s="63">
        <v>0</v>
      </c>
      <c r="S22" s="63" t="s">
        <v>76</v>
      </c>
      <c r="T22" s="63">
        <v>40.107999999999997</v>
      </c>
      <c r="U22" s="62">
        <v>46072.291666666664</v>
      </c>
      <c r="V22" s="63" t="s">
        <v>86</v>
      </c>
      <c r="W22" s="63">
        <v>379.86</v>
      </c>
      <c r="X22" s="63">
        <v>4000</v>
      </c>
      <c r="Y22" s="63" t="s">
        <v>503</v>
      </c>
    </row>
    <row r="23" spans="1:25" hidden="1">
      <c r="A23" s="62">
        <v>46071.738599537035</v>
      </c>
      <c r="B23" s="63">
        <v>641511</v>
      </c>
      <c r="C23" s="63" t="s">
        <v>2201</v>
      </c>
      <c r="D23" s="63"/>
      <c r="E23" s="62">
        <v>46072.772962962961</v>
      </c>
      <c r="F23" s="63" t="s">
        <v>240</v>
      </c>
      <c r="G23" s="63">
        <v>1724290201</v>
      </c>
      <c r="H23" s="63">
        <v>26563652019147</v>
      </c>
      <c r="I23" s="63" t="s">
        <v>2445</v>
      </c>
      <c r="J23" s="63" t="s">
        <v>159</v>
      </c>
      <c r="K23" s="63" t="s">
        <v>64</v>
      </c>
      <c r="L23" s="63"/>
      <c r="M23" s="63" t="s">
        <v>2388</v>
      </c>
      <c r="N23" s="63" t="s">
        <v>84</v>
      </c>
      <c r="O23" s="63" t="s">
        <v>68</v>
      </c>
      <c r="P23" s="63" t="s">
        <v>69</v>
      </c>
      <c r="Q23" s="63">
        <v>4</v>
      </c>
      <c r="R23" s="63">
        <v>0</v>
      </c>
      <c r="S23" s="63" t="s">
        <v>70</v>
      </c>
      <c r="T23" s="63">
        <v>25.071999999999999</v>
      </c>
      <c r="U23" s="62">
        <v>46072.291666666664</v>
      </c>
      <c r="V23" s="63" t="s">
        <v>86</v>
      </c>
      <c r="W23" s="63">
        <v>185.77</v>
      </c>
      <c r="X23" s="63">
        <v>4000</v>
      </c>
      <c r="Y23" s="63" t="s">
        <v>503</v>
      </c>
    </row>
    <row r="24" spans="1:25" hidden="1">
      <c r="A24" s="62">
        <v>46071.738599537035</v>
      </c>
      <c r="B24" s="63">
        <v>641511</v>
      </c>
      <c r="C24" s="63" t="s">
        <v>2201</v>
      </c>
      <c r="D24" s="63"/>
      <c r="E24" s="62">
        <v>46072.772962962961</v>
      </c>
      <c r="F24" s="63" t="s">
        <v>240</v>
      </c>
      <c r="G24" s="63">
        <v>1724290201</v>
      </c>
      <c r="H24" s="63">
        <v>26563652019147</v>
      </c>
      <c r="I24" s="63" t="s">
        <v>2445</v>
      </c>
      <c r="J24" s="63" t="s">
        <v>159</v>
      </c>
      <c r="K24" s="63" t="s">
        <v>64</v>
      </c>
      <c r="L24" s="63"/>
      <c r="M24" s="63" t="s">
        <v>2388</v>
      </c>
      <c r="N24" s="63" t="s">
        <v>84</v>
      </c>
      <c r="O24" s="63" t="s">
        <v>72</v>
      </c>
      <c r="P24" s="63" t="s">
        <v>73</v>
      </c>
      <c r="Q24" s="63">
        <v>1</v>
      </c>
      <c r="R24" s="63">
        <v>0</v>
      </c>
      <c r="S24" s="63" t="s">
        <v>70</v>
      </c>
      <c r="T24" s="63">
        <v>25.071999999999999</v>
      </c>
      <c r="U24" s="62">
        <v>46072.291666666664</v>
      </c>
      <c r="V24" s="63" t="s">
        <v>86</v>
      </c>
      <c r="W24" s="63">
        <v>185.77</v>
      </c>
      <c r="X24" s="63">
        <v>4000</v>
      </c>
      <c r="Y24" s="63" t="s">
        <v>503</v>
      </c>
    </row>
    <row r="25" spans="1:25" hidden="1">
      <c r="A25" s="62">
        <v>46071.738599537035</v>
      </c>
      <c r="B25" s="63">
        <v>641511</v>
      </c>
      <c r="C25" s="63" t="s">
        <v>2201</v>
      </c>
      <c r="D25" s="63"/>
      <c r="E25" s="62">
        <v>46072.772962962961</v>
      </c>
      <c r="F25" s="63" t="s">
        <v>240</v>
      </c>
      <c r="G25" s="63">
        <v>1724430201</v>
      </c>
      <c r="H25" s="63">
        <v>26563652077260</v>
      </c>
      <c r="I25" s="63" t="s">
        <v>263</v>
      </c>
      <c r="J25" s="63" t="s">
        <v>159</v>
      </c>
      <c r="K25" s="63" t="s">
        <v>64</v>
      </c>
      <c r="L25" s="63"/>
      <c r="M25" s="63" t="s">
        <v>264</v>
      </c>
      <c r="N25" s="63" t="s">
        <v>84</v>
      </c>
      <c r="O25" s="63" t="s">
        <v>68</v>
      </c>
      <c r="P25" s="63" t="s">
        <v>69</v>
      </c>
      <c r="Q25" s="63">
        <v>9</v>
      </c>
      <c r="R25" s="63">
        <v>0</v>
      </c>
      <c r="S25" s="63" t="s">
        <v>70</v>
      </c>
      <c r="T25" s="63">
        <v>48.362000000000002</v>
      </c>
      <c r="U25" s="62">
        <v>46072.291666666664</v>
      </c>
      <c r="V25" s="63" t="s">
        <v>86</v>
      </c>
      <c r="W25" s="63">
        <v>373.71</v>
      </c>
      <c r="X25" s="63">
        <v>4000</v>
      </c>
      <c r="Y25" s="63" t="s">
        <v>503</v>
      </c>
    </row>
    <row r="26" spans="1:25" hidden="1">
      <c r="A26" s="62">
        <v>46071.738599537035</v>
      </c>
      <c r="B26" s="63">
        <v>641511</v>
      </c>
      <c r="C26" s="63" t="s">
        <v>2201</v>
      </c>
      <c r="D26" s="63"/>
      <c r="E26" s="62">
        <v>46072.772962962961</v>
      </c>
      <c r="F26" s="63" t="s">
        <v>240</v>
      </c>
      <c r="G26" s="63">
        <v>1724430201</v>
      </c>
      <c r="H26" s="63">
        <v>26563652077260</v>
      </c>
      <c r="I26" s="63" t="s">
        <v>263</v>
      </c>
      <c r="J26" s="63" t="s">
        <v>159</v>
      </c>
      <c r="K26" s="63" t="s">
        <v>64</v>
      </c>
      <c r="L26" s="63"/>
      <c r="M26" s="63" t="s">
        <v>264</v>
      </c>
      <c r="N26" s="63" t="s">
        <v>84</v>
      </c>
      <c r="O26" s="63" t="s">
        <v>189</v>
      </c>
      <c r="P26" s="63" t="s">
        <v>190</v>
      </c>
      <c r="Q26" s="63">
        <v>1</v>
      </c>
      <c r="R26" s="63">
        <v>0</v>
      </c>
      <c r="S26" s="63" t="s">
        <v>76</v>
      </c>
      <c r="T26" s="63">
        <v>48.362000000000002</v>
      </c>
      <c r="U26" s="62">
        <v>46072.291666666664</v>
      </c>
      <c r="V26" s="63" t="s">
        <v>86</v>
      </c>
      <c r="W26" s="63">
        <v>373.71</v>
      </c>
      <c r="X26" s="63">
        <v>4000</v>
      </c>
      <c r="Y26" s="63" t="s">
        <v>503</v>
      </c>
    </row>
    <row r="27" spans="1:25" hidden="1">
      <c r="A27" s="62">
        <v>46071.738599537035</v>
      </c>
      <c r="B27" s="63">
        <v>641511</v>
      </c>
      <c r="C27" s="63" t="s">
        <v>2201</v>
      </c>
      <c r="D27" s="63"/>
      <c r="E27" s="62">
        <v>46072.772962962961</v>
      </c>
      <c r="F27" s="63" t="s">
        <v>240</v>
      </c>
      <c r="G27" s="63">
        <v>1726350201</v>
      </c>
      <c r="H27" s="63">
        <v>26563652028642</v>
      </c>
      <c r="I27" s="63" t="s">
        <v>2215</v>
      </c>
      <c r="J27" s="63" t="s">
        <v>159</v>
      </c>
      <c r="K27" s="63" t="s">
        <v>64</v>
      </c>
      <c r="L27" s="63"/>
      <c r="M27" s="63" t="s">
        <v>2210</v>
      </c>
      <c r="N27" s="63" t="s">
        <v>2204</v>
      </c>
      <c r="O27" s="63" t="s">
        <v>68</v>
      </c>
      <c r="P27" s="63" t="s">
        <v>69</v>
      </c>
      <c r="Q27" s="63">
        <v>8</v>
      </c>
      <c r="R27" s="63">
        <v>0</v>
      </c>
      <c r="S27" s="63" t="s">
        <v>70</v>
      </c>
      <c r="T27" s="63">
        <v>50.143999999999998</v>
      </c>
      <c r="U27" s="62">
        <v>46072.291666666664</v>
      </c>
      <c r="V27" s="63" t="s">
        <v>86</v>
      </c>
      <c r="W27" s="63">
        <v>371.54</v>
      </c>
      <c r="X27" s="63">
        <v>4000</v>
      </c>
      <c r="Y27" s="63" t="s">
        <v>503</v>
      </c>
    </row>
    <row r="28" spans="1:25" hidden="1">
      <c r="A28" s="62">
        <v>46071.738599537035</v>
      </c>
      <c r="B28" s="63">
        <v>641511</v>
      </c>
      <c r="C28" s="63" t="s">
        <v>2201</v>
      </c>
      <c r="D28" s="63"/>
      <c r="E28" s="62">
        <v>46072.772962962961</v>
      </c>
      <c r="F28" s="63" t="s">
        <v>240</v>
      </c>
      <c r="G28" s="63">
        <v>1726350201</v>
      </c>
      <c r="H28" s="63">
        <v>26563652028642</v>
      </c>
      <c r="I28" s="63" t="s">
        <v>2215</v>
      </c>
      <c r="J28" s="63" t="s">
        <v>159</v>
      </c>
      <c r="K28" s="63" t="s">
        <v>64</v>
      </c>
      <c r="L28" s="63"/>
      <c r="M28" s="63" t="s">
        <v>2210</v>
      </c>
      <c r="N28" s="63" t="s">
        <v>2204</v>
      </c>
      <c r="O28" s="63" t="s">
        <v>72</v>
      </c>
      <c r="P28" s="63" t="s">
        <v>73</v>
      </c>
      <c r="Q28" s="63">
        <v>2</v>
      </c>
      <c r="R28" s="63">
        <v>0</v>
      </c>
      <c r="S28" s="63" t="s">
        <v>70</v>
      </c>
      <c r="T28" s="63">
        <v>50.143999999999998</v>
      </c>
      <c r="U28" s="62">
        <v>46072.291666666664</v>
      </c>
      <c r="V28" s="63" t="s">
        <v>86</v>
      </c>
      <c r="W28" s="63">
        <v>371.54</v>
      </c>
      <c r="X28" s="63">
        <v>4000</v>
      </c>
      <c r="Y28" s="63" t="s">
        <v>503</v>
      </c>
    </row>
    <row r="29" spans="1:25" hidden="1">
      <c r="A29" s="62">
        <v>46071.738599537035</v>
      </c>
      <c r="B29" s="63">
        <v>641511</v>
      </c>
      <c r="C29" s="63" t="s">
        <v>2201</v>
      </c>
      <c r="D29" s="63"/>
      <c r="E29" s="62">
        <v>46072.772962962961</v>
      </c>
      <c r="F29" s="63" t="s">
        <v>240</v>
      </c>
      <c r="G29" s="63">
        <v>1726370201</v>
      </c>
      <c r="H29" s="63">
        <v>26563652046705</v>
      </c>
      <c r="I29" s="63" t="s">
        <v>2206</v>
      </c>
      <c r="J29" s="63" t="s">
        <v>159</v>
      </c>
      <c r="K29" s="63" t="s">
        <v>64</v>
      </c>
      <c r="L29" s="63" t="s">
        <v>2207</v>
      </c>
      <c r="M29" s="63" t="s">
        <v>160</v>
      </c>
      <c r="N29" s="63" t="s">
        <v>2204</v>
      </c>
      <c r="O29" s="63" t="s">
        <v>68</v>
      </c>
      <c r="P29" s="63" t="s">
        <v>69</v>
      </c>
      <c r="Q29" s="63">
        <v>5</v>
      </c>
      <c r="R29" s="63">
        <v>0</v>
      </c>
      <c r="S29" s="63" t="s">
        <v>70</v>
      </c>
      <c r="T29" s="63">
        <v>42.06</v>
      </c>
      <c r="U29" s="62">
        <v>46072.291666666664</v>
      </c>
      <c r="V29" s="63" t="s">
        <v>86</v>
      </c>
      <c r="W29" s="63">
        <v>535.37</v>
      </c>
      <c r="X29" s="63">
        <v>4000</v>
      </c>
      <c r="Y29" s="63" t="s">
        <v>503</v>
      </c>
    </row>
    <row r="30" spans="1:25" hidden="1">
      <c r="A30" s="62">
        <v>46071.738599537035</v>
      </c>
      <c r="B30" s="63">
        <v>641511</v>
      </c>
      <c r="C30" s="63" t="s">
        <v>2201</v>
      </c>
      <c r="D30" s="63"/>
      <c r="E30" s="62">
        <v>46072.772962962961</v>
      </c>
      <c r="F30" s="63" t="s">
        <v>240</v>
      </c>
      <c r="G30" s="63">
        <v>1726370201</v>
      </c>
      <c r="H30" s="63">
        <v>26563652046705</v>
      </c>
      <c r="I30" s="63" t="s">
        <v>2206</v>
      </c>
      <c r="J30" s="63" t="s">
        <v>159</v>
      </c>
      <c r="K30" s="63" t="s">
        <v>64</v>
      </c>
      <c r="L30" s="63" t="s">
        <v>2207</v>
      </c>
      <c r="M30" s="63" t="s">
        <v>160</v>
      </c>
      <c r="N30" s="63" t="s">
        <v>2204</v>
      </c>
      <c r="O30" s="63" t="s">
        <v>72</v>
      </c>
      <c r="P30" s="63" t="s">
        <v>73</v>
      </c>
      <c r="Q30" s="63">
        <v>2</v>
      </c>
      <c r="R30" s="63">
        <v>0</v>
      </c>
      <c r="S30" s="63" t="s">
        <v>70</v>
      </c>
      <c r="T30" s="63">
        <v>42.06</v>
      </c>
      <c r="U30" s="62">
        <v>46072.291666666664</v>
      </c>
      <c r="V30" s="63" t="s">
        <v>86</v>
      </c>
      <c r="W30" s="63">
        <v>535.37</v>
      </c>
      <c r="X30" s="63">
        <v>4000</v>
      </c>
      <c r="Y30" s="63" t="s">
        <v>503</v>
      </c>
    </row>
    <row r="31" spans="1:25" hidden="1">
      <c r="A31" s="62">
        <v>46071.738599537035</v>
      </c>
      <c r="B31" s="63">
        <v>641511</v>
      </c>
      <c r="C31" s="63" t="s">
        <v>2201</v>
      </c>
      <c r="D31" s="63"/>
      <c r="E31" s="62">
        <v>46072.772962962961</v>
      </c>
      <c r="F31" s="63" t="s">
        <v>240</v>
      </c>
      <c r="G31" s="63">
        <v>1726370201</v>
      </c>
      <c r="H31" s="63">
        <v>26563652046705</v>
      </c>
      <c r="I31" s="63" t="s">
        <v>2206</v>
      </c>
      <c r="J31" s="63" t="s">
        <v>159</v>
      </c>
      <c r="K31" s="63" t="s">
        <v>64</v>
      </c>
      <c r="L31" s="63" t="s">
        <v>2207</v>
      </c>
      <c r="M31" s="63" t="s">
        <v>160</v>
      </c>
      <c r="N31" s="63" t="s">
        <v>2204</v>
      </c>
      <c r="O31" s="63" t="s">
        <v>161</v>
      </c>
      <c r="P31" s="63" t="s">
        <v>162</v>
      </c>
      <c r="Q31" s="63">
        <v>1</v>
      </c>
      <c r="R31" s="63">
        <v>0</v>
      </c>
      <c r="S31" s="63" t="s">
        <v>76</v>
      </c>
      <c r="T31" s="63">
        <v>42.06</v>
      </c>
      <c r="U31" s="62">
        <v>46072.291666666664</v>
      </c>
      <c r="V31" s="63" t="s">
        <v>86</v>
      </c>
      <c r="W31" s="63">
        <v>535.37</v>
      </c>
      <c r="X31" s="63">
        <v>4000</v>
      </c>
      <c r="Y31" s="63" t="s">
        <v>503</v>
      </c>
    </row>
    <row r="32" spans="1:25" hidden="1">
      <c r="A32" s="62">
        <v>46071.738599537035</v>
      </c>
      <c r="B32" s="63">
        <v>641511</v>
      </c>
      <c r="C32" s="63" t="s">
        <v>2201</v>
      </c>
      <c r="D32" s="63"/>
      <c r="E32" s="62">
        <v>46072.772962962961</v>
      </c>
      <c r="F32" s="63" t="s">
        <v>240</v>
      </c>
      <c r="G32" s="63">
        <v>1726510201</v>
      </c>
      <c r="H32" s="63">
        <v>26563652079395</v>
      </c>
      <c r="I32" s="63" t="s">
        <v>2202</v>
      </c>
      <c r="J32" s="63" t="s">
        <v>159</v>
      </c>
      <c r="K32" s="63" t="s">
        <v>64</v>
      </c>
      <c r="L32" s="63"/>
      <c r="M32" s="63" t="s">
        <v>2203</v>
      </c>
      <c r="N32" s="63" t="s">
        <v>2204</v>
      </c>
      <c r="O32" s="63" t="s">
        <v>68</v>
      </c>
      <c r="P32" s="63" t="s">
        <v>69</v>
      </c>
      <c r="Q32" s="63">
        <v>5</v>
      </c>
      <c r="R32" s="63">
        <v>0</v>
      </c>
      <c r="S32" s="63" t="s">
        <v>70</v>
      </c>
      <c r="T32" s="63">
        <v>42.06</v>
      </c>
      <c r="U32" s="62">
        <v>46072.291666666664</v>
      </c>
      <c r="V32" s="63" t="s">
        <v>86</v>
      </c>
      <c r="W32" s="63">
        <v>612.07000000000005</v>
      </c>
      <c r="X32" s="63">
        <v>4000</v>
      </c>
      <c r="Y32" s="63" t="s">
        <v>503</v>
      </c>
    </row>
    <row r="33" spans="1:25" hidden="1">
      <c r="A33" s="62">
        <v>46071.738599537035</v>
      </c>
      <c r="B33" s="63">
        <v>641511</v>
      </c>
      <c r="C33" s="63" t="s">
        <v>2201</v>
      </c>
      <c r="D33" s="63"/>
      <c r="E33" s="62">
        <v>46072.772962962961</v>
      </c>
      <c r="F33" s="63" t="s">
        <v>240</v>
      </c>
      <c r="G33" s="63">
        <v>1726510201</v>
      </c>
      <c r="H33" s="63">
        <v>26563652079395</v>
      </c>
      <c r="I33" s="63" t="s">
        <v>2202</v>
      </c>
      <c r="J33" s="63" t="s">
        <v>159</v>
      </c>
      <c r="K33" s="63" t="s">
        <v>64</v>
      </c>
      <c r="L33" s="63"/>
      <c r="M33" s="63" t="s">
        <v>2203</v>
      </c>
      <c r="N33" s="63" t="s">
        <v>2204</v>
      </c>
      <c r="O33" s="63" t="s">
        <v>74</v>
      </c>
      <c r="P33" s="63" t="s">
        <v>75</v>
      </c>
      <c r="Q33" s="63">
        <v>1</v>
      </c>
      <c r="R33" s="63">
        <v>0</v>
      </c>
      <c r="S33" s="63" t="s">
        <v>76</v>
      </c>
      <c r="T33" s="63">
        <v>42.06</v>
      </c>
      <c r="U33" s="62">
        <v>46072.291666666664</v>
      </c>
      <c r="V33" s="63" t="s">
        <v>86</v>
      </c>
      <c r="W33" s="63">
        <v>612.07000000000005</v>
      </c>
      <c r="X33" s="63">
        <v>4000</v>
      </c>
      <c r="Y33" s="63" t="s">
        <v>503</v>
      </c>
    </row>
    <row r="34" spans="1:25" hidden="1">
      <c r="A34" s="62">
        <v>46071.738599537035</v>
      </c>
      <c r="B34" s="63">
        <v>641511</v>
      </c>
      <c r="C34" s="63" t="s">
        <v>2201</v>
      </c>
      <c r="D34" s="63"/>
      <c r="E34" s="62">
        <v>46072.772962962961</v>
      </c>
      <c r="F34" s="63" t="s">
        <v>240</v>
      </c>
      <c r="G34" s="63">
        <v>1726510201</v>
      </c>
      <c r="H34" s="63">
        <v>26563652079395</v>
      </c>
      <c r="I34" s="63" t="s">
        <v>2202</v>
      </c>
      <c r="J34" s="63" t="s">
        <v>159</v>
      </c>
      <c r="K34" s="63" t="s">
        <v>64</v>
      </c>
      <c r="L34" s="63"/>
      <c r="M34" s="63" t="s">
        <v>2203</v>
      </c>
      <c r="N34" s="63" t="s">
        <v>2204</v>
      </c>
      <c r="O34" s="63" t="s">
        <v>161</v>
      </c>
      <c r="P34" s="63" t="s">
        <v>162</v>
      </c>
      <c r="Q34" s="63">
        <v>1</v>
      </c>
      <c r="R34" s="63">
        <v>0</v>
      </c>
      <c r="S34" s="63" t="s">
        <v>76</v>
      </c>
      <c r="T34" s="63">
        <v>42.06</v>
      </c>
      <c r="U34" s="62">
        <v>46072.291666666664</v>
      </c>
      <c r="V34" s="63" t="s">
        <v>86</v>
      </c>
      <c r="W34" s="63">
        <v>612.07000000000005</v>
      </c>
      <c r="X34" s="63">
        <v>4000</v>
      </c>
      <c r="Y34" s="63" t="s">
        <v>503</v>
      </c>
    </row>
    <row r="35" spans="1:25" hidden="1">
      <c r="A35" s="62">
        <v>46071.738599537035</v>
      </c>
      <c r="B35" s="63">
        <v>641511</v>
      </c>
      <c r="C35" s="63" t="s">
        <v>2201</v>
      </c>
      <c r="D35" s="63"/>
      <c r="E35" s="62">
        <v>46072.772962962961</v>
      </c>
      <c r="F35" s="63" t="s">
        <v>240</v>
      </c>
      <c r="G35" s="63">
        <v>1726530201</v>
      </c>
      <c r="H35" s="63">
        <v>26563652059793</v>
      </c>
      <c r="I35" s="63" t="s">
        <v>2446</v>
      </c>
      <c r="J35" s="63" t="s">
        <v>159</v>
      </c>
      <c r="K35" s="63" t="s">
        <v>64</v>
      </c>
      <c r="L35" s="63"/>
      <c r="M35" s="63" t="s">
        <v>2447</v>
      </c>
      <c r="N35" s="63" t="s">
        <v>2204</v>
      </c>
      <c r="O35" s="63" t="s">
        <v>68</v>
      </c>
      <c r="P35" s="63" t="s">
        <v>69</v>
      </c>
      <c r="Q35" s="63">
        <v>3</v>
      </c>
      <c r="R35" s="63">
        <v>0</v>
      </c>
      <c r="S35" s="63" t="s">
        <v>70</v>
      </c>
      <c r="T35" s="63">
        <v>40.683999999999997</v>
      </c>
      <c r="U35" s="62">
        <v>46072.291666666664</v>
      </c>
      <c r="V35" s="63" t="s">
        <v>86</v>
      </c>
      <c r="W35" s="63">
        <v>510.6</v>
      </c>
      <c r="X35" s="63">
        <v>4000</v>
      </c>
      <c r="Y35" s="63" t="s">
        <v>503</v>
      </c>
    </row>
    <row r="36" spans="1:25" hidden="1">
      <c r="A36" s="62">
        <v>46071.738599537035</v>
      </c>
      <c r="B36" s="63">
        <v>641511</v>
      </c>
      <c r="C36" s="63" t="s">
        <v>2201</v>
      </c>
      <c r="D36" s="63"/>
      <c r="E36" s="62">
        <v>46072.772962962961</v>
      </c>
      <c r="F36" s="63" t="s">
        <v>240</v>
      </c>
      <c r="G36" s="63">
        <v>1726530201</v>
      </c>
      <c r="H36" s="63">
        <v>26563652059793</v>
      </c>
      <c r="I36" s="63" t="s">
        <v>2446</v>
      </c>
      <c r="J36" s="63" t="s">
        <v>159</v>
      </c>
      <c r="K36" s="63" t="s">
        <v>64</v>
      </c>
      <c r="L36" s="63"/>
      <c r="M36" s="63" t="s">
        <v>2447</v>
      </c>
      <c r="N36" s="63" t="s">
        <v>2204</v>
      </c>
      <c r="O36" s="63" t="s">
        <v>72</v>
      </c>
      <c r="P36" s="63" t="s">
        <v>73</v>
      </c>
      <c r="Q36" s="63">
        <v>3</v>
      </c>
      <c r="R36" s="63">
        <v>0</v>
      </c>
      <c r="S36" s="63" t="s">
        <v>70</v>
      </c>
      <c r="T36" s="63">
        <v>40.683999999999997</v>
      </c>
      <c r="U36" s="62">
        <v>46072.291666666664</v>
      </c>
      <c r="V36" s="63" t="s">
        <v>86</v>
      </c>
      <c r="W36" s="63">
        <v>510.6</v>
      </c>
      <c r="X36" s="63">
        <v>4000</v>
      </c>
      <c r="Y36" s="63" t="s">
        <v>503</v>
      </c>
    </row>
    <row r="37" spans="1:25" hidden="1">
      <c r="A37" s="62">
        <v>46071.738599537035</v>
      </c>
      <c r="B37" s="63">
        <v>641511</v>
      </c>
      <c r="C37" s="63" t="s">
        <v>2201</v>
      </c>
      <c r="D37" s="63"/>
      <c r="E37" s="62">
        <v>46072.772962962961</v>
      </c>
      <c r="F37" s="63" t="s">
        <v>240</v>
      </c>
      <c r="G37" s="63">
        <v>1726530201</v>
      </c>
      <c r="H37" s="63">
        <v>26563652059793</v>
      </c>
      <c r="I37" s="63" t="s">
        <v>2446</v>
      </c>
      <c r="J37" s="63" t="s">
        <v>159</v>
      </c>
      <c r="K37" s="63" t="s">
        <v>64</v>
      </c>
      <c r="L37" s="63"/>
      <c r="M37" s="63" t="s">
        <v>2447</v>
      </c>
      <c r="N37" s="63" t="s">
        <v>2204</v>
      </c>
      <c r="O37" s="63" t="s">
        <v>169</v>
      </c>
      <c r="P37" s="63" t="s">
        <v>170</v>
      </c>
      <c r="Q37" s="63">
        <v>1</v>
      </c>
      <c r="R37" s="63">
        <v>0</v>
      </c>
      <c r="S37" s="63" t="s">
        <v>76</v>
      </c>
      <c r="T37" s="63">
        <v>40.683999999999997</v>
      </c>
      <c r="U37" s="62">
        <v>46072.291666666664</v>
      </c>
      <c r="V37" s="63" t="s">
        <v>86</v>
      </c>
      <c r="W37" s="63">
        <v>510.6</v>
      </c>
      <c r="X37" s="63">
        <v>4000</v>
      </c>
      <c r="Y37" s="63" t="s">
        <v>503</v>
      </c>
    </row>
    <row r="38" spans="1:25" hidden="1">
      <c r="A38" s="62">
        <v>46071.738599537035</v>
      </c>
      <c r="B38" s="63">
        <v>641512</v>
      </c>
      <c r="C38" s="63" t="s">
        <v>2448</v>
      </c>
      <c r="D38" s="63"/>
      <c r="E38" s="62">
        <v>46070.797349537039</v>
      </c>
      <c r="F38" s="63" t="s">
        <v>561</v>
      </c>
      <c r="G38" s="63">
        <v>1708280201</v>
      </c>
      <c r="H38" s="63">
        <v>53045266000389</v>
      </c>
      <c r="I38" s="63" t="s">
        <v>2449</v>
      </c>
      <c r="J38" s="63" t="s">
        <v>95</v>
      </c>
      <c r="K38" s="63" t="s">
        <v>2189</v>
      </c>
      <c r="L38" s="63" t="s">
        <v>2450</v>
      </c>
      <c r="M38" s="63" t="s">
        <v>2451</v>
      </c>
      <c r="N38" s="63" t="s">
        <v>2452</v>
      </c>
      <c r="O38" s="63" t="s">
        <v>113</v>
      </c>
      <c r="P38" s="63" t="s">
        <v>114</v>
      </c>
      <c r="Q38" s="63">
        <v>34</v>
      </c>
      <c r="R38" s="63">
        <v>0</v>
      </c>
      <c r="S38" s="63" t="s">
        <v>76</v>
      </c>
      <c r="T38" s="63">
        <v>548.16</v>
      </c>
      <c r="U38" s="62">
        <v>46072.291666666664</v>
      </c>
      <c r="V38" s="63" t="s">
        <v>86</v>
      </c>
      <c r="W38" s="63">
        <v>12403.44</v>
      </c>
      <c r="X38" s="63">
        <v>2500</v>
      </c>
      <c r="Y38" s="63" t="s">
        <v>2189</v>
      </c>
    </row>
    <row r="39" spans="1:25" hidden="1">
      <c r="A39" s="62">
        <v>46071.738599537035</v>
      </c>
      <c r="B39" s="63">
        <v>641512</v>
      </c>
      <c r="C39" s="63" t="s">
        <v>2448</v>
      </c>
      <c r="D39" s="63"/>
      <c r="E39" s="62">
        <v>46070.797349537039</v>
      </c>
      <c r="F39" s="63" t="s">
        <v>561</v>
      </c>
      <c r="G39" s="63">
        <v>1708280201</v>
      </c>
      <c r="H39" s="63">
        <v>53045266000389</v>
      </c>
      <c r="I39" s="63" t="s">
        <v>2449</v>
      </c>
      <c r="J39" s="63" t="s">
        <v>95</v>
      </c>
      <c r="K39" s="63" t="s">
        <v>2189</v>
      </c>
      <c r="L39" s="63" t="s">
        <v>2450</v>
      </c>
      <c r="M39" s="63" t="s">
        <v>2451</v>
      </c>
      <c r="N39" s="63" t="s">
        <v>2452</v>
      </c>
      <c r="O39" s="63" t="s">
        <v>115</v>
      </c>
      <c r="P39" s="63" t="s">
        <v>116</v>
      </c>
      <c r="Q39" s="63">
        <v>32</v>
      </c>
      <c r="R39" s="63">
        <v>0</v>
      </c>
      <c r="S39" s="63" t="s">
        <v>76</v>
      </c>
      <c r="T39" s="63">
        <v>548.16</v>
      </c>
      <c r="U39" s="62">
        <v>46072.291666666664</v>
      </c>
      <c r="V39" s="63" t="s">
        <v>86</v>
      </c>
      <c r="W39" s="63">
        <v>12403.44</v>
      </c>
      <c r="X39" s="63">
        <v>2500</v>
      </c>
      <c r="Y39" s="63" t="s">
        <v>2189</v>
      </c>
    </row>
    <row r="40" spans="1:25" hidden="1">
      <c r="A40" s="62">
        <v>46071.738599537035</v>
      </c>
      <c r="B40" s="63">
        <v>641512</v>
      </c>
      <c r="C40" s="63" t="s">
        <v>2448</v>
      </c>
      <c r="D40" s="63"/>
      <c r="E40" s="62">
        <v>46070.797349537039</v>
      </c>
      <c r="F40" s="63" t="s">
        <v>561</v>
      </c>
      <c r="G40" s="63">
        <v>1708280201</v>
      </c>
      <c r="H40" s="63">
        <v>53045266000389</v>
      </c>
      <c r="I40" s="63" t="s">
        <v>2449</v>
      </c>
      <c r="J40" s="63" t="s">
        <v>95</v>
      </c>
      <c r="K40" s="63" t="s">
        <v>2189</v>
      </c>
      <c r="L40" s="63" t="s">
        <v>2450</v>
      </c>
      <c r="M40" s="63" t="s">
        <v>2451</v>
      </c>
      <c r="N40" s="63" t="s">
        <v>2452</v>
      </c>
      <c r="O40" s="63" t="s">
        <v>119</v>
      </c>
      <c r="P40" s="63" t="s">
        <v>120</v>
      </c>
      <c r="Q40" s="63">
        <v>72</v>
      </c>
      <c r="R40" s="63">
        <v>0</v>
      </c>
      <c r="S40" s="63" t="s">
        <v>76</v>
      </c>
      <c r="T40" s="63">
        <v>548.16</v>
      </c>
      <c r="U40" s="62">
        <v>46072.291666666664</v>
      </c>
      <c r="V40" s="63" t="s">
        <v>86</v>
      </c>
      <c r="W40" s="63">
        <v>12403.44</v>
      </c>
      <c r="X40" s="63">
        <v>2500</v>
      </c>
      <c r="Y40" s="63" t="s">
        <v>2189</v>
      </c>
    </row>
    <row r="41" spans="1:25" hidden="1">
      <c r="A41" s="62">
        <v>46071.738599537035</v>
      </c>
      <c r="B41" s="63">
        <v>641513</v>
      </c>
      <c r="C41" s="63" t="s">
        <v>228</v>
      </c>
      <c r="D41" s="63"/>
      <c r="E41" s="62">
        <v>46072.772858796299</v>
      </c>
      <c r="F41" s="63" t="s">
        <v>265</v>
      </c>
      <c r="G41" s="63">
        <v>1724710201</v>
      </c>
      <c r="H41" s="63">
        <v>26563652053167</v>
      </c>
      <c r="I41" s="63" t="s">
        <v>364</v>
      </c>
      <c r="J41" s="63" t="s">
        <v>159</v>
      </c>
      <c r="K41" s="63" t="s">
        <v>64</v>
      </c>
      <c r="L41" s="63" t="s">
        <v>365</v>
      </c>
      <c r="M41" s="63" t="s">
        <v>359</v>
      </c>
      <c r="N41" s="63" t="s">
        <v>341</v>
      </c>
      <c r="O41" s="63" t="s">
        <v>68</v>
      </c>
      <c r="P41" s="63" t="s">
        <v>69</v>
      </c>
      <c r="Q41" s="63">
        <v>9</v>
      </c>
      <c r="R41" s="63">
        <v>0</v>
      </c>
      <c r="S41" s="63" t="s">
        <v>70</v>
      </c>
      <c r="T41" s="63">
        <v>48.362000000000002</v>
      </c>
      <c r="U41" s="62">
        <v>46072.291666666664</v>
      </c>
      <c r="V41" s="63" t="s">
        <v>86</v>
      </c>
      <c r="W41" s="63">
        <v>373.71</v>
      </c>
      <c r="X41" s="63">
        <v>4200</v>
      </c>
      <c r="Y41" s="63" t="s">
        <v>509</v>
      </c>
    </row>
    <row r="42" spans="1:25" hidden="1">
      <c r="A42" s="62">
        <v>46071.738599537035</v>
      </c>
      <c r="B42" s="63">
        <v>641513</v>
      </c>
      <c r="C42" s="63" t="s">
        <v>228</v>
      </c>
      <c r="D42" s="63"/>
      <c r="E42" s="62">
        <v>46072.772858796299</v>
      </c>
      <c r="F42" s="63" t="s">
        <v>265</v>
      </c>
      <c r="G42" s="63">
        <v>1724710201</v>
      </c>
      <c r="H42" s="63">
        <v>26563652053167</v>
      </c>
      <c r="I42" s="63" t="s">
        <v>364</v>
      </c>
      <c r="J42" s="63" t="s">
        <v>159</v>
      </c>
      <c r="K42" s="63" t="s">
        <v>64</v>
      </c>
      <c r="L42" s="63" t="s">
        <v>365</v>
      </c>
      <c r="M42" s="63" t="s">
        <v>359</v>
      </c>
      <c r="N42" s="63" t="s">
        <v>341</v>
      </c>
      <c r="O42" s="63" t="s">
        <v>79</v>
      </c>
      <c r="P42" s="63" t="s">
        <v>80</v>
      </c>
      <c r="Q42" s="63">
        <v>1</v>
      </c>
      <c r="R42" s="63">
        <v>0</v>
      </c>
      <c r="S42" s="63" t="s">
        <v>76</v>
      </c>
      <c r="T42" s="63">
        <v>48.362000000000002</v>
      </c>
      <c r="U42" s="62">
        <v>46072.291666666664</v>
      </c>
      <c r="V42" s="63" t="s">
        <v>86</v>
      </c>
      <c r="W42" s="63">
        <v>373.71</v>
      </c>
      <c r="X42" s="63">
        <v>4200</v>
      </c>
      <c r="Y42" s="63" t="s">
        <v>509</v>
      </c>
    </row>
    <row r="43" spans="1:25" hidden="1">
      <c r="A43" s="62">
        <v>46071.738599537035</v>
      </c>
      <c r="B43" s="63">
        <v>641513</v>
      </c>
      <c r="C43" s="63" t="s">
        <v>228</v>
      </c>
      <c r="D43" s="63"/>
      <c r="E43" s="62">
        <v>46072.772858796299</v>
      </c>
      <c r="F43" s="63" t="s">
        <v>265</v>
      </c>
      <c r="G43" s="63">
        <v>1724730201</v>
      </c>
      <c r="H43" s="63">
        <v>26563652058207</v>
      </c>
      <c r="I43" s="63" t="s">
        <v>367</v>
      </c>
      <c r="J43" s="63" t="s">
        <v>159</v>
      </c>
      <c r="K43" s="63" t="s">
        <v>64</v>
      </c>
      <c r="L43" s="63"/>
      <c r="M43" s="63" t="s">
        <v>368</v>
      </c>
      <c r="N43" s="63" t="s">
        <v>342</v>
      </c>
      <c r="O43" s="63" t="s">
        <v>68</v>
      </c>
      <c r="P43" s="63" t="s">
        <v>69</v>
      </c>
      <c r="Q43" s="63">
        <v>12</v>
      </c>
      <c r="R43" s="63">
        <v>0</v>
      </c>
      <c r="S43" s="63" t="s">
        <v>70</v>
      </c>
      <c r="T43" s="63">
        <v>65.215999999999994</v>
      </c>
      <c r="U43" s="62">
        <v>46072.291666666664</v>
      </c>
      <c r="V43" s="63" t="s">
        <v>86</v>
      </c>
      <c r="W43" s="63">
        <v>459.29</v>
      </c>
      <c r="X43" s="63">
        <v>4200</v>
      </c>
      <c r="Y43" s="63" t="s">
        <v>509</v>
      </c>
    </row>
    <row r="44" spans="1:25" hidden="1">
      <c r="A44" s="62">
        <v>46071.738599537035</v>
      </c>
      <c r="B44" s="63">
        <v>641513</v>
      </c>
      <c r="C44" s="63" t="s">
        <v>228</v>
      </c>
      <c r="D44" s="63"/>
      <c r="E44" s="62">
        <v>46072.772858796299</v>
      </c>
      <c r="F44" s="63" t="s">
        <v>265</v>
      </c>
      <c r="G44" s="63">
        <v>1724730201</v>
      </c>
      <c r="H44" s="63">
        <v>26563652058207</v>
      </c>
      <c r="I44" s="63" t="s">
        <v>367</v>
      </c>
      <c r="J44" s="63" t="s">
        <v>159</v>
      </c>
      <c r="K44" s="63" t="s">
        <v>64</v>
      </c>
      <c r="L44" s="63"/>
      <c r="M44" s="63" t="s">
        <v>368</v>
      </c>
      <c r="N44" s="63" t="s">
        <v>342</v>
      </c>
      <c r="O44" s="63" t="s">
        <v>72</v>
      </c>
      <c r="P44" s="63" t="s">
        <v>73</v>
      </c>
      <c r="Q44" s="63">
        <v>1</v>
      </c>
      <c r="R44" s="63">
        <v>0</v>
      </c>
      <c r="S44" s="63" t="s">
        <v>70</v>
      </c>
      <c r="T44" s="63">
        <v>65.215999999999994</v>
      </c>
      <c r="U44" s="62">
        <v>46072.291666666664</v>
      </c>
      <c r="V44" s="63" t="s">
        <v>86</v>
      </c>
      <c r="W44" s="63">
        <v>459.29</v>
      </c>
      <c r="X44" s="63">
        <v>4200</v>
      </c>
      <c r="Y44" s="63" t="s">
        <v>509</v>
      </c>
    </row>
    <row r="45" spans="1:25" hidden="1">
      <c r="A45" s="62">
        <v>46071.738599537035</v>
      </c>
      <c r="B45" s="63">
        <v>641513</v>
      </c>
      <c r="C45" s="63" t="s">
        <v>228</v>
      </c>
      <c r="D45" s="63"/>
      <c r="E45" s="62">
        <v>46072.772858796299</v>
      </c>
      <c r="F45" s="63" t="s">
        <v>265</v>
      </c>
      <c r="G45" s="63">
        <v>1724750201</v>
      </c>
      <c r="H45" s="63">
        <v>26563652083821</v>
      </c>
      <c r="I45" s="63" t="s">
        <v>233</v>
      </c>
      <c r="J45" s="63" t="s">
        <v>159</v>
      </c>
      <c r="K45" s="63" t="s">
        <v>64</v>
      </c>
      <c r="L45" s="63" t="s">
        <v>234</v>
      </c>
      <c r="M45" s="63" t="s">
        <v>235</v>
      </c>
      <c r="N45" s="63" t="s">
        <v>232</v>
      </c>
      <c r="O45" s="63" t="s">
        <v>68</v>
      </c>
      <c r="P45" s="63" t="s">
        <v>69</v>
      </c>
      <c r="Q45" s="63">
        <v>7</v>
      </c>
      <c r="R45" s="63">
        <v>0</v>
      </c>
      <c r="S45" s="63" t="s">
        <v>70</v>
      </c>
      <c r="T45" s="63">
        <v>45.125999999999998</v>
      </c>
      <c r="U45" s="62">
        <v>46072.291666666664</v>
      </c>
      <c r="V45" s="63" t="s">
        <v>86</v>
      </c>
      <c r="W45" s="63">
        <v>414.05</v>
      </c>
      <c r="X45" s="63">
        <v>4200</v>
      </c>
      <c r="Y45" s="63" t="s">
        <v>509</v>
      </c>
    </row>
    <row r="46" spans="1:25" hidden="1">
      <c r="A46" s="62">
        <v>46071.738599537035</v>
      </c>
      <c r="B46" s="63">
        <v>641513</v>
      </c>
      <c r="C46" s="63" t="s">
        <v>228</v>
      </c>
      <c r="D46" s="63"/>
      <c r="E46" s="62">
        <v>46072.772858796299</v>
      </c>
      <c r="F46" s="63" t="s">
        <v>265</v>
      </c>
      <c r="G46" s="63">
        <v>1724750201</v>
      </c>
      <c r="H46" s="63">
        <v>26563652083821</v>
      </c>
      <c r="I46" s="63" t="s">
        <v>233</v>
      </c>
      <c r="J46" s="63" t="s">
        <v>159</v>
      </c>
      <c r="K46" s="63" t="s">
        <v>64</v>
      </c>
      <c r="L46" s="63" t="s">
        <v>234</v>
      </c>
      <c r="M46" s="63" t="s">
        <v>235</v>
      </c>
      <c r="N46" s="63" t="s">
        <v>232</v>
      </c>
      <c r="O46" s="63" t="s">
        <v>74</v>
      </c>
      <c r="P46" s="63" t="s">
        <v>75</v>
      </c>
      <c r="Q46" s="63">
        <v>1</v>
      </c>
      <c r="R46" s="63">
        <v>0</v>
      </c>
      <c r="S46" s="63" t="s">
        <v>76</v>
      </c>
      <c r="T46" s="63">
        <v>45.125999999999998</v>
      </c>
      <c r="U46" s="62">
        <v>46072.291666666664</v>
      </c>
      <c r="V46" s="63" t="s">
        <v>86</v>
      </c>
      <c r="W46" s="63">
        <v>414.05</v>
      </c>
      <c r="X46" s="63">
        <v>4200</v>
      </c>
      <c r="Y46" s="63" t="s">
        <v>509</v>
      </c>
    </row>
    <row r="47" spans="1:25" hidden="1">
      <c r="A47" s="62">
        <v>46071.738599537035</v>
      </c>
      <c r="B47" s="63">
        <v>641513</v>
      </c>
      <c r="C47" s="63" t="s">
        <v>228</v>
      </c>
      <c r="D47" s="63"/>
      <c r="E47" s="62">
        <v>46072.772858796299</v>
      </c>
      <c r="F47" s="63" t="s">
        <v>265</v>
      </c>
      <c r="G47" s="63">
        <v>1724800201</v>
      </c>
      <c r="H47" s="63">
        <v>26563652055453</v>
      </c>
      <c r="I47" s="63" t="s">
        <v>366</v>
      </c>
      <c r="J47" s="63" t="s">
        <v>159</v>
      </c>
      <c r="K47" s="63" t="s">
        <v>64</v>
      </c>
      <c r="L47" s="63"/>
      <c r="M47" s="63" t="s">
        <v>289</v>
      </c>
      <c r="N47" s="63" t="s">
        <v>341</v>
      </c>
      <c r="O47" s="63" t="s">
        <v>68</v>
      </c>
      <c r="P47" s="63" t="s">
        <v>69</v>
      </c>
      <c r="Q47" s="63">
        <v>5</v>
      </c>
      <c r="R47" s="63">
        <v>0</v>
      </c>
      <c r="S47" s="63" t="s">
        <v>70</v>
      </c>
      <c r="T47" s="63">
        <v>25.09</v>
      </c>
      <c r="U47" s="62">
        <v>46072.291666666664</v>
      </c>
      <c r="V47" s="63" t="s">
        <v>86</v>
      </c>
      <c r="W47" s="63">
        <v>170.95</v>
      </c>
      <c r="X47" s="63">
        <v>4200</v>
      </c>
      <c r="Y47" s="63" t="s">
        <v>509</v>
      </c>
    </row>
    <row r="48" spans="1:25" hidden="1">
      <c r="A48" s="62">
        <v>46071.738599537035</v>
      </c>
      <c r="B48" s="63">
        <v>641513</v>
      </c>
      <c r="C48" s="63" t="s">
        <v>228</v>
      </c>
      <c r="D48" s="63"/>
      <c r="E48" s="62">
        <v>46072.772881944446</v>
      </c>
      <c r="F48" s="63" t="s">
        <v>265</v>
      </c>
      <c r="G48" s="63">
        <v>1725340201</v>
      </c>
      <c r="H48" s="63">
        <v>26563652063472</v>
      </c>
      <c r="I48" s="63" t="s">
        <v>2453</v>
      </c>
      <c r="J48" s="63" t="s">
        <v>159</v>
      </c>
      <c r="K48" s="63" t="s">
        <v>64</v>
      </c>
      <c r="L48" s="63" t="s">
        <v>2454</v>
      </c>
      <c r="M48" s="63" t="s">
        <v>2455</v>
      </c>
      <c r="N48" s="63" t="s">
        <v>236</v>
      </c>
      <c r="O48" s="63" t="s">
        <v>72</v>
      </c>
      <c r="P48" s="63" t="s">
        <v>73</v>
      </c>
      <c r="Q48" s="63">
        <v>2</v>
      </c>
      <c r="R48" s="63">
        <v>0</v>
      </c>
      <c r="S48" s="63" t="s">
        <v>70</v>
      </c>
      <c r="T48" s="63">
        <v>12.5</v>
      </c>
      <c r="U48" s="62">
        <v>46072.291666666664</v>
      </c>
      <c r="V48" s="63" t="s">
        <v>86</v>
      </c>
      <c r="W48" s="63">
        <v>199.82</v>
      </c>
      <c r="X48" s="63">
        <v>4200</v>
      </c>
      <c r="Y48" s="63" t="s">
        <v>509</v>
      </c>
    </row>
    <row r="49" spans="1:25" hidden="1">
      <c r="A49" s="62">
        <v>46071.738599537035</v>
      </c>
      <c r="B49" s="63">
        <v>641513</v>
      </c>
      <c r="C49" s="63" t="s">
        <v>228</v>
      </c>
      <c r="D49" s="63"/>
      <c r="E49" s="62">
        <v>46072.772881944446</v>
      </c>
      <c r="F49" s="63" t="s">
        <v>265</v>
      </c>
      <c r="G49" s="63">
        <v>1725340201</v>
      </c>
      <c r="H49" s="63">
        <v>26563652063472</v>
      </c>
      <c r="I49" s="63" t="s">
        <v>2453</v>
      </c>
      <c r="J49" s="63" t="s">
        <v>159</v>
      </c>
      <c r="K49" s="63" t="s">
        <v>64</v>
      </c>
      <c r="L49" s="63" t="s">
        <v>2454</v>
      </c>
      <c r="M49" s="63" t="s">
        <v>2455</v>
      </c>
      <c r="N49" s="63" t="s">
        <v>236</v>
      </c>
      <c r="O49" s="63" t="s">
        <v>165</v>
      </c>
      <c r="P49" s="63" t="s">
        <v>166</v>
      </c>
      <c r="Q49" s="63">
        <v>1</v>
      </c>
      <c r="R49" s="63">
        <v>0</v>
      </c>
      <c r="S49" s="63" t="s">
        <v>76</v>
      </c>
      <c r="T49" s="63">
        <v>12.5</v>
      </c>
      <c r="U49" s="62">
        <v>46072.291666666664</v>
      </c>
      <c r="V49" s="63" t="s">
        <v>86</v>
      </c>
      <c r="W49" s="63">
        <v>199.82</v>
      </c>
      <c r="X49" s="63">
        <v>4200</v>
      </c>
      <c r="Y49" s="63" t="s">
        <v>509</v>
      </c>
    </row>
    <row r="50" spans="1:25" ht="30" hidden="1">
      <c r="A50" s="62">
        <v>46071.738599537035</v>
      </c>
      <c r="B50" s="63">
        <v>641513</v>
      </c>
      <c r="C50" s="63" t="s">
        <v>228</v>
      </c>
      <c r="D50" s="63"/>
      <c r="E50" s="62">
        <v>46072.772905092592</v>
      </c>
      <c r="F50" s="63" t="s">
        <v>265</v>
      </c>
      <c r="G50" s="63">
        <v>1722930201</v>
      </c>
      <c r="H50" s="63">
        <v>26563652063200</v>
      </c>
      <c r="I50" s="63" t="s">
        <v>2456</v>
      </c>
      <c r="J50" s="63" t="s">
        <v>159</v>
      </c>
      <c r="K50" s="63" t="s">
        <v>64</v>
      </c>
      <c r="L50" s="63" t="s">
        <v>2457</v>
      </c>
      <c r="M50" s="63" t="s">
        <v>2458</v>
      </c>
      <c r="N50" s="63" t="s">
        <v>342</v>
      </c>
      <c r="O50" s="63" t="s">
        <v>68</v>
      </c>
      <c r="P50" s="63" t="s">
        <v>69</v>
      </c>
      <c r="Q50" s="63">
        <v>5</v>
      </c>
      <c r="R50" s="63">
        <v>0</v>
      </c>
      <c r="S50" s="63" t="s">
        <v>70</v>
      </c>
      <c r="T50" s="63">
        <v>25.09</v>
      </c>
      <c r="U50" s="62">
        <v>46072.291666666664</v>
      </c>
      <c r="V50" s="63" t="s">
        <v>86</v>
      </c>
      <c r="W50" s="63">
        <v>170.95</v>
      </c>
      <c r="X50" s="63">
        <v>4200</v>
      </c>
      <c r="Y50" s="63" t="s">
        <v>509</v>
      </c>
    </row>
    <row r="51" spans="1:25" hidden="1">
      <c r="A51" s="62">
        <v>46071.738599537035</v>
      </c>
      <c r="B51" s="63">
        <v>641513</v>
      </c>
      <c r="C51" s="63" t="s">
        <v>228</v>
      </c>
      <c r="D51" s="63"/>
      <c r="E51" s="62">
        <v>46072.772916666669</v>
      </c>
      <c r="F51" s="63" t="s">
        <v>265</v>
      </c>
      <c r="G51" s="63">
        <v>1723030201</v>
      </c>
      <c r="H51" s="63">
        <v>26563652080300</v>
      </c>
      <c r="I51" s="63" t="s">
        <v>343</v>
      </c>
      <c r="J51" s="63" t="s">
        <v>159</v>
      </c>
      <c r="K51" s="63" t="s">
        <v>64</v>
      </c>
      <c r="L51" s="63" t="s">
        <v>344</v>
      </c>
      <c r="M51" s="63" t="s">
        <v>345</v>
      </c>
      <c r="N51" s="63" t="s">
        <v>341</v>
      </c>
      <c r="O51" s="63" t="s">
        <v>68</v>
      </c>
      <c r="P51" s="63" t="s">
        <v>69</v>
      </c>
      <c r="Q51" s="63">
        <v>14</v>
      </c>
      <c r="R51" s="63">
        <v>0</v>
      </c>
      <c r="S51" s="63" t="s">
        <v>70</v>
      </c>
      <c r="T51" s="63">
        <v>86.061999999999998</v>
      </c>
      <c r="U51" s="62">
        <v>46072.291666666664</v>
      </c>
      <c r="V51" s="63" t="s">
        <v>86</v>
      </c>
      <c r="W51" s="63">
        <v>877.42</v>
      </c>
      <c r="X51" s="63">
        <v>4200</v>
      </c>
      <c r="Y51" s="63" t="s">
        <v>509</v>
      </c>
    </row>
    <row r="52" spans="1:25" hidden="1">
      <c r="A52" s="62">
        <v>46071.738599537035</v>
      </c>
      <c r="B52" s="63">
        <v>641513</v>
      </c>
      <c r="C52" s="63" t="s">
        <v>228</v>
      </c>
      <c r="D52" s="63"/>
      <c r="E52" s="62">
        <v>46072.772916666669</v>
      </c>
      <c r="F52" s="63" t="s">
        <v>265</v>
      </c>
      <c r="G52" s="63">
        <v>1723030201</v>
      </c>
      <c r="H52" s="63">
        <v>26563652080300</v>
      </c>
      <c r="I52" s="63" t="s">
        <v>343</v>
      </c>
      <c r="J52" s="63" t="s">
        <v>159</v>
      </c>
      <c r="K52" s="63" t="s">
        <v>64</v>
      </c>
      <c r="L52" s="63" t="s">
        <v>344</v>
      </c>
      <c r="M52" s="63" t="s">
        <v>345</v>
      </c>
      <c r="N52" s="63" t="s">
        <v>341</v>
      </c>
      <c r="O52" s="63" t="s">
        <v>72</v>
      </c>
      <c r="P52" s="63" t="s">
        <v>73</v>
      </c>
      <c r="Q52" s="63">
        <v>1</v>
      </c>
      <c r="R52" s="63">
        <v>0</v>
      </c>
      <c r="S52" s="63" t="s">
        <v>70</v>
      </c>
      <c r="T52" s="63">
        <v>86.061999999999998</v>
      </c>
      <c r="U52" s="62">
        <v>46072.291666666664</v>
      </c>
      <c r="V52" s="63" t="s">
        <v>86</v>
      </c>
      <c r="W52" s="63">
        <v>877.42</v>
      </c>
      <c r="X52" s="63">
        <v>4200</v>
      </c>
      <c r="Y52" s="63" t="s">
        <v>509</v>
      </c>
    </row>
    <row r="53" spans="1:25" hidden="1">
      <c r="A53" s="62">
        <v>46071.738599537035</v>
      </c>
      <c r="B53" s="63">
        <v>641513</v>
      </c>
      <c r="C53" s="63" t="s">
        <v>228</v>
      </c>
      <c r="D53" s="63"/>
      <c r="E53" s="62">
        <v>46072.772916666669</v>
      </c>
      <c r="F53" s="63" t="s">
        <v>265</v>
      </c>
      <c r="G53" s="63">
        <v>1723030201</v>
      </c>
      <c r="H53" s="63">
        <v>26563652080300</v>
      </c>
      <c r="I53" s="63" t="s">
        <v>343</v>
      </c>
      <c r="J53" s="63" t="s">
        <v>159</v>
      </c>
      <c r="K53" s="63" t="s">
        <v>64</v>
      </c>
      <c r="L53" s="63" t="s">
        <v>344</v>
      </c>
      <c r="M53" s="63" t="s">
        <v>345</v>
      </c>
      <c r="N53" s="63" t="s">
        <v>341</v>
      </c>
      <c r="O53" s="63" t="s">
        <v>169</v>
      </c>
      <c r="P53" s="63" t="s">
        <v>170</v>
      </c>
      <c r="Q53" s="63">
        <v>1</v>
      </c>
      <c r="R53" s="63">
        <v>0</v>
      </c>
      <c r="S53" s="63" t="s">
        <v>76</v>
      </c>
      <c r="T53" s="63">
        <v>86.061999999999998</v>
      </c>
      <c r="U53" s="62">
        <v>46072.291666666664</v>
      </c>
      <c r="V53" s="63" t="s">
        <v>86</v>
      </c>
      <c r="W53" s="63">
        <v>877.42</v>
      </c>
      <c r="X53" s="63">
        <v>4200</v>
      </c>
      <c r="Y53" s="63" t="s">
        <v>509</v>
      </c>
    </row>
    <row r="54" spans="1:25" hidden="1">
      <c r="A54" s="62">
        <v>46071.738599537035</v>
      </c>
      <c r="B54" s="63">
        <v>641513</v>
      </c>
      <c r="C54" s="63" t="s">
        <v>228</v>
      </c>
      <c r="D54" s="63"/>
      <c r="E54" s="62">
        <v>46072.772916666669</v>
      </c>
      <c r="F54" s="63" t="s">
        <v>265</v>
      </c>
      <c r="G54" s="63">
        <v>1723030201</v>
      </c>
      <c r="H54" s="63">
        <v>26563652080300</v>
      </c>
      <c r="I54" s="63" t="s">
        <v>343</v>
      </c>
      <c r="J54" s="63" t="s">
        <v>159</v>
      </c>
      <c r="K54" s="63" t="s">
        <v>64</v>
      </c>
      <c r="L54" s="63" t="s">
        <v>344</v>
      </c>
      <c r="M54" s="63" t="s">
        <v>345</v>
      </c>
      <c r="N54" s="63" t="s">
        <v>341</v>
      </c>
      <c r="O54" s="63" t="s">
        <v>175</v>
      </c>
      <c r="P54" s="63" t="s">
        <v>176</v>
      </c>
      <c r="Q54" s="63">
        <v>1</v>
      </c>
      <c r="R54" s="63">
        <v>0</v>
      </c>
      <c r="S54" s="63" t="s">
        <v>76</v>
      </c>
      <c r="T54" s="63">
        <v>86.061999999999998</v>
      </c>
      <c r="U54" s="62">
        <v>46072.291666666664</v>
      </c>
      <c r="V54" s="63" t="s">
        <v>86</v>
      </c>
      <c r="W54" s="63">
        <v>877.42</v>
      </c>
      <c r="X54" s="63">
        <v>4200</v>
      </c>
      <c r="Y54" s="63" t="s">
        <v>509</v>
      </c>
    </row>
    <row r="55" spans="1:25" hidden="1">
      <c r="A55" s="62">
        <v>46071.738599537035</v>
      </c>
      <c r="B55" s="63">
        <v>641513</v>
      </c>
      <c r="C55" s="63" t="s">
        <v>228</v>
      </c>
      <c r="D55" s="63"/>
      <c r="E55" s="62">
        <v>46072.772916666669</v>
      </c>
      <c r="F55" s="63" t="s">
        <v>265</v>
      </c>
      <c r="G55" s="63">
        <v>1725720201</v>
      </c>
      <c r="H55" s="63">
        <v>26563652080806</v>
      </c>
      <c r="I55" s="63" t="s">
        <v>369</v>
      </c>
      <c r="J55" s="63" t="s">
        <v>159</v>
      </c>
      <c r="K55" s="63" t="s">
        <v>64</v>
      </c>
      <c r="L55" s="63" t="s">
        <v>370</v>
      </c>
      <c r="M55" s="63" t="s">
        <v>371</v>
      </c>
      <c r="N55" s="63" t="s">
        <v>341</v>
      </c>
      <c r="O55" s="63" t="s">
        <v>72</v>
      </c>
      <c r="P55" s="63" t="s">
        <v>73</v>
      </c>
      <c r="Q55" s="63">
        <v>2</v>
      </c>
      <c r="R55" s="63">
        <v>0</v>
      </c>
      <c r="S55" s="63" t="s">
        <v>70</v>
      </c>
      <c r="T55" s="63">
        <v>20.63</v>
      </c>
      <c r="U55" s="62">
        <v>46072.291666666664</v>
      </c>
      <c r="V55" s="63" t="s">
        <v>86</v>
      </c>
      <c r="W55" s="63">
        <v>359.02</v>
      </c>
      <c r="X55" s="63">
        <v>4200</v>
      </c>
      <c r="Y55" s="63" t="s">
        <v>509</v>
      </c>
    </row>
    <row r="56" spans="1:25" hidden="1">
      <c r="A56" s="62">
        <v>46071.738599537035</v>
      </c>
      <c r="B56" s="63">
        <v>641513</v>
      </c>
      <c r="C56" s="63" t="s">
        <v>228</v>
      </c>
      <c r="D56" s="63"/>
      <c r="E56" s="62">
        <v>46072.772916666669</v>
      </c>
      <c r="F56" s="63" t="s">
        <v>265</v>
      </c>
      <c r="G56" s="63">
        <v>1725720201</v>
      </c>
      <c r="H56" s="63">
        <v>26563652080806</v>
      </c>
      <c r="I56" s="63" t="s">
        <v>369</v>
      </c>
      <c r="J56" s="63" t="s">
        <v>159</v>
      </c>
      <c r="K56" s="63" t="s">
        <v>64</v>
      </c>
      <c r="L56" s="63" t="s">
        <v>370</v>
      </c>
      <c r="M56" s="63" t="s">
        <v>371</v>
      </c>
      <c r="N56" s="63" t="s">
        <v>341</v>
      </c>
      <c r="O56" s="63" t="s">
        <v>169</v>
      </c>
      <c r="P56" s="63" t="s">
        <v>170</v>
      </c>
      <c r="Q56" s="63">
        <v>1</v>
      </c>
      <c r="R56" s="63">
        <v>0</v>
      </c>
      <c r="S56" s="63" t="s">
        <v>76</v>
      </c>
      <c r="T56" s="63">
        <v>20.63</v>
      </c>
      <c r="U56" s="62">
        <v>46072.291666666664</v>
      </c>
      <c r="V56" s="63" t="s">
        <v>86</v>
      </c>
      <c r="W56" s="63">
        <v>359.02</v>
      </c>
      <c r="X56" s="63">
        <v>4200</v>
      </c>
      <c r="Y56" s="63" t="s">
        <v>509</v>
      </c>
    </row>
    <row r="57" spans="1:25" hidden="1">
      <c r="A57" s="62">
        <v>46071.738599537035</v>
      </c>
      <c r="B57" s="63">
        <v>641513</v>
      </c>
      <c r="C57" s="63" t="s">
        <v>228</v>
      </c>
      <c r="D57" s="63"/>
      <c r="E57" s="62">
        <v>46072.772939814815</v>
      </c>
      <c r="F57" s="63" t="s">
        <v>265</v>
      </c>
      <c r="G57" s="63">
        <v>1723490201</v>
      </c>
      <c r="H57" s="63">
        <v>26563652084046</v>
      </c>
      <c r="I57" s="63" t="s">
        <v>354</v>
      </c>
      <c r="J57" s="63" t="s">
        <v>159</v>
      </c>
      <c r="K57" s="63" t="s">
        <v>64</v>
      </c>
      <c r="L57" s="63" t="s">
        <v>355</v>
      </c>
      <c r="M57" s="63" t="s">
        <v>356</v>
      </c>
      <c r="N57" s="63" t="s">
        <v>341</v>
      </c>
      <c r="O57" s="63" t="s">
        <v>68</v>
      </c>
      <c r="P57" s="63" t="s">
        <v>69</v>
      </c>
      <c r="Q57" s="63">
        <v>10</v>
      </c>
      <c r="R57" s="63">
        <v>0</v>
      </c>
      <c r="S57" s="63" t="s">
        <v>70</v>
      </c>
      <c r="T57" s="63">
        <v>50.18</v>
      </c>
      <c r="U57" s="62">
        <v>46072.291666666664</v>
      </c>
      <c r="V57" s="63" t="s">
        <v>86</v>
      </c>
      <c r="W57" s="63">
        <v>341.9</v>
      </c>
      <c r="X57" s="63">
        <v>4200</v>
      </c>
      <c r="Y57" s="63" t="s">
        <v>509</v>
      </c>
    </row>
    <row r="58" spans="1:25" hidden="1">
      <c r="A58" s="62">
        <v>46071.738599537035</v>
      </c>
      <c r="B58" s="63">
        <v>641513</v>
      </c>
      <c r="C58" s="63" t="s">
        <v>228</v>
      </c>
      <c r="D58" s="63"/>
      <c r="E58" s="62">
        <v>46072.772939814815</v>
      </c>
      <c r="F58" s="63" t="s">
        <v>265</v>
      </c>
      <c r="G58" s="63">
        <v>1723510201</v>
      </c>
      <c r="H58" s="63">
        <v>26563652066064</v>
      </c>
      <c r="I58" s="63" t="s">
        <v>350</v>
      </c>
      <c r="J58" s="63" t="s">
        <v>159</v>
      </c>
      <c r="K58" s="63" t="s">
        <v>64</v>
      </c>
      <c r="L58" s="63"/>
      <c r="M58" s="63" t="s">
        <v>351</v>
      </c>
      <c r="N58" s="63" t="s">
        <v>341</v>
      </c>
      <c r="O58" s="63" t="s">
        <v>68</v>
      </c>
      <c r="P58" s="63" t="s">
        <v>69</v>
      </c>
      <c r="Q58" s="63">
        <v>12</v>
      </c>
      <c r="R58" s="63">
        <v>0</v>
      </c>
      <c r="S58" s="63" t="s">
        <v>70</v>
      </c>
      <c r="T58" s="63">
        <v>60.216000000000001</v>
      </c>
      <c r="U58" s="62">
        <v>46072.291666666664</v>
      </c>
      <c r="V58" s="63" t="s">
        <v>86</v>
      </c>
      <c r="W58" s="63">
        <v>410.28</v>
      </c>
      <c r="X58" s="63">
        <v>4200</v>
      </c>
      <c r="Y58" s="63" t="s">
        <v>509</v>
      </c>
    </row>
    <row r="59" spans="1:25" hidden="1">
      <c r="A59" s="62">
        <v>46071.738599537035</v>
      </c>
      <c r="B59" s="63">
        <v>641513</v>
      </c>
      <c r="C59" s="63" t="s">
        <v>228</v>
      </c>
      <c r="D59" s="63"/>
      <c r="E59" s="62">
        <v>46072.772939814815</v>
      </c>
      <c r="F59" s="63" t="s">
        <v>265</v>
      </c>
      <c r="G59" s="63">
        <v>1723570201</v>
      </c>
      <c r="H59" s="63">
        <v>26563652054058</v>
      </c>
      <c r="I59" s="63" t="s">
        <v>2459</v>
      </c>
      <c r="J59" s="63" t="s">
        <v>159</v>
      </c>
      <c r="K59" s="63" t="s">
        <v>64</v>
      </c>
      <c r="L59" s="63" t="s">
        <v>2460</v>
      </c>
      <c r="M59" s="63" t="s">
        <v>2461</v>
      </c>
      <c r="N59" s="63" t="s">
        <v>232</v>
      </c>
      <c r="O59" s="63" t="s">
        <v>68</v>
      </c>
      <c r="P59" s="63" t="s">
        <v>69</v>
      </c>
      <c r="Q59" s="63">
        <v>11</v>
      </c>
      <c r="R59" s="63">
        <v>0</v>
      </c>
      <c r="S59" s="63" t="s">
        <v>70</v>
      </c>
      <c r="T59" s="63">
        <v>55.198</v>
      </c>
      <c r="U59" s="62">
        <v>46072.291666666664</v>
      </c>
      <c r="V59" s="63" t="s">
        <v>86</v>
      </c>
      <c r="W59" s="63">
        <v>376.09</v>
      </c>
      <c r="X59" s="63">
        <v>4200</v>
      </c>
      <c r="Y59" s="63" t="s">
        <v>509</v>
      </c>
    </row>
    <row r="60" spans="1:25" hidden="1">
      <c r="A60" s="62">
        <v>46071.738599537035</v>
      </c>
      <c r="B60" s="63">
        <v>641513</v>
      </c>
      <c r="C60" s="63" t="s">
        <v>228</v>
      </c>
      <c r="D60" s="63"/>
      <c r="E60" s="62">
        <v>46072.772951388892</v>
      </c>
      <c r="F60" s="63" t="s">
        <v>265</v>
      </c>
      <c r="G60" s="63">
        <v>1723670201</v>
      </c>
      <c r="H60" s="63">
        <v>26563652052195</v>
      </c>
      <c r="I60" s="63" t="s">
        <v>292</v>
      </c>
      <c r="J60" s="63" t="s">
        <v>159</v>
      </c>
      <c r="K60" s="63" t="s">
        <v>64</v>
      </c>
      <c r="L60" s="63"/>
      <c r="M60" s="63" t="s">
        <v>289</v>
      </c>
      <c r="N60" s="63" t="s">
        <v>236</v>
      </c>
      <c r="O60" s="63" t="s">
        <v>68</v>
      </c>
      <c r="P60" s="63" t="s">
        <v>69</v>
      </c>
      <c r="Q60" s="63">
        <v>4</v>
      </c>
      <c r="R60" s="63">
        <v>0</v>
      </c>
      <c r="S60" s="63" t="s">
        <v>70</v>
      </c>
      <c r="T60" s="63">
        <v>25.071999999999999</v>
      </c>
      <c r="U60" s="62">
        <v>46072.291666666664</v>
      </c>
      <c r="V60" s="63" t="s">
        <v>86</v>
      </c>
      <c r="W60" s="63">
        <v>185.77</v>
      </c>
      <c r="X60" s="63">
        <v>4200</v>
      </c>
      <c r="Y60" s="63" t="s">
        <v>509</v>
      </c>
    </row>
    <row r="61" spans="1:25" hidden="1">
      <c r="A61" s="62">
        <v>46071.738599537035</v>
      </c>
      <c r="B61" s="63">
        <v>641513</v>
      </c>
      <c r="C61" s="63" t="s">
        <v>228</v>
      </c>
      <c r="D61" s="63"/>
      <c r="E61" s="62">
        <v>46072.772951388892</v>
      </c>
      <c r="F61" s="63" t="s">
        <v>265</v>
      </c>
      <c r="G61" s="63">
        <v>1723670201</v>
      </c>
      <c r="H61" s="63">
        <v>26563652052195</v>
      </c>
      <c r="I61" s="63" t="s">
        <v>292</v>
      </c>
      <c r="J61" s="63" t="s">
        <v>159</v>
      </c>
      <c r="K61" s="63" t="s">
        <v>64</v>
      </c>
      <c r="L61" s="63"/>
      <c r="M61" s="63" t="s">
        <v>289</v>
      </c>
      <c r="N61" s="63" t="s">
        <v>236</v>
      </c>
      <c r="O61" s="63" t="s">
        <v>72</v>
      </c>
      <c r="P61" s="63" t="s">
        <v>73</v>
      </c>
      <c r="Q61" s="63">
        <v>1</v>
      </c>
      <c r="R61" s="63">
        <v>0</v>
      </c>
      <c r="S61" s="63" t="s">
        <v>70</v>
      </c>
      <c r="T61" s="63">
        <v>25.071999999999999</v>
      </c>
      <c r="U61" s="62">
        <v>46072.291666666664</v>
      </c>
      <c r="V61" s="63" t="s">
        <v>86</v>
      </c>
      <c r="W61" s="63">
        <v>185.77</v>
      </c>
      <c r="X61" s="63">
        <v>4200</v>
      </c>
      <c r="Y61" s="63" t="s">
        <v>509</v>
      </c>
    </row>
    <row r="62" spans="1:25" hidden="1">
      <c r="A62" s="62">
        <v>46071.738599537035</v>
      </c>
      <c r="B62" s="63">
        <v>641513</v>
      </c>
      <c r="C62" s="63" t="s">
        <v>228</v>
      </c>
      <c r="D62" s="63"/>
      <c r="E62" s="62">
        <v>46072.772951388892</v>
      </c>
      <c r="F62" s="63" t="s">
        <v>265</v>
      </c>
      <c r="G62" s="63">
        <v>1723730201</v>
      </c>
      <c r="H62" s="63">
        <v>26563652051628</v>
      </c>
      <c r="I62" s="63" t="s">
        <v>346</v>
      </c>
      <c r="J62" s="63" t="s">
        <v>159</v>
      </c>
      <c r="K62" s="63" t="s">
        <v>64</v>
      </c>
      <c r="L62" s="63"/>
      <c r="M62" s="63" t="s">
        <v>347</v>
      </c>
      <c r="N62" s="63" t="s">
        <v>341</v>
      </c>
      <c r="O62" s="63" t="s">
        <v>68</v>
      </c>
      <c r="P62" s="63" t="s">
        <v>69</v>
      </c>
      <c r="Q62" s="63">
        <v>11</v>
      </c>
      <c r="R62" s="63">
        <v>0</v>
      </c>
      <c r="S62" s="63" t="s">
        <v>70</v>
      </c>
      <c r="T62" s="63">
        <v>55.198</v>
      </c>
      <c r="U62" s="62">
        <v>46072.291666666664</v>
      </c>
      <c r="V62" s="63" t="s">
        <v>86</v>
      </c>
      <c r="W62" s="63">
        <v>376.09</v>
      </c>
      <c r="X62" s="63">
        <v>4200</v>
      </c>
      <c r="Y62" s="63" t="s">
        <v>509</v>
      </c>
    </row>
    <row r="63" spans="1:25" hidden="1">
      <c r="A63" s="62">
        <v>46071.738599537035</v>
      </c>
      <c r="B63" s="63">
        <v>641513</v>
      </c>
      <c r="C63" s="63" t="s">
        <v>228</v>
      </c>
      <c r="D63" s="63"/>
      <c r="E63" s="62">
        <v>46072.772951388892</v>
      </c>
      <c r="F63" s="63" t="s">
        <v>265</v>
      </c>
      <c r="G63" s="63">
        <v>1723750201</v>
      </c>
      <c r="H63" s="63">
        <v>26563652052861</v>
      </c>
      <c r="I63" s="63" t="s">
        <v>357</v>
      </c>
      <c r="J63" s="63" t="s">
        <v>159</v>
      </c>
      <c r="K63" s="63" t="s">
        <v>64</v>
      </c>
      <c r="L63" s="63"/>
      <c r="M63" s="63" t="s">
        <v>358</v>
      </c>
      <c r="N63" s="63" t="s">
        <v>342</v>
      </c>
      <c r="O63" s="63" t="s">
        <v>68</v>
      </c>
      <c r="P63" s="63" t="s">
        <v>69</v>
      </c>
      <c r="Q63" s="63">
        <v>13</v>
      </c>
      <c r="R63" s="63">
        <v>0</v>
      </c>
      <c r="S63" s="63" t="s">
        <v>70</v>
      </c>
      <c r="T63" s="63">
        <v>80.864000000000004</v>
      </c>
      <c r="U63" s="62">
        <v>46072.291666666664</v>
      </c>
      <c r="V63" s="63" t="s">
        <v>86</v>
      </c>
      <c r="W63" s="63">
        <v>754.48</v>
      </c>
      <c r="X63" s="63">
        <v>4200</v>
      </c>
      <c r="Y63" s="63" t="s">
        <v>509</v>
      </c>
    </row>
    <row r="64" spans="1:25" hidden="1">
      <c r="A64" s="62">
        <v>46071.738599537035</v>
      </c>
      <c r="B64" s="63">
        <v>641513</v>
      </c>
      <c r="C64" s="63" t="s">
        <v>228</v>
      </c>
      <c r="D64" s="63"/>
      <c r="E64" s="62">
        <v>46072.772951388892</v>
      </c>
      <c r="F64" s="63" t="s">
        <v>265</v>
      </c>
      <c r="G64" s="63">
        <v>1723750201</v>
      </c>
      <c r="H64" s="63">
        <v>26563652052861</v>
      </c>
      <c r="I64" s="63" t="s">
        <v>357</v>
      </c>
      <c r="J64" s="63" t="s">
        <v>159</v>
      </c>
      <c r="K64" s="63" t="s">
        <v>64</v>
      </c>
      <c r="L64" s="63"/>
      <c r="M64" s="63" t="s">
        <v>358</v>
      </c>
      <c r="N64" s="63" t="s">
        <v>342</v>
      </c>
      <c r="O64" s="63" t="s">
        <v>72</v>
      </c>
      <c r="P64" s="63" t="s">
        <v>73</v>
      </c>
      <c r="Q64" s="63">
        <v>1</v>
      </c>
      <c r="R64" s="63">
        <v>0</v>
      </c>
      <c r="S64" s="63" t="s">
        <v>70</v>
      </c>
      <c r="T64" s="63">
        <v>80.864000000000004</v>
      </c>
      <c r="U64" s="62">
        <v>46072.291666666664</v>
      </c>
      <c r="V64" s="63" t="s">
        <v>86</v>
      </c>
      <c r="W64" s="63">
        <v>754.48</v>
      </c>
      <c r="X64" s="63">
        <v>4200</v>
      </c>
      <c r="Y64" s="63" t="s">
        <v>509</v>
      </c>
    </row>
    <row r="65" spans="1:25" hidden="1">
      <c r="A65" s="62">
        <v>46071.738599537035</v>
      </c>
      <c r="B65" s="63">
        <v>641513</v>
      </c>
      <c r="C65" s="63" t="s">
        <v>228</v>
      </c>
      <c r="D65" s="63"/>
      <c r="E65" s="62">
        <v>46072.772951388892</v>
      </c>
      <c r="F65" s="63" t="s">
        <v>265</v>
      </c>
      <c r="G65" s="63">
        <v>1723750201</v>
      </c>
      <c r="H65" s="63">
        <v>26563652052861</v>
      </c>
      <c r="I65" s="63" t="s">
        <v>357</v>
      </c>
      <c r="J65" s="63" t="s">
        <v>159</v>
      </c>
      <c r="K65" s="63" t="s">
        <v>64</v>
      </c>
      <c r="L65" s="63"/>
      <c r="M65" s="63" t="s">
        <v>358</v>
      </c>
      <c r="N65" s="63" t="s">
        <v>342</v>
      </c>
      <c r="O65" s="63" t="s">
        <v>169</v>
      </c>
      <c r="P65" s="63" t="s">
        <v>170</v>
      </c>
      <c r="Q65" s="63">
        <v>1</v>
      </c>
      <c r="R65" s="63">
        <v>0</v>
      </c>
      <c r="S65" s="63" t="s">
        <v>76</v>
      </c>
      <c r="T65" s="63">
        <v>80.864000000000004</v>
      </c>
      <c r="U65" s="62">
        <v>46072.291666666664</v>
      </c>
      <c r="V65" s="63" t="s">
        <v>86</v>
      </c>
      <c r="W65" s="63">
        <v>754.48</v>
      </c>
      <c r="X65" s="63">
        <v>4200</v>
      </c>
      <c r="Y65" s="63" t="s">
        <v>509</v>
      </c>
    </row>
    <row r="66" spans="1:25" hidden="1">
      <c r="A66" s="62">
        <v>46071.738599537035</v>
      </c>
      <c r="B66" s="63">
        <v>641513</v>
      </c>
      <c r="C66" s="63" t="s">
        <v>228</v>
      </c>
      <c r="D66" s="63"/>
      <c r="E66" s="62">
        <v>46072.772951388892</v>
      </c>
      <c r="F66" s="63" t="s">
        <v>265</v>
      </c>
      <c r="G66" s="63">
        <v>1723810201</v>
      </c>
      <c r="H66" s="63">
        <v>26563652069322</v>
      </c>
      <c r="I66" s="63" t="s">
        <v>348</v>
      </c>
      <c r="J66" s="63" t="s">
        <v>159</v>
      </c>
      <c r="K66" s="63" t="s">
        <v>64</v>
      </c>
      <c r="L66" s="63"/>
      <c r="M66" s="63" t="s">
        <v>349</v>
      </c>
      <c r="N66" s="63" t="s">
        <v>341</v>
      </c>
      <c r="O66" s="63" t="s">
        <v>68</v>
      </c>
      <c r="P66" s="63" t="s">
        <v>69</v>
      </c>
      <c r="Q66" s="63">
        <v>12</v>
      </c>
      <c r="R66" s="63">
        <v>0</v>
      </c>
      <c r="S66" s="63" t="s">
        <v>70</v>
      </c>
      <c r="T66" s="63">
        <v>60.216000000000001</v>
      </c>
      <c r="U66" s="62">
        <v>46072.291666666664</v>
      </c>
      <c r="V66" s="63" t="s">
        <v>86</v>
      </c>
      <c r="W66" s="63">
        <v>410.28</v>
      </c>
      <c r="X66" s="63">
        <v>4200</v>
      </c>
      <c r="Y66" s="63" t="s">
        <v>509</v>
      </c>
    </row>
    <row r="67" spans="1:25" hidden="1">
      <c r="A67" s="62">
        <v>46071.738599537035</v>
      </c>
      <c r="B67" s="63">
        <v>641513</v>
      </c>
      <c r="C67" s="63" t="s">
        <v>228</v>
      </c>
      <c r="D67" s="63"/>
      <c r="E67" s="62">
        <v>46072.772951388892</v>
      </c>
      <c r="F67" s="63" t="s">
        <v>265</v>
      </c>
      <c r="G67" s="63">
        <v>1724070201</v>
      </c>
      <c r="H67" s="63">
        <v>26563652080482</v>
      </c>
      <c r="I67" s="63" t="s">
        <v>352</v>
      </c>
      <c r="J67" s="63" t="s">
        <v>159</v>
      </c>
      <c r="K67" s="63" t="s">
        <v>64</v>
      </c>
      <c r="L67" s="63" t="s">
        <v>353</v>
      </c>
      <c r="M67" s="63" t="s">
        <v>349</v>
      </c>
      <c r="N67" s="63" t="s">
        <v>341</v>
      </c>
      <c r="O67" s="63" t="s">
        <v>68</v>
      </c>
      <c r="P67" s="63" t="s">
        <v>69</v>
      </c>
      <c r="Q67" s="63">
        <v>5</v>
      </c>
      <c r="R67" s="63">
        <v>0</v>
      </c>
      <c r="S67" s="63" t="s">
        <v>70</v>
      </c>
      <c r="T67" s="63">
        <v>32.06</v>
      </c>
      <c r="U67" s="62">
        <v>46072.291666666664</v>
      </c>
      <c r="V67" s="63" t="s">
        <v>86</v>
      </c>
      <c r="W67" s="63">
        <v>437.35</v>
      </c>
      <c r="X67" s="63">
        <v>4200</v>
      </c>
      <c r="Y67" s="63" t="s">
        <v>509</v>
      </c>
    </row>
    <row r="68" spans="1:25" hidden="1">
      <c r="A68" s="62">
        <v>46071.738599537035</v>
      </c>
      <c r="B68" s="63">
        <v>641513</v>
      </c>
      <c r="C68" s="63" t="s">
        <v>228</v>
      </c>
      <c r="D68" s="63"/>
      <c r="E68" s="62">
        <v>46072.772951388892</v>
      </c>
      <c r="F68" s="63" t="s">
        <v>265</v>
      </c>
      <c r="G68" s="63">
        <v>1724070201</v>
      </c>
      <c r="H68" s="63">
        <v>26563652080482</v>
      </c>
      <c r="I68" s="63" t="s">
        <v>352</v>
      </c>
      <c r="J68" s="63" t="s">
        <v>159</v>
      </c>
      <c r="K68" s="63" t="s">
        <v>64</v>
      </c>
      <c r="L68" s="63" t="s">
        <v>353</v>
      </c>
      <c r="M68" s="63" t="s">
        <v>349</v>
      </c>
      <c r="N68" s="63" t="s">
        <v>341</v>
      </c>
      <c r="O68" s="63" t="s">
        <v>161</v>
      </c>
      <c r="P68" s="63" t="s">
        <v>162</v>
      </c>
      <c r="Q68" s="63">
        <v>1</v>
      </c>
      <c r="R68" s="63">
        <v>0</v>
      </c>
      <c r="S68" s="63" t="s">
        <v>76</v>
      </c>
      <c r="T68" s="63">
        <v>32.06</v>
      </c>
      <c r="U68" s="62">
        <v>46072.291666666664</v>
      </c>
      <c r="V68" s="63" t="s">
        <v>86</v>
      </c>
      <c r="W68" s="63">
        <v>437.35</v>
      </c>
      <c r="X68" s="63">
        <v>4200</v>
      </c>
      <c r="Y68" s="63" t="s">
        <v>509</v>
      </c>
    </row>
    <row r="69" spans="1:25" hidden="1">
      <c r="A69" s="62">
        <v>46071.738599537035</v>
      </c>
      <c r="B69" s="63">
        <v>641513</v>
      </c>
      <c r="C69" s="63" t="s">
        <v>228</v>
      </c>
      <c r="D69" s="63"/>
      <c r="E69" s="62">
        <v>46072.772951388892</v>
      </c>
      <c r="F69" s="63" t="s">
        <v>265</v>
      </c>
      <c r="G69" s="63">
        <v>1724090201</v>
      </c>
      <c r="H69" s="63">
        <v>26563652058126</v>
      </c>
      <c r="I69" s="63" t="s">
        <v>360</v>
      </c>
      <c r="J69" s="63" t="s">
        <v>159</v>
      </c>
      <c r="K69" s="63" t="s">
        <v>64</v>
      </c>
      <c r="L69" s="63" t="s">
        <v>361</v>
      </c>
      <c r="M69" s="63" t="s">
        <v>359</v>
      </c>
      <c r="N69" s="63" t="s">
        <v>341</v>
      </c>
      <c r="O69" s="63" t="s">
        <v>68</v>
      </c>
      <c r="P69" s="63" t="s">
        <v>69</v>
      </c>
      <c r="Q69" s="63">
        <v>11</v>
      </c>
      <c r="R69" s="63">
        <v>0</v>
      </c>
      <c r="S69" s="63" t="s">
        <v>70</v>
      </c>
      <c r="T69" s="63">
        <v>60.198</v>
      </c>
      <c r="U69" s="62">
        <v>46072.291666666664</v>
      </c>
      <c r="V69" s="63" t="s">
        <v>86</v>
      </c>
      <c r="W69" s="63">
        <v>425.1</v>
      </c>
      <c r="X69" s="63">
        <v>4200</v>
      </c>
      <c r="Y69" s="63" t="s">
        <v>509</v>
      </c>
    </row>
    <row r="70" spans="1:25" hidden="1">
      <c r="A70" s="62">
        <v>46071.738599537035</v>
      </c>
      <c r="B70" s="63">
        <v>641513</v>
      </c>
      <c r="C70" s="63" t="s">
        <v>228</v>
      </c>
      <c r="D70" s="63"/>
      <c r="E70" s="62">
        <v>46072.772951388892</v>
      </c>
      <c r="F70" s="63" t="s">
        <v>265</v>
      </c>
      <c r="G70" s="63">
        <v>1724090201</v>
      </c>
      <c r="H70" s="63">
        <v>26563652058126</v>
      </c>
      <c r="I70" s="63" t="s">
        <v>360</v>
      </c>
      <c r="J70" s="63" t="s">
        <v>159</v>
      </c>
      <c r="K70" s="63" t="s">
        <v>64</v>
      </c>
      <c r="L70" s="63" t="s">
        <v>361</v>
      </c>
      <c r="M70" s="63" t="s">
        <v>359</v>
      </c>
      <c r="N70" s="63" t="s">
        <v>341</v>
      </c>
      <c r="O70" s="63" t="s">
        <v>72</v>
      </c>
      <c r="P70" s="63" t="s">
        <v>73</v>
      </c>
      <c r="Q70" s="63">
        <v>1</v>
      </c>
      <c r="R70" s="63">
        <v>0</v>
      </c>
      <c r="S70" s="63" t="s">
        <v>70</v>
      </c>
      <c r="T70" s="63">
        <v>60.198</v>
      </c>
      <c r="U70" s="62">
        <v>46072.291666666664</v>
      </c>
      <c r="V70" s="63" t="s">
        <v>86</v>
      </c>
      <c r="W70" s="63">
        <v>425.1</v>
      </c>
      <c r="X70" s="63">
        <v>4200</v>
      </c>
      <c r="Y70" s="63" t="s">
        <v>509</v>
      </c>
    </row>
    <row r="71" spans="1:25" hidden="1">
      <c r="A71" s="62">
        <v>46071.738599537035</v>
      </c>
      <c r="B71" s="63">
        <v>641513</v>
      </c>
      <c r="C71" s="63" t="s">
        <v>228</v>
      </c>
      <c r="D71" s="63"/>
      <c r="E71" s="62">
        <v>46072.772951388892</v>
      </c>
      <c r="F71" s="63" t="s">
        <v>265</v>
      </c>
      <c r="G71" s="63">
        <v>1724110201</v>
      </c>
      <c r="H71" s="63">
        <v>26563652057901</v>
      </c>
      <c r="I71" s="63" t="s">
        <v>290</v>
      </c>
      <c r="J71" s="63" t="s">
        <v>159</v>
      </c>
      <c r="K71" s="63" t="s">
        <v>64</v>
      </c>
      <c r="L71" s="63"/>
      <c r="M71" s="63" t="s">
        <v>291</v>
      </c>
      <c r="N71" s="63" t="s">
        <v>236</v>
      </c>
      <c r="O71" s="63" t="s">
        <v>68</v>
      </c>
      <c r="P71" s="63" t="s">
        <v>69</v>
      </c>
      <c r="Q71" s="63">
        <v>3</v>
      </c>
      <c r="R71" s="63">
        <v>0</v>
      </c>
      <c r="S71" s="63" t="s">
        <v>70</v>
      </c>
      <c r="T71" s="63">
        <v>30.053999999999998</v>
      </c>
      <c r="U71" s="62">
        <v>46072.291666666664</v>
      </c>
      <c r="V71" s="63" t="s">
        <v>86</v>
      </c>
      <c r="W71" s="63">
        <v>326.3</v>
      </c>
      <c r="X71" s="63">
        <v>4200</v>
      </c>
      <c r="Y71" s="63" t="s">
        <v>509</v>
      </c>
    </row>
    <row r="72" spans="1:25" hidden="1">
      <c r="A72" s="62">
        <v>46071.738599537035</v>
      </c>
      <c r="B72" s="63">
        <v>641513</v>
      </c>
      <c r="C72" s="63" t="s">
        <v>228</v>
      </c>
      <c r="D72" s="63"/>
      <c r="E72" s="62">
        <v>46072.772951388892</v>
      </c>
      <c r="F72" s="63" t="s">
        <v>265</v>
      </c>
      <c r="G72" s="63">
        <v>1724110201</v>
      </c>
      <c r="H72" s="63">
        <v>26563652057901</v>
      </c>
      <c r="I72" s="63" t="s">
        <v>290</v>
      </c>
      <c r="J72" s="63" t="s">
        <v>159</v>
      </c>
      <c r="K72" s="63" t="s">
        <v>64</v>
      </c>
      <c r="L72" s="63"/>
      <c r="M72" s="63" t="s">
        <v>291</v>
      </c>
      <c r="N72" s="63" t="s">
        <v>236</v>
      </c>
      <c r="O72" s="63" t="s">
        <v>72</v>
      </c>
      <c r="P72" s="63" t="s">
        <v>73</v>
      </c>
      <c r="Q72" s="63">
        <v>1</v>
      </c>
      <c r="R72" s="63">
        <v>0</v>
      </c>
      <c r="S72" s="63" t="s">
        <v>70</v>
      </c>
      <c r="T72" s="63">
        <v>30.053999999999998</v>
      </c>
      <c r="U72" s="62">
        <v>46072.291666666664</v>
      </c>
      <c r="V72" s="63" t="s">
        <v>86</v>
      </c>
      <c r="W72" s="63">
        <v>326.3</v>
      </c>
      <c r="X72" s="63">
        <v>4200</v>
      </c>
      <c r="Y72" s="63" t="s">
        <v>509</v>
      </c>
    </row>
    <row r="73" spans="1:25" hidden="1">
      <c r="A73" s="62">
        <v>46071.738599537035</v>
      </c>
      <c r="B73" s="63">
        <v>641513</v>
      </c>
      <c r="C73" s="63" t="s">
        <v>228</v>
      </c>
      <c r="D73" s="63"/>
      <c r="E73" s="62">
        <v>46072.772951388892</v>
      </c>
      <c r="F73" s="63" t="s">
        <v>265</v>
      </c>
      <c r="G73" s="63">
        <v>1724110201</v>
      </c>
      <c r="H73" s="63">
        <v>26563652057901</v>
      </c>
      <c r="I73" s="63" t="s">
        <v>290</v>
      </c>
      <c r="J73" s="63" t="s">
        <v>159</v>
      </c>
      <c r="K73" s="63" t="s">
        <v>64</v>
      </c>
      <c r="L73" s="63"/>
      <c r="M73" s="63" t="s">
        <v>291</v>
      </c>
      <c r="N73" s="63" t="s">
        <v>236</v>
      </c>
      <c r="O73" s="63" t="s">
        <v>74</v>
      </c>
      <c r="P73" s="63" t="s">
        <v>75</v>
      </c>
      <c r="Q73" s="63">
        <v>1</v>
      </c>
      <c r="R73" s="63">
        <v>0</v>
      </c>
      <c r="S73" s="63" t="s">
        <v>76</v>
      </c>
      <c r="T73" s="63">
        <v>30.053999999999998</v>
      </c>
      <c r="U73" s="62">
        <v>46072.291666666664</v>
      </c>
      <c r="V73" s="63" t="s">
        <v>86</v>
      </c>
      <c r="W73" s="63">
        <v>326.3</v>
      </c>
      <c r="X73" s="63">
        <v>4200</v>
      </c>
      <c r="Y73" s="63" t="s">
        <v>509</v>
      </c>
    </row>
    <row r="74" spans="1:25" hidden="1">
      <c r="A74" s="62">
        <v>46071.738599537035</v>
      </c>
      <c r="B74" s="63">
        <v>641513</v>
      </c>
      <c r="C74" s="63" t="s">
        <v>228</v>
      </c>
      <c r="D74" s="63"/>
      <c r="E74" s="62">
        <v>46072.772951388892</v>
      </c>
      <c r="F74" s="63" t="s">
        <v>265</v>
      </c>
      <c r="G74" s="63">
        <v>1724130201</v>
      </c>
      <c r="H74" s="63">
        <v>26563652052608</v>
      </c>
      <c r="I74" s="63" t="s">
        <v>230</v>
      </c>
      <c r="J74" s="63" t="s">
        <v>159</v>
      </c>
      <c r="K74" s="63" t="s">
        <v>64</v>
      </c>
      <c r="L74" s="63"/>
      <c r="M74" s="63" t="s">
        <v>231</v>
      </c>
      <c r="N74" s="63" t="s">
        <v>232</v>
      </c>
      <c r="O74" s="63" t="s">
        <v>68</v>
      </c>
      <c r="P74" s="63" t="s">
        <v>69</v>
      </c>
      <c r="Q74" s="63">
        <v>6</v>
      </c>
      <c r="R74" s="63">
        <v>0</v>
      </c>
      <c r="S74" s="63" t="s">
        <v>70</v>
      </c>
      <c r="T74" s="63">
        <v>30.268000000000001</v>
      </c>
      <c r="U74" s="62">
        <v>46072.291666666664</v>
      </c>
      <c r="V74" s="63" t="s">
        <v>86</v>
      </c>
      <c r="W74" s="63">
        <v>354.49</v>
      </c>
      <c r="X74" s="63">
        <v>4200</v>
      </c>
      <c r="Y74" s="63" t="s">
        <v>509</v>
      </c>
    </row>
    <row r="75" spans="1:25" hidden="1">
      <c r="A75" s="62">
        <v>46071.738599537035</v>
      </c>
      <c r="B75" s="63">
        <v>641513</v>
      </c>
      <c r="C75" s="63" t="s">
        <v>228</v>
      </c>
      <c r="D75" s="63"/>
      <c r="E75" s="62">
        <v>46072.772951388892</v>
      </c>
      <c r="F75" s="63" t="s">
        <v>265</v>
      </c>
      <c r="G75" s="63">
        <v>1724130201</v>
      </c>
      <c r="H75" s="63">
        <v>26563652052608</v>
      </c>
      <c r="I75" s="63" t="s">
        <v>230</v>
      </c>
      <c r="J75" s="63" t="s">
        <v>159</v>
      </c>
      <c r="K75" s="63" t="s">
        <v>64</v>
      </c>
      <c r="L75" s="63"/>
      <c r="M75" s="63" t="s">
        <v>231</v>
      </c>
      <c r="N75" s="63" t="s">
        <v>232</v>
      </c>
      <c r="O75" s="63" t="s">
        <v>173</v>
      </c>
      <c r="P75" s="63" t="s">
        <v>174</v>
      </c>
      <c r="Q75" s="63">
        <v>1</v>
      </c>
      <c r="R75" s="63">
        <v>0</v>
      </c>
      <c r="S75" s="63" t="s">
        <v>76</v>
      </c>
      <c r="T75" s="63">
        <v>30.268000000000001</v>
      </c>
      <c r="U75" s="62">
        <v>46072.291666666664</v>
      </c>
      <c r="V75" s="63" t="s">
        <v>86</v>
      </c>
      <c r="W75" s="63">
        <v>354.49</v>
      </c>
      <c r="X75" s="63">
        <v>4200</v>
      </c>
      <c r="Y75" s="63" t="s">
        <v>509</v>
      </c>
    </row>
    <row r="76" spans="1:25" hidden="1">
      <c r="A76" s="62">
        <v>46071.738599537035</v>
      </c>
      <c r="B76" s="63">
        <v>641513</v>
      </c>
      <c r="C76" s="63" t="s">
        <v>228</v>
      </c>
      <c r="D76" s="63"/>
      <c r="E76" s="62">
        <v>46072.772951388892</v>
      </c>
      <c r="F76" s="63" t="s">
        <v>265</v>
      </c>
      <c r="G76" s="63">
        <v>1724170201</v>
      </c>
      <c r="H76" s="63">
        <v>26563652052276</v>
      </c>
      <c r="I76" s="63" t="s">
        <v>2462</v>
      </c>
      <c r="J76" s="63" t="s">
        <v>159</v>
      </c>
      <c r="K76" s="63" t="s">
        <v>64</v>
      </c>
      <c r="L76" s="63" t="s">
        <v>2463</v>
      </c>
      <c r="M76" s="63" t="s">
        <v>2464</v>
      </c>
      <c r="N76" s="63" t="s">
        <v>341</v>
      </c>
      <c r="O76" s="63" t="s">
        <v>68</v>
      </c>
      <c r="P76" s="63" t="s">
        <v>69</v>
      </c>
      <c r="Q76" s="63">
        <v>4</v>
      </c>
      <c r="R76" s="63">
        <v>0</v>
      </c>
      <c r="S76" s="63" t="s">
        <v>70</v>
      </c>
      <c r="T76" s="63">
        <v>40.072000000000003</v>
      </c>
      <c r="U76" s="62">
        <v>46072.291666666664</v>
      </c>
      <c r="V76" s="63" t="s">
        <v>86</v>
      </c>
      <c r="W76" s="63">
        <v>409.5</v>
      </c>
      <c r="X76" s="63">
        <v>4200</v>
      </c>
      <c r="Y76" s="63" t="s">
        <v>509</v>
      </c>
    </row>
    <row r="77" spans="1:25" hidden="1">
      <c r="A77" s="62">
        <v>46071.738599537035</v>
      </c>
      <c r="B77" s="63">
        <v>641513</v>
      </c>
      <c r="C77" s="63" t="s">
        <v>228</v>
      </c>
      <c r="D77" s="63"/>
      <c r="E77" s="62">
        <v>46072.772951388892</v>
      </c>
      <c r="F77" s="63" t="s">
        <v>265</v>
      </c>
      <c r="G77" s="63">
        <v>1724170201</v>
      </c>
      <c r="H77" s="63">
        <v>26563652052276</v>
      </c>
      <c r="I77" s="63" t="s">
        <v>2462</v>
      </c>
      <c r="J77" s="63" t="s">
        <v>159</v>
      </c>
      <c r="K77" s="63" t="s">
        <v>64</v>
      </c>
      <c r="L77" s="63" t="s">
        <v>2463</v>
      </c>
      <c r="M77" s="63" t="s">
        <v>2464</v>
      </c>
      <c r="N77" s="63" t="s">
        <v>341</v>
      </c>
      <c r="O77" s="63" t="s">
        <v>72</v>
      </c>
      <c r="P77" s="63" t="s">
        <v>73</v>
      </c>
      <c r="Q77" s="63">
        <v>2</v>
      </c>
      <c r="R77" s="63">
        <v>0</v>
      </c>
      <c r="S77" s="63" t="s">
        <v>70</v>
      </c>
      <c r="T77" s="63">
        <v>40.072000000000003</v>
      </c>
      <c r="U77" s="62">
        <v>46072.291666666664</v>
      </c>
      <c r="V77" s="63" t="s">
        <v>86</v>
      </c>
      <c r="W77" s="63">
        <v>409.5</v>
      </c>
      <c r="X77" s="63">
        <v>4200</v>
      </c>
      <c r="Y77" s="63" t="s">
        <v>509</v>
      </c>
    </row>
    <row r="78" spans="1:25" hidden="1">
      <c r="A78" s="62">
        <v>46071.738599537035</v>
      </c>
      <c r="B78" s="63">
        <v>641513</v>
      </c>
      <c r="C78" s="63" t="s">
        <v>228</v>
      </c>
      <c r="D78" s="63"/>
      <c r="E78" s="62">
        <v>46072.772951388892</v>
      </c>
      <c r="F78" s="63" t="s">
        <v>265</v>
      </c>
      <c r="G78" s="63">
        <v>1724170201</v>
      </c>
      <c r="H78" s="63">
        <v>26563652052276</v>
      </c>
      <c r="I78" s="63" t="s">
        <v>2462</v>
      </c>
      <c r="J78" s="63" t="s">
        <v>159</v>
      </c>
      <c r="K78" s="63" t="s">
        <v>64</v>
      </c>
      <c r="L78" s="63" t="s">
        <v>2463</v>
      </c>
      <c r="M78" s="63" t="s">
        <v>2464</v>
      </c>
      <c r="N78" s="63" t="s">
        <v>341</v>
      </c>
      <c r="O78" s="63" t="s">
        <v>74</v>
      </c>
      <c r="P78" s="63" t="s">
        <v>75</v>
      </c>
      <c r="Q78" s="63">
        <v>1</v>
      </c>
      <c r="R78" s="63">
        <v>0</v>
      </c>
      <c r="S78" s="63" t="s">
        <v>76</v>
      </c>
      <c r="T78" s="63">
        <v>40.072000000000003</v>
      </c>
      <c r="U78" s="62">
        <v>46072.291666666664</v>
      </c>
      <c r="V78" s="63" t="s">
        <v>86</v>
      </c>
      <c r="W78" s="63">
        <v>409.5</v>
      </c>
      <c r="X78" s="63">
        <v>4200</v>
      </c>
      <c r="Y78" s="63" t="s">
        <v>509</v>
      </c>
    </row>
    <row r="79" spans="1:25" hidden="1">
      <c r="A79" s="62">
        <v>46071.738599537035</v>
      </c>
      <c r="B79" s="63">
        <v>641513</v>
      </c>
      <c r="C79" s="63" t="s">
        <v>228</v>
      </c>
      <c r="D79" s="63"/>
      <c r="E79" s="62">
        <v>46072.772962962961</v>
      </c>
      <c r="F79" s="63" t="s">
        <v>265</v>
      </c>
      <c r="G79" s="63">
        <v>1724190201</v>
      </c>
      <c r="H79" s="63">
        <v>26563652069837</v>
      </c>
      <c r="I79" s="63" t="s">
        <v>362</v>
      </c>
      <c r="J79" s="63" t="s">
        <v>159</v>
      </c>
      <c r="K79" s="63" t="s">
        <v>64</v>
      </c>
      <c r="L79" s="63"/>
      <c r="M79" s="63" t="s">
        <v>363</v>
      </c>
      <c r="N79" s="63" t="s">
        <v>341</v>
      </c>
      <c r="O79" s="63" t="s">
        <v>68</v>
      </c>
      <c r="P79" s="63" t="s">
        <v>69</v>
      </c>
      <c r="Q79" s="63">
        <v>13</v>
      </c>
      <c r="R79" s="63">
        <v>0</v>
      </c>
      <c r="S79" s="63" t="s">
        <v>70</v>
      </c>
      <c r="T79" s="63">
        <v>65.233999999999995</v>
      </c>
      <c r="U79" s="62">
        <v>46072.291666666664</v>
      </c>
      <c r="V79" s="63" t="s">
        <v>86</v>
      </c>
      <c r="W79" s="63">
        <v>444.47</v>
      </c>
      <c r="X79" s="63">
        <v>4200</v>
      </c>
      <c r="Y79" s="63" t="s">
        <v>509</v>
      </c>
    </row>
    <row r="80" spans="1:25" hidden="1">
      <c r="A80" s="62">
        <v>46071.738599537035</v>
      </c>
      <c r="B80" s="63">
        <v>641513</v>
      </c>
      <c r="C80" s="63" t="s">
        <v>228</v>
      </c>
      <c r="D80" s="63"/>
      <c r="E80" s="62">
        <v>46072.772974537038</v>
      </c>
      <c r="F80" s="63" t="s">
        <v>265</v>
      </c>
      <c r="G80" s="63">
        <v>1724570201</v>
      </c>
      <c r="H80" s="63">
        <v>26563652065335</v>
      </c>
      <c r="I80" s="63" t="s">
        <v>2465</v>
      </c>
      <c r="J80" s="63" t="s">
        <v>159</v>
      </c>
      <c r="K80" s="63" t="s">
        <v>64</v>
      </c>
      <c r="L80" s="63" t="s">
        <v>2466</v>
      </c>
      <c r="M80" s="63" t="s">
        <v>96</v>
      </c>
      <c r="N80" s="63" t="s">
        <v>236</v>
      </c>
      <c r="O80" s="63" t="s">
        <v>72</v>
      </c>
      <c r="P80" s="63" t="s">
        <v>73</v>
      </c>
      <c r="Q80" s="63">
        <v>1</v>
      </c>
      <c r="R80" s="63">
        <v>0</v>
      </c>
      <c r="S80" s="63" t="s">
        <v>70</v>
      </c>
      <c r="T80" s="63">
        <v>5.16</v>
      </c>
      <c r="U80" s="62">
        <v>46072.291666666664</v>
      </c>
      <c r="V80" s="63" t="s">
        <v>86</v>
      </c>
      <c r="W80" s="63">
        <v>198.36</v>
      </c>
      <c r="X80" s="63">
        <v>4200</v>
      </c>
      <c r="Y80" s="63" t="s">
        <v>509</v>
      </c>
    </row>
    <row r="81" spans="1:25" hidden="1">
      <c r="A81" s="62">
        <v>46071.738599537035</v>
      </c>
      <c r="B81" s="63">
        <v>641513</v>
      </c>
      <c r="C81" s="63" t="s">
        <v>228</v>
      </c>
      <c r="D81" s="63"/>
      <c r="E81" s="62">
        <v>46072.772974537038</v>
      </c>
      <c r="F81" s="63" t="s">
        <v>265</v>
      </c>
      <c r="G81" s="63">
        <v>1724570201</v>
      </c>
      <c r="H81" s="63">
        <v>26563652065335</v>
      </c>
      <c r="I81" s="63" t="s">
        <v>2465</v>
      </c>
      <c r="J81" s="63" t="s">
        <v>159</v>
      </c>
      <c r="K81" s="63" t="s">
        <v>64</v>
      </c>
      <c r="L81" s="63" t="s">
        <v>2466</v>
      </c>
      <c r="M81" s="63" t="s">
        <v>96</v>
      </c>
      <c r="N81" s="63" t="s">
        <v>236</v>
      </c>
      <c r="O81" s="63" t="s">
        <v>173</v>
      </c>
      <c r="P81" s="63" t="s">
        <v>174</v>
      </c>
      <c r="Q81" s="63">
        <v>1</v>
      </c>
      <c r="R81" s="63">
        <v>0</v>
      </c>
      <c r="S81" s="63" t="s">
        <v>76</v>
      </c>
      <c r="T81" s="63">
        <v>5.16</v>
      </c>
      <c r="U81" s="62">
        <v>46072.291666666664</v>
      </c>
      <c r="V81" s="63" t="s">
        <v>86</v>
      </c>
      <c r="W81" s="63">
        <v>198.36</v>
      </c>
      <c r="X81" s="63">
        <v>4200</v>
      </c>
      <c r="Y81" s="63" t="s">
        <v>509</v>
      </c>
    </row>
    <row r="82" spans="1:25" hidden="1">
      <c r="A82" s="62">
        <v>46071.738599537035</v>
      </c>
      <c r="B82" s="63">
        <v>641514</v>
      </c>
      <c r="C82" s="63" t="s">
        <v>2389</v>
      </c>
      <c r="D82" s="63"/>
      <c r="E82" s="62">
        <v>46072.772835648146</v>
      </c>
      <c r="F82" s="63" t="s">
        <v>373</v>
      </c>
      <c r="G82" s="63">
        <v>1708810201</v>
      </c>
      <c r="H82" s="63">
        <v>2001242000125</v>
      </c>
      <c r="I82" s="63" t="s">
        <v>2354</v>
      </c>
      <c r="J82" s="63" t="s">
        <v>95</v>
      </c>
      <c r="K82" s="63" t="s">
        <v>64</v>
      </c>
      <c r="L82" s="63" t="s">
        <v>2355</v>
      </c>
      <c r="M82" s="63" t="s">
        <v>2356</v>
      </c>
      <c r="N82" s="63" t="s">
        <v>338</v>
      </c>
      <c r="O82" s="63" t="s">
        <v>68</v>
      </c>
      <c r="P82" s="63" t="s">
        <v>69</v>
      </c>
      <c r="Q82" s="63">
        <v>2</v>
      </c>
      <c r="R82" s="63">
        <v>0</v>
      </c>
      <c r="S82" s="63" t="s">
        <v>70</v>
      </c>
      <c r="T82" s="63">
        <v>80.036000000000001</v>
      </c>
      <c r="U82" s="62">
        <v>46072.291666666664</v>
      </c>
      <c r="V82" s="63" t="s">
        <v>86</v>
      </c>
      <c r="W82" s="63">
        <v>519.74</v>
      </c>
      <c r="X82" s="63">
        <v>4200</v>
      </c>
      <c r="Y82" s="63" t="s">
        <v>2219</v>
      </c>
    </row>
    <row r="83" spans="1:25">
      <c r="A83" s="62">
        <v>46071.738599537035</v>
      </c>
      <c r="B83" s="63">
        <v>641514</v>
      </c>
      <c r="C83" s="63" t="s">
        <v>2389</v>
      </c>
      <c r="D83" s="63"/>
      <c r="E83" s="62">
        <v>46072.772835648146</v>
      </c>
      <c r="F83" s="63" t="s">
        <v>373</v>
      </c>
      <c r="G83" s="63">
        <v>1708810201</v>
      </c>
      <c r="H83" s="63">
        <v>2001242000125</v>
      </c>
      <c r="I83" s="63" t="s">
        <v>2354</v>
      </c>
      <c r="J83" s="63" t="s">
        <v>95</v>
      </c>
      <c r="K83" s="63" t="s">
        <v>64</v>
      </c>
      <c r="L83" s="63" t="s">
        <v>2355</v>
      </c>
      <c r="M83" s="63" t="s">
        <v>2356</v>
      </c>
      <c r="N83" s="63" t="s">
        <v>338</v>
      </c>
      <c r="O83" s="63" t="s">
        <v>109</v>
      </c>
      <c r="P83" s="63" t="s">
        <v>110</v>
      </c>
      <c r="Q83" s="63">
        <v>14</v>
      </c>
      <c r="R83" s="63">
        <v>0</v>
      </c>
      <c r="S83" s="63" t="s">
        <v>70</v>
      </c>
      <c r="T83" s="63">
        <v>80.036000000000001</v>
      </c>
      <c r="U83" s="62">
        <v>46072.291666666664</v>
      </c>
      <c r="V83" s="63" t="s">
        <v>86</v>
      </c>
      <c r="W83" s="63">
        <v>519.74</v>
      </c>
      <c r="X83" s="63">
        <v>4200</v>
      </c>
      <c r="Y83" s="63" t="s">
        <v>2219</v>
      </c>
    </row>
    <row r="84" spans="1:25" hidden="1">
      <c r="A84" s="62">
        <v>46071.738599537035</v>
      </c>
      <c r="B84" s="63">
        <v>641514</v>
      </c>
      <c r="C84" s="63" t="s">
        <v>2389</v>
      </c>
      <c r="D84" s="63"/>
      <c r="E84" s="62">
        <v>46072.772847222222</v>
      </c>
      <c r="F84" s="63" t="s">
        <v>373</v>
      </c>
      <c r="G84" s="63">
        <v>1716010201</v>
      </c>
      <c r="H84" s="63">
        <v>9000493000487</v>
      </c>
      <c r="I84" s="63" t="s">
        <v>2467</v>
      </c>
      <c r="J84" s="63" t="s">
        <v>2468</v>
      </c>
      <c r="K84" s="63" t="s">
        <v>64</v>
      </c>
      <c r="L84" s="63" t="s">
        <v>2469</v>
      </c>
      <c r="M84" s="63" t="s">
        <v>2470</v>
      </c>
      <c r="N84" s="63" t="s">
        <v>2204</v>
      </c>
      <c r="O84" s="63" t="s">
        <v>398</v>
      </c>
      <c r="P84" s="63" t="s">
        <v>399</v>
      </c>
      <c r="Q84" s="63">
        <v>20</v>
      </c>
      <c r="R84" s="63">
        <v>0</v>
      </c>
      <c r="S84" s="63" t="s">
        <v>70</v>
      </c>
      <c r="T84" s="63">
        <v>425.2</v>
      </c>
      <c r="U84" s="62">
        <v>46072.291666666664</v>
      </c>
      <c r="V84" s="63" t="s">
        <v>86</v>
      </c>
      <c r="W84" s="63">
        <v>2696.4</v>
      </c>
      <c r="X84" s="63">
        <v>4200</v>
      </c>
      <c r="Y84" s="63" t="s">
        <v>2219</v>
      </c>
    </row>
    <row r="85" spans="1:25" hidden="1">
      <c r="A85" s="62">
        <v>46071.738599537035</v>
      </c>
      <c r="B85" s="63">
        <v>641514</v>
      </c>
      <c r="C85" s="63" t="s">
        <v>2389</v>
      </c>
      <c r="D85" s="63"/>
      <c r="E85" s="62">
        <v>46072.772847222222</v>
      </c>
      <c r="F85" s="63" t="s">
        <v>373</v>
      </c>
      <c r="G85" s="63">
        <v>1716010201</v>
      </c>
      <c r="H85" s="63">
        <v>9000493000487</v>
      </c>
      <c r="I85" s="63" t="s">
        <v>2467</v>
      </c>
      <c r="J85" s="63" t="s">
        <v>2468</v>
      </c>
      <c r="K85" s="63" t="s">
        <v>64</v>
      </c>
      <c r="L85" s="63" t="s">
        <v>2469</v>
      </c>
      <c r="M85" s="63" t="s">
        <v>2470</v>
      </c>
      <c r="N85" s="63" t="s">
        <v>2204</v>
      </c>
      <c r="O85" s="63" t="s">
        <v>280</v>
      </c>
      <c r="P85" s="63" t="s">
        <v>281</v>
      </c>
      <c r="Q85" s="63">
        <v>20</v>
      </c>
      <c r="R85" s="63">
        <v>0</v>
      </c>
      <c r="S85" s="63" t="s">
        <v>70</v>
      </c>
      <c r="T85" s="63">
        <v>425.2</v>
      </c>
      <c r="U85" s="62">
        <v>46072.291666666664</v>
      </c>
      <c r="V85" s="63" t="s">
        <v>86</v>
      </c>
      <c r="W85" s="63">
        <v>2696.4</v>
      </c>
      <c r="X85" s="63">
        <v>4200</v>
      </c>
      <c r="Y85" s="63" t="s">
        <v>2219</v>
      </c>
    </row>
    <row r="86" spans="1:25" hidden="1">
      <c r="A86" s="62">
        <v>46071.738599537035</v>
      </c>
      <c r="B86" s="63">
        <v>641514</v>
      </c>
      <c r="C86" s="63" t="s">
        <v>2389</v>
      </c>
      <c r="D86" s="63"/>
      <c r="E86" s="62">
        <v>46072.772847222222</v>
      </c>
      <c r="F86" s="63" t="s">
        <v>373</v>
      </c>
      <c r="G86" s="63">
        <v>1722010201</v>
      </c>
      <c r="H86" s="63">
        <v>62353476001569</v>
      </c>
      <c r="I86" s="63" t="s">
        <v>2471</v>
      </c>
      <c r="J86" s="63" t="s">
        <v>2472</v>
      </c>
      <c r="K86" s="63" t="s">
        <v>64</v>
      </c>
      <c r="L86" s="63" t="s">
        <v>2473</v>
      </c>
      <c r="M86" s="63" t="s">
        <v>96</v>
      </c>
      <c r="N86" s="63" t="s">
        <v>2348</v>
      </c>
      <c r="O86" s="63" t="s">
        <v>161</v>
      </c>
      <c r="P86" s="63" t="s">
        <v>162</v>
      </c>
      <c r="Q86" s="63">
        <v>2</v>
      </c>
      <c r="R86" s="63">
        <v>0</v>
      </c>
      <c r="S86" s="63" t="s">
        <v>76</v>
      </c>
      <c r="T86" s="63">
        <v>28.36</v>
      </c>
      <c r="U86" s="62">
        <v>46072.291666666664</v>
      </c>
      <c r="V86" s="63" t="s">
        <v>86</v>
      </c>
      <c r="W86" s="63">
        <v>1041.3</v>
      </c>
      <c r="X86" s="63">
        <v>4200</v>
      </c>
      <c r="Y86" s="63" t="s">
        <v>2219</v>
      </c>
    </row>
    <row r="87" spans="1:25" hidden="1">
      <c r="A87" s="62">
        <v>46071.738599537035</v>
      </c>
      <c r="B87" s="63">
        <v>641514</v>
      </c>
      <c r="C87" s="63" t="s">
        <v>2389</v>
      </c>
      <c r="D87" s="63"/>
      <c r="E87" s="62">
        <v>46072.772847222222</v>
      </c>
      <c r="F87" s="63" t="s">
        <v>373</v>
      </c>
      <c r="G87" s="63">
        <v>1722010201</v>
      </c>
      <c r="H87" s="63">
        <v>62353476001569</v>
      </c>
      <c r="I87" s="63" t="s">
        <v>2471</v>
      </c>
      <c r="J87" s="63" t="s">
        <v>2472</v>
      </c>
      <c r="K87" s="63" t="s">
        <v>64</v>
      </c>
      <c r="L87" s="63" t="s">
        <v>2473</v>
      </c>
      <c r="M87" s="63" t="s">
        <v>96</v>
      </c>
      <c r="N87" s="63" t="s">
        <v>2348</v>
      </c>
      <c r="O87" s="63" t="s">
        <v>163</v>
      </c>
      <c r="P87" s="63" t="s">
        <v>164</v>
      </c>
      <c r="Q87" s="63">
        <v>2</v>
      </c>
      <c r="R87" s="63">
        <v>0</v>
      </c>
      <c r="S87" s="63" t="s">
        <v>76</v>
      </c>
      <c r="T87" s="63">
        <v>28.36</v>
      </c>
      <c r="U87" s="62">
        <v>46072.291666666664</v>
      </c>
      <c r="V87" s="63" t="s">
        <v>86</v>
      </c>
      <c r="W87" s="63">
        <v>1041.3</v>
      </c>
      <c r="X87" s="63">
        <v>4200</v>
      </c>
      <c r="Y87" s="63" t="s">
        <v>2219</v>
      </c>
    </row>
    <row r="88" spans="1:25" hidden="1">
      <c r="A88" s="62">
        <v>46071.738599537035</v>
      </c>
      <c r="B88" s="63">
        <v>641514</v>
      </c>
      <c r="C88" s="63" t="s">
        <v>2389</v>
      </c>
      <c r="D88" s="63"/>
      <c r="E88" s="62">
        <v>46072.772847222222</v>
      </c>
      <c r="F88" s="63" t="s">
        <v>373</v>
      </c>
      <c r="G88" s="63">
        <v>1722070201</v>
      </c>
      <c r="H88" s="63">
        <v>62353476002026</v>
      </c>
      <c r="I88" s="63" t="s">
        <v>2474</v>
      </c>
      <c r="J88" s="63" t="s">
        <v>2472</v>
      </c>
      <c r="K88" s="63" t="s">
        <v>64</v>
      </c>
      <c r="L88" s="63" t="s">
        <v>2475</v>
      </c>
      <c r="M88" s="63" t="s">
        <v>96</v>
      </c>
      <c r="N88" s="63" t="s">
        <v>2348</v>
      </c>
      <c r="O88" s="63" t="s">
        <v>161</v>
      </c>
      <c r="P88" s="63" t="s">
        <v>162</v>
      </c>
      <c r="Q88" s="63">
        <v>2</v>
      </c>
      <c r="R88" s="63">
        <v>0</v>
      </c>
      <c r="S88" s="63" t="s">
        <v>76</v>
      </c>
      <c r="T88" s="63">
        <v>13.94</v>
      </c>
      <c r="U88" s="62">
        <v>46072.291666666664</v>
      </c>
      <c r="V88" s="63" t="s">
        <v>86</v>
      </c>
      <c r="W88" s="63">
        <v>532.79999999999995</v>
      </c>
      <c r="X88" s="63">
        <v>4200</v>
      </c>
      <c r="Y88" s="63" t="s">
        <v>2219</v>
      </c>
    </row>
    <row r="89" spans="1:25" hidden="1">
      <c r="A89" s="62">
        <v>46071.738599537035</v>
      </c>
      <c r="B89" s="63">
        <v>641514</v>
      </c>
      <c r="C89" s="63" t="s">
        <v>2389</v>
      </c>
      <c r="D89" s="63"/>
      <c r="E89" s="62">
        <v>46072.772847222222</v>
      </c>
      <c r="F89" s="63" t="s">
        <v>373</v>
      </c>
      <c r="G89" s="63">
        <v>1722110201</v>
      </c>
      <c r="H89" s="63">
        <v>62353476002026</v>
      </c>
      <c r="I89" s="63" t="s">
        <v>2474</v>
      </c>
      <c r="J89" s="63" t="s">
        <v>2472</v>
      </c>
      <c r="K89" s="63" t="s">
        <v>64</v>
      </c>
      <c r="L89" s="63" t="s">
        <v>2475</v>
      </c>
      <c r="M89" s="63" t="s">
        <v>96</v>
      </c>
      <c r="N89" s="63" t="s">
        <v>2348</v>
      </c>
      <c r="O89" s="63" t="s">
        <v>163</v>
      </c>
      <c r="P89" s="63" t="s">
        <v>164</v>
      </c>
      <c r="Q89" s="63">
        <v>2</v>
      </c>
      <c r="R89" s="63">
        <v>0</v>
      </c>
      <c r="S89" s="63" t="s">
        <v>76</v>
      </c>
      <c r="T89" s="63">
        <v>14.42</v>
      </c>
      <c r="U89" s="62">
        <v>46072.291666666664</v>
      </c>
      <c r="V89" s="63" t="s">
        <v>86</v>
      </c>
      <c r="W89" s="63">
        <v>508.5</v>
      </c>
      <c r="X89" s="63">
        <v>4200</v>
      </c>
      <c r="Y89" s="63" t="s">
        <v>2219</v>
      </c>
    </row>
    <row r="90" spans="1:25" hidden="1">
      <c r="A90" s="62">
        <v>46071.738599537035</v>
      </c>
      <c r="B90" s="63">
        <v>641514</v>
      </c>
      <c r="C90" s="63" t="s">
        <v>2389</v>
      </c>
      <c r="D90" s="63"/>
      <c r="E90" s="62">
        <v>46072.772858796299</v>
      </c>
      <c r="F90" s="63" t="s">
        <v>373</v>
      </c>
      <c r="G90" s="63">
        <v>1722150201</v>
      </c>
      <c r="H90" s="63">
        <v>62353476002026</v>
      </c>
      <c r="I90" s="63" t="s">
        <v>2474</v>
      </c>
      <c r="J90" s="63" t="s">
        <v>2472</v>
      </c>
      <c r="K90" s="63" t="s">
        <v>64</v>
      </c>
      <c r="L90" s="63" t="s">
        <v>2475</v>
      </c>
      <c r="M90" s="63" t="s">
        <v>96</v>
      </c>
      <c r="N90" s="63" t="s">
        <v>2348</v>
      </c>
      <c r="O90" s="63" t="s">
        <v>74</v>
      </c>
      <c r="P90" s="63" t="s">
        <v>75</v>
      </c>
      <c r="Q90" s="63">
        <v>3</v>
      </c>
      <c r="R90" s="63">
        <v>0</v>
      </c>
      <c r="S90" s="63" t="s">
        <v>76</v>
      </c>
      <c r="T90" s="63">
        <v>30</v>
      </c>
      <c r="U90" s="62">
        <v>46072.291666666664</v>
      </c>
      <c r="V90" s="63" t="s">
        <v>86</v>
      </c>
      <c r="W90" s="63">
        <v>524.16</v>
      </c>
      <c r="X90" s="63">
        <v>4200</v>
      </c>
      <c r="Y90" s="63" t="s">
        <v>2219</v>
      </c>
    </row>
    <row r="91" spans="1:25" hidden="1">
      <c r="A91" s="62">
        <v>46071.738599537035</v>
      </c>
      <c r="B91" s="63">
        <v>641514</v>
      </c>
      <c r="C91" s="63" t="s">
        <v>2389</v>
      </c>
      <c r="D91" s="63"/>
      <c r="E91" s="62">
        <v>46072.772858796299</v>
      </c>
      <c r="F91" s="63" t="s">
        <v>373</v>
      </c>
      <c r="G91" s="63">
        <v>1722190201</v>
      </c>
      <c r="H91" s="63">
        <v>62353476002026</v>
      </c>
      <c r="I91" s="63" t="s">
        <v>2474</v>
      </c>
      <c r="J91" s="63" t="s">
        <v>2472</v>
      </c>
      <c r="K91" s="63" t="s">
        <v>64</v>
      </c>
      <c r="L91" s="63" t="s">
        <v>2475</v>
      </c>
      <c r="M91" s="63" t="s">
        <v>96</v>
      </c>
      <c r="N91" s="63" t="s">
        <v>2348</v>
      </c>
      <c r="O91" s="63" t="s">
        <v>72</v>
      </c>
      <c r="P91" s="63" t="s">
        <v>73</v>
      </c>
      <c r="Q91" s="63">
        <v>3</v>
      </c>
      <c r="R91" s="63">
        <v>0</v>
      </c>
      <c r="S91" s="63" t="s">
        <v>70</v>
      </c>
      <c r="T91" s="63">
        <v>15</v>
      </c>
      <c r="U91" s="62">
        <v>46072.291666666664</v>
      </c>
      <c r="V91" s="63" t="s">
        <v>86</v>
      </c>
      <c r="W91" s="63">
        <v>147.03</v>
      </c>
      <c r="X91" s="63">
        <v>4200</v>
      </c>
      <c r="Y91" s="63" t="s">
        <v>2219</v>
      </c>
    </row>
    <row r="92" spans="1:25" hidden="1">
      <c r="A92" s="62">
        <v>46071.738599537035</v>
      </c>
      <c r="B92" s="63">
        <v>641514</v>
      </c>
      <c r="C92" s="63" t="s">
        <v>2389</v>
      </c>
      <c r="D92" s="63"/>
      <c r="E92" s="62">
        <v>46072.772858796299</v>
      </c>
      <c r="F92" s="63" t="s">
        <v>373</v>
      </c>
      <c r="G92" s="63">
        <v>1722290201</v>
      </c>
      <c r="H92" s="63">
        <v>62353476002026</v>
      </c>
      <c r="I92" s="63" t="s">
        <v>2474</v>
      </c>
      <c r="J92" s="63" t="s">
        <v>2472</v>
      </c>
      <c r="K92" s="63" t="s">
        <v>64</v>
      </c>
      <c r="L92" s="63" t="s">
        <v>2475</v>
      </c>
      <c r="M92" s="63" t="s">
        <v>96</v>
      </c>
      <c r="N92" s="63" t="s">
        <v>2348</v>
      </c>
      <c r="O92" s="63" t="s">
        <v>68</v>
      </c>
      <c r="P92" s="63" t="s">
        <v>69</v>
      </c>
      <c r="Q92" s="63">
        <v>8</v>
      </c>
      <c r="R92" s="63">
        <v>0</v>
      </c>
      <c r="S92" s="63" t="s">
        <v>70</v>
      </c>
      <c r="T92" s="63">
        <v>40.143999999999998</v>
      </c>
      <c r="U92" s="62">
        <v>46072.291666666664</v>
      </c>
      <c r="V92" s="63" t="s">
        <v>86</v>
      </c>
      <c r="W92" s="63">
        <v>273.52</v>
      </c>
      <c r="X92" s="63">
        <v>4200</v>
      </c>
      <c r="Y92" s="63" t="s">
        <v>2219</v>
      </c>
    </row>
    <row r="93" spans="1:25" hidden="1">
      <c r="A93" s="62">
        <v>46071.738599537035</v>
      </c>
      <c r="B93" s="63">
        <v>641514</v>
      </c>
      <c r="C93" s="63" t="s">
        <v>2389</v>
      </c>
      <c r="D93" s="63"/>
      <c r="E93" s="62">
        <v>46072.772916666669</v>
      </c>
      <c r="F93" s="63" t="s">
        <v>373</v>
      </c>
      <c r="G93" s="63">
        <v>1725740201</v>
      </c>
      <c r="H93" s="63">
        <v>26563652027328</v>
      </c>
      <c r="I93" s="63" t="s">
        <v>2216</v>
      </c>
      <c r="J93" s="63" t="s">
        <v>159</v>
      </c>
      <c r="K93" s="63" t="s">
        <v>64</v>
      </c>
      <c r="L93" s="63"/>
      <c r="M93" s="63" t="s">
        <v>2217</v>
      </c>
      <c r="N93" s="63" t="s">
        <v>2204</v>
      </c>
      <c r="O93" s="63" t="s">
        <v>68</v>
      </c>
      <c r="P93" s="63" t="s">
        <v>69</v>
      </c>
      <c r="Q93" s="63">
        <v>11</v>
      </c>
      <c r="R93" s="63">
        <v>0</v>
      </c>
      <c r="S93" s="63" t="s">
        <v>70</v>
      </c>
      <c r="T93" s="63">
        <v>58.398000000000003</v>
      </c>
      <c r="U93" s="62">
        <v>46072.291666666664</v>
      </c>
      <c r="V93" s="63" t="s">
        <v>86</v>
      </c>
      <c r="W93" s="63">
        <v>442.09</v>
      </c>
      <c r="X93" s="63">
        <v>4200</v>
      </c>
      <c r="Y93" s="63" t="s">
        <v>2219</v>
      </c>
    </row>
    <row r="94" spans="1:25" hidden="1">
      <c r="A94" s="62">
        <v>46071.738599537035</v>
      </c>
      <c r="B94" s="63">
        <v>641514</v>
      </c>
      <c r="C94" s="63" t="s">
        <v>2389</v>
      </c>
      <c r="D94" s="63"/>
      <c r="E94" s="62">
        <v>46072.772916666669</v>
      </c>
      <c r="F94" s="63" t="s">
        <v>373</v>
      </c>
      <c r="G94" s="63">
        <v>1725740201</v>
      </c>
      <c r="H94" s="63">
        <v>26563652027328</v>
      </c>
      <c r="I94" s="63" t="s">
        <v>2216</v>
      </c>
      <c r="J94" s="63" t="s">
        <v>159</v>
      </c>
      <c r="K94" s="63" t="s">
        <v>64</v>
      </c>
      <c r="L94" s="63"/>
      <c r="M94" s="63" t="s">
        <v>2217</v>
      </c>
      <c r="N94" s="63" t="s">
        <v>2204</v>
      </c>
      <c r="O94" s="63" t="s">
        <v>189</v>
      </c>
      <c r="P94" s="63" t="s">
        <v>190</v>
      </c>
      <c r="Q94" s="63">
        <v>1</v>
      </c>
      <c r="R94" s="63">
        <v>0</v>
      </c>
      <c r="S94" s="63" t="s">
        <v>76</v>
      </c>
      <c r="T94" s="63">
        <v>58.398000000000003</v>
      </c>
      <c r="U94" s="62">
        <v>46072.291666666664</v>
      </c>
      <c r="V94" s="63" t="s">
        <v>86</v>
      </c>
      <c r="W94" s="63">
        <v>442.09</v>
      </c>
      <c r="X94" s="63">
        <v>4200</v>
      </c>
      <c r="Y94" s="63" t="s">
        <v>2219</v>
      </c>
    </row>
    <row r="95" spans="1:25" hidden="1">
      <c r="A95" s="62">
        <v>46071.738599537035</v>
      </c>
      <c r="B95" s="63">
        <v>641514</v>
      </c>
      <c r="C95" s="63" t="s">
        <v>2389</v>
      </c>
      <c r="D95" s="63"/>
      <c r="E95" s="62">
        <v>46072.772928240738</v>
      </c>
      <c r="F95" s="63" t="s">
        <v>373</v>
      </c>
      <c r="G95" s="63">
        <v>1725820201</v>
      </c>
      <c r="H95" s="63">
        <v>26563652057073</v>
      </c>
      <c r="I95" s="63" t="s">
        <v>2399</v>
      </c>
      <c r="J95" s="63" t="s">
        <v>159</v>
      </c>
      <c r="K95" s="63" t="s">
        <v>64</v>
      </c>
      <c r="L95" s="63"/>
      <c r="M95" s="63" t="s">
        <v>2359</v>
      </c>
      <c r="N95" s="63" t="s">
        <v>2348</v>
      </c>
      <c r="O95" s="63" t="s">
        <v>68</v>
      </c>
      <c r="P95" s="63" t="s">
        <v>69</v>
      </c>
      <c r="Q95" s="63">
        <v>12</v>
      </c>
      <c r="R95" s="63">
        <v>0</v>
      </c>
      <c r="S95" s="63" t="s">
        <v>70</v>
      </c>
      <c r="T95" s="63">
        <v>60.216000000000001</v>
      </c>
      <c r="U95" s="62">
        <v>46072.291666666664</v>
      </c>
      <c r="V95" s="63" t="s">
        <v>86</v>
      </c>
      <c r="W95" s="63">
        <v>410.28</v>
      </c>
      <c r="X95" s="63">
        <v>4200</v>
      </c>
      <c r="Y95" s="63" t="s">
        <v>2219</v>
      </c>
    </row>
    <row r="96" spans="1:25" hidden="1">
      <c r="A96" s="62">
        <v>46071.738599537035</v>
      </c>
      <c r="B96" s="63">
        <v>641514</v>
      </c>
      <c r="C96" s="63" t="s">
        <v>2389</v>
      </c>
      <c r="D96" s="63"/>
      <c r="E96" s="62">
        <v>46072.772939814815</v>
      </c>
      <c r="F96" s="63" t="s">
        <v>373</v>
      </c>
      <c r="G96" s="63">
        <v>1725880201</v>
      </c>
      <c r="H96" s="63">
        <v>26563652045229</v>
      </c>
      <c r="I96" s="63" t="s">
        <v>2401</v>
      </c>
      <c r="J96" s="63" t="s">
        <v>159</v>
      </c>
      <c r="K96" s="63" t="s">
        <v>64</v>
      </c>
      <c r="L96" s="63" t="s">
        <v>2402</v>
      </c>
      <c r="M96" s="63" t="s">
        <v>160</v>
      </c>
      <c r="N96" s="63" t="s">
        <v>2348</v>
      </c>
      <c r="O96" s="63" t="s">
        <v>68</v>
      </c>
      <c r="P96" s="63" t="s">
        <v>69</v>
      </c>
      <c r="Q96" s="63">
        <v>11</v>
      </c>
      <c r="R96" s="63">
        <v>0</v>
      </c>
      <c r="S96" s="63" t="s">
        <v>70</v>
      </c>
      <c r="T96" s="63">
        <v>60.198</v>
      </c>
      <c r="U96" s="62">
        <v>46072.291666666664</v>
      </c>
      <c r="V96" s="63" t="s">
        <v>86</v>
      </c>
      <c r="W96" s="63">
        <v>425.1</v>
      </c>
      <c r="X96" s="63">
        <v>4200</v>
      </c>
      <c r="Y96" s="63" t="s">
        <v>2219</v>
      </c>
    </row>
    <row r="97" spans="1:25" hidden="1">
      <c r="A97" s="62">
        <v>46071.738599537035</v>
      </c>
      <c r="B97" s="63">
        <v>641514</v>
      </c>
      <c r="C97" s="63" t="s">
        <v>2389</v>
      </c>
      <c r="D97" s="63"/>
      <c r="E97" s="62">
        <v>46072.772939814815</v>
      </c>
      <c r="F97" s="63" t="s">
        <v>373</v>
      </c>
      <c r="G97" s="63">
        <v>1725880201</v>
      </c>
      <c r="H97" s="63">
        <v>26563652045229</v>
      </c>
      <c r="I97" s="63" t="s">
        <v>2401</v>
      </c>
      <c r="J97" s="63" t="s">
        <v>159</v>
      </c>
      <c r="K97" s="63" t="s">
        <v>64</v>
      </c>
      <c r="L97" s="63" t="s">
        <v>2402</v>
      </c>
      <c r="M97" s="63" t="s">
        <v>160</v>
      </c>
      <c r="N97" s="63" t="s">
        <v>2348</v>
      </c>
      <c r="O97" s="63" t="s">
        <v>72</v>
      </c>
      <c r="P97" s="63" t="s">
        <v>73</v>
      </c>
      <c r="Q97" s="63">
        <v>1</v>
      </c>
      <c r="R97" s="63">
        <v>0</v>
      </c>
      <c r="S97" s="63" t="s">
        <v>70</v>
      </c>
      <c r="T97" s="63">
        <v>60.198</v>
      </c>
      <c r="U97" s="62">
        <v>46072.291666666664</v>
      </c>
      <c r="V97" s="63" t="s">
        <v>86</v>
      </c>
      <c r="W97" s="63">
        <v>425.1</v>
      </c>
      <c r="X97" s="63">
        <v>4200</v>
      </c>
      <c r="Y97" s="63" t="s">
        <v>2219</v>
      </c>
    </row>
    <row r="98" spans="1:25" hidden="1">
      <c r="A98" s="62">
        <v>46071.738599537035</v>
      </c>
      <c r="B98" s="63">
        <v>641514</v>
      </c>
      <c r="C98" s="63" t="s">
        <v>2389</v>
      </c>
      <c r="D98" s="63"/>
      <c r="E98" s="62">
        <v>46072.772939814815</v>
      </c>
      <c r="F98" s="63" t="s">
        <v>373</v>
      </c>
      <c r="G98" s="63">
        <v>1726000201</v>
      </c>
      <c r="H98" s="63">
        <v>26563652024817</v>
      </c>
      <c r="I98" s="63" t="s">
        <v>2365</v>
      </c>
      <c r="J98" s="63" t="s">
        <v>159</v>
      </c>
      <c r="K98" s="63" t="s">
        <v>64</v>
      </c>
      <c r="L98" s="63"/>
      <c r="M98" s="63" t="s">
        <v>2366</v>
      </c>
      <c r="N98" s="63" t="s">
        <v>2348</v>
      </c>
      <c r="O98" s="63" t="s">
        <v>68</v>
      </c>
      <c r="P98" s="63" t="s">
        <v>69</v>
      </c>
      <c r="Q98" s="63">
        <v>9</v>
      </c>
      <c r="R98" s="63">
        <v>0</v>
      </c>
      <c r="S98" s="63" t="s">
        <v>70</v>
      </c>
      <c r="T98" s="63">
        <v>50.161999999999999</v>
      </c>
      <c r="U98" s="62">
        <v>46072.291666666664</v>
      </c>
      <c r="V98" s="63" t="s">
        <v>86</v>
      </c>
      <c r="W98" s="63">
        <v>356.72</v>
      </c>
      <c r="X98" s="63">
        <v>4200</v>
      </c>
      <c r="Y98" s="63" t="s">
        <v>2219</v>
      </c>
    </row>
    <row r="99" spans="1:25" hidden="1">
      <c r="A99" s="62">
        <v>46071.738599537035</v>
      </c>
      <c r="B99" s="63">
        <v>641514</v>
      </c>
      <c r="C99" s="63" t="s">
        <v>2389</v>
      </c>
      <c r="D99" s="63"/>
      <c r="E99" s="62">
        <v>46072.772939814815</v>
      </c>
      <c r="F99" s="63" t="s">
        <v>373</v>
      </c>
      <c r="G99" s="63">
        <v>1726000201</v>
      </c>
      <c r="H99" s="63">
        <v>26563652024817</v>
      </c>
      <c r="I99" s="63" t="s">
        <v>2365</v>
      </c>
      <c r="J99" s="63" t="s">
        <v>159</v>
      </c>
      <c r="K99" s="63" t="s">
        <v>64</v>
      </c>
      <c r="L99" s="63"/>
      <c r="M99" s="63" t="s">
        <v>2366</v>
      </c>
      <c r="N99" s="63" t="s">
        <v>2348</v>
      </c>
      <c r="O99" s="63" t="s">
        <v>72</v>
      </c>
      <c r="P99" s="63" t="s">
        <v>73</v>
      </c>
      <c r="Q99" s="63">
        <v>1</v>
      </c>
      <c r="R99" s="63">
        <v>0</v>
      </c>
      <c r="S99" s="63" t="s">
        <v>70</v>
      </c>
      <c r="T99" s="63">
        <v>50.161999999999999</v>
      </c>
      <c r="U99" s="62">
        <v>46072.291666666664</v>
      </c>
      <c r="V99" s="63" t="s">
        <v>86</v>
      </c>
      <c r="W99" s="63">
        <v>356.72</v>
      </c>
      <c r="X99" s="63">
        <v>4200</v>
      </c>
      <c r="Y99" s="63" t="s">
        <v>2219</v>
      </c>
    </row>
    <row r="100" spans="1:25" hidden="1">
      <c r="A100" s="62">
        <v>46071.738599537035</v>
      </c>
      <c r="B100" s="63">
        <v>641514</v>
      </c>
      <c r="C100" s="63" t="s">
        <v>2389</v>
      </c>
      <c r="D100" s="63"/>
      <c r="E100" s="62">
        <v>46072.772951388892</v>
      </c>
      <c r="F100" s="63" t="s">
        <v>373</v>
      </c>
      <c r="G100" s="63">
        <v>1726230201</v>
      </c>
      <c r="H100" s="63">
        <v>26563652031511</v>
      </c>
      <c r="I100" s="63" t="s">
        <v>2476</v>
      </c>
      <c r="J100" s="63" t="s">
        <v>159</v>
      </c>
      <c r="K100" s="63" t="s">
        <v>64</v>
      </c>
      <c r="L100" s="63" t="s">
        <v>2477</v>
      </c>
      <c r="M100" s="63" t="s">
        <v>2366</v>
      </c>
      <c r="N100" s="63" t="s">
        <v>2348</v>
      </c>
      <c r="O100" s="63" t="s">
        <v>68</v>
      </c>
      <c r="P100" s="63" t="s">
        <v>69</v>
      </c>
      <c r="Q100" s="63">
        <v>6</v>
      </c>
      <c r="R100" s="63">
        <v>0</v>
      </c>
      <c r="S100" s="63" t="s">
        <v>70</v>
      </c>
      <c r="T100" s="63">
        <v>30.108000000000001</v>
      </c>
      <c r="U100" s="62">
        <v>46072.291666666664</v>
      </c>
      <c r="V100" s="63" t="s">
        <v>86</v>
      </c>
      <c r="W100" s="63">
        <v>205.14</v>
      </c>
      <c r="X100" s="63">
        <v>4200</v>
      </c>
      <c r="Y100" s="63" t="s">
        <v>2219</v>
      </c>
    </row>
    <row r="101" spans="1:25" hidden="1">
      <c r="A101" s="62">
        <v>46071.738599537035</v>
      </c>
      <c r="B101" s="63">
        <v>641514</v>
      </c>
      <c r="C101" s="63" t="s">
        <v>2389</v>
      </c>
      <c r="D101" s="63"/>
      <c r="E101" s="62">
        <v>46072.772962962961</v>
      </c>
      <c r="F101" s="63" t="s">
        <v>373</v>
      </c>
      <c r="G101" s="63">
        <v>1726270201</v>
      </c>
      <c r="H101" s="63">
        <v>26563652037200</v>
      </c>
      <c r="I101" s="63" t="s">
        <v>2357</v>
      </c>
      <c r="J101" s="63" t="s">
        <v>159</v>
      </c>
      <c r="K101" s="63" t="s">
        <v>64</v>
      </c>
      <c r="L101" s="63" t="s">
        <v>2358</v>
      </c>
      <c r="M101" s="63" t="s">
        <v>2359</v>
      </c>
      <c r="N101" s="63" t="s">
        <v>2348</v>
      </c>
      <c r="O101" s="63" t="s">
        <v>68</v>
      </c>
      <c r="P101" s="63" t="s">
        <v>69</v>
      </c>
      <c r="Q101" s="63">
        <v>6</v>
      </c>
      <c r="R101" s="63">
        <v>0</v>
      </c>
      <c r="S101" s="63" t="s">
        <v>70</v>
      </c>
      <c r="T101" s="63">
        <v>30.108000000000001</v>
      </c>
      <c r="U101" s="62">
        <v>46072.291666666664</v>
      </c>
      <c r="V101" s="63" t="s">
        <v>86</v>
      </c>
      <c r="W101" s="63">
        <v>205.14</v>
      </c>
      <c r="X101" s="63">
        <v>4200</v>
      </c>
      <c r="Y101" s="63" t="s">
        <v>2219</v>
      </c>
    </row>
    <row r="102" spans="1:25" hidden="1">
      <c r="A102" s="62">
        <v>46071.738599537035</v>
      </c>
      <c r="B102" s="63">
        <v>641514</v>
      </c>
      <c r="C102" s="63" t="s">
        <v>2389</v>
      </c>
      <c r="D102" s="63"/>
      <c r="E102" s="62">
        <v>46072.772962962961</v>
      </c>
      <c r="F102" s="63" t="s">
        <v>373</v>
      </c>
      <c r="G102" s="63">
        <v>1726290201</v>
      </c>
      <c r="H102" s="63">
        <v>26563652060961</v>
      </c>
      <c r="I102" s="63" t="s">
        <v>2408</v>
      </c>
      <c r="J102" s="63" t="s">
        <v>159</v>
      </c>
      <c r="K102" s="63" t="s">
        <v>64</v>
      </c>
      <c r="L102" s="63"/>
      <c r="M102" s="63" t="s">
        <v>160</v>
      </c>
      <c r="N102" s="63" t="s">
        <v>2348</v>
      </c>
      <c r="O102" s="63" t="s">
        <v>68</v>
      </c>
      <c r="P102" s="63" t="s">
        <v>69</v>
      </c>
      <c r="Q102" s="63">
        <v>7</v>
      </c>
      <c r="R102" s="63">
        <v>0</v>
      </c>
      <c r="S102" s="63" t="s">
        <v>70</v>
      </c>
      <c r="T102" s="63">
        <v>62.725999999999999</v>
      </c>
      <c r="U102" s="62">
        <v>46072.291666666664</v>
      </c>
      <c r="V102" s="63" t="s">
        <v>86</v>
      </c>
      <c r="W102" s="63">
        <v>941.45</v>
      </c>
      <c r="X102" s="63">
        <v>4200</v>
      </c>
      <c r="Y102" s="63" t="s">
        <v>2219</v>
      </c>
    </row>
    <row r="103" spans="1:25" hidden="1">
      <c r="A103" s="62">
        <v>46071.738599537035</v>
      </c>
      <c r="B103" s="63">
        <v>641514</v>
      </c>
      <c r="C103" s="63" t="s">
        <v>2389</v>
      </c>
      <c r="D103" s="63"/>
      <c r="E103" s="62">
        <v>46072.772962962961</v>
      </c>
      <c r="F103" s="63" t="s">
        <v>373</v>
      </c>
      <c r="G103" s="63">
        <v>1726290201</v>
      </c>
      <c r="H103" s="63">
        <v>26563652060961</v>
      </c>
      <c r="I103" s="63" t="s">
        <v>2408</v>
      </c>
      <c r="J103" s="63" t="s">
        <v>159</v>
      </c>
      <c r="K103" s="63" t="s">
        <v>64</v>
      </c>
      <c r="L103" s="63"/>
      <c r="M103" s="63" t="s">
        <v>160</v>
      </c>
      <c r="N103" s="63" t="s">
        <v>2348</v>
      </c>
      <c r="O103" s="63" t="s">
        <v>74</v>
      </c>
      <c r="P103" s="63" t="s">
        <v>75</v>
      </c>
      <c r="Q103" s="63">
        <v>1</v>
      </c>
      <c r="R103" s="63">
        <v>0</v>
      </c>
      <c r="S103" s="63" t="s">
        <v>76</v>
      </c>
      <c r="T103" s="63">
        <v>62.725999999999999</v>
      </c>
      <c r="U103" s="62">
        <v>46072.291666666664</v>
      </c>
      <c r="V103" s="63" t="s">
        <v>86</v>
      </c>
      <c r="W103" s="63">
        <v>941.45</v>
      </c>
      <c r="X103" s="63">
        <v>4200</v>
      </c>
      <c r="Y103" s="63" t="s">
        <v>2219</v>
      </c>
    </row>
    <row r="104" spans="1:25" hidden="1">
      <c r="A104" s="62">
        <v>46071.738599537035</v>
      </c>
      <c r="B104" s="63">
        <v>641514</v>
      </c>
      <c r="C104" s="63" t="s">
        <v>2389</v>
      </c>
      <c r="D104" s="63"/>
      <c r="E104" s="62">
        <v>46072.772962962961</v>
      </c>
      <c r="F104" s="63" t="s">
        <v>373</v>
      </c>
      <c r="G104" s="63">
        <v>1726290201</v>
      </c>
      <c r="H104" s="63">
        <v>26563652060961</v>
      </c>
      <c r="I104" s="63" t="s">
        <v>2408</v>
      </c>
      <c r="J104" s="63" t="s">
        <v>159</v>
      </c>
      <c r="K104" s="63" t="s">
        <v>64</v>
      </c>
      <c r="L104" s="63"/>
      <c r="M104" s="63" t="s">
        <v>160</v>
      </c>
      <c r="N104" s="63" t="s">
        <v>2348</v>
      </c>
      <c r="O104" s="63" t="s">
        <v>169</v>
      </c>
      <c r="P104" s="63" t="s">
        <v>170</v>
      </c>
      <c r="Q104" s="63">
        <v>1</v>
      </c>
      <c r="R104" s="63">
        <v>0</v>
      </c>
      <c r="S104" s="63" t="s">
        <v>76</v>
      </c>
      <c r="T104" s="63">
        <v>62.725999999999999</v>
      </c>
      <c r="U104" s="62">
        <v>46072.291666666664</v>
      </c>
      <c r="V104" s="63" t="s">
        <v>86</v>
      </c>
      <c r="W104" s="63">
        <v>941.45</v>
      </c>
      <c r="X104" s="63">
        <v>4200</v>
      </c>
      <c r="Y104" s="63" t="s">
        <v>2219</v>
      </c>
    </row>
    <row r="105" spans="1:25" hidden="1">
      <c r="A105" s="62">
        <v>46071.738599537035</v>
      </c>
      <c r="B105" s="63">
        <v>641514</v>
      </c>
      <c r="C105" s="63" t="s">
        <v>2389</v>
      </c>
      <c r="D105" s="63"/>
      <c r="E105" s="62">
        <v>46072.772962962961</v>
      </c>
      <c r="F105" s="63" t="s">
        <v>373</v>
      </c>
      <c r="G105" s="63">
        <v>1726290201</v>
      </c>
      <c r="H105" s="63">
        <v>26563652060961</v>
      </c>
      <c r="I105" s="63" t="s">
        <v>2408</v>
      </c>
      <c r="J105" s="63" t="s">
        <v>159</v>
      </c>
      <c r="K105" s="63" t="s">
        <v>64</v>
      </c>
      <c r="L105" s="63"/>
      <c r="M105" s="63" t="s">
        <v>160</v>
      </c>
      <c r="N105" s="63" t="s">
        <v>2348</v>
      </c>
      <c r="O105" s="63" t="s">
        <v>161</v>
      </c>
      <c r="P105" s="63" t="s">
        <v>162</v>
      </c>
      <c r="Q105" s="63">
        <v>1</v>
      </c>
      <c r="R105" s="63">
        <v>0</v>
      </c>
      <c r="S105" s="63" t="s">
        <v>76</v>
      </c>
      <c r="T105" s="63">
        <v>62.725999999999999</v>
      </c>
      <c r="U105" s="62">
        <v>46072.291666666664</v>
      </c>
      <c r="V105" s="63" t="s">
        <v>86</v>
      </c>
      <c r="W105" s="63">
        <v>941.45</v>
      </c>
      <c r="X105" s="63">
        <v>4200</v>
      </c>
      <c r="Y105" s="63" t="s">
        <v>2219</v>
      </c>
    </row>
    <row r="106" spans="1:25" hidden="1">
      <c r="A106" s="62">
        <v>46071.738599537035</v>
      </c>
      <c r="B106" s="63">
        <v>641514</v>
      </c>
      <c r="C106" s="63" t="s">
        <v>2389</v>
      </c>
      <c r="D106" s="63"/>
      <c r="E106" s="62">
        <v>46072.772962962961</v>
      </c>
      <c r="F106" s="63" t="s">
        <v>373</v>
      </c>
      <c r="G106" s="63">
        <v>1726310201</v>
      </c>
      <c r="H106" s="63">
        <v>26563652016474</v>
      </c>
      <c r="I106" s="63" t="s">
        <v>2396</v>
      </c>
      <c r="J106" s="63" t="s">
        <v>159</v>
      </c>
      <c r="K106" s="63" t="s">
        <v>64</v>
      </c>
      <c r="L106" s="63"/>
      <c r="M106" s="63" t="s">
        <v>160</v>
      </c>
      <c r="N106" s="63" t="s">
        <v>2348</v>
      </c>
      <c r="O106" s="63" t="s">
        <v>68</v>
      </c>
      <c r="P106" s="63" t="s">
        <v>69</v>
      </c>
      <c r="Q106" s="63">
        <v>5</v>
      </c>
      <c r="R106" s="63">
        <v>0</v>
      </c>
      <c r="S106" s="63" t="s">
        <v>70</v>
      </c>
      <c r="T106" s="63">
        <v>35.090000000000003</v>
      </c>
      <c r="U106" s="62">
        <v>46072.291666666664</v>
      </c>
      <c r="V106" s="63" t="s">
        <v>86</v>
      </c>
      <c r="W106" s="63">
        <v>423.56</v>
      </c>
      <c r="X106" s="63">
        <v>4200</v>
      </c>
      <c r="Y106" s="63" t="s">
        <v>2219</v>
      </c>
    </row>
    <row r="107" spans="1:25" hidden="1">
      <c r="A107" s="62">
        <v>46071.738599537035</v>
      </c>
      <c r="B107" s="63">
        <v>641514</v>
      </c>
      <c r="C107" s="63" t="s">
        <v>2389</v>
      </c>
      <c r="D107" s="63"/>
      <c r="E107" s="62">
        <v>46072.772962962961</v>
      </c>
      <c r="F107" s="63" t="s">
        <v>373</v>
      </c>
      <c r="G107" s="63">
        <v>1726310201</v>
      </c>
      <c r="H107" s="63">
        <v>26563652016474</v>
      </c>
      <c r="I107" s="63" t="s">
        <v>2396</v>
      </c>
      <c r="J107" s="63" t="s">
        <v>159</v>
      </c>
      <c r="K107" s="63" t="s">
        <v>64</v>
      </c>
      <c r="L107" s="63"/>
      <c r="M107" s="63" t="s">
        <v>160</v>
      </c>
      <c r="N107" s="63" t="s">
        <v>2348</v>
      </c>
      <c r="O107" s="63" t="s">
        <v>72</v>
      </c>
      <c r="P107" s="63" t="s">
        <v>73</v>
      </c>
      <c r="Q107" s="63">
        <v>1</v>
      </c>
      <c r="R107" s="63">
        <v>0</v>
      </c>
      <c r="S107" s="63" t="s">
        <v>70</v>
      </c>
      <c r="T107" s="63">
        <v>35.090000000000003</v>
      </c>
      <c r="U107" s="62">
        <v>46072.291666666664</v>
      </c>
      <c r="V107" s="63" t="s">
        <v>86</v>
      </c>
      <c r="W107" s="63">
        <v>423.56</v>
      </c>
      <c r="X107" s="63">
        <v>4200</v>
      </c>
      <c r="Y107" s="63" t="s">
        <v>2219</v>
      </c>
    </row>
    <row r="108" spans="1:25" hidden="1">
      <c r="A108" s="62">
        <v>46071.738599537035</v>
      </c>
      <c r="B108" s="63">
        <v>641514</v>
      </c>
      <c r="C108" s="63" t="s">
        <v>2389</v>
      </c>
      <c r="D108" s="63"/>
      <c r="E108" s="62">
        <v>46072.772962962961</v>
      </c>
      <c r="F108" s="63" t="s">
        <v>373</v>
      </c>
      <c r="G108" s="63">
        <v>1726310201</v>
      </c>
      <c r="H108" s="63">
        <v>26563652016474</v>
      </c>
      <c r="I108" s="63" t="s">
        <v>2396</v>
      </c>
      <c r="J108" s="63" t="s">
        <v>159</v>
      </c>
      <c r="K108" s="63" t="s">
        <v>64</v>
      </c>
      <c r="L108" s="63"/>
      <c r="M108" s="63" t="s">
        <v>160</v>
      </c>
      <c r="N108" s="63" t="s">
        <v>2348</v>
      </c>
      <c r="O108" s="63" t="s">
        <v>165</v>
      </c>
      <c r="P108" s="63" t="s">
        <v>166</v>
      </c>
      <c r="Q108" s="63">
        <v>2</v>
      </c>
      <c r="R108" s="63">
        <v>0</v>
      </c>
      <c r="S108" s="63" t="s">
        <v>76</v>
      </c>
      <c r="T108" s="63">
        <v>35.090000000000003</v>
      </c>
      <c r="U108" s="62">
        <v>46072.291666666664</v>
      </c>
      <c r="V108" s="63" t="s">
        <v>86</v>
      </c>
      <c r="W108" s="63">
        <v>423.56</v>
      </c>
      <c r="X108" s="63">
        <v>4200</v>
      </c>
      <c r="Y108" s="63" t="s">
        <v>2219</v>
      </c>
    </row>
    <row r="109" spans="1:25" hidden="1">
      <c r="A109" s="62">
        <v>46071.738599537035</v>
      </c>
      <c r="B109" s="63">
        <v>641514</v>
      </c>
      <c r="C109" s="63" t="s">
        <v>2389</v>
      </c>
      <c r="D109" s="63"/>
      <c r="E109" s="62">
        <v>46072.772962962961</v>
      </c>
      <c r="F109" s="63" t="s">
        <v>373</v>
      </c>
      <c r="G109" s="63">
        <v>1726430201</v>
      </c>
      <c r="H109" s="63">
        <v>26563652031430</v>
      </c>
      <c r="I109" s="63" t="s">
        <v>2397</v>
      </c>
      <c r="J109" s="63" t="s">
        <v>159</v>
      </c>
      <c r="K109" s="63" t="s">
        <v>64</v>
      </c>
      <c r="L109" s="63"/>
      <c r="M109" s="63" t="s">
        <v>2398</v>
      </c>
      <c r="N109" s="63" t="s">
        <v>2348</v>
      </c>
      <c r="O109" s="63" t="s">
        <v>68</v>
      </c>
      <c r="P109" s="63" t="s">
        <v>69</v>
      </c>
      <c r="Q109" s="63">
        <v>5</v>
      </c>
      <c r="R109" s="63">
        <v>0</v>
      </c>
      <c r="S109" s="63" t="s">
        <v>70</v>
      </c>
      <c r="T109" s="63">
        <v>26.76</v>
      </c>
      <c r="U109" s="62">
        <v>46072.291666666664</v>
      </c>
      <c r="V109" s="63" t="s">
        <v>86</v>
      </c>
      <c r="W109" s="63">
        <v>288.35000000000002</v>
      </c>
      <c r="X109" s="63">
        <v>4200</v>
      </c>
      <c r="Y109" s="63" t="s">
        <v>2219</v>
      </c>
    </row>
    <row r="110" spans="1:25" hidden="1">
      <c r="A110" s="62">
        <v>46071.738599537035</v>
      </c>
      <c r="B110" s="63">
        <v>641514</v>
      </c>
      <c r="C110" s="63" t="s">
        <v>2389</v>
      </c>
      <c r="D110" s="63"/>
      <c r="E110" s="62">
        <v>46072.772962962961</v>
      </c>
      <c r="F110" s="63" t="s">
        <v>373</v>
      </c>
      <c r="G110" s="63">
        <v>1726430201</v>
      </c>
      <c r="H110" s="63">
        <v>26563652031430</v>
      </c>
      <c r="I110" s="63" t="s">
        <v>2397</v>
      </c>
      <c r="J110" s="63" t="s">
        <v>159</v>
      </c>
      <c r="K110" s="63" t="s">
        <v>64</v>
      </c>
      <c r="L110" s="63"/>
      <c r="M110" s="63" t="s">
        <v>2398</v>
      </c>
      <c r="N110" s="63" t="s">
        <v>2348</v>
      </c>
      <c r="O110" s="63" t="s">
        <v>167</v>
      </c>
      <c r="P110" s="63" t="s">
        <v>168</v>
      </c>
      <c r="Q110" s="63">
        <v>1</v>
      </c>
      <c r="R110" s="63">
        <v>0</v>
      </c>
      <c r="S110" s="63" t="s">
        <v>76</v>
      </c>
      <c r="T110" s="63">
        <v>26.76</v>
      </c>
      <c r="U110" s="62">
        <v>46072.291666666664</v>
      </c>
      <c r="V110" s="63" t="s">
        <v>86</v>
      </c>
      <c r="W110" s="63">
        <v>288.35000000000002</v>
      </c>
      <c r="X110" s="63">
        <v>4200</v>
      </c>
      <c r="Y110" s="63" t="s">
        <v>2219</v>
      </c>
    </row>
    <row r="111" spans="1:25" hidden="1">
      <c r="A111" s="62">
        <v>46071.738599537035</v>
      </c>
      <c r="B111" s="63">
        <v>641514</v>
      </c>
      <c r="C111" s="63" t="s">
        <v>2389</v>
      </c>
      <c r="D111" s="63"/>
      <c r="E111" s="62">
        <v>46072.772962962961</v>
      </c>
      <c r="F111" s="63" t="s">
        <v>373</v>
      </c>
      <c r="G111" s="63">
        <v>1726450201</v>
      </c>
      <c r="H111" s="63">
        <v>26563652055887</v>
      </c>
      <c r="I111" s="63" t="s">
        <v>2478</v>
      </c>
      <c r="J111" s="63" t="s">
        <v>159</v>
      </c>
      <c r="K111" s="63" t="s">
        <v>64</v>
      </c>
      <c r="L111" s="63"/>
      <c r="M111" s="63" t="s">
        <v>2366</v>
      </c>
      <c r="N111" s="63" t="s">
        <v>2348</v>
      </c>
      <c r="O111" s="63" t="s">
        <v>68</v>
      </c>
      <c r="P111" s="63" t="s">
        <v>69</v>
      </c>
      <c r="Q111" s="63">
        <v>5</v>
      </c>
      <c r="R111" s="63">
        <v>0</v>
      </c>
      <c r="S111" s="63" t="s">
        <v>70</v>
      </c>
      <c r="T111" s="63">
        <v>35.090000000000003</v>
      </c>
      <c r="U111" s="62">
        <v>46072.291666666664</v>
      </c>
      <c r="V111" s="63" t="s">
        <v>86</v>
      </c>
      <c r="W111" s="63">
        <v>268.97000000000003</v>
      </c>
      <c r="X111" s="63">
        <v>4200</v>
      </c>
      <c r="Y111" s="63" t="s">
        <v>2219</v>
      </c>
    </row>
    <row r="112" spans="1:25" hidden="1">
      <c r="A112" s="62">
        <v>46071.738599537035</v>
      </c>
      <c r="B112" s="63">
        <v>641514</v>
      </c>
      <c r="C112" s="63" t="s">
        <v>2389</v>
      </c>
      <c r="D112" s="63"/>
      <c r="E112" s="62">
        <v>46072.772962962961</v>
      </c>
      <c r="F112" s="63" t="s">
        <v>373</v>
      </c>
      <c r="G112" s="63">
        <v>1726450201</v>
      </c>
      <c r="H112" s="63">
        <v>26563652055887</v>
      </c>
      <c r="I112" s="63" t="s">
        <v>2478</v>
      </c>
      <c r="J112" s="63" t="s">
        <v>159</v>
      </c>
      <c r="K112" s="63" t="s">
        <v>64</v>
      </c>
      <c r="L112" s="63"/>
      <c r="M112" s="63" t="s">
        <v>2366</v>
      </c>
      <c r="N112" s="63" t="s">
        <v>2348</v>
      </c>
      <c r="O112" s="63" t="s">
        <v>72</v>
      </c>
      <c r="P112" s="63" t="s">
        <v>73</v>
      </c>
      <c r="Q112" s="63">
        <v>2</v>
      </c>
      <c r="R112" s="63">
        <v>0</v>
      </c>
      <c r="S112" s="63" t="s">
        <v>70</v>
      </c>
      <c r="T112" s="63">
        <v>35.090000000000003</v>
      </c>
      <c r="U112" s="62">
        <v>46072.291666666664</v>
      </c>
      <c r="V112" s="63" t="s">
        <v>86</v>
      </c>
      <c r="W112" s="63">
        <v>268.97000000000003</v>
      </c>
      <c r="X112" s="63">
        <v>4200</v>
      </c>
      <c r="Y112" s="63" t="s">
        <v>2219</v>
      </c>
    </row>
    <row r="113" spans="1:25" hidden="1">
      <c r="A113" s="62">
        <v>46071.738599537035</v>
      </c>
      <c r="B113" s="63">
        <v>641514</v>
      </c>
      <c r="C113" s="63" t="s">
        <v>2389</v>
      </c>
      <c r="D113" s="63"/>
      <c r="E113" s="62">
        <v>46072.772962962961</v>
      </c>
      <c r="F113" s="63" t="s">
        <v>373</v>
      </c>
      <c r="G113" s="63">
        <v>1726470201</v>
      </c>
      <c r="H113" s="63">
        <v>26563652046896</v>
      </c>
      <c r="I113" s="63" t="s">
        <v>2403</v>
      </c>
      <c r="J113" s="63" t="s">
        <v>159</v>
      </c>
      <c r="K113" s="63" t="s">
        <v>64</v>
      </c>
      <c r="L113" s="63" t="s">
        <v>2404</v>
      </c>
      <c r="M113" s="63" t="s">
        <v>2398</v>
      </c>
      <c r="N113" s="63" t="s">
        <v>2348</v>
      </c>
      <c r="O113" s="63" t="s">
        <v>68</v>
      </c>
      <c r="P113" s="63" t="s">
        <v>69</v>
      </c>
      <c r="Q113" s="63">
        <v>5</v>
      </c>
      <c r="R113" s="63">
        <v>0</v>
      </c>
      <c r="S113" s="63" t="s">
        <v>70</v>
      </c>
      <c r="T113" s="63">
        <v>35.72</v>
      </c>
      <c r="U113" s="62">
        <v>46072.291666666664</v>
      </c>
      <c r="V113" s="63" t="s">
        <v>86</v>
      </c>
      <c r="W113" s="63">
        <v>431.95</v>
      </c>
      <c r="X113" s="63">
        <v>4200</v>
      </c>
      <c r="Y113" s="63" t="s">
        <v>2219</v>
      </c>
    </row>
    <row r="114" spans="1:25" hidden="1">
      <c r="A114" s="62">
        <v>46071.738599537035</v>
      </c>
      <c r="B114" s="63">
        <v>641514</v>
      </c>
      <c r="C114" s="63" t="s">
        <v>2389</v>
      </c>
      <c r="D114" s="63"/>
      <c r="E114" s="62">
        <v>46072.772962962961</v>
      </c>
      <c r="F114" s="63" t="s">
        <v>373</v>
      </c>
      <c r="G114" s="63">
        <v>1726470201</v>
      </c>
      <c r="H114" s="63">
        <v>26563652046896</v>
      </c>
      <c r="I114" s="63" t="s">
        <v>2403</v>
      </c>
      <c r="J114" s="63" t="s">
        <v>159</v>
      </c>
      <c r="K114" s="63" t="s">
        <v>64</v>
      </c>
      <c r="L114" s="63" t="s">
        <v>2404</v>
      </c>
      <c r="M114" s="63" t="s">
        <v>2398</v>
      </c>
      <c r="N114" s="63" t="s">
        <v>2348</v>
      </c>
      <c r="O114" s="63" t="s">
        <v>169</v>
      </c>
      <c r="P114" s="63" t="s">
        <v>170</v>
      </c>
      <c r="Q114" s="63">
        <v>1</v>
      </c>
      <c r="R114" s="63">
        <v>0</v>
      </c>
      <c r="S114" s="63" t="s">
        <v>76</v>
      </c>
      <c r="T114" s="63">
        <v>35.72</v>
      </c>
      <c r="U114" s="62">
        <v>46072.291666666664</v>
      </c>
      <c r="V114" s="63" t="s">
        <v>86</v>
      </c>
      <c r="W114" s="63">
        <v>431.95</v>
      </c>
      <c r="X114" s="63">
        <v>4200</v>
      </c>
      <c r="Y114" s="63" t="s">
        <v>2219</v>
      </c>
    </row>
    <row r="115" spans="1:25" hidden="1">
      <c r="A115" s="62">
        <v>46071.738599537035</v>
      </c>
      <c r="B115" s="63">
        <v>641514</v>
      </c>
      <c r="C115" s="63" t="s">
        <v>2389</v>
      </c>
      <c r="D115" s="63"/>
      <c r="E115" s="62">
        <v>46072.772974537038</v>
      </c>
      <c r="F115" s="63" t="s">
        <v>373</v>
      </c>
      <c r="G115" s="63">
        <v>1726570201</v>
      </c>
      <c r="H115" s="63">
        <v>26563652056263</v>
      </c>
      <c r="I115" s="63" t="s">
        <v>2352</v>
      </c>
      <c r="J115" s="63" t="s">
        <v>159</v>
      </c>
      <c r="K115" s="63" t="s">
        <v>64</v>
      </c>
      <c r="L115" s="63" t="s">
        <v>2353</v>
      </c>
      <c r="M115" s="63" t="s">
        <v>160</v>
      </c>
      <c r="N115" s="63" t="s">
        <v>2348</v>
      </c>
      <c r="O115" s="63" t="s">
        <v>68</v>
      </c>
      <c r="P115" s="63" t="s">
        <v>69</v>
      </c>
      <c r="Q115" s="63">
        <v>3</v>
      </c>
      <c r="R115" s="63">
        <v>0</v>
      </c>
      <c r="S115" s="63" t="s">
        <v>70</v>
      </c>
      <c r="T115" s="63">
        <v>25.053999999999998</v>
      </c>
      <c r="U115" s="62">
        <v>46072.291666666664</v>
      </c>
      <c r="V115" s="63" t="s">
        <v>86</v>
      </c>
      <c r="W115" s="63">
        <v>277.29000000000002</v>
      </c>
      <c r="X115" s="63">
        <v>4200</v>
      </c>
      <c r="Y115" s="63" t="s">
        <v>2219</v>
      </c>
    </row>
    <row r="116" spans="1:25" hidden="1">
      <c r="A116" s="62">
        <v>46071.738599537035</v>
      </c>
      <c r="B116" s="63">
        <v>641514</v>
      </c>
      <c r="C116" s="63" t="s">
        <v>2389</v>
      </c>
      <c r="D116" s="63"/>
      <c r="E116" s="62">
        <v>46072.772974537038</v>
      </c>
      <c r="F116" s="63" t="s">
        <v>373</v>
      </c>
      <c r="G116" s="63">
        <v>1726570201</v>
      </c>
      <c r="H116" s="63">
        <v>26563652056263</v>
      </c>
      <c r="I116" s="63" t="s">
        <v>2352</v>
      </c>
      <c r="J116" s="63" t="s">
        <v>159</v>
      </c>
      <c r="K116" s="63" t="s">
        <v>64</v>
      </c>
      <c r="L116" s="63" t="s">
        <v>2353</v>
      </c>
      <c r="M116" s="63" t="s">
        <v>160</v>
      </c>
      <c r="N116" s="63" t="s">
        <v>2348</v>
      </c>
      <c r="O116" s="63" t="s">
        <v>74</v>
      </c>
      <c r="P116" s="63" t="s">
        <v>75</v>
      </c>
      <c r="Q116" s="63">
        <v>1</v>
      </c>
      <c r="R116" s="63">
        <v>0</v>
      </c>
      <c r="S116" s="63" t="s">
        <v>76</v>
      </c>
      <c r="T116" s="63">
        <v>25.053999999999998</v>
      </c>
      <c r="U116" s="62">
        <v>46072.291666666664</v>
      </c>
      <c r="V116" s="63" t="s">
        <v>86</v>
      </c>
      <c r="W116" s="63">
        <v>277.29000000000002</v>
      </c>
      <c r="X116" s="63">
        <v>4200</v>
      </c>
      <c r="Y116" s="63" t="s">
        <v>2219</v>
      </c>
    </row>
    <row r="117" spans="1:25" hidden="1">
      <c r="A117" s="62">
        <v>46071.738599537035</v>
      </c>
      <c r="B117" s="63">
        <v>641514</v>
      </c>
      <c r="C117" s="63" t="s">
        <v>2389</v>
      </c>
      <c r="D117" s="63"/>
      <c r="E117" s="62">
        <v>46072.772974537038</v>
      </c>
      <c r="F117" s="63" t="s">
        <v>373</v>
      </c>
      <c r="G117" s="63">
        <v>1726630201</v>
      </c>
      <c r="H117" s="63">
        <v>26563652025201</v>
      </c>
      <c r="I117" s="63" t="s">
        <v>2391</v>
      </c>
      <c r="J117" s="63" t="s">
        <v>159</v>
      </c>
      <c r="K117" s="63" t="s">
        <v>64</v>
      </c>
      <c r="L117" s="63" t="s">
        <v>2392</v>
      </c>
      <c r="M117" s="63" t="s">
        <v>160</v>
      </c>
      <c r="N117" s="63" t="s">
        <v>2348</v>
      </c>
      <c r="O117" s="63" t="s">
        <v>68</v>
      </c>
      <c r="P117" s="63" t="s">
        <v>69</v>
      </c>
      <c r="Q117" s="63">
        <v>2</v>
      </c>
      <c r="R117" s="63">
        <v>0</v>
      </c>
      <c r="S117" s="63" t="s">
        <v>70</v>
      </c>
      <c r="T117" s="63">
        <v>37.875999999999998</v>
      </c>
      <c r="U117" s="62">
        <v>46072.291666666664</v>
      </c>
      <c r="V117" s="63" t="s">
        <v>86</v>
      </c>
      <c r="W117" s="63">
        <v>681.65</v>
      </c>
      <c r="X117" s="63">
        <v>4200</v>
      </c>
      <c r="Y117" s="63" t="s">
        <v>2219</v>
      </c>
    </row>
    <row r="118" spans="1:25" hidden="1">
      <c r="A118" s="62">
        <v>46071.738599537035</v>
      </c>
      <c r="B118" s="63">
        <v>641514</v>
      </c>
      <c r="C118" s="63" t="s">
        <v>2389</v>
      </c>
      <c r="D118" s="63"/>
      <c r="E118" s="62">
        <v>46072.772974537038</v>
      </c>
      <c r="F118" s="63" t="s">
        <v>373</v>
      </c>
      <c r="G118" s="63">
        <v>1726630201</v>
      </c>
      <c r="H118" s="63">
        <v>26563652025201</v>
      </c>
      <c r="I118" s="63" t="s">
        <v>2391</v>
      </c>
      <c r="J118" s="63" t="s">
        <v>159</v>
      </c>
      <c r="K118" s="63" t="s">
        <v>64</v>
      </c>
      <c r="L118" s="63" t="s">
        <v>2392</v>
      </c>
      <c r="M118" s="63" t="s">
        <v>160</v>
      </c>
      <c r="N118" s="63" t="s">
        <v>2348</v>
      </c>
      <c r="O118" s="63" t="s">
        <v>72</v>
      </c>
      <c r="P118" s="63" t="s">
        <v>73</v>
      </c>
      <c r="Q118" s="63">
        <v>2</v>
      </c>
      <c r="R118" s="63">
        <v>0</v>
      </c>
      <c r="S118" s="63" t="s">
        <v>70</v>
      </c>
      <c r="T118" s="63">
        <v>37.875999999999998</v>
      </c>
      <c r="U118" s="62">
        <v>46072.291666666664</v>
      </c>
      <c r="V118" s="63" t="s">
        <v>86</v>
      </c>
      <c r="W118" s="63">
        <v>681.65</v>
      </c>
      <c r="X118" s="63">
        <v>4200</v>
      </c>
      <c r="Y118" s="63" t="s">
        <v>2219</v>
      </c>
    </row>
    <row r="119" spans="1:25" hidden="1">
      <c r="A119" s="62">
        <v>46071.738599537035</v>
      </c>
      <c r="B119" s="63">
        <v>641514</v>
      </c>
      <c r="C119" s="63" t="s">
        <v>2389</v>
      </c>
      <c r="D119" s="63"/>
      <c r="E119" s="62">
        <v>46072.772974537038</v>
      </c>
      <c r="F119" s="63" t="s">
        <v>373</v>
      </c>
      <c r="G119" s="63">
        <v>1726630201</v>
      </c>
      <c r="H119" s="63">
        <v>26563652025201</v>
      </c>
      <c r="I119" s="63" t="s">
        <v>2391</v>
      </c>
      <c r="J119" s="63" t="s">
        <v>159</v>
      </c>
      <c r="K119" s="63" t="s">
        <v>64</v>
      </c>
      <c r="L119" s="63" t="s">
        <v>2392</v>
      </c>
      <c r="M119" s="63" t="s">
        <v>160</v>
      </c>
      <c r="N119" s="63" t="s">
        <v>2348</v>
      </c>
      <c r="O119" s="63" t="s">
        <v>169</v>
      </c>
      <c r="P119" s="63" t="s">
        <v>170</v>
      </c>
      <c r="Q119" s="63">
        <v>1</v>
      </c>
      <c r="R119" s="63">
        <v>0</v>
      </c>
      <c r="S119" s="63" t="s">
        <v>76</v>
      </c>
      <c r="T119" s="63">
        <v>37.875999999999998</v>
      </c>
      <c r="U119" s="62">
        <v>46072.291666666664</v>
      </c>
      <c r="V119" s="63" t="s">
        <v>86</v>
      </c>
      <c r="W119" s="63">
        <v>681.65</v>
      </c>
      <c r="X119" s="63">
        <v>4200</v>
      </c>
      <c r="Y119" s="63" t="s">
        <v>2219</v>
      </c>
    </row>
    <row r="120" spans="1:25" hidden="1">
      <c r="A120" s="62">
        <v>46071.738599537035</v>
      </c>
      <c r="B120" s="63">
        <v>641514</v>
      </c>
      <c r="C120" s="63" t="s">
        <v>2389</v>
      </c>
      <c r="D120" s="63"/>
      <c r="E120" s="62">
        <v>46072.772974537038</v>
      </c>
      <c r="F120" s="63" t="s">
        <v>373</v>
      </c>
      <c r="G120" s="63">
        <v>1726630201</v>
      </c>
      <c r="H120" s="63">
        <v>26563652025201</v>
      </c>
      <c r="I120" s="63" t="s">
        <v>2391</v>
      </c>
      <c r="J120" s="63" t="s">
        <v>159</v>
      </c>
      <c r="K120" s="63" t="s">
        <v>64</v>
      </c>
      <c r="L120" s="63" t="s">
        <v>2392</v>
      </c>
      <c r="M120" s="63" t="s">
        <v>160</v>
      </c>
      <c r="N120" s="63" t="s">
        <v>2348</v>
      </c>
      <c r="O120" s="63" t="s">
        <v>163</v>
      </c>
      <c r="P120" s="63" t="s">
        <v>164</v>
      </c>
      <c r="Q120" s="63">
        <v>1</v>
      </c>
      <c r="R120" s="63">
        <v>0</v>
      </c>
      <c r="S120" s="63" t="s">
        <v>76</v>
      </c>
      <c r="T120" s="63">
        <v>37.875999999999998</v>
      </c>
      <c r="U120" s="62">
        <v>46072.291666666664</v>
      </c>
      <c r="V120" s="63" t="s">
        <v>86</v>
      </c>
      <c r="W120" s="63">
        <v>681.65</v>
      </c>
      <c r="X120" s="63">
        <v>4200</v>
      </c>
      <c r="Y120" s="63" t="s">
        <v>2219</v>
      </c>
    </row>
    <row r="121" spans="1:25" hidden="1">
      <c r="A121" s="62">
        <v>46071.738599537035</v>
      </c>
      <c r="B121" s="63">
        <v>641514</v>
      </c>
      <c r="C121" s="63" t="s">
        <v>2389</v>
      </c>
      <c r="D121" s="63"/>
      <c r="E121" s="62">
        <v>46072.772974537038</v>
      </c>
      <c r="F121" s="63" t="s">
        <v>373</v>
      </c>
      <c r="G121" s="63">
        <v>1726650201</v>
      </c>
      <c r="H121" s="63">
        <v>26563652020315</v>
      </c>
      <c r="I121" s="63" t="s">
        <v>2400</v>
      </c>
      <c r="J121" s="63" t="s">
        <v>159</v>
      </c>
      <c r="K121" s="63" t="s">
        <v>64</v>
      </c>
      <c r="L121" s="63"/>
      <c r="M121" s="63" t="s">
        <v>160</v>
      </c>
      <c r="N121" s="63" t="s">
        <v>2348</v>
      </c>
      <c r="O121" s="63" t="s">
        <v>68</v>
      </c>
      <c r="P121" s="63" t="s">
        <v>69</v>
      </c>
      <c r="Q121" s="63">
        <v>3</v>
      </c>
      <c r="R121" s="63">
        <v>0</v>
      </c>
      <c r="S121" s="63" t="s">
        <v>70</v>
      </c>
      <c r="T121" s="63">
        <v>22.024000000000001</v>
      </c>
      <c r="U121" s="62">
        <v>46072.291666666664</v>
      </c>
      <c r="V121" s="63" t="s">
        <v>86</v>
      </c>
      <c r="W121" s="63">
        <v>368.97</v>
      </c>
      <c r="X121" s="63">
        <v>4200</v>
      </c>
      <c r="Y121" s="63" t="s">
        <v>2219</v>
      </c>
    </row>
    <row r="122" spans="1:25" hidden="1">
      <c r="A122" s="62">
        <v>46071.738599537035</v>
      </c>
      <c r="B122" s="63">
        <v>641514</v>
      </c>
      <c r="C122" s="63" t="s">
        <v>2389</v>
      </c>
      <c r="D122" s="63"/>
      <c r="E122" s="62">
        <v>46072.772974537038</v>
      </c>
      <c r="F122" s="63" t="s">
        <v>373</v>
      </c>
      <c r="G122" s="63">
        <v>1726650201</v>
      </c>
      <c r="H122" s="63">
        <v>26563652020315</v>
      </c>
      <c r="I122" s="63" t="s">
        <v>2400</v>
      </c>
      <c r="J122" s="63" t="s">
        <v>159</v>
      </c>
      <c r="K122" s="63" t="s">
        <v>64</v>
      </c>
      <c r="L122" s="63"/>
      <c r="M122" s="63" t="s">
        <v>160</v>
      </c>
      <c r="N122" s="63" t="s">
        <v>2348</v>
      </c>
      <c r="O122" s="63" t="s">
        <v>161</v>
      </c>
      <c r="P122" s="63" t="s">
        <v>162</v>
      </c>
      <c r="Q122" s="63">
        <v>1</v>
      </c>
      <c r="R122" s="63">
        <v>0</v>
      </c>
      <c r="S122" s="63" t="s">
        <v>76</v>
      </c>
      <c r="T122" s="63">
        <v>22.024000000000001</v>
      </c>
      <c r="U122" s="62">
        <v>46072.291666666664</v>
      </c>
      <c r="V122" s="63" t="s">
        <v>86</v>
      </c>
      <c r="W122" s="63">
        <v>368.97</v>
      </c>
      <c r="X122" s="63">
        <v>4200</v>
      </c>
      <c r="Y122" s="63" t="s">
        <v>2219</v>
      </c>
    </row>
    <row r="123" spans="1:25" hidden="1">
      <c r="A123" s="62">
        <v>46071.738599537035</v>
      </c>
      <c r="B123" s="63">
        <v>641515</v>
      </c>
      <c r="C123" s="63" t="s">
        <v>2479</v>
      </c>
      <c r="D123" s="63"/>
      <c r="E123" s="62">
        <v>46072.772870370369</v>
      </c>
      <c r="F123" s="63" t="s">
        <v>139</v>
      </c>
      <c r="G123" s="63">
        <v>1722400201</v>
      </c>
      <c r="H123" s="63">
        <v>3205493000194</v>
      </c>
      <c r="I123" s="63" t="s">
        <v>2480</v>
      </c>
      <c r="J123" s="63" t="s">
        <v>2481</v>
      </c>
      <c r="K123" s="63" t="s">
        <v>140</v>
      </c>
      <c r="L123" s="63" t="s">
        <v>2482</v>
      </c>
      <c r="M123" s="63" t="s">
        <v>2483</v>
      </c>
      <c r="N123" s="63" t="s">
        <v>84</v>
      </c>
      <c r="O123" s="63" t="s">
        <v>117</v>
      </c>
      <c r="P123" s="63" t="s">
        <v>118</v>
      </c>
      <c r="Q123" s="63">
        <v>1</v>
      </c>
      <c r="R123" s="63">
        <v>0</v>
      </c>
      <c r="S123" s="63" t="s">
        <v>76</v>
      </c>
      <c r="T123" s="63">
        <v>13.88</v>
      </c>
      <c r="U123" s="62">
        <v>46072.291666666664</v>
      </c>
      <c r="V123" s="63" t="s">
        <v>86</v>
      </c>
      <c r="W123" s="63">
        <v>344.65</v>
      </c>
      <c r="X123" s="63">
        <v>500</v>
      </c>
      <c r="Y123" s="63" t="s">
        <v>2430</v>
      </c>
    </row>
    <row r="124" spans="1:25" hidden="1">
      <c r="A124" s="62">
        <v>46071.738599537035</v>
      </c>
      <c r="B124" s="63">
        <v>641515</v>
      </c>
      <c r="C124" s="63" t="s">
        <v>2479</v>
      </c>
      <c r="D124" s="63"/>
      <c r="E124" s="62">
        <v>46072.772870370369</v>
      </c>
      <c r="F124" s="63" t="s">
        <v>139</v>
      </c>
      <c r="G124" s="63">
        <v>1722400201</v>
      </c>
      <c r="H124" s="63">
        <v>3205493000194</v>
      </c>
      <c r="I124" s="63" t="s">
        <v>2480</v>
      </c>
      <c r="J124" s="63" t="s">
        <v>2481</v>
      </c>
      <c r="K124" s="63" t="s">
        <v>140</v>
      </c>
      <c r="L124" s="63" t="s">
        <v>2482</v>
      </c>
      <c r="M124" s="63" t="s">
        <v>2483</v>
      </c>
      <c r="N124" s="63" t="s">
        <v>84</v>
      </c>
      <c r="O124" s="63" t="s">
        <v>125</v>
      </c>
      <c r="P124" s="63" t="s">
        <v>126</v>
      </c>
      <c r="Q124" s="63">
        <v>1</v>
      </c>
      <c r="R124" s="63">
        <v>0</v>
      </c>
      <c r="S124" s="63" t="s">
        <v>76</v>
      </c>
      <c r="T124" s="63">
        <v>13.88</v>
      </c>
      <c r="U124" s="62">
        <v>46072.291666666664</v>
      </c>
      <c r="V124" s="63" t="s">
        <v>86</v>
      </c>
      <c r="W124" s="63">
        <v>344.65</v>
      </c>
      <c r="X124" s="63">
        <v>500</v>
      </c>
      <c r="Y124" s="63" t="s">
        <v>2430</v>
      </c>
    </row>
    <row r="125" spans="1:25" hidden="1">
      <c r="A125" s="62">
        <v>46071.738599537035</v>
      </c>
      <c r="B125" s="63">
        <v>641515</v>
      </c>
      <c r="C125" s="63" t="s">
        <v>2479</v>
      </c>
      <c r="D125" s="63"/>
      <c r="E125" s="62">
        <v>46072.772870370369</v>
      </c>
      <c r="F125" s="63" t="s">
        <v>139</v>
      </c>
      <c r="G125" s="63">
        <v>1722400201</v>
      </c>
      <c r="H125" s="63">
        <v>3205493000194</v>
      </c>
      <c r="I125" s="63" t="s">
        <v>2480</v>
      </c>
      <c r="J125" s="63" t="s">
        <v>2481</v>
      </c>
      <c r="K125" s="63" t="s">
        <v>140</v>
      </c>
      <c r="L125" s="63" t="s">
        <v>2482</v>
      </c>
      <c r="M125" s="63" t="s">
        <v>2483</v>
      </c>
      <c r="N125" s="63" t="s">
        <v>84</v>
      </c>
      <c r="O125" s="63" t="s">
        <v>87</v>
      </c>
      <c r="P125" s="63" t="s">
        <v>88</v>
      </c>
      <c r="Q125" s="63">
        <v>1</v>
      </c>
      <c r="R125" s="63">
        <v>0</v>
      </c>
      <c r="S125" s="63" t="s">
        <v>76</v>
      </c>
      <c r="T125" s="63">
        <v>13.88</v>
      </c>
      <c r="U125" s="62">
        <v>46072.291666666664</v>
      </c>
      <c r="V125" s="63" t="s">
        <v>86</v>
      </c>
      <c r="W125" s="63">
        <v>344.65</v>
      </c>
      <c r="X125" s="63">
        <v>500</v>
      </c>
      <c r="Y125" s="63" t="s">
        <v>2430</v>
      </c>
    </row>
    <row r="126" spans="1:25" hidden="1">
      <c r="A126" s="62">
        <v>46071.738599537035</v>
      </c>
      <c r="B126" s="63">
        <v>641515</v>
      </c>
      <c r="C126" s="63" t="s">
        <v>2479</v>
      </c>
      <c r="D126" s="63"/>
      <c r="E126" s="62">
        <v>46072.772870370369</v>
      </c>
      <c r="F126" s="63" t="s">
        <v>139</v>
      </c>
      <c r="G126" s="63">
        <v>1722410201</v>
      </c>
      <c r="H126" s="63">
        <v>3205493001247</v>
      </c>
      <c r="I126" s="63" t="s">
        <v>2484</v>
      </c>
      <c r="J126" s="63" t="s">
        <v>2481</v>
      </c>
      <c r="K126" s="63" t="s">
        <v>140</v>
      </c>
      <c r="L126" s="63" t="s">
        <v>2485</v>
      </c>
      <c r="M126" s="63" t="s">
        <v>2486</v>
      </c>
      <c r="N126" s="63" t="s">
        <v>84</v>
      </c>
      <c r="O126" s="63" t="s">
        <v>113</v>
      </c>
      <c r="P126" s="63" t="s">
        <v>114</v>
      </c>
      <c r="Q126" s="63">
        <v>1</v>
      </c>
      <c r="R126" s="63">
        <v>0</v>
      </c>
      <c r="S126" s="63" t="s">
        <v>76</v>
      </c>
      <c r="T126" s="63">
        <v>8.32</v>
      </c>
      <c r="U126" s="62">
        <v>46072.291666666664</v>
      </c>
      <c r="V126" s="63" t="s">
        <v>86</v>
      </c>
      <c r="W126" s="63">
        <v>179.68</v>
      </c>
      <c r="X126" s="63">
        <v>500</v>
      </c>
      <c r="Y126" s="63" t="s">
        <v>2430</v>
      </c>
    </row>
    <row r="127" spans="1:25" hidden="1">
      <c r="A127" s="62">
        <v>46071.738599537035</v>
      </c>
      <c r="B127" s="63">
        <v>641515</v>
      </c>
      <c r="C127" s="63" t="s">
        <v>2479</v>
      </c>
      <c r="D127" s="63"/>
      <c r="E127" s="62">
        <v>46072.772870370369</v>
      </c>
      <c r="F127" s="63" t="s">
        <v>139</v>
      </c>
      <c r="G127" s="63">
        <v>1722410201</v>
      </c>
      <c r="H127" s="63">
        <v>3205493001247</v>
      </c>
      <c r="I127" s="63" t="s">
        <v>2484</v>
      </c>
      <c r="J127" s="63" t="s">
        <v>2481</v>
      </c>
      <c r="K127" s="63" t="s">
        <v>140</v>
      </c>
      <c r="L127" s="63" t="s">
        <v>2485</v>
      </c>
      <c r="M127" s="63" t="s">
        <v>2486</v>
      </c>
      <c r="N127" s="63" t="s">
        <v>84</v>
      </c>
      <c r="O127" s="63" t="s">
        <v>115</v>
      </c>
      <c r="P127" s="63" t="s">
        <v>116</v>
      </c>
      <c r="Q127" s="63">
        <v>1</v>
      </c>
      <c r="R127" s="63">
        <v>0</v>
      </c>
      <c r="S127" s="63" t="s">
        <v>76</v>
      </c>
      <c r="T127" s="63">
        <v>8.32</v>
      </c>
      <c r="U127" s="62">
        <v>46072.291666666664</v>
      </c>
      <c r="V127" s="63" t="s">
        <v>86</v>
      </c>
      <c r="W127" s="63">
        <v>179.68</v>
      </c>
      <c r="X127" s="63">
        <v>500</v>
      </c>
      <c r="Y127" s="63" t="s">
        <v>2430</v>
      </c>
    </row>
    <row r="128" spans="1:25" hidden="1">
      <c r="A128" s="62">
        <v>46071.738599537035</v>
      </c>
      <c r="B128" s="63">
        <v>641515</v>
      </c>
      <c r="C128" s="63" t="s">
        <v>2479</v>
      </c>
      <c r="D128" s="63"/>
      <c r="E128" s="62">
        <v>46072.772870370369</v>
      </c>
      <c r="F128" s="63" t="s">
        <v>139</v>
      </c>
      <c r="G128" s="63">
        <v>1722440201</v>
      </c>
      <c r="H128" s="63">
        <v>3205493001590</v>
      </c>
      <c r="I128" s="63" t="s">
        <v>2487</v>
      </c>
      <c r="J128" s="63" t="s">
        <v>2481</v>
      </c>
      <c r="K128" s="63" t="s">
        <v>140</v>
      </c>
      <c r="L128" s="63" t="s">
        <v>2488</v>
      </c>
      <c r="M128" s="63" t="s">
        <v>2489</v>
      </c>
      <c r="N128" s="63" t="s">
        <v>84</v>
      </c>
      <c r="O128" s="63" t="s">
        <v>113</v>
      </c>
      <c r="P128" s="63" t="s">
        <v>114</v>
      </c>
      <c r="Q128" s="63">
        <v>1</v>
      </c>
      <c r="R128" s="63">
        <v>0</v>
      </c>
      <c r="S128" s="63" t="s">
        <v>76</v>
      </c>
      <c r="T128" s="63">
        <v>9.1199999999999992</v>
      </c>
      <c r="U128" s="62">
        <v>46072.291666666664</v>
      </c>
      <c r="V128" s="63" t="s">
        <v>86</v>
      </c>
      <c r="W128" s="63">
        <v>239.84</v>
      </c>
      <c r="X128" s="63">
        <v>500</v>
      </c>
      <c r="Y128" s="63" t="s">
        <v>2430</v>
      </c>
    </row>
    <row r="129" spans="1:25" hidden="1">
      <c r="A129" s="62">
        <v>46071.738599537035</v>
      </c>
      <c r="B129" s="63">
        <v>641515</v>
      </c>
      <c r="C129" s="63" t="s">
        <v>2479</v>
      </c>
      <c r="D129" s="63"/>
      <c r="E129" s="62">
        <v>46072.772870370369</v>
      </c>
      <c r="F129" s="63" t="s">
        <v>139</v>
      </c>
      <c r="G129" s="63">
        <v>1722440201</v>
      </c>
      <c r="H129" s="63">
        <v>3205493001590</v>
      </c>
      <c r="I129" s="63" t="s">
        <v>2487</v>
      </c>
      <c r="J129" s="63" t="s">
        <v>2481</v>
      </c>
      <c r="K129" s="63" t="s">
        <v>140</v>
      </c>
      <c r="L129" s="63" t="s">
        <v>2488</v>
      </c>
      <c r="M129" s="63" t="s">
        <v>2489</v>
      </c>
      <c r="N129" s="63" t="s">
        <v>84</v>
      </c>
      <c r="O129" s="63" t="s">
        <v>77</v>
      </c>
      <c r="P129" s="63" t="s">
        <v>78</v>
      </c>
      <c r="Q129" s="63">
        <v>1</v>
      </c>
      <c r="R129" s="63">
        <v>0</v>
      </c>
      <c r="S129" s="63" t="s">
        <v>76</v>
      </c>
      <c r="T129" s="63">
        <v>9.1199999999999992</v>
      </c>
      <c r="U129" s="62">
        <v>46072.291666666664</v>
      </c>
      <c r="V129" s="63" t="s">
        <v>86</v>
      </c>
      <c r="W129" s="63">
        <v>239.84</v>
      </c>
      <c r="X129" s="63">
        <v>500</v>
      </c>
      <c r="Y129" s="63" t="s">
        <v>2430</v>
      </c>
    </row>
    <row r="130" spans="1:25" hidden="1">
      <c r="A130" s="62">
        <v>46071.738599537035</v>
      </c>
      <c r="B130" s="63">
        <v>641515</v>
      </c>
      <c r="C130" s="63" t="s">
        <v>2479</v>
      </c>
      <c r="D130" s="63"/>
      <c r="E130" s="62">
        <v>46072.772870370369</v>
      </c>
      <c r="F130" s="63" t="s">
        <v>139</v>
      </c>
      <c r="G130" s="63">
        <v>1725200201</v>
      </c>
      <c r="H130" s="63">
        <v>26563652075217</v>
      </c>
      <c r="I130" s="63" t="s">
        <v>2420</v>
      </c>
      <c r="J130" s="63" t="s">
        <v>159</v>
      </c>
      <c r="K130" s="63" t="s">
        <v>140</v>
      </c>
      <c r="L130" s="63"/>
      <c r="M130" s="63" t="s">
        <v>2421</v>
      </c>
      <c r="N130" s="63" t="s">
        <v>84</v>
      </c>
      <c r="O130" s="63" t="s">
        <v>68</v>
      </c>
      <c r="P130" s="63" t="s">
        <v>69</v>
      </c>
      <c r="Q130" s="63">
        <v>9</v>
      </c>
      <c r="R130" s="63">
        <v>0</v>
      </c>
      <c r="S130" s="63" t="s">
        <v>70</v>
      </c>
      <c r="T130" s="63">
        <v>45.161999999999999</v>
      </c>
      <c r="U130" s="62">
        <v>46072.291666666664</v>
      </c>
      <c r="V130" s="63" t="s">
        <v>86</v>
      </c>
      <c r="W130" s="63">
        <v>307.70999999999998</v>
      </c>
      <c r="X130" s="63">
        <v>500</v>
      </c>
      <c r="Y130" s="63" t="s">
        <v>2430</v>
      </c>
    </row>
    <row r="131" spans="1:25" hidden="1">
      <c r="A131" s="62">
        <v>46071.738599537035</v>
      </c>
      <c r="B131" s="63">
        <v>641515</v>
      </c>
      <c r="C131" s="63" t="s">
        <v>2479</v>
      </c>
      <c r="D131" s="63"/>
      <c r="E131" s="62">
        <v>46072.772881944446</v>
      </c>
      <c r="F131" s="63" t="s">
        <v>139</v>
      </c>
      <c r="G131" s="63">
        <v>1722490201</v>
      </c>
      <c r="H131" s="63">
        <v>3205493002219</v>
      </c>
      <c r="I131" s="63" t="s">
        <v>2490</v>
      </c>
      <c r="J131" s="63" t="s">
        <v>2481</v>
      </c>
      <c r="K131" s="63" t="s">
        <v>140</v>
      </c>
      <c r="L131" s="63" t="s">
        <v>2491</v>
      </c>
      <c r="M131" s="63" t="s">
        <v>2492</v>
      </c>
      <c r="N131" s="63" t="s">
        <v>84</v>
      </c>
      <c r="O131" s="63" t="s">
        <v>380</v>
      </c>
      <c r="P131" s="63" t="s">
        <v>381</v>
      </c>
      <c r="Q131" s="63">
        <v>1</v>
      </c>
      <c r="R131" s="63">
        <v>0</v>
      </c>
      <c r="S131" s="63" t="s">
        <v>76</v>
      </c>
      <c r="T131" s="63">
        <v>11</v>
      </c>
      <c r="U131" s="62">
        <v>46072.291666666664</v>
      </c>
      <c r="V131" s="63" t="s">
        <v>86</v>
      </c>
      <c r="W131" s="63">
        <v>301.60000000000002</v>
      </c>
      <c r="X131" s="63">
        <v>500</v>
      </c>
      <c r="Y131" s="63" t="s">
        <v>2430</v>
      </c>
    </row>
    <row r="132" spans="1:25" hidden="1">
      <c r="A132" s="62">
        <v>46071.738599537035</v>
      </c>
      <c r="B132" s="63">
        <v>641515</v>
      </c>
      <c r="C132" s="63" t="s">
        <v>2479</v>
      </c>
      <c r="D132" s="63"/>
      <c r="E132" s="62">
        <v>46072.772881944446</v>
      </c>
      <c r="F132" s="63" t="s">
        <v>139</v>
      </c>
      <c r="G132" s="63">
        <v>1722500201</v>
      </c>
      <c r="H132" s="63">
        <v>3205493000194</v>
      </c>
      <c r="I132" s="63" t="s">
        <v>2480</v>
      </c>
      <c r="J132" s="63" t="s">
        <v>2481</v>
      </c>
      <c r="K132" s="63" t="s">
        <v>140</v>
      </c>
      <c r="L132" s="63" t="s">
        <v>2482</v>
      </c>
      <c r="M132" s="63" t="s">
        <v>2483</v>
      </c>
      <c r="N132" s="63" t="s">
        <v>84</v>
      </c>
      <c r="O132" s="63" t="s">
        <v>103</v>
      </c>
      <c r="P132" s="63" t="s">
        <v>104</v>
      </c>
      <c r="Q132" s="63">
        <v>1</v>
      </c>
      <c r="R132" s="63">
        <v>0</v>
      </c>
      <c r="S132" s="63" t="s">
        <v>76</v>
      </c>
      <c r="T132" s="63">
        <v>12</v>
      </c>
      <c r="U132" s="62">
        <v>46072.291666666664</v>
      </c>
      <c r="V132" s="63" t="s">
        <v>86</v>
      </c>
      <c r="W132" s="63">
        <v>225.24</v>
      </c>
      <c r="X132" s="63">
        <v>500</v>
      </c>
      <c r="Y132" s="63" t="s">
        <v>2430</v>
      </c>
    </row>
    <row r="133" spans="1:25" hidden="1">
      <c r="A133" s="62">
        <v>46071.738599537035</v>
      </c>
      <c r="B133" s="63">
        <v>641515</v>
      </c>
      <c r="C133" s="63" t="s">
        <v>2479</v>
      </c>
      <c r="D133" s="63"/>
      <c r="E133" s="62">
        <v>46072.772951388892</v>
      </c>
      <c r="F133" s="63" t="s">
        <v>139</v>
      </c>
      <c r="G133" s="63">
        <v>1723710201</v>
      </c>
      <c r="H133" s="63">
        <v>26563652053914</v>
      </c>
      <c r="I133" s="63" t="s">
        <v>2493</v>
      </c>
      <c r="J133" s="63" t="s">
        <v>159</v>
      </c>
      <c r="K133" s="63" t="s">
        <v>140</v>
      </c>
      <c r="L133" s="63"/>
      <c r="M133" s="63" t="s">
        <v>2494</v>
      </c>
      <c r="N133" s="63" t="s">
        <v>84</v>
      </c>
      <c r="O133" s="63" t="s">
        <v>68</v>
      </c>
      <c r="P133" s="63" t="s">
        <v>69</v>
      </c>
      <c r="Q133" s="63">
        <v>11</v>
      </c>
      <c r="R133" s="63">
        <v>0</v>
      </c>
      <c r="S133" s="63" t="s">
        <v>70</v>
      </c>
      <c r="T133" s="63">
        <v>55.198</v>
      </c>
      <c r="U133" s="62">
        <v>46072.291666666664</v>
      </c>
      <c r="V133" s="63" t="s">
        <v>86</v>
      </c>
      <c r="W133" s="63">
        <v>376.09</v>
      </c>
      <c r="X133" s="63">
        <v>500</v>
      </c>
      <c r="Y133" s="63" t="s">
        <v>2430</v>
      </c>
    </row>
    <row r="134" spans="1:25" hidden="1">
      <c r="A134" s="62">
        <v>46071.738599537035</v>
      </c>
      <c r="B134" s="63">
        <v>641516</v>
      </c>
      <c r="C134" s="63" t="s">
        <v>302</v>
      </c>
      <c r="D134" s="63"/>
      <c r="E134" s="62">
        <v>46072.772847222222</v>
      </c>
      <c r="F134" s="63" t="s">
        <v>229</v>
      </c>
      <c r="G134" s="63">
        <v>1716070201</v>
      </c>
      <c r="H134" s="63">
        <v>9000493000991</v>
      </c>
      <c r="I134" s="63" t="s">
        <v>2495</v>
      </c>
      <c r="J134" s="63" t="s">
        <v>2468</v>
      </c>
      <c r="K134" s="63" t="s">
        <v>64</v>
      </c>
      <c r="L134" s="63" t="s">
        <v>2496</v>
      </c>
      <c r="M134" s="63" t="s">
        <v>2497</v>
      </c>
      <c r="N134" s="63" t="s">
        <v>84</v>
      </c>
      <c r="O134" s="63" t="s">
        <v>396</v>
      </c>
      <c r="P134" s="63" t="s">
        <v>397</v>
      </c>
      <c r="Q134" s="63">
        <v>12</v>
      </c>
      <c r="R134" s="63">
        <v>0</v>
      </c>
      <c r="S134" s="63" t="s">
        <v>70</v>
      </c>
      <c r="T134" s="63">
        <v>175.89599999999999</v>
      </c>
      <c r="U134" s="62">
        <v>46072.291666666664</v>
      </c>
      <c r="V134" s="63" t="s">
        <v>86</v>
      </c>
      <c r="W134" s="63">
        <v>3664.44</v>
      </c>
      <c r="X134" s="63">
        <v>4200</v>
      </c>
      <c r="Y134" s="63" t="s">
        <v>499</v>
      </c>
    </row>
    <row r="135" spans="1:25" hidden="1">
      <c r="A135" s="62">
        <v>46071.738599537035</v>
      </c>
      <c r="B135" s="63">
        <v>641516</v>
      </c>
      <c r="C135" s="63" t="s">
        <v>302</v>
      </c>
      <c r="D135" s="63"/>
      <c r="E135" s="62">
        <v>46072.772847222222</v>
      </c>
      <c r="F135" s="63" t="s">
        <v>229</v>
      </c>
      <c r="G135" s="63">
        <v>1716070201</v>
      </c>
      <c r="H135" s="63">
        <v>9000493000991</v>
      </c>
      <c r="I135" s="63" t="s">
        <v>2495</v>
      </c>
      <c r="J135" s="63" t="s">
        <v>2468</v>
      </c>
      <c r="K135" s="63" t="s">
        <v>64</v>
      </c>
      <c r="L135" s="63" t="s">
        <v>2496</v>
      </c>
      <c r="M135" s="63" t="s">
        <v>2497</v>
      </c>
      <c r="N135" s="63" t="s">
        <v>84</v>
      </c>
      <c r="O135" s="63" t="s">
        <v>128</v>
      </c>
      <c r="P135" s="63" t="s">
        <v>129</v>
      </c>
      <c r="Q135" s="63">
        <v>12</v>
      </c>
      <c r="R135" s="63">
        <v>0</v>
      </c>
      <c r="S135" s="63" t="s">
        <v>70</v>
      </c>
      <c r="T135" s="63">
        <v>175.89599999999999</v>
      </c>
      <c r="U135" s="62">
        <v>46072.291666666664</v>
      </c>
      <c r="V135" s="63" t="s">
        <v>86</v>
      </c>
      <c r="W135" s="63">
        <v>3664.44</v>
      </c>
      <c r="X135" s="63">
        <v>4200</v>
      </c>
      <c r="Y135" s="63" t="s">
        <v>499</v>
      </c>
    </row>
    <row r="136" spans="1:25" hidden="1">
      <c r="A136" s="62">
        <v>46071.738599537035</v>
      </c>
      <c r="B136" s="63">
        <v>641516</v>
      </c>
      <c r="C136" s="63" t="s">
        <v>302</v>
      </c>
      <c r="D136" s="63"/>
      <c r="E136" s="62">
        <v>46072.772847222222</v>
      </c>
      <c r="F136" s="63" t="s">
        <v>229</v>
      </c>
      <c r="G136" s="63">
        <v>1716070201</v>
      </c>
      <c r="H136" s="63">
        <v>9000493000991</v>
      </c>
      <c r="I136" s="63" t="s">
        <v>2495</v>
      </c>
      <c r="J136" s="63" t="s">
        <v>2468</v>
      </c>
      <c r="K136" s="63" t="s">
        <v>64</v>
      </c>
      <c r="L136" s="63" t="s">
        <v>2496</v>
      </c>
      <c r="M136" s="63" t="s">
        <v>2497</v>
      </c>
      <c r="N136" s="63" t="s">
        <v>84</v>
      </c>
      <c r="O136" s="63" t="s">
        <v>398</v>
      </c>
      <c r="P136" s="63" t="s">
        <v>399</v>
      </c>
      <c r="Q136" s="63">
        <v>2</v>
      </c>
      <c r="R136" s="63">
        <v>0</v>
      </c>
      <c r="S136" s="63" t="s">
        <v>70</v>
      </c>
      <c r="T136" s="63">
        <v>175.89599999999999</v>
      </c>
      <c r="U136" s="62">
        <v>46072.291666666664</v>
      </c>
      <c r="V136" s="63" t="s">
        <v>86</v>
      </c>
      <c r="W136" s="63">
        <v>3664.44</v>
      </c>
      <c r="X136" s="63">
        <v>4200</v>
      </c>
      <c r="Y136" s="63" t="s">
        <v>499</v>
      </c>
    </row>
    <row r="137" spans="1:25" hidden="1">
      <c r="A137" s="62">
        <v>46071.738599537035</v>
      </c>
      <c r="B137" s="63">
        <v>641516</v>
      </c>
      <c r="C137" s="63" t="s">
        <v>302</v>
      </c>
      <c r="D137" s="63"/>
      <c r="E137" s="62">
        <v>46072.772847222222</v>
      </c>
      <c r="F137" s="63" t="s">
        <v>229</v>
      </c>
      <c r="G137" s="63">
        <v>1716070201</v>
      </c>
      <c r="H137" s="63">
        <v>9000493000991</v>
      </c>
      <c r="I137" s="63" t="s">
        <v>2495</v>
      </c>
      <c r="J137" s="63" t="s">
        <v>2468</v>
      </c>
      <c r="K137" s="63" t="s">
        <v>64</v>
      </c>
      <c r="L137" s="63" t="s">
        <v>2496</v>
      </c>
      <c r="M137" s="63" t="s">
        <v>2497</v>
      </c>
      <c r="N137" s="63" t="s">
        <v>84</v>
      </c>
      <c r="O137" s="63" t="s">
        <v>280</v>
      </c>
      <c r="P137" s="63" t="s">
        <v>281</v>
      </c>
      <c r="Q137" s="63">
        <v>10</v>
      </c>
      <c r="R137" s="63">
        <v>0</v>
      </c>
      <c r="S137" s="63" t="s">
        <v>70</v>
      </c>
      <c r="T137" s="63">
        <v>175.89599999999999</v>
      </c>
      <c r="U137" s="62">
        <v>46072.291666666664</v>
      </c>
      <c r="V137" s="63" t="s">
        <v>86</v>
      </c>
      <c r="W137" s="63">
        <v>3664.44</v>
      </c>
      <c r="X137" s="63">
        <v>4200</v>
      </c>
      <c r="Y137" s="63" t="s">
        <v>499</v>
      </c>
    </row>
    <row r="138" spans="1:25" hidden="1">
      <c r="A138" s="62">
        <v>46071.738599537035</v>
      </c>
      <c r="B138" s="63">
        <v>641516</v>
      </c>
      <c r="C138" s="63" t="s">
        <v>302</v>
      </c>
      <c r="D138" s="63"/>
      <c r="E138" s="62">
        <v>46072.772847222222</v>
      </c>
      <c r="F138" s="63" t="s">
        <v>229</v>
      </c>
      <c r="G138" s="63">
        <v>1716190201</v>
      </c>
      <c r="H138" s="63">
        <v>58290210000141</v>
      </c>
      <c r="I138" s="63" t="s">
        <v>2498</v>
      </c>
      <c r="J138" s="63" t="s">
        <v>2468</v>
      </c>
      <c r="K138" s="63" t="s">
        <v>64</v>
      </c>
      <c r="L138" s="63" t="s">
        <v>2499</v>
      </c>
      <c r="M138" s="63" t="s">
        <v>2500</v>
      </c>
      <c r="N138" s="63" t="s">
        <v>84</v>
      </c>
      <c r="O138" s="63" t="s">
        <v>398</v>
      </c>
      <c r="P138" s="63" t="s">
        <v>399</v>
      </c>
      <c r="Q138" s="63">
        <v>10</v>
      </c>
      <c r="R138" s="63">
        <v>0</v>
      </c>
      <c r="S138" s="63" t="s">
        <v>70</v>
      </c>
      <c r="T138" s="63">
        <v>212.6</v>
      </c>
      <c r="U138" s="62">
        <v>46072.291666666664</v>
      </c>
      <c r="V138" s="63" t="s">
        <v>86</v>
      </c>
      <c r="W138" s="63">
        <v>1348.2</v>
      </c>
      <c r="X138" s="63">
        <v>4200</v>
      </c>
      <c r="Y138" s="63" t="s">
        <v>499</v>
      </c>
    </row>
    <row r="139" spans="1:25" hidden="1">
      <c r="A139" s="62">
        <v>46071.738599537035</v>
      </c>
      <c r="B139" s="63">
        <v>641516</v>
      </c>
      <c r="C139" s="63" t="s">
        <v>302</v>
      </c>
      <c r="D139" s="63"/>
      <c r="E139" s="62">
        <v>46072.772847222222</v>
      </c>
      <c r="F139" s="63" t="s">
        <v>229</v>
      </c>
      <c r="G139" s="63">
        <v>1716190201</v>
      </c>
      <c r="H139" s="63">
        <v>58290210000141</v>
      </c>
      <c r="I139" s="63" t="s">
        <v>2498</v>
      </c>
      <c r="J139" s="63" t="s">
        <v>2468</v>
      </c>
      <c r="K139" s="63" t="s">
        <v>64</v>
      </c>
      <c r="L139" s="63" t="s">
        <v>2499</v>
      </c>
      <c r="M139" s="63" t="s">
        <v>2500</v>
      </c>
      <c r="N139" s="63" t="s">
        <v>84</v>
      </c>
      <c r="O139" s="63" t="s">
        <v>280</v>
      </c>
      <c r="P139" s="63" t="s">
        <v>281</v>
      </c>
      <c r="Q139" s="63">
        <v>10</v>
      </c>
      <c r="R139" s="63">
        <v>0</v>
      </c>
      <c r="S139" s="63" t="s">
        <v>70</v>
      </c>
      <c r="T139" s="63">
        <v>212.6</v>
      </c>
      <c r="U139" s="62">
        <v>46072.291666666664</v>
      </c>
      <c r="V139" s="63" t="s">
        <v>86</v>
      </c>
      <c r="W139" s="63">
        <v>1348.2</v>
      </c>
      <c r="X139" s="63">
        <v>4200</v>
      </c>
      <c r="Y139" s="63" t="s">
        <v>499</v>
      </c>
    </row>
    <row r="140" spans="1:25" hidden="1">
      <c r="A140" s="62">
        <v>46071.738599537035</v>
      </c>
      <c r="B140" s="63">
        <v>641516</v>
      </c>
      <c r="C140" s="63" t="s">
        <v>302</v>
      </c>
      <c r="D140" s="63"/>
      <c r="E140" s="62">
        <v>46072.772858796299</v>
      </c>
      <c r="F140" s="63" t="s">
        <v>229</v>
      </c>
      <c r="G140" s="63">
        <v>1720740201</v>
      </c>
      <c r="H140" s="63">
        <v>47508411172011</v>
      </c>
      <c r="I140" s="63" t="s">
        <v>2501</v>
      </c>
      <c r="J140" s="63" t="s">
        <v>181</v>
      </c>
      <c r="K140" s="63" t="s">
        <v>64</v>
      </c>
      <c r="L140" s="63" t="s">
        <v>2502</v>
      </c>
      <c r="M140" s="63" t="s">
        <v>319</v>
      </c>
      <c r="N140" s="63" t="s">
        <v>84</v>
      </c>
      <c r="O140" s="63" t="s">
        <v>141</v>
      </c>
      <c r="P140" s="63" t="s">
        <v>142</v>
      </c>
      <c r="Q140" s="63">
        <v>4</v>
      </c>
      <c r="R140" s="63">
        <v>0</v>
      </c>
      <c r="S140" s="63" t="s">
        <v>70</v>
      </c>
      <c r="T140" s="63">
        <v>20</v>
      </c>
      <c r="U140" s="62">
        <v>46072.291666666664</v>
      </c>
      <c r="V140" s="63" t="s">
        <v>86</v>
      </c>
      <c r="W140" s="63">
        <v>158.47999999999999</v>
      </c>
      <c r="X140" s="63">
        <v>4200</v>
      </c>
      <c r="Y140" s="63" t="s">
        <v>499</v>
      </c>
    </row>
    <row r="141" spans="1:25">
      <c r="A141" s="62">
        <v>46071.738599537035</v>
      </c>
      <c r="B141" s="63">
        <v>641516</v>
      </c>
      <c r="C141" s="63" t="s">
        <v>302</v>
      </c>
      <c r="D141" s="63"/>
      <c r="E141" s="62">
        <v>46072.772858796299</v>
      </c>
      <c r="F141" s="63" t="s">
        <v>229</v>
      </c>
      <c r="G141" s="63">
        <v>1720750201</v>
      </c>
      <c r="H141" s="63">
        <v>47508411172011</v>
      </c>
      <c r="I141" s="63" t="s">
        <v>2501</v>
      </c>
      <c r="J141" s="63" t="s">
        <v>181</v>
      </c>
      <c r="K141" s="63" t="s">
        <v>64</v>
      </c>
      <c r="L141" s="63" t="s">
        <v>2502</v>
      </c>
      <c r="M141" s="63" t="s">
        <v>319</v>
      </c>
      <c r="N141" s="63" t="s">
        <v>84</v>
      </c>
      <c r="O141" s="63" t="s">
        <v>109</v>
      </c>
      <c r="P141" s="63" t="s">
        <v>110</v>
      </c>
      <c r="Q141" s="63">
        <v>30</v>
      </c>
      <c r="R141" s="63">
        <v>0</v>
      </c>
      <c r="S141" s="63" t="s">
        <v>70</v>
      </c>
      <c r="T141" s="63">
        <v>150</v>
      </c>
      <c r="U141" s="62">
        <v>46072.291666666664</v>
      </c>
      <c r="V141" s="63" t="s">
        <v>86</v>
      </c>
      <c r="W141" s="63">
        <v>1082.0999999999999</v>
      </c>
      <c r="X141" s="63">
        <v>4200</v>
      </c>
      <c r="Y141" s="63" t="s">
        <v>499</v>
      </c>
    </row>
    <row r="142" spans="1:25" hidden="1">
      <c r="A142" s="62">
        <v>46071.738599537035</v>
      </c>
      <c r="B142" s="63">
        <v>641516</v>
      </c>
      <c r="C142" s="63" t="s">
        <v>302</v>
      </c>
      <c r="D142" s="63"/>
      <c r="E142" s="62">
        <v>46072.772893518515</v>
      </c>
      <c r="F142" s="63" t="s">
        <v>229</v>
      </c>
      <c r="G142" s="63">
        <v>1722700201</v>
      </c>
      <c r="H142" s="63">
        <v>71676316001207</v>
      </c>
      <c r="I142" s="63" t="s">
        <v>2227</v>
      </c>
      <c r="J142" s="63" t="s">
        <v>2228</v>
      </c>
      <c r="K142" s="63" t="s">
        <v>64</v>
      </c>
      <c r="L142" s="63" t="s">
        <v>2229</v>
      </c>
      <c r="M142" s="63" t="s">
        <v>319</v>
      </c>
      <c r="N142" s="63" t="s">
        <v>84</v>
      </c>
      <c r="O142" s="63" t="s">
        <v>68</v>
      </c>
      <c r="P142" s="63" t="s">
        <v>69</v>
      </c>
      <c r="Q142" s="63">
        <v>40</v>
      </c>
      <c r="R142" s="63">
        <v>0</v>
      </c>
      <c r="S142" s="63" t="s">
        <v>70</v>
      </c>
      <c r="T142" s="63">
        <v>285.72000000000003</v>
      </c>
      <c r="U142" s="62">
        <v>46072.291666666664</v>
      </c>
      <c r="V142" s="63" t="s">
        <v>86</v>
      </c>
      <c r="W142" s="63">
        <v>2399</v>
      </c>
      <c r="X142" s="63">
        <v>4200</v>
      </c>
      <c r="Y142" s="63" t="s">
        <v>499</v>
      </c>
    </row>
    <row r="143" spans="1:25" hidden="1">
      <c r="A143" s="62">
        <v>46071.738599537035</v>
      </c>
      <c r="B143" s="63">
        <v>641516</v>
      </c>
      <c r="C143" s="63" t="s">
        <v>302</v>
      </c>
      <c r="D143" s="63"/>
      <c r="E143" s="62">
        <v>46072.772893518515</v>
      </c>
      <c r="F143" s="63" t="s">
        <v>229</v>
      </c>
      <c r="G143" s="63">
        <v>1722700201</v>
      </c>
      <c r="H143" s="63">
        <v>71676316001207</v>
      </c>
      <c r="I143" s="63" t="s">
        <v>2227</v>
      </c>
      <c r="J143" s="63" t="s">
        <v>2228</v>
      </c>
      <c r="K143" s="63" t="s">
        <v>64</v>
      </c>
      <c r="L143" s="63" t="s">
        <v>2229</v>
      </c>
      <c r="M143" s="63" t="s">
        <v>319</v>
      </c>
      <c r="N143" s="63" t="s">
        <v>84</v>
      </c>
      <c r="O143" s="63" t="s">
        <v>93</v>
      </c>
      <c r="P143" s="63" t="s">
        <v>94</v>
      </c>
      <c r="Q143" s="63">
        <v>6</v>
      </c>
      <c r="R143" s="63">
        <v>0</v>
      </c>
      <c r="S143" s="63" t="s">
        <v>70</v>
      </c>
      <c r="T143" s="63">
        <v>285.72000000000003</v>
      </c>
      <c r="U143" s="62">
        <v>46072.291666666664</v>
      </c>
      <c r="V143" s="63" t="s">
        <v>86</v>
      </c>
      <c r="W143" s="63">
        <v>2399</v>
      </c>
      <c r="X143" s="63">
        <v>4200</v>
      </c>
      <c r="Y143" s="63" t="s">
        <v>499</v>
      </c>
    </row>
    <row r="144" spans="1:25" hidden="1">
      <c r="A144" s="62">
        <v>46071.738599537035</v>
      </c>
      <c r="B144" s="63">
        <v>641516</v>
      </c>
      <c r="C144" s="63" t="s">
        <v>302</v>
      </c>
      <c r="D144" s="63"/>
      <c r="E144" s="62">
        <v>46072.772893518515</v>
      </c>
      <c r="F144" s="63" t="s">
        <v>229</v>
      </c>
      <c r="G144" s="63">
        <v>1722700201</v>
      </c>
      <c r="H144" s="63">
        <v>71676316001207</v>
      </c>
      <c r="I144" s="63" t="s">
        <v>2227</v>
      </c>
      <c r="J144" s="63" t="s">
        <v>2228</v>
      </c>
      <c r="K144" s="63" t="s">
        <v>64</v>
      </c>
      <c r="L144" s="63" t="s">
        <v>2229</v>
      </c>
      <c r="M144" s="63" t="s">
        <v>319</v>
      </c>
      <c r="N144" s="63" t="s">
        <v>84</v>
      </c>
      <c r="O144" s="63" t="s">
        <v>72</v>
      </c>
      <c r="P144" s="63" t="s">
        <v>73</v>
      </c>
      <c r="Q144" s="63">
        <v>6</v>
      </c>
      <c r="R144" s="63">
        <v>0</v>
      </c>
      <c r="S144" s="63" t="s">
        <v>70</v>
      </c>
      <c r="T144" s="63">
        <v>285.72000000000003</v>
      </c>
      <c r="U144" s="62">
        <v>46072.291666666664</v>
      </c>
      <c r="V144" s="63" t="s">
        <v>86</v>
      </c>
      <c r="W144" s="63">
        <v>2399</v>
      </c>
      <c r="X144" s="63">
        <v>4200</v>
      </c>
      <c r="Y144" s="63" t="s">
        <v>499</v>
      </c>
    </row>
    <row r="145" spans="1:25" hidden="1">
      <c r="A145" s="62">
        <v>46071.738599537035</v>
      </c>
      <c r="B145" s="63">
        <v>641516</v>
      </c>
      <c r="C145" s="63" t="s">
        <v>302</v>
      </c>
      <c r="D145" s="63"/>
      <c r="E145" s="62">
        <v>46072.772893518515</v>
      </c>
      <c r="F145" s="63" t="s">
        <v>229</v>
      </c>
      <c r="G145" s="63">
        <v>1722700201</v>
      </c>
      <c r="H145" s="63">
        <v>71676316001207</v>
      </c>
      <c r="I145" s="63" t="s">
        <v>2227</v>
      </c>
      <c r="J145" s="63" t="s">
        <v>2228</v>
      </c>
      <c r="K145" s="63" t="s">
        <v>64</v>
      </c>
      <c r="L145" s="63" t="s">
        <v>2229</v>
      </c>
      <c r="M145" s="63" t="s">
        <v>319</v>
      </c>
      <c r="N145" s="63" t="s">
        <v>84</v>
      </c>
      <c r="O145" s="63" t="s">
        <v>383</v>
      </c>
      <c r="P145" s="63" t="s">
        <v>384</v>
      </c>
      <c r="Q145" s="63">
        <v>8</v>
      </c>
      <c r="R145" s="63">
        <v>0</v>
      </c>
      <c r="S145" s="63" t="s">
        <v>70</v>
      </c>
      <c r="T145" s="63">
        <v>285.72000000000003</v>
      </c>
      <c r="U145" s="62">
        <v>46072.291666666664</v>
      </c>
      <c r="V145" s="63" t="s">
        <v>86</v>
      </c>
      <c r="W145" s="63">
        <v>2399</v>
      </c>
      <c r="X145" s="63">
        <v>4200</v>
      </c>
      <c r="Y145" s="63" t="s">
        <v>499</v>
      </c>
    </row>
    <row r="146" spans="1:25" hidden="1">
      <c r="A146" s="62">
        <v>46071.738599537035</v>
      </c>
      <c r="B146" s="63">
        <v>641516</v>
      </c>
      <c r="C146" s="63" t="s">
        <v>302</v>
      </c>
      <c r="D146" s="63"/>
      <c r="E146" s="62">
        <v>46072.772916666669</v>
      </c>
      <c r="F146" s="63" t="s">
        <v>229</v>
      </c>
      <c r="G146" s="63">
        <v>1722990201</v>
      </c>
      <c r="H146" s="63">
        <v>26563652038362</v>
      </c>
      <c r="I146" s="63" t="s">
        <v>2236</v>
      </c>
      <c r="J146" s="63" t="s">
        <v>159</v>
      </c>
      <c r="K146" s="63" t="s">
        <v>64</v>
      </c>
      <c r="L146" s="63" t="s">
        <v>2237</v>
      </c>
      <c r="M146" s="63" t="s">
        <v>2226</v>
      </c>
      <c r="N146" s="63" t="s">
        <v>84</v>
      </c>
      <c r="O146" s="63" t="s">
        <v>68</v>
      </c>
      <c r="P146" s="63" t="s">
        <v>69</v>
      </c>
      <c r="Q146" s="63">
        <v>6</v>
      </c>
      <c r="R146" s="63">
        <v>0</v>
      </c>
      <c r="S146" s="63" t="s">
        <v>70</v>
      </c>
      <c r="T146" s="63">
        <v>40.107999999999997</v>
      </c>
      <c r="U146" s="62">
        <v>46072.291666666664</v>
      </c>
      <c r="V146" s="63" t="s">
        <v>86</v>
      </c>
      <c r="W146" s="63">
        <v>379.86</v>
      </c>
      <c r="X146" s="63">
        <v>4200</v>
      </c>
      <c r="Y146" s="63" t="s">
        <v>499</v>
      </c>
    </row>
    <row r="147" spans="1:25" hidden="1">
      <c r="A147" s="62">
        <v>46071.738599537035</v>
      </c>
      <c r="B147" s="63">
        <v>641516</v>
      </c>
      <c r="C147" s="63" t="s">
        <v>302</v>
      </c>
      <c r="D147" s="63"/>
      <c r="E147" s="62">
        <v>46072.772916666669</v>
      </c>
      <c r="F147" s="63" t="s">
        <v>229</v>
      </c>
      <c r="G147" s="63">
        <v>1722990201</v>
      </c>
      <c r="H147" s="63">
        <v>26563652038362</v>
      </c>
      <c r="I147" s="63" t="s">
        <v>2236</v>
      </c>
      <c r="J147" s="63" t="s">
        <v>159</v>
      </c>
      <c r="K147" s="63" t="s">
        <v>64</v>
      </c>
      <c r="L147" s="63" t="s">
        <v>2237</v>
      </c>
      <c r="M147" s="63" t="s">
        <v>2226</v>
      </c>
      <c r="N147" s="63" t="s">
        <v>84</v>
      </c>
      <c r="O147" s="63" t="s">
        <v>74</v>
      </c>
      <c r="P147" s="63" t="s">
        <v>75</v>
      </c>
      <c r="Q147" s="63">
        <v>1</v>
      </c>
      <c r="R147" s="63">
        <v>0</v>
      </c>
      <c r="S147" s="63" t="s">
        <v>76</v>
      </c>
      <c r="T147" s="63">
        <v>40.107999999999997</v>
      </c>
      <c r="U147" s="62">
        <v>46072.291666666664</v>
      </c>
      <c r="V147" s="63" t="s">
        <v>86</v>
      </c>
      <c r="W147" s="63">
        <v>379.86</v>
      </c>
      <c r="X147" s="63">
        <v>4200</v>
      </c>
      <c r="Y147" s="63" t="s">
        <v>499</v>
      </c>
    </row>
    <row r="148" spans="1:25" hidden="1">
      <c r="A148" s="62">
        <v>46071.738599537035</v>
      </c>
      <c r="B148" s="63">
        <v>641516</v>
      </c>
      <c r="C148" s="63" t="s">
        <v>302</v>
      </c>
      <c r="D148" s="63"/>
      <c r="E148" s="62">
        <v>46072.772916666669</v>
      </c>
      <c r="F148" s="63" t="s">
        <v>229</v>
      </c>
      <c r="G148" s="63">
        <v>1725660201</v>
      </c>
      <c r="H148" s="63">
        <v>26563652007483</v>
      </c>
      <c r="I148" s="63" t="s">
        <v>2220</v>
      </c>
      <c r="J148" s="63" t="s">
        <v>159</v>
      </c>
      <c r="K148" s="63" t="s">
        <v>64</v>
      </c>
      <c r="L148" s="63" t="s">
        <v>2221</v>
      </c>
      <c r="M148" s="63" t="s">
        <v>309</v>
      </c>
      <c r="N148" s="63" t="s">
        <v>84</v>
      </c>
      <c r="O148" s="63" t="s">
        <v>68</v>
      </c>
      <c r="P148" s="63" t="s">
        <v>69</v>
      </c>
      <c r="Q148" s="63">
        <v>11</v>
      </c>
      <c r="R148" s="63">
        <v>0</v>
      </c>
      <c r="S148" s="63" t="s">
        <v>70</v>
      </c>
      <c r="T148" s="63">
        <v>55.198</v>
      </c>
      <c r="U148" s="62">
        <v>46072.291666666664</v>
      </c>
      <c r="V148" s="63" t="s">
        <v>86</v>
      </c>
      <c r="W148" s="63">
        <v>376.09</v>
      </c>
      <c r="X148" s="63">
        <v>4200</v>
      </c>
      <c r="Y148" s="63" t="s">
        <v>499</v>
      </c>
    </row>
    <row r="149" spans="1:25" hidden="1">
      <c r="A149" s="62">
        <v>46071.738599537035</v>
      </c>
      <c r="B149" s="63">
        <v>641516</v>
      </c>
      <c r="C149" s="63" t="s">
        <v>302</v>
      </c>
      <c r="D149" s="63"/>
      <c r="E149" s="62">
        <v>46072.772939814815</v>
      </c>
      <c r="F149" s="63" t="s">
        <v>229</v>
      </c>
      <c r="G149" s="63">
        <v>1723330201</v>
      </c>
      <c r="H149" s="63">
        <v>26563652030701</v>
      </c>
      <c r="I149" s="63" t="s">
        <v>2234</v>
      </c>
      <c r="J149" s="63" t="s">
        <v>159</v>
      </c>
      <c r="K149" s="63" t="s">
        <v>64</v>
      </c>
      <c r="L149" s="63" t="s">
        <v>2235</v>
      </c>
      <c r="M149" s="63" t="s">
        <v>2233</v>
      </c>
      <c r="N149" s="63" t="s">
        <v>84</v>
      </c>
      <c r="O149" s="63" t="s">
        <v>68</v>
      </c>
      <c r="P149" s="63" t="s">
        <v>69</v>
      </c>
      <c r="Q149" s="63">
        <v>11</v>
      </c>
      <c r="R149" s="63">
        <v>0</v>
      </c>
      <c r="S149" s="63" t="s">
        <v>70</v>
      </c>
      <c r="T149" s="63">
        <v>70.197999999999993</v>
      </c>
      <c r="U149" s="62">
        <v>46072.291666666664</v>
      </c>
      <c r="V149" s="63" t="s">
        <v>86</v>
      </c>
      <c r="W149" s="63">
        <v>599.82000000000005</v>
      </c>
      <c r="X149" s="63">
        <v>4200</v>
      </c>
      <c r="Y149" s="63" t="s">
        <v>499</v>
      </c>
    </row>
    <row r="150" spans="1:25" hidden="1">
      <c r="A150" s="62">
        <v>46071.738599537035</v>
      </c>
      <c r="B150" s="63">
        <v>641516</v>
      </c>
      <c r="C150" s="63" t="s">
        <v>302</v>
      </c>
      <c r="D150" s="63"/>
      <c r="E150" s="62">
        <v>46072.772939814815</v>
      </c>
      <c r="F150" s="63" t="s">
        <v>229</v>
      </c>
      <c r="G150" s="63">
        <v>1723330201</v>
      </c>
      <c r="H150" s="63">
        <v>26563652030701</v>
      </c>
      <c r="I150" s="63" t="s">
        <v>2234</v>
      </c>
      <c r="J150" s="63" t="s">
        <v>159</v>
      </c>
      <c r="K150" s="63" t="s">
        <v>64</v>
      </c>
      <c r="L150" s="63" t="s">
        <v>2235</v>
      </c>
      <c r="M150" s="63" t="s">
        <v>2233</v>
      </c>
      <c r="N150" s="63" t="s">
        <v>84</v>
      </c>
      <c r="O150" s="63" t="s">
        <v>72</v>
      </c>
      <c r="P150" s="63" t="s">
        <v>73</v>
      </c>
      <c r="Q150" s="63">
        <v>1</v>
      </c>
      <c r="R150" s="63">
        <v>0</v>
      </c>
      <c r="S150" s="63" t="s">
        <v>70</v>
      </c>
      <c r="T150" s="63">
        <v>70.197999999999993</v>
      </c>
      <c r="U150" s="62">
        <v>46072.291666666664</v>
      </c>
      <c r="V150" s="63" t="s">
        <v>86</v>
      </c>
      <c r="W150" s="63">
        <v>599.82000000000005</v>
      </c>
      <c r="X150" s="63">
        <v>4200</v>
      </c>
      <c r="Y150" s="63" t="s">
        <v>499</v>
      </c>
    </row>
    <row r="151" spans="1:25" hidden="1">
      <c r="A151" s="62">
        <v>46071.738599537035</v>
      </c>
      <c r="B151" s="63">
        <v>641516</v>
      </c>
      <c r="C151" s="63" t="s">
        <v>302</v>
      </c>
      <c r="D151" s="63"/>
      <c r="E151" s="62">
        <v>46072.772939814815</v>
      </c>
      <c r="F151" s="63" t="s">
        <v>229</v>
      </c>
      <c r="G151" s="63">
        <v>1723330201</v>
      </c>
      <c r="H151" s="63">
        <v>26563652030701</v>
      </c>
      <c r="I151" s="63" t="s">
        <v>2234</v>
      </c>
      <c r="J151" s="63" t="s">
        <v>159</v>
      </c>
      <c r="K151" s="63" t="s">
        <v>64</v>
      </c>
      <c r="L151" s="63" t="s">
        <v>2235</v>
      </c>
      <c r="M151" s="63" t="s">
        <v>2233</v>
      </c>
      <c r="N151" s="63" t="s">
        <v>84</v>
      </c>
      <c r="O151" s="63" t="s">
        <v>74</v>
      </c>
      <c r="P151" s="63" t="s">
        <v>75</v>
      </c>
      <c r="Q151" s="63">
        <v>1</v>
      </c>
      <c r="R151" s="63">
        <v>0</v>
      </c>
      <c r="S151" s="63" t="s">
        <v>76</v>
      </c>
      <c r="T151" s="63">
        <v>70.197999999999993</v>
      </c>
      <c r="U151" s="62">
        <v>46072.291666666664</v>
      </c>
      <c r="V151" s="63" t="s">
        <v>86</v>
      </c>
      <c r="W151" s="63">
        <v>599.82000000000005</v>
      </c>
      <c r="X151" s="63">
        <v>4200</v>
      </c>
      <c r="Y151" s="63" t="s">
        <v>499</v>
      </c>
    </row>
    <row r="152" spans="1:25" hidden="1">
      <c r="A152" s="62">
        <v>46071.738599537035</v>
      </c>
      <c r="B152" s="63">
        <v>641516</v>
      </c>
      <c r="C152" s="63" t="s">
        <v>302</v>
      </c>
      <c r="D152" s="63"/>
      <c r="E152" s="62">
        <v>46072.772951388892</v>
      </c>
      <c r="F152" s="63" t="s">
        <v>229</v>
      </c>
      <c r="G152" s="63">
        <v>1723690201</v>
      </c>
      <c r="H152" s="63">
        <v>26563652028723</v>
      </c>
      <c r="I152" s="63" t="s">
        <v>2503</v>
      </c>
      <c r="J152" s="63" t="s">
        <v>159</v>
      </c>
      <c r="K152" s="63" t="s">
        <v>64</v>
      </c>
      <c r="L152" s="63" t="s">
        <v>2504</v>
      </c>
      <c r="M152" s="63" t="s">
        <v>2226</v>
      </c>
      <c r="N152" s="63" t="s">
        <v>84</v>
      </c>
      <c r="O152" s="63" t="s">
        <v>68</v>
      </c>
      <c r="P152" s="63" t="s">
        <v>69</v>
      </c>
      <c r="Q152" s="63">
        <v>1</v>
      </c>
      <c r="R152" s="63">
        <v>0</v>
      </c>
      <c r="S152" s="63" t="s">
        <v>70</v>
      </c>
      <c r="T152" s="63">
        <v>30.827999999999999</v>
      </c>
      <c r="U152" s="62">
        <v>46072.291666666664</v>
      </c>
      <c r="V152" s="63" t="s">
        <v>86</v>
      </c>
      <c r="W152" s="63">
        <v>530.97</v>
      </c>
      <c r="X152" s="63">
        <v>4200</v>
      </c>
      <c r="Y152" s="63" t="s">
        <v>499</v>
      </c>
    </row>
    <row r="153" spans="1:25" hidden="1">
      <c r="A153" s="62">
        <v>46071.738599537035</v>
      </c>
      <c r="B153" s="63">
        <v>641516</v>
      </c>
      <c r="C153" s="63" t="s">
        <v>302</v>
      </c>
      <c r="D153" s="63"/>
      <c r="E153" s="62">
        <v>46072.772951388892</v>
      </c>
      <c r="F153" s="63" t="s">
        <v>229</v>
      </c>
      <c r="G153" s="63">
        <v>1723690201</v>
      </c>
      <c r="H153" s="63">
        <v>26563652028723</v>
      </c>
      <c r="I153" s="63" t="s">
        <v>2503</v>
      </c>
      <c r="J153" s="63" t="s">
        <v>159</v>
      </c>
      <c r="K153" s="63" t="s">
        <v>64</v>
      </c>
      <c r="L153" s="63" t="s">
        <v>2504</v>
      </c>
      <c r="M153" s="63" t="s">
        <v>2226</v>
      </c>
      <c r="N153" s="63" t="s">
        <v>84</v>
      </c>
      <c r="O153" s="63" t="s">
        <v>72</v>
      </c>
      <c r="P153" s="63" t="s">
        <v>73</v>
      </c>
      <c r="Q153" s="63">
        <v>3</v>
      </c>
      <c r="R153" s="63">
        <v>0</v>
      </c>
      <c r="S153" s="63" t="s">
        <v>70</v>
      </c>
      <c r="T153" s="63">
        <v>30.827999999999999</v>
      </c>
      <c r="U153" s="62">
        <v>46072.291666666664</v>
      </c>
      <c r="V153" s="63" t="s">
        <v>86</v>
      </c>
      <c r="W153" s="63">
        <v>530.97</v>
      </c>
      <c r="X153" s="63">
        <v>4200</v>
      </c>
      <c r="Y153" s="63" t="s">
        <v>499</v>
      </c>
    </row>
    <row r="154" spans="1:25" hidden="1">
      <c r="A154" s="62">
        <v>46071.738599537035</v>
      </c>
      <c r="B154" s="63">
        <v>641516</v>
      </c>
      <c r="C154" s="63" t="s">
        <v>302</v>
      </c>
      <c r="D154" s="63"/>
      <c r="E154" s="62">
        <v>46072.772951388892</v>
      </c>
      <c r="F154" s="63" t="s">
        <v>229</v>
      </c>
      <c r="G154" s="63">
        <v>1723690201</v>
      </c>
      <c r="H154" s="63">
        <v>26563652028723</v>
      </c>
      <c r="I154" s="63" t="s">
        <v>2503</v>
      </c>
      <c r="J154" s="63" t="s">
        <v>159</v>
      </c>
      <c r="K154" s="63" t="s">
        <v>64</v>
      </c>
      <c r="L154" s="63" t="s">
        <v>2504</v>
      </c>
      <c r="M154" s="63" t="s">
        <v>2226</v>
      </c>
      <c r="N154" s="63" t="s">
        <v>84</v>
      </c>
      <c r="O154" s="63" t="s">
        <v>169</v>
      </c>
      <c r="P154" s="63" t="s">
        <v>170</v>
      </c>
      <c r="Q154" s="63">
        <v>1</v>
      </c>
      <c r="R154" s="63">
        <v>0</v>
      </c>
      <c r="S154" s="63" t="s">
        <v>76</v>
      </c>
      <c r="T154" s="63">
        <v>30.827999999999999</v>
      </c>
      <c r="U154" s="62">
        <v>46072.291666666664</v>
      </c>
      <c r="V154" s="63" t="s">
        <v>86</v>
      </c>
      <c r="W154" s="63">
        <v>530.97</v>
      </c>
      <c r="X154" s="63">
        <v>4200</v>
      </c>
      <c r="Y154" s="63" t="s">
        <v>499</v>
      </c>
    </row>
    <row r="155" spans="1:25" hidden="1">
      <c r="A155" s="62">
        <v>46071.738599537035</v>
      </c>
      <c r="B155" s="63">
        <v>641516</v>
      </c>
      <c r="C155" s="63" t="s">
        <v>302</v>
      </c>
      <c r="D155" s="63"/>
      <c r="E155" s="62">
        <v>46072.772951388892</v>
      </c>
      <c r="F155" s="63" t="s">
        <v>229</v>
      </c>
      <c r="G155" s="63">
        <v>1723690201</v>
      </c>
      <c r="H155" s="63">
        <v>26563652028723</v>
      </c>
      <c r="I155" s="63" t="s">
        <v>2503</v>
      </c>
      <c r="J155" s="63" t="s">
        <v>159</v>
      </c>
      <c r="K155" s="63" t="s">
        <v>64</v>
      </c>
      <c r="L155" s="63" t="s">
        <v>2504</v>
      </c>
      <c r="M155" s="63" t="s">
        <v>2226</v>
      </c>
      <c r="N155" s="63" t="s">
        <v>84</v>
      </c>
      <c r="O155" s="63" t="s">
        <v>175</v>
      </c>
      <c r="P155" s="63" t="s">
        <v>176</v>
      </c>
      <c r="Q155" s="63">
        <v>1</v>
      </c>
      <c r="R155" s="63">
        <v>0</v>
      </c>
      <c r="S155" s="63" t="s">
        <v>76</v>
      </c>
      <c r="T155" s="63">
        <v>30.827999999999999</v>
      </c>
      <c r="U155" s="62">
        <v>46072.291666666664</v>
      </c>
      <c r="V155" s="63" t="s">
        <v>86</v>
      </c>
      <c r="W155" s="63">
        <v>530.97</v>
      </c>
      <c r="X155" s="63">
        <v>4200</v>
      </c>
      <c r="Y155" s="63" t="s">
        <v>499</v>
      </c>
    </row>
    <row r="156" spans="1:25" hidden="1">
      <c r="A156" s="62">
        <v>46071.738599537035</v>
      </c>
      <c r="B156" s="63">
        <v>641516</v>
      </c>
      <c r="C156" s="63" t="s">
        <v>302</v>
      </c>
      <c r="D156" s="63"/>
      <c r="E156" s="62">
        <v>46072.772951388892</v>
      </c>
      <c r="F156" s="63" t="s">
        <v>229</v>
      </c>
      <c r="G156" s="63">
        <v>1724050201</v>
      </c>
      <c r="H156" s="63">
        <v>26563652020668</v>
      </c>
      <c r="I156" s="63" t="s">
        <v>2224</v>
      </c>
      <c r="J156" s="63" t="s">
        <v>159</v>
      </c>
      <c r="K156" s="63" t="s">
        <v>64</v>
      </c>
      <c r="L156" s="63" t="s">
        <v>2225</v>
      </c>
      <c r="M156" s="63" t="s">
        <v>2226</v>
      </c>
      <c r="N156" s="63" t="s">
        <v>84</v>
      </c>
      <c r="O156" s="63" t="s">
        <v>68</v>
      </c>
      <c r="P156" s="63" t="s">
        <v>69</v>
      </c>
      <c r="Q156" s="63">
        <v>6</v>
      </c>
      <c r="R156" s="63">
        <v>0</v>
      </c>
      <c r="S156" s="63" t="s">
        <v>70</v>
      </c>
      <c r="T156" s="63">
        <v>40.107999999999997</v>
      </c>
      <c r="U156" s="62">
        <v>46072.291666666664</v>
      </c>
      <c r="V156" s="63" t="s">
        <v>86</v>
      </c>
      <c r="W156" s="63">
        <v>379.86</v>
      </c>
      <c r="X156" s="63">
        <v>4200</v>
      </c>
      <c r="Y156" s="63" t="s">
        <v>499</v>
      </c>
    </row>
    <row r="157" spans="1:25" hidden="1">
      <c r="A157" s="62">
        <v>46071.738599537035</v>
      </c>
      <c r="B157" s="63">
        <v>641516</v>
      </c>
      <c r="C157" s="63" t="s">
        <v>302</v>
      </c>
      <c r="D157" s="63"/>
      <c r="E157" s="62">
        <v>46072.772951388892</v>
      </c>
      <c r="F157" s="63" t="s">
        <v>229</v>
      </c>
      <c r="G157" s="63">
        <v>1724050201</v>
      </c>
      <c r="H157" s="63">
        <v>26563652020668</v>
      </c>
      <c r="I157" s="63" t="s">
        <v>2224</v>
      </c>
      <c r="J157" s="63" t="s">
        <v>159</v>
      </c>
      <c r="K157" s="63" t="s">
        <v>64</v>
      </c>
      <c r="L157" s="63" t="s">
        <v>2225</v>
      </c>
      <c r="M157" s="63" t="s">
        <v>2226</v>
      </c>
      <c r="N157" s="63" t="s">
        <v>84</v>
      </c>
      <c r="O157" s="63" t="s">
        <v>74</v>
      </c>
      <c r="P157" s="63" t="s">
        <v>75</v>
      </c>
      <c r="Q157" s="63">
        <v>1</v>
      </c>
      <c r="R157" s="63">
        <v>0</v>
      </c>
      <c r="S157" s="63" t="s">
        <v>76</v>
      </c>
      <c r="T157" s="63">
        <v>40.107999999999997</v>
      </c>
      <c r="U157" s="62">
        <v>46072.291666666664</v>
      </c>
      <c r="V157" s="63" t="s">
        <v>86</v>
      </c>
      <c r="W157" s="63">
        <v>379.86</v>
      </c>
      <c r="X157" s="63">
        <v>4200</v>
      </c>
      <c r="Y157" s="63" t="s">
        <v>499</v>
      </c>
    </row>
    <row r="158" spans="1:25" hidden="1">
      <c r="A158" s="62">
        <v>46071.738599537035</v>
      </c>
      <c r="B158" s="63">
        <v>641516</v>
      </c>
      <c r="C158" s="63" t="s">
        <v>302</v>
      </c>
      <c r="D158" s="63"/>
      <c r="E158" s="62">
        <v>46072.772962962961</v>
      </c>
      <c r="F158" s="63" t="s">
        <v>229</v>
      </c>
      <c r="G158" s="63">
        <v>1724210201</v>
      </c>
      <c r="H158" s="63">
        <v>26563652035428</v>
      </c>
      <c r="I158" s="63" t="s">
        <v>2505</v>
      </c>
      <c r="J158" s="63" t="s">
        <v>159</v>
      </c>
      <c r="K158" s="63" t="s">
        <v>64</v>
      </c>
      <c r="L158" s="63" t="s">
        <v>2506</v>
      </c>
      <c r="M158" s="63" t="s">
        <v>2507</v>
      </c>
      <c r="N158" s="63" t="s">
        <v>84</v>
      </c>
      <c r="O158" s="63" t="s">
        <v>68</v>
      </c>
      <c r="P158" s="63" t="s">
        <v>69</v>
      </c>
      <c r="Q158" s="63">
        <v>7</v>
      </c>
      <c r="R158" s="63">
        <v>0</v>
      </c>
      <c r="S158" s="63" t="s">
        <v>70</v>
      </c>
      <c r="T158" s="63">
        <v>35.125999999999998</v>
      </c>
      <c r="U158" s="62">
        <v>46072.291666666664</v>
      </c>
      <c r="V158" s="63" t="s">
        <v>86</v>
      </c>
      <c r="W158" s="63">
        <v>239.33</v>
      </c>
      <c r="X158" s="63">
        <v>4200</v>
      </c>
      <c r="Y158" s="63" t="s">
        <v>499</v>
      </c>
    </row>
    <row r="159" spans="1:25" hidden="1">
      <c r="A159" s="62">
        <v>46071.738599537035</v>
      </c>
      <c r="B159" s="63">
        <v>641516</v>
      </c>
      <c r="C159" s="63" t="s">
        <v>302</v>
      </c>
      <c r="D159" s="63"/>
      <c r="E159" s="62">
        <v>46072.772974537038</v>
      </c>
      <c r="F159" s="63" t="s">
        <v>229</v>
      </c>
      <c r="G159" s="63">
        <v>1718350201</v>
      </c>
      <c r="H159" s="63">
        <v>26563652014188</v>
      </c>
      <c r="I159" s="63" t="s">
        <v>2222</v>
      </c>
      <c r="J159" s="63" t="s">
        <v>159</v>
      </c>
      <c r="K159" s="63" t="s">
        <v>64</v>
      </c>
      <c r="L159" s="63" t="s">
        <v>2223</v>
      </c>
      <c r="M159" s="63" t="s">
        <v>304</v>
      </c>
      <c r="N159" s="63" t="s">
        <v>84</v>
      </c>
      <c r="O159" s="63" t="s">
        <v>68</v>
      </c>
      <c r="P159" s="63" t="s">
        <v>69</v>
      </c>
      <c r="Q159" s="63">
        <v>9</v>
      </c>
      <c r="R159" s="63">
        <v>0</v>
      </c>
      <c r="S159" s="63" t="s">
        <v>70</v>
      </c>
      <c r="T159" s="63">
        <v>45.322000000000003</v>
      </c>
      <c r="U159" s="62">
        <v>46072.291666666664</v>
      </c>
      <c r="V159" s="63" t="s">
        <v>86</v>
      </c>
      <c r="W159" s="63">
        <v>457.06</v>
      </c>
      <c r="X159" s="63">
        <v>4200</v>
      </c>
      <c r="Y159" s="63" t="s">
        <v>499</v>
      </c>
    </row>
    <row r="160" spans="1:25" hidden="1">
      <c r="A160" s="62">
        <v>46071.738599537035</v>
      </c>
      <c r="B160" s="63">
        <v>641516</v>
      </c>
      <c r="C160" s="63" t="s">
        <v>302</v>
      </c>
      <c r="D160" s="63"/>
      <c r="E160" s="62">
        <v>46072.772974537038</v>
      </c>
      <c r="F160" s="63" t="s">
        <v>229</v>
      </c>
      <c r="G160" s="63">
        <v>1718350201</v>
      </c>
      <c r="H160" s="63">
        <v>26563652014188</v>
      </c>
      <c r="I160" s="63" t="s">
        <v>2222</v>
      </c>
      <c r="J160" s="63" t="s">
        <v>159</v>
      </c>
      <c r="K160" s="63" t="s">
        <v>64</v>
      </c>
      <c r="L160" s="63" t="s">
        <v>2223</v>
      </c>
      <c r="M160" s="63" t="s">
        <v>304</v>
      </c>
      <c r="N160" s="63" t="s">
        <v>84</v>
      </c>
      <c r="O160" s="63" t="s">
        <v>173</v>
      </c>
      <c r="P160" s="63" t="s">
        <v>174</v>
      </c>
      <c r="Q160" s="63">
        <v>1</v>
      </c>
      <c r="R160" s="63">
        <v>0</v>
      </c>
      <c r="S160" s="63" t="s">
        <v>76</v>
      </c>
      <c r="T160" s="63">
        <v>45.322000000000003</v>
      </c>
      <c r="U160" s="62">
        <v>46072.291666666664</v>
      </c>
      <c r="V160" s="63" t="s">
        <v>86</v>
      </c>
      <c r="W160" s="63">
        <v>457.06</v>
      </c>
      <c r="X160" s="63">
        <v>4200</v>
      </c>
      <c r="Y160" s="63" t="s">
        <v>499</v>
      </c>
    </row>
    <row r="161" spans="1:25" hidden="1">
      <c r="A161" s="62">
        <v>46071.738599537035</v>
      </c>
      <c r="B161" s="63">
        <v>641516</v>
      </c>
      <c r="C161" s="63" t="s">
        <v>302</v>
      </c>
      <c r="D161" s="63"/>
      <c r="E161" s="62">
        <v>46072.772974537038</v>
      </c>
      <c r="F161" s="63" t="s">
        <v>229</v>
      </c>
      <c r="G161" s="63">
        <v>1726920201</v>
      </c>
      <c r="H161" s="63">
        <v>66533696000553</v>
      </c>
      <c r="I161" s="63" t="s">
        <v>2508</v>
      </c>
      <c r="J161" s="63" t="s">
        <v>95</v>
      </c>
      <c r="K161" s="63" t="s">
        <v>64</v>
      </c>
      <c r="L161" s="63" t="s">
        <v>2230</v>
      </c>
      <c r="M161" s="63" t="s">
        <v>2231</v>
      </c>
      <c r="N161" s="63" t="s">
        <v>84</v>
      </c>
      <c r="O161" s="63" t="s">
        <v>68</v>
      </c>
      <c r="P161" s="63" t="s">
        <v>69</v>
      </c>
      <c r="Q161" s="63">
        <v>44</v>
      </c>
      <c r="R161" s="63">
        <v>0</v>
      </c>
      <c r="S161" s="63" t="s">
        <v>70</v>
      </c>
      <c r="T161" s="63">
        <v>220.792</v>
      </c>
      <c r="U161" s="62">
        <v>46072.291666666664</v>
      </c>
      <c r="V161" s="63" t="s">
        <v>86</v>
      </c>
      <c r="W161" s="63">
        <v>1757.8</v>
      </c>
      <c r="X161" s="63">
        <v>4200</v>
      </c>
      <c r="Y161" s="63" t="s">
        <v>499</v>
      </c>
    </row>
    <row r="162" spans="1:25" hidden="1">
      <c r="A162" s="62">
        <v>46071.738611111112</v>
      </c>
      <c r="B162" s="63">
        <v>641517</v>
      </c>
      <c r="C162" s="63" t="s">
        <v>2190</v>
      </c>
      <c r="D162" s="63"/>
      <c r="E162" s="62">
        <v>46071.749780092592</v>
      </c>
      <c r="F162" s="63" t="s">
        <v>266</v>
      </c>
      <c r="G162" s="63">
        <v>1706970201</v>
      </c>
      <c r="H162" s="63">
        <v>26563652033565</v>
      </c>
      <c r="I162" s="63" t="s">
        <v>2509</v>
      </c>
      <c r="J162" s="63" t="s">
        <v>159</v>
      </c>
      <c r="K162" s="63" t="s">
        <v>64</v>
      </c>
      <c r="L162" s="63" t="s">
        <v>2510</v>
      </c>
      <c r="M162" s="63" t="s">
        <v>2511</v>
      </c>
      <c r="N162" s="63" t="s">
        <v>84</v>
      </c>
      <c r="O162" s="63" t="s">
        <v>68</v>
      </c>
      <c r="P162" s="63" t="s">
        <v>69</v>
      </c>
      <c r="Q162" s="63">
        <v>3</v>
      </c>
      <c r="R162" s="63">
        <v>0</v>
      </c>
      <c r="S162" s="63" t="s">
        <v>70</v>
      </c>
      <c r="T162" s="63">
        <v>22.263999999999999</v>
      </c>
      <c r="U162" s="62">
        <v>46072.291666666664</v>
      </c>
      <c r="V162" s="63" t="s">
        <v>86</v>
      </c>
      <c r="W162" s="63">
        <v>356.82</v>
      </c>
      <c r="X162" s="63">
        <v>4200</v>
      </c>
      <c r="Y162" s="63" t="s">
        <v>2245</v>
      </c>
    </row>
    <row r="163" spans="1:25" hidden="1">
      <c r="A163" s="62">
        <v>46071.738611111112</v>
      </c>
      <c r="B163" s="63">
        <v>641517</v>
      </c>
      <c r="C163" s="63" t="s">
        <v>2190</v>
      </c>
      <c r="D163" s="63"/>
      <c r="E163" s="62">
        <v>46071.749780092592</v>
      </c>
      <c r="F163" s="63" t="s">
        <v>266</v>
      </c>
      <c r="G163" s="63">
        <v>1706970201</v>
      </c>
      <c r="H163" s="63">
        <v>26563652033565</v>
      </c>
      <c r="I163" s="63" t="s">
        <v>2509</v>
      </c>
      <c r="J163" s="63" t="s">
        <v>159</v>
      </c>
      <c r="K163" s="63" t="s">
        <v>64</v>
      </c>
      <c r="L163" s="63" t="s">
        <v>2510</v>
      </c>
      <c r="M163" s="63" t="s">
        <v>2511</v>
      </c>
      <c r="N163" s="63" t="s">
        <v>84</v>
      </c>
      <c r="O163" s="63" t="s">
        <v>163</v>
      </c>
      <c r="P163" s="63" t="s">
        <v>164</v>
      </c>
      <c r="Q163" s="63">
        <v>1</v>
      </c>
      <c r="R163" s="63">
        <v>0</v>
      </c>
      <c r="S163" s="63" t="s">
        <v>76</v>
      </c>
      <c r="T163" s="63">
        <v>22.263999999999999</v>
      </c>
      <c r="U163" s="62">
        <v>46072.291666666664</v>
      </c>
      <c r="V163" s="63" t="s">
        <v>86</v>
      </c>
      <c r="W163" s="63">
        <v>356.82</v>
      </c>
      <c r="X163" s="63">
        <v>4200</v>
      </c>
      <c r="Y163" s="63" t="s">
        <v>2245</v>
      </c>
    </row>
    <row r="164" spans="1:25" hidden="1">
      <c r="A164" s="62">
        <v>46071.738611111112</v>
      </c>
      <c r="B164" s="63">
        <v>641517</v>
      </c>
      <c r="C164" s="63" t="s">
        <v>2190</v>
      </c>
      <c r="D164" s="63"/>
      <c r="E164" s="62">
        <v>46072.772858796299</v>
      </c>
      <c r="F164" s="63" t="s">
        <v>266</v>
      </c>
      <c r="G164" s="63">
        <v>1724670201</v>
      </c>
      <c r="H164" s="63">
        <v>26563652042637</v>
      </c>
      <c r="I164" s="63" t="s">
        <v>2512</v>
      </c>
      <c r="J164" s="63" t="s">
        <v>159</v>
      </c>
      <c r="K164" s="63" t="s">
        <v>64</v>
      </c>
      <c r="L164" s="63"/>
      <c r="M164" s="63" t="s">
        <v>247</v>
      </c>
      <c r="N164" s="63" t="s">
        <v>84</v>
      </c>
      <c r="O164" s="63" t="s">
        <v>68</v>
      </c>
      <c r="P164" s="63" t="s">
        <v>69</v>
      </c>
      <c r="Q164" s="63">
        <v>11</v>
      </c>
      <c r="R164" s="63">
        <v>0</v>
      </c>
      <c r="S164" s="63" t="s">
        <v>70</v>
      </c>
      <c r="T164" s="63">
        <v>55.198</v>
      </c>
      <c r="U164" s="62">
        <v>46072.291666666664</v>
      </c>
      <c r="V164" s="63" t="s">
        <v>86</v>
      </c>
      <c r="W164" s="63">
        <v>376.09</v>
      </c>
      <c r="X164" s="63">
        <v>4200</v>
      </c>
      <c r="Y164" s="63" t="s">
        <v>2245</v>
      </c>
    </row>
    <row r="165" spans="1:25">
      <c r="A165" s="62">
        <v>46071.738611111112</v>
      </c>
      <c r="B165" s="63">
        <v>641517</v>
      </c>
      <c r="C165" s="63" t="s">
        <v>2190</v>
      </c>
      <c r="D165" s="63"/>
      <c r="E165" s="62">
        <v>46072.772870370369</v>
      </c>
      <c r="F165" s="63" t="s">
        <v>266</v>
      </c>
      <c r="G165" s="63">
        <v>1720880201</v>
      </c>
      <c r="H165" s="63">
        <v>47508411261383</v>
      </c>
      <c r="I165" s="63" t="s">
        <v>2513</v>
      </c>
      <c r="J165" s="63" t="s">
        <v>182</v>
      </c>
      <c r="K165" s="63" t="s">
        <v>64</v>
      </c>
      <c r="L165" s="63" t="s">
        <v>2514</v>
      </c>
      <c r="M165" s="63" t="s">
        <v>2515</v>
      </c>
      <c r="N165" s="63" t="s">
        <v>67</v>
      </c>
      <c r="O165" s="63" t="s">
        <v>109</v>
      </c>
      <c r="P165" s="63" t="s">
        <v>110</v>
      </c>
      <c r="Q165" s="63">
        <v>10</v>
      </c>
      <c r="R165" s="63">
        <v>0</v>
      </c>
      <c r="S165" s="63" t="s">
        <v>70</v>
      </c>
      <c r="T165" s="63">
        <v>50</v>
      </c>
      <c r="U165" s="62">
        <v>46072.291666666664</v>
      </c>
      <c r="V165" s="63" t="s">
        <v>86</v>
      </c>
      <c r="W165" s="63">
        <v>360.7</v>
      </c>
      <c r="X165" s="63">
        <v>4200</v>
      </c>
      <c r="Y165" s="63" t="s">
        <v>2245</v>
      </c>
    </row>
    <row r="166" spans="1:25" hidden="1">
      <c r="A166" s="62">
        <v>46071.738611111112</v>
      </c>
      <c r="B166" s="63">
        <v>641517</v>
      </c>
      <c r="C166" s="63" t="s">
        <v>2190</v>
      </c>
      <c r="D166" s="63"/>
      <c r="E166" s="62">
        <v>46072.772870370369</v>
      </c>
      <c r="F166" s="63" t="s">
        <v>266</v>
      </c>
      <c r="G166" s="63">
        <v>1720890201</v>
      </c>
      <c r="H166" s="63">
        <v>47508411261383</v>
      </c>
      <c r="I166" s="63" t="s">
        <v>2513</v>
      </c>
      <c r="J166" s="63" t="s">
        <v>182</v>
      </c>
      <c r="K166" s="63" t="s">
        <v>64</v>
      </c>
      <c r="L166" s="63" t="s">
        <v>2514</v>
      </c>
      <c r="M166" s="63" t="s">
        <v>2515</v>
      </c>
      <c r="N166" s="63" t="s">
        <v>67</v>
      </c>
      <c r="O166" s="63" t="s">
        <v>107</v>
      </c>
      <c r="P166" s="63" t="s">
        <v>108</v>
      </c>
      <c r="Q166" s="63">
        <v>2</v>
      </c>
      <c r="R166" s="63">
        <v>0</v>
      </c>
      <c r="S166" s="63" t="s">
        <v>76</v>
      </c>
      <c r="T166" s="63">
        <v>21.26</v>
      </c>
      <c r="U166" s="62">
        <v>46072.291666666664</v>
      </c>
      <c r="V166" s="63" t="s">
        <v>86</v>
      </c>
      <c r="W166" s="63">
        <v>158</v>
      </c>
      <c r="X166" s="63">
        <v>4200</v>
      </c>
      <c r="Y166" s="63" t="s">
        <v>2245</v>
      </c>
    </row>
    <row r="167" spans="1:25" hidden="1">
      <c r="A167" s="62">
        <v>46071.738611111112</v>
      </c>
      <c r="B167" s="63">
        <v>641517</v>
      </c>
      <c r="C167" s="63" t="s">
        <v>2190</v>
      </c>
      <c r="D167" s="63"/>
      <c r="E167" s="62">
        <v>46072.772870370369</v>
      </c>
      <c r="F167" s="63" t="s">
        <v>266</v>
      </c>
      <c r="G167" s="63">
        <v>1720900201</v>
      </c>
      <c r="H167" s="63">
        <v>47508411261383</v>
      </c>
      <c r="I167" s="63" t="s">
        <v>2513</v>
      </c>
      <c r="J167" s="63" t="s">
        <v>182</v>
      </c>
      <c r="K167" s="63" t="s">
        <v>64</v>
      </c>
      <c r="L167" s="63" t="s">
        <v>2514</v>
      </c>
      <c r="M167" s="63" t="s">
        <v>2515</v>
      </c>
      <c r="N167" s="63" t="s">
        <v>67</v>
      </c>
      <c r="O167" s="63" t="s">
        <v>68</v>
      </c>
      <c r="P167" s="63" t="s">
        <v>69</v>
      </c>
      <c r="Q167" s="63">
        <v>10</v>
      </c>
      <c r="R167" s="63">
        <v>0</v>
      </c>
      <c r="S167" s="63" t="s">
        <v>70</v>
      </c>
      <c r="T167" s="63">
        <v>65.180000000000007</v>
      </c>
      <c r="U167" s="62">
        <v>46072.291666666664</v>
      </c>
      <c r="V167" s="63" t="s">
        <v>86</v>
      </c>
      <c r="W167" s="63">
        <v>479.56</v>
      </c>
      <c r="X167" s="63">
        <v>4200</v>
      </c>
      <c r="Y167" s="63" t="s">
        <v>2245</v>
      </c>
    </row>
    <row r="168" spans="1:25" hidden="1">
      <c r="A168" s="62">
        <v>46071.738611111112</v>
      </c>
      <c r="B168" s="63">
        <v>641517</v>
      </c>
      <c r="C168" s="63" t="s">
        <v>2190</v>
      </c>
      <c r="D168" s="63"/>
      <c r="E168" s="62">
        <v>46072.772870370369</v>
      </c>
      <c r="F168" s="63" t="s">
        <v>266</v>
      </c>
      <c r="G168" s="63">
        <v>1720900201</v>
      </c>
      <c r="H168" s="63">
        <v>47508411261383</v>
      </c>
      <c r="I168" s="63" t="s">
        <v>2513</v>
      </c>
      <c r="J168" s="63" t="s">
        <v>182</v>
      </c>
      <c r="K168" s="63" t="s">
        <v>64</v>
      </c>
      <c r="L168" s="63" t="s">
        <v>2514</v>
      </c>
      <c r="M168" s="63" t="s">
        <v>2515</v>
      </c>
      <c r="N168" s="63" t="s">
        <v>67</v>
      </c>
      <c r="O168" s="63" t="s">
        <v>91</v>
      </c>
      <c r="P168" s="63" t="s">
        <v>92</v>
      </c>
      <c r="Q168" s="63">
        <v>1</v>
      </c>
      <c r="R168" s="63">
        <v>0</v>
      </c>
      <c r="S168" s="63" t="s">
        <v>70</v>
      </c>
      <c r="T168" s="63">
        <v>65.180000000000007</v>
      </c>
      <c r="U168" s="62">
        <v>46072.291666666664</v>
      </c>
      <c r="V168" s="63" t="s">
        <v>86</v>
      </c>
      <c r="W168" s="63">
        <v>479.56</v>
      </c>
      <c r="X168" s="63">
        <v>4200</v>
      </c>
      <c r="Y168" s="63" t="s">
        <v>2245</v>
      </c>
    </row>
    <row r="169" spans="1:25" hidden="1">
      <c r="A169" s="62">
        <v>46071.738611111112</v>
      </c>
      <c r="B169" s="63">
        <v>641517</v>
      </c>
      <c r="C169" s="63" t="s">
        <v>2190</v>
      </c>
      <c r="D169" s="63"/>
      <c r="E169" s="62">
        <v>46072.772870370369</v>
      </c>
      <c r="F169" s="63" t="s">
        <v>266</v>
      </c>
      <c r="G169" s="63">
        <v>1720900201</v>
      </c>
      <c r="H169" s="63">
        <v>47508411261383</v>
      </c>
      <c r="I169" s="63" t="s">
        <v>2513</v>
      </c>
      <c r="J169" s="63" t="s">
        <v>182</v>
      </c>
      <c r="K169" s="63" t="s">
        <v>64</v>
      </c>
      <c r="L169" s="63" t="s">
        <v>2514</v>
      </c>
      <c r="M169" s="63" t="s">
        <v>2515</v>
      </c>
      <c r="N169" s="63" t="s">
        <v>67</v>
      </c>
      <c r="O169" s="63" t="s">
        <v>93</v>
      </c>
      <c r="P169" s="63" t="s">
        <v>94</v>
      </c>
      <c r="Q169" s="63">
        <v>2</v>
      </c>
      <c r="R169" s="63">
        <v>0</v>
      </c>
      <c r="S169" s="63" t="s">
        <v>70</v>
      </c>
      <c r="T169" s="63">
        <v>65.180000000000007</v>
      </c>
      <c r="U169" s="62">
        <v>46072.291666666664</v>
      </c>
      <c r="V169" s="63" t="s">
        <v>86</v>
      </c>
      <c r="W169" s="63">
        <v>479.56</v>
      </c>
      <c r="X169" s="63">
        <v>4200</v>
      </c>
      <c r="Y169" s="63" t="s">
        <v>2245</v>
      </c>
    </row>
    <row r="170" spans="1:25" hidden="1">
      <c r="A170" s="62">
        <v>46071.738611111112</v>
      </c>
      <c r="B170" s="63">
        <v>641517</v>
      </c>
      <c r="C170" s="63" t="s">
        <v>2190</v>
      </c>
      <c r="D170" s="63"/>
      <c r="E170" s="62">
        <v>46072.772870370369</v>
      </c>
      <c r="F170" s="63" t="s">
        <v>266</v>
      </c>
      <c r="G170" s="63">
        <v>1724980201</v>
      </c>
      <c r="H170" s="63">
        <v>26563652033565</v>
      </c>
      <c r="I170" s="63" t="s">
        <v>2509</v>
      </c>
      <c r="J170" s="63" t="s">
        <v>159</v>
      </c>
      <c r="K170" s="63" t="s">
        <v>64</v>
      </c>
      <c r="L170" s="63" t="s">
        <v>2510</v>
      </c>
      <c r="M170" s="63" t="s">
        <v>2511</v>
      </c>
      <c r="N170" s="63" t="s">
        <v>84</v>
      </c>
      <c r="O170" s="63" t="s">
        <v>68</v>
      </c>
      <c r="P170" s="63" t="s">
        <v>69</v>
      </c>
      <c r="Q170" s="63">
        <v>5</v>
      </c>
      <c r="R170" s="63">
        <v>0</v>
      </c>
      <c r="S170" s="63" t="s">
        <v>70</v>
      </c>
      <c r="T170" s="63">
        <v>32.06</v>
      </c>
      <c r="U170" s="62">
        <v>46072.291666666664</v>
      </c>
      <c r="V170" s="63" t="s">
        <v>86</v>
      </c>
      <c r="W170" s="63">
        <v>437.35</v>
      </c>
      <c r="X170" s="63">
        <v>4200</v>
      </c>
      <c r="Y170" s="63" t="s">
        <v>2245</v>
      </c>
    </row>
    <row r="171" spans="1:25" hidden="1">
      <c r="A171" s="62">
        <v>46071.738611111112</v>
      </c>
      <c r="B171" s="63">
        <v>641517</v>
      </c>
      <c r="C171" s="63" t="s">
        <v>2190</v>
      </c>
      <c r="D171" s="63"/>
      <c r="E171" s="62">
        <v>46072.772870370369</v>
      </c>
      <c r="F171" s="63" t="s">
        <v>266</v>
      </c>
      <c r="G171" s="63">
        <v>1724980201</v>
      </c>
      <c r="H171" s="63">
        <v>26563652033565</v>
      </c>
      <c r="I171" s="63" t="s">
        <v>2509</v>
      </c>
      <c r="J171" s="63" t="s">
        <v>159</v>
      </c>
      <c r="K171" s="63" t="s">
        <v>64</v>
      </c>
      <c r="L171" s="63" t="s">
        <v>2510</v>
      </c>
      <c r="M171" s="63" t="s">
        <v>2511</v>
      </c>
      <c r="N171" s="63" t="s">
        <v>84</v>
      </c>
      <c r="O171" s="63" t="s">
        <v>161</v>
      </c>
      <c r="P171" s="63" t="s">
        <v>162</v>
      </c>
      <c r="Q171" s="63">
        <v>1</v>
      </c>
      <c r="R171" s="63">
        <v>0</v>
      </c>
      <c r="S171" s="63" t="s">
        <v>76</v>
      </c>
      <c r="T171" s="63">
        <v>32.06</v>
      </c>
      <c r="U171" s="62">
        <v>46072.291666666664</v>
      </c>
      <c r="V171" s="63" t="s">
        <v>86</v>
      </c>
      <c r="W171" s="63">
        <v>437.35</v>
      </c>
      <c r="X171" s="63">
        <v>4200</v>
      </c>
      <c r="Y171" s="63" t="s">
        <v>2245</v>
      </c>
    </row>
    <row r="172" spans="1:25" hidden="1">
      <c r="A172" s="62">
        <v>46071.738611111112</v>
      </c>
      <c r="B172" s="63">
        <v>641517</v>
      </c>
      <c r="C172" s="63" t="s">
        <v>2190</v>
      </c>
      <c r="D172" s="63"/>
      <c r="E172" s="62">
        <v>46072.772870370369</v>
      </c>
      <c r="F172" s="63" t="s">
        <v>266</v>
      </c>
      <c r="G172" s="63">
        <v>1725060201</v>
      </c>
      <c r="H172" s="63">
        <v>26563652057820</v>
      </c>
      <c r="I172" s="63" t="s">
        <v>249</v>
      </c>
      <c r="J172" s="63" t="s">
        <v>159</v>
      </c>
      <c r="K172" s="63" t="s">
        <v>64</v>
      </c>
      <c r="L172" s="63"/>
      <c r="M172" s="63" t="s">
        <v>250</v>
      </c>
      <c r="N172" s="63" t="s">
        <v>84</v>
      </c>
      <c r="O172" s="63" t="s">
        <v>68</v>
      </c>
      <c r="P172" s="63" t="s">
        <v>69</v>
      </c>
      <c r="Q172" s="63">
        <v>5</v>
      </c>
      <c r="R172" s="63">
        <v>0</v>
      </c>
      <c r="S172" s="63" t="s">
        <v>70</v>
      </c>
      <c r="T172" s="63">
        <v>25.09</v>
      </c>
      <c r="U172" s="62">
        <v>46072.291666666664</v>
      </c>
      <c r="V172" s="63" t="s">
        <v>86</v>
      </c>
      <c r="W172" s="63">
        <v>170.95</v>
      </c>
      <c r="X172" s="63">
        <v>4200</v>
      </c>
      <c r="Y172" s="63" t="s">
        <v>2245</v>
      </c>
    </row>
    <row r="173" spans="1:25">
      <c r="A173" s="62">
        <v>46071.738611111112</v>
      </c>
      <c r="B173" s="63">
        <v>641517</v>
      </c>
      <c r="C173" s="63" t="s">
        <v>2190</v>
      </c>
      <c r="D173" s="63"/>
      <c r="E173" s="62">
        <v>46072.772881944446</v>
      </c>
      <c r="F173" s="63" t="s">
        <v>266</v>
      </c>
      <c r="G173" s="63">
        <v>1720930201</v>
      </c>
      <c r="H173" s="63">
        <v>47508411007240</v>
      </c>
      <c r="I173" s="63" t="s">
        <v>2516</v>
      </c>
      <c r="J173" s="63" t="s">
        <v>274</v>
      </c>
      <c r="K173" s="63" t="s">
        <v>64</v>
      </c>
      <c r="L173" s="63" t="s">
        <v>2517</v>
      </c>
      <c r="M173" s="63" t="s">
        <v>2518</v>
      </c>
      <c r="N173" s="63" t="s">
        <v>84</v>
      </c>
      <c r="O173" s="63" t="s">
        <v>109</v>
      </c>
      <c r="P173" s="63" t="s">
        <v>110</v>
      </c>
      <c r="Q173" s="63">
        <v>15</v>
      </c>
      <c r="R173" s="63">
        <v>0</v>
      </c>
      <c r="S173" s="63" t="s">
        <v>70</v>
      </c>
      <c r="T173" s="63">
        <v>75</v>
      </c>
      <c r="U173" s="62">
        <v>46072.291666666664</v>
      </c>
      <c r="V173" s="63" t="s">
        <v>86</v>
      </c>
      <c r="W173" s="63">
        <v>541.04999999999995</v>
      </c>
      <c r="X173" s="63">
        <v>4200</v>
      </c>
      <c r="Y173" s="63" t="s">
        <v>2245</v>
      </c>
    </row>
    <row r="174" spans="1:25" hidden="1">
      <c r="A174" s="62">
        <v>46071.738611111112</v>
      </c>
      <c r="B174" s="63">
        <v>641517</v>
      </c>
      <c r="C174" s="63" t="s">
        <v>2190</v>
      </c>
      <c r="D174" s="63"/>
      <c r="E174" s="62">
        <v>46072.772881944446</v>
      </c>
      <c r="F174" s="63" t="s">
        <v>266</v>
      </c>
      <c r="G174" s="63">
        <v>1720940201</v>
      </c>
      <c r="H174" s="63">
        <v>47508411007240</v>
      </c>
      <c r="I174" s="63" t="s">
        <v>2516</v>
      </c>
      <c r="J174" s="63" t="s">
        <v>274</v>
      </c>
      <c r="K174" s="63" t="s">
        <v>64</v>
      </c>
      <c r="L174" s="63" t="s">
        <v>2517</v>
      </c>
      <c r="M174" s="63" t="s">
        <v>2518</v>
      </c>
      <c r="N174" s="63" t="s">
        <v>84</v>
      </c>
      <c r="O174" s="63" t="s">
        <v>68</v>
      </c>
      <c r="P174" s="63" t="s">
        <v>69</v>
      </c>
      <c r="Q174" s="63">
        <v>15</v>
      </c>
      <c r="R174" s="63">
        <v>0</v>
      </c>
      <c r="S174" s="63" t="s">
        <v>70</v>
      </c>
      <c r="T174" s="63">
        <v>75.27</v>
      </c>
      <c r="U174" s="62">
        <v>46072.291666666664</v>
      </c>
      <c r="V174" s="63" t="s">
        <v>86</v>
      </c>
      <c r="W174" s="63">
        <v>541.04999999999995</v>
      </c>
      <c r="X174" s="63">
        <v>4200</v>
      </c>
      <c r="Y174" s="63" t="s">
        <v>2245</v>
      </c>
    </row>
    <row r="175" spans="1:25" hidden="1">
      <c r="A175" s="62">
        <v>46071.738611111112</v>
      </c>
      <c r="B175" s="63">
        <v>641517</v>
      </c>
      <c r="C175" s="63" t="s">
        <v>2190</v>
      </c>
      <c r="D175" s="63"/>
      <c r="E175" s="62">
        <v>46072.772881944446</v>
      </c>
      <c r="F175" s="63" t="s">
        <v>266</v>
      </c>
      <c r="G175" s="63">
        <v>1721020201</v>
      </c>
      <c r="H175" s="63">
        <v>45827425001774</v>
      </c>
      <c r="I175" s="63" t="s">
        <v>2519</v>
      </c>
      <c r="J175" s="63" t="s">
        <v>2520</v>
      </c>
      <c r="K175" s="63" t="s">
        <v>64</v>
      </c>
      <c r="L175" s="63" t="s">
        <v>2521</v>
      </c>
      <c r="M175" s="63" t="s">
        <v>2522</v>
      </c>
      <c r="N175" s="63" t="s">
        <v>67</v>
      </c>
      <c r="O175" s="63" t="s">
        <v>72</v>
      </c>
      <c r="P175" s="63" t="s">
        <v>73</v>
      </c>
      <c r="Q175" s="63">
        <v>2</v>
      </c>
      <c r="R175" s="63">
        <v>0</v>
      </c>
      <c r="S175" s="63" t="s">
        <v>70</v>
      </c>
      <c r="T175" s="63">
        <v>110</v>
      </c>
      <c r="U175" s="62">
        <v>46072.291666666664</v>
      </c>
      <c r="V175" s="63" t="s">
        <v>86</v>
      </c>
      <c r="W175" s="63">
        <v>2468.29</v>
      </c>
      <c r="X175" s="63">
        <v>4200</v>
      </c>
      <c r="Y175" s="63" t="s">
        <v>2245</v>
      </c>
    </row>
    <row r="176" spans="1:25" hidden="1">
      <c r="A176" s="62">
        <v>46071.738611111112</v>
      </c>
      <c r="B176" s="63">
        <v>641517</v>
      </c>
      <c r="C176" s="63" t="s">
        <v>2190</v>
      </c>
      <c r="D176" s="63"/>
      <c r="E176" s="62">
        <v>46072.772881944446</v>
      </c>
      <c r="F176" s="63" t="s">
        <v>266</v>
      </c>
      <c r="G176" s="63">
        <v>1721020201</v>
      </c>
      <c r="H176" s="63">
        <v>45827425001774</v>
      </c>
      <c r="I176" s="63" t="s">
        <v>2519</v>
      </c>
      <c r="J176" s="63" t="s">
        <v>2520</v>
      </c>
      <c r="K176" s="63" t="s">
        <v>64</v>
      </c>
      <c r="L176" s="63" t="s">
        <v>2521</v>
      </c>
      <c r="M176" s="63" t="s">
        <v>2522</v>
      </c>
      <c r="N176" s="63" t="s">
        <v>67</v>
      </c>
      <c r="O176" s="63" t="s">
        <v>74</v>
      </c>
      <c r="P176" s="63" t="s">
        <v>75</v>
      </c>
      <c r="Q176" s="63">
        <v>10</v>
      </c>
      <c r="R176" s="63">
        <v>0</v>
      </c>
      <c r="S176" s="63" t="s">
        <v>76</v>
      </c>
      <c r="T176" s="63">
        <v>110</v>
      </c>
      <c r="U176" s="62">
        <v>46072.291666666664</v>
      </c>
      <c r="V176" s="63" t="s">
        <v>86</v>
      </c>
      <c r="W176" s="63">
        <v>2468.29</v>
      </c>
      <c r="X176" s="63">
        <v>4200</v>
      </c>
      <c r="Y176" s="63" t="s">
        <v>2245</v>
      </c>
    </row>
    <row r="177" spans="1:25" hidden="1">
      <c r="A177" s="62">
        <v>46071.738611111112</v>
      </c>
      <c r="B177" s="63">
        <v>641517</v>
      </c>
      <c r="C177" s="63" t="s">
        <v>2190</v>
      </c>
      <c r="D177" s="63"/>
      <c r="E177" s="62">
        <v>46072.772893518515</v>
      </c>
      <c r="F177" s="63" t="s">
        <v>266</v>
      </c>
      <c r="G177" s="63">
        <v>1721030201</v>
      </c>
      <c r="H177" s="63">
        <v>45827425001340</v>
      </c>
      <c r="I177" s="63" t="s">
        <v>2523</v>
      </c>
      <c r="J177" s="63" t="s">
        <v>2520</v>
      </c>
      <c r="K177" s="63" t="s">
        <v>64</v>
      </c>
      <c r="L177" s="63" t="s">
        <v>2524</v>
      </c>
      <c r="M177" s="63" t="s">
        <v>2525</v>
      </c>
      <c r="N177" s="63" t="s">
        <v>67</v>
      </c>
      <c r="O177" s="63" t="s">
        <v>93</v>
      </c>
      <c r="P177" s="63" t="s">
        <v>94</v>
      </c>
      <c r="Q177" s="63">
        <v>5</v>
      </c>
      <c r="R177" s="63">
        <v>0</v>
      </c>
      <c r="S177" s="63" t="s">
        <v>70</v>
      </c>
      <c r="T177" s="63">
        <v>100</v>
      </c>
      <c r="U177" s="62">
        <v>46072.291666666664</v>
      </c>
      <c r="V177" s="63" t="s">
        <v>86</v>
      </c>
      <c r="W177" s="63">
        <v>1285.8499999999999</v>
      </c>
      <c r="X177" s="63">
        <v>4200</v>
      </c>
      <c r="Y177" s="63" t="s">
        <v>2245</v>
      </c>
    </row>
    <row r="178" spans="1:25" hidden="1">
      <c r="A178" s="62">
        <v>46071.738611111112</v>
      </c>
      <c r="B178" s="63">
        <v>641517</v>
      </c>
      <c r="C178" s="63" t="s">
        <v>2190</v>
      </c>
      <c r="D178" s="63"/>
      <c r="E178" s="62">
        <v>46072.772893518515</v>
      </c>
      <c r="F178" s="63" t="s">
        <v>266</v>
      </c>
      <c r="G178" s="63">
        <v>1721030201</v>
      </c>
      <c r="H178" s="63">
        <v>45827425001340</v>
      </c>
      <c r="I178" s="63" t="s">
        <v>2523</v>
      </c>
      <c r="J178" s="63" t="s">
        <v>2520</v>
      </c>
      <c r="K178" s="63" t="s">
        <v>64</v>
      </c>
      <c r="L178" s="63" t="s">
        <v>2524</v>
      </c>
      <c r="M178" s="63" t="s">
        <v>2525</v>
      </c>
      <c r="N178" s="63" t="s">
        <v>67</v>
      </c>
      <c r="O178" s="63" t="s">
        <v>72</v>
      </c>
      <c r="P178" s="63" t="s">
        <v>73</v>
      </c>
      <c r="Q178" s="63">
        <v>5</v>
      </c>
      <c r="R178" s="63">
        <v>0</v>
      </c>
      <c r="S178" s="63" t="s">
        <v>70</v>
      </c>
      <c r="T178" s="63">
        <v>100</v>
      </c>
      <c r="U178" s="62">
        <v>46072.291666666664</v>
      </c>
      <c r="V178" s="63" t="s">
        <v>86</v>
      </c>
      <c r="W178" s="63">
        <v>1285.8499999999999</v>
      </c>
      <c r="X178" s="63">
        <v>4200</v>
      </c>
      <c r="Y178" s="63" t="s">
        <v>2245</v>
      </c>
    </row>
    <row r="179" spans="1:25" hidden="1">
      <c r="A179" s="62">
        <v>46071.738611111112</v>
      </c>
      <c r="B179" s="63">
        <v>641517</v>
      </c>
      <c r="C179" s="63" t="s">
        <v>2190</v>
      </c>
      <c r="D179" s="63"/>
      <c r="E179" s="62">
        <v>46072.772893518515</v>
      </c>
      <c r="F179" s="63" t="s">
        <v>266</v>
      </c>
      <c r="G179" s="63">
        <v>1721030201</v>
      </c>
      <c r="H179" s="63">
        <v>45827425001340</v>
      </c>
      <c r="I179" s="63" t="s">
        <v>2523</v>
      </c>
      <c r="J179" s="63" t="s">
        <v>2520</v>
      </c>
      <c r="K179" s="63" t="s">
        <v>64</v>
      </c>
      <c r="L179" s="63" t="s">
        <v>2524</v>
      </c>
      <c r="M179" s="63" t="s">
        <v>2525</v>
      </c>
      <c r="N179" s="63" t="s">
        <v>67</v>
      </c>
      <c r="O179" s="63" t="s">
        <v>74</v>
      </c>
      <c r="P179" s="63" t="s">
        <v>75</v>
      </c>
      <c r="Q179" s="63">
        <v>5</v>
      </c>
      <c r="R179" s="63">
        <v>0</v>
      </c>
      <c r="S179" s="63" t="s">
        <v>76</v>
      </c>
      <c r="T179" s="63">
        <v>100</v>
      </c>
      <c r="U179" s="62">
        <v>46072.291666666664</v>
      </c>
      <c r="V179" s="63" t="s">
        <v>86</v>
      </c>
      <c r="W179" s="63">
        <v>1285.8499999999999</v>
      </c>
      <c r="X179" s="63">
        <v>4200</v>
      </c>
      <c r="Y179" s="63" t="s">
        <v>2245</v>
      </c>
    </row>
    <row r="180" spans="1:25" hidden="1">
      <c r="A180" s="62">
        <v>46071.738611111112</v>
      </c>
      <c r="B180" s="63">
        <v>641517</v>
      </c>
      <c r="C180" s="63" t="s">
        <v>2190</v>
      </c>
      <c r="D180" s="63"/>
      <c r="E180" s="62">
        <v>46072.772893518515</v>
      </c>
      <c r="F180" s="63" t="s">
        <v>266</v>
      </c>
      <c r="G180" s="63">
        <v>1721050201</v>
      </c>
      <c r="H180" s="63">
        <v>45827425000450</v>
      </c>
      <c r="I180" s="63" t="s">
        <v>2526</v>
      </c>
      <c r="J180" s="63" t="s">
        <v>2520</v>
      </c>
      <c r="K180" s="63" t="s">
        <v>64</v>
      </c>
      <c r="L180" s="63" t="s">
        <v>2527</v>
      </c>
      <c r="M180" s="63" t="s">
        <v>2528</v>
      </c>
      <c r="N180" s="63" t="s">
        <v>67</v>
      </c>
      <c r="O180" s="63" t="s">
        <v>72</v>
      </c>
      <c r="P180" s="63" t="s">
        <v>73</v>
      </c>
      <c r="Q180" s="63">
        <v>4</v>
      </c>
      <c r="R180" s="63">
        <v>0</v>
      </c>
      <c r="S180" s="63" t="s">
        <v>70</v>
      </c>
      <c r="T180" s="63">
        <v>140</v>
      </c>
      <c r="U180" s="62">
        <v>46072.291666666664</v>
      </c>
      <c r="V180" s="63" t="s">
        <v>86</v>
      </c>
      <c r="W180" s="63">
        <v>2345.84</v>
      </c>
      <c r="X180" s="63">
        <v>4200</v>
      </c>
      <c r="Y180" s="63" t="s">
        <v>2245</v>
      </c>
    </row>
    <row r="181" spans="1:25" hidden="1">
      <c r="A181" s="62">
        <v>46071.738611111112</v>
      </c>
      <c r="B181" s="63">
        <v>641517</v>
      </c>
      <c r="C181" s="63" t="s">
        <v>2190</v>
      </c>
      <c r="D181" s="63"/>
      <c r="E181" s="62">
        <v>46072.772893518515</v>
      </c>
      <c r="F181" s="63" t="s">
        <v>266</v>
      </c>
      <c r="G181" s="63">
        <v>1721050201</v>
      </c>
      <c r="H181" s="63">
        <v>45827425000450</v>
      </c>
      <c r="I181" s="63" t="s">
        <v>2526</v>
      </c>
      <c r="J181" s="63" t="s">
        <v>2520</v>
      </c>
      <c r="K181" s="63" t="s">
        <v>64</v>
      </c>
      <c r="L181" s="63" t="s">
        <v>2527</v>
      </c>
      <c r="M181" s="63" t="s">
        <v>2528</v>
      </c>
      <c r="N181" s="63" t="s">
        <v>67</v>
      </c>
      <c r="O181" s="63" t="s">
        <v>74</v>
      </c>
      <c r="P181" s="63" t="s">
        <v>75</v>
      </c>
      <c r="Q181" s="63">
        <v>12</v>
      </c>
      <c r="R181" s="63">
        <v>0</v>
      </c>
      <c r="S181" s="63" t="s">
        <v>76</v>
      </c>
      <c r="T181" s="63">
        <v>140</v>
      </c>
      <c r="U181" s="62">
        <v>46072.291666666664</v>
      </c>
      <c r="V181" s="63" t="s">
        <v>86</v>
      </c>
      <c r="W181" s="63">
        <v>2345.84</v>
      </c>
      <c r="X181" s="63">
        <v>4200</v>
      </c>
      <c r="Y181" s="63" t="s">
        <v>2245</v>
      </c>
    </row>
    <row r="182" spans="1:25" hidden="1">
      <c r="A182" s="62">
        <v>46071.738611111112</v>
      </c>
      <c r="B182" s="63">
        <v>641517</v>
      </c>
      <c r="C182" s="63" t="s">
        <v>2190</v>
      </c>
      <c r="D182" s="63"/>
      <c r="E182" s="62">
        <v>46072.772928240738</v>
      </c>
      <c r="F182" s="63" t="s">
        <v>266</v>
      </c>
      <c r="G182" s="63">
        <v>1721090201</v>
      </c>
      <c r="H182" s="63">
        <v>45827425001774</v>
      </c>
      <c r="I182" s="63" t="s">
        <v>2519</v>
      </c>
      <c r="J182" s="63" t="s">
        <v>2520</v>
      </c>
      <c r="K182" s="63" t="s">
        <v>64</v>
      </c>
      <c r="L182" s="63" t="s">
        <v>2521</v>
      </c>
      <c r="M182" s="63" t="s">
        <v>2522</v>
      </c>
      <c r="N182" s="63" t="s">
        <v>67</v>
      </c>
      <c r="O182" s="63" t="s">
        <v>72</v>
      </c>
      <c r="P182" s="63" t="s">
        <v>73</v>
      </c>
      <c r="Q182" s="63">
        <v>2</v>
      </c>
      <c r="R182" s="63">
        <v>0</v>
      </c>
      <c r="S182" s="63" t="s">
        <v>70</v>
      </c>
      <c r="T182" s="63">
        <v>110</v>
      </c>
      <c r="U182" s="62">
        <v>46072.291666666664</v>
      </c>
      <c r="V182" s="63" t="s">
        <v>86</v>
      </c>
      <c r="W182" s="63">
        <v>2468.29</v>
      </c>
      <c r="X182" s="63">
        <v>4200</v>
      </c>
      <c r="Y182" s="63" t="s">
        <v>2245</v>
      </c>
    </row>
    <row r="183" spans="1:25" hidden="1">
      <c r="A183" s="62">
        <v>46071.738611111112</v>
      </c>
      <c r="B183" s="63">
        <v>641517</v>
      </c>
      <c r="C183" s="63" t="s">
        <v>2190</v>
      </c>
      <c r="D183" s="63"/>
      <c r="E183" s="62">
        <v>46072.772928240738</v>
      </c>
      <c r="F183" s="63" t="s">
        <v>266</v>
      </c>
      <c r="G183" s="63">
        <v>1721090201</v>
      </c>
      <c r="H183" s="63">
        <v>45827425001774</v>
      </c>
      <c r="I183" s="63" t="s">
        <v>2519</v>
      </c>
      <c r="J183" s="63" t="s">
        <v>2520</v>
      </c>
      <c r="K183" s="63" t="s">
        <v>64</v>
      </c>
      <c r="L183" s="63" t="s">
        <v>2521</v>
      </c>
      <c r="M183" s="63" t="s">
        <v>2522</v>
      </c>
      <c r="N183" s="63" t="s">
        <v>67</v>
      </c>
      <c r="O183" s="63" t="s">
        <v>74</v>
      </c>
      <c r="P183" s="63" t="s">
        <v>75</v>
      </c>
      <c r="Q183" s="63">
        <v>10</v>
      </c>
      <c r="R183" s="63">
        <v>0</v>
      </c>
      <c r="S183" s="63" t="s">
        <v>76</v>
      </c>
      <c r="T183" s="63">
        <v>110</v>
      </c>
      <c r="U183" s="62">
        <v>46072.291666666664</v>
      </c>
      <c r="V183" s="63" t="s">
        <v>86</v>
      </c>
      <c r="W183" s="63">
        <v>2468.29</v>
      </c>
      <c r="X183" s="63">
        <v>4200</v>
      </c>
      <c r="Y183" s="63" t="s">
        <v>2245</v>
      </c>
    </row>
    <row r="184" spans="1:25" hidden="1">
      <c r="A184" s="62">
        <v>46071.738611111112</v>
      </c>
      <c r="B184" s="63">
        <v>641517</v>
      </c>
      <c r="C184" s="63" t="s">
        <v>2190</v>
      </c>
      <c r="D184" s="63"/>
      <c r="E184" s="62">
        <v>46072.772928240738</v>
      </c>
      <c r="F184" s="63" t="s">
        <v>266</v>
      </c>
      <c r="G184" s="63">
        <v>1725760201</v>
      </c>
      <c r="H184" s="63">
        <v>26563652064100</v>
      </c>
      <c r="I184" s="63" t="s">
        <v>2197</v>
      </c>
      <c r="J184" s="63" t="s">
        <v>159</v>
      </c>
      <c r="K184" s="63" t="s">
        <v>64</v>
      </c>
      <c r="L184" s="63"/>
      <c r="M184" s="63" t="s">
        <v>2198</v>
      </c>
      <c r="N184" s="63" t="s">
        <v>67</v>
      </c>
      <c r="O184" s="63" t="s">
        <v>68</v>
      </c>
      <c r="P184" s="63" t="s">
        <v>69</v>
      </c>
      <c r="Q184" s="63">
        <v>13</v>
      </c>
      <c r="R184" s="63">
        <v>0</v>
      </c>
      <c r="S184" s="63" t="s">
        <v>70</v>
      </c>
      <c r="T184" s="63">
        <v>65.233999999999995</v>
      </c>
      <c r="U184" s="62">
        <v>46072.291666666664</v>
      </c>
      <c r="V184" s="63" t="s">
        <v>86</v>
      </c>
      <c r="W184" s="63">
        <v>444.47</v>
      </c>
      <c r="X184" s="63">
        <v>4200</v>
      </c>
      <c r="Y184" s="63" t="s">
        <v>2245</v>
      </c>
    </row>
    <row r="185" spans="1:25" hidden="1">
      <c r="A185" s="62">
        <v>46071.738611111112</v>
      </c>
      <c r="B185" s="63">
        <v>641517</v>
      </c>
      <c r="C185" s="63" t="s">
        <v>2190</v>
      </c>
      <c r="D185" s="63"/>
      <c r="E185" s="62">
        <v>46072.772928240738</v>
      </c>
      <c r="F185" s="63" t="s">
        <v>266</v>
      </c>
      <c r="G185" s="63">
        <v>1725800201</v>
      </c>
      <c r="H185" s="63">
        <v>26563652057316</v>
      </c>
      <c r="I185" s="63" t="s">
        <v>2529</v>
      </c>
      <c r="J185" s="63" t="s">
        <v>159</v>
      </c>
      <c r="K185" s="63" t="s">
        <v>64</v>
      </c>
      <c r="L185" s="63"/>
      <c r="M185" s="63" t="s">
        <v>2200</v>
      </c>
      <c r="N185" s="63" t="s">
        <v>67</v>
      </c>
      <c r="O185" s="63" t="s">
        <v>68</v>
      </c>
      <c r="P185" s="63" t="s">
        <v>69</v>
      </c>
      <c r="Q185" s="63">
        <v>11</v>
      </c>
      <c r="R185" s="63">
        <v>0</v>
      </c>
      <c r="S185" s="63" t="s">
        <v>70</v>
      </c>
      <c r="T185" s="63">
        <v>60.378</v>
      </c>
      <c r="U185" s="62">
        <v>46072.291666666664</v>
      </c>
      <c r="V185" s="63" t="s">
        <v>86</v>
      </c>
      <c r="W185" s="63">
        <v>513.85</v>
      </c>
      <c r="X185" s="63">
        <v>4200</v>
      </c>
      <c r="Y185" s="63" t="s">
        <v>2245</v>
      </c>
    </row>
    <row r="186" spans="1:25" hidden="1">
      <c r="A186" s="62">
        <v>46071.738611111112</v>
      </c>
      <c r="B186" s="63">
        <v>641517</v>
      </c>
      <c r="C186" s="63" t="s">
        <v>2190</v>
      </c>
      <c r="D186" s="63"/>
      <c r="E186" s="62">
        <v>46072.772928240738</v>
      </c>
      <c r="F186" s="63" t="s">
        <v>266</v>
      </c>
      <c r="G186" s="63">
        <v>1725800201</v>
      </c>
      <c r="H186" s="63">
        <v>26563652057316</v>
      </c>
      <c r="I186" s="63" t="s">
        <v>2529</v>
      </c>
      <c r="J186" s="63" t="s">
        <v>159</v>
      </c>
      <c r="K186" s="63" t="s">
        <v>64</v>
      </c>
      <c r="L186" s="63"/>
      <c r="M186" s="63" t="s">
        <v>2200</v>
      </c>
      <c r="N186" s="63" t="s">
        <v>67</v>
      </c>
      <c r="O186" s="63" t="s">
        <v>72</v>
      </c>
      <c r="P186" s="63" t="s">
        <v>73</v>
      </c>
      <c r="Q186" s="63">
        <v>1</v>
      </c>
      <c r="R186" s="63">
        <v>0</v>
      </c>
      <c r="S186" s="63" t="s">
        <v>70</v>
      </c>
      <c r="T186" s="63">
        <v>60.378</v>
      </c>
      <c r="U186" s="62">
        <v>46072.291666666664</v>
      </c>
      <c r="V186" s="63" t="s">
        <v>86</v>
      </c>
      <c r="W186" s="63">
        <v>513.85</v>
      </c>
      <c r="X186" s="63">
        <v>4200</v>
      </c>
      <c r="Y186" s="63" t="s">
        <v>2245</v>
      </c>
    </row>
    <row r="187" spans="1:25" hidden="1">
      <c r="A187" s="62">
        <v>46071.738611111112</v>
      </c>
      <c r="B187" s="63">
        <v>641517</v>
      </c>
      <c r="C187" s="63" t="s">
        <v>2190</v>
      </c>
      <c r="D187" s="63"/>
      <c r="E187" s="62">
        <v>46072.772928240738</v>
      </c>
      <c r="F187" s="63" t="s">
        <v>266</v>
      </c>
      <c r="G187" s="63">
        <v>1725800201</v>
      </c>
      <c r="H187" s="63">
        <v>26563652057316</v>
      </c>
      <c r="I187" s="63" t="s">
        <v>2529</v>
      </c>
      <c r="J187" s="63" t="s">
        <v>159</v>
      </c>
      <c r="K187" s="63" t="s">
        <v>64</v>
      </c>
      <c r="L187" s="63"/>
      <c r="M187" s="63" t="s">
        <v>2200</v>
      </c>
      <c r="N187" s="63" t="s">
        <v>67</v>
      </c>
      <c r="O187" s="63" t="s">
        <v>175</v>
      </c>
      <c r="P187" s="63" t="s">
        <v>176</v>
      </c>
      <c r="Q187" s="63">
        <v>1</v>
      </c>
      <c r="R187" s="63">
        <v>0</v>
      </c>
      <c r="S187" s="63" t="s">
        <v>76</v>
      </c>
      <c r="T187" s="63">
        <v>60.378</v>
      </c>
      <c r="U187" s="62">
        <v>46072.291666666664</v>
      </c>
      <c r="V187" s="63" t="s">
        <v>86</v>
      </c>
      <c r="W187" s="63">
        <v>513.85</v>
      </c>
      <c r="X187" s="63">
        <v>4200</v>
      </c>
      <c r="Y187" s="63" t="s">
        <v>2245</v>
      </c>
    </row>
    <row r="188" spans="1:25" hidden="1">
      <c r="A188" s="62">
        <v>46071.738611111112</v>
      </c>
      <c r="B188" s="63">
        <v>641517</v>
      </c>
      <c r="C188" s="63" t="s">
        <v>2190</v>
      </c>
      <c r="D188" s="63"/>
      <c r="E188" s="62">
        <v>46072.772939814815</v>
      </c>
      <c r="F188" s="63" t="s">
        <v>266</v>
      </c>
      <c r="G188" s="63">
        <v>1725900201</v>
      </c>
      <c r="H188" s="63">
        <v>26563652023179</v>
      </c>
      <c r="I188" s="63" t="s">
        <v>2196</v>
      </c>
      <c r="J188" s="63" t="s">
        <v>159</v>
      </c>
      <c r="K188" s="63" t="s">
        <v>64</v>
      </c>
      <c r="L188" s="63"/>
      <c r="M188" s="63" t="s">
        <v>160</v>
      </c>
      <c r="N188" s="63" t="s">
        <v>67</v>
      </c>
      <c r="O188" s="63" t="s">
        <v>68</v>
      </c>
      <c r="P188" s="63" t="s">
        <v>69</v>
      </c>
      <c r="Q188" s="63">
        <v>10</v>
      </c>
      <c r="R188" s="63">
        <v>0</v>
      </c>
      <c r="S188" s="63" t="s">
        <v>70</v>
      </c>
      <c r="T188" s="63">
        <v>50.18</v>
      </c>
      <c r="U188" s="62">
        <v>46072.291666666664</v>
      </c>
      <c r="V188" s="63" t="s">
        <v>86</v>
      </c>
      <c r="W188" s="63">
        <v>341.9</v>
      </c>
      <c r="X188" s="63">
        <v>4200</v>
      </c>
      <c r="Y188" s="63" t="s">
        <v>2245</v>
      </c>
    </row>
    <row r="189" spans="1:25" hidden="1">
      <c r="A189" s="62">
        <v>46071.738611111112</v>
      </c>
      <c r="B189" s="63">
        <v>641517</v>
      </c>
      <c r="C189" s="63" t="s">
        <v>2190</v>
      </c>
      <c r="D189" s="63"/>
      <c r="E189" s="62">
        <v>46072.772939814815</v>
      </c>
      <c r="F189" s="63" t="s">
        <v>266</v>
      </c>
      <c r="G189" s="63">
        <v>1726020201</v>
      </c>
      <c r="H189" s="63">
        <v>26563652023330</v>
      </c>
      <c r="I189" s="63" t="s">
        <v>2530</v>
      </c>
      <c r="J189" s="63" t="s">
        <v>159</v>
      </c>
      <c r="K189" s="63" t="s">
        <v>64</v>
      </c>
      <c r="L189" s="63"/>
      <c r="M189" s="63" t="s">
        <v>2198</v>
      </c>
      <c r="N189" s="63" t="s">
        <v>67</v>
      </c>
      <c r="O189" s="63" t="s">
        <v>68</v>
      </c>
      <c r="P189" s="63" t="s">
        <v>69</v>
      </c>
      <c r="Q189" s="63">
        <v>11</v>
      </c>
      <c r="R189" s="63">
        <v>0</v>
      </c>
      <c r="S189" s="63" t="s">
        <v>70</v>
      </c>
      <c r="T189" s="63">
        <v>55.198</v>
      </c>
      <c r="U189" s="62">
        <v>46072.291666666664</v>
      </c>
      <c r="V189" s="63" t="s">
        <v>86</v>
      </c>
      <c r="W189" s="63">
        <v>376.09</v>
      </c>
      <c r="X189" s="63">
        <v>4200</v>
      </c>
      <c r="Y189" s="63" t="s">
        <v>2245</v>
      </c>
    </row>
    <row r="190" spans="1:25" hidden="1">
      <c r="A190" s="62">
        <v>46071.738611111112</v>
      </c>
      <c r="B190" s="63">
        <v>641517</v>
      </c>
      <c r="C190" s="63" t="s">
        <v>2190</v>
      </c>
      <c r="D190" s="63"/>
      <c r="E190" s="62">
        <v>46072.772939814815</v>
      </c>
      <c r="F190" s="63" t="s">
        <v>266</v>
      </c>
      <c r="G190" s="63">
        <v>1726040201</v>
      </c>
      <c r="H190" s="63">
        <v>26563652032836</v>
      </c>
      <c r="I190" s="63" t="s">
        <v>2531</v>
      </c>
      <c r="J190" s="63" t="s">
        <v>159</v>
      </c>
      <c r="K190" s="63" t="s">
        <v>64</v>
      </c>
      <c r="L190" s="63"/>
      <c r="M190" s="63" t="s">
        <v>2532</v>
      </c>
      <c r="N190" s="63" t="s">
        <v>67</v>
      </c>
      <c r="O190" s="63" t="s">
        <v>68</v>
      </c>
      <c r="P190" s="63" t="s">
        <v>69</v>
      </c>
      <c r="Q190" s="63">
        <v>11</v>
      </c>
      <c r="R190" s="63">
        <v>0</v>
      </c>
      <c r="S190" s="63" t="s">
        <v>70</v>
      </c>
      <c r="T190" s="63">
        <v>55.198</v>
      </c>
      <c r="U190" s="62">
        <v>46072.291666666664</v>
      </c>
      <c r="V190" s="63" t="s">
        <v>86</v>
      </c>
      <c r="W190" s="63">
        <v>376.09</v>
      </c>
      <c r="X190" s="63">
        <v>4200</v>
      </c>
      <c r="Y190" s="63" t="s">
        <v>2245</v>
      </c>
    </row>
    <row r="191" spans="1:25" hidden="1">
      <c r="A191" s="62">
        <v>46071.738611111112</v>
      </c>
      <c r="B191" s="63">
        <v>641517</v>
      </c>
      <c r="C191" s="63" t="s">
        <v>2190</v>
      </c>
      <c r="D191" s="63"/>
      <c r="E191" s="62">
        <v>46072.772951388892</v>
      </c>
      <c r="F191" s="63" t="s">
        <v>266</v>
      </c>
      <c r="G191" s="63">
        <v>1723830201</v>
      </c>
      <c r="H191" s="63">
        <v>26563652049992</v>
      </c>
      <c r="I191" s="63" t="s">
        <v>2533</v>
      </c>
      <c r="J191" s="63" t="s">
        <v>159</v>
      </c>
      <c r="K191" s="63" t="s">
        <v>64</v>
      </c>
      <c r="L191" s="63"/>
      <c r="M191" s="63" t="s">
        <v>2534</v>
      </c>
      <c r="N191" s="63" t="s">
        <v>84</v>
      </c>
      <c r="O191" s="63" t="s">
        <v>68</v>
      </c>
      <c r="P191" s="63" t="s">
        <v>69</v>
      </c>
      <c r="Q191" s="63">
        <v>11</v>
      </c>
      <c r="R191" s="63">
        <v>0</v>
      </c>
      <c r="S191" s="63" t="s">
        <v>70</v>
      </c>
      <c r="T191" s="63">
        <v>55.198</v>
      </c>
      <c r="U191" s="62">
        <v>46072.291666666664</v>
      </c>
      <c r="V191" s="63" t="s">
        <v>86</v>
      </c>
      <c r="W191" s="63">
        <v>376.09</v>
      </c>
      <c r="X191" s="63">
        <v>4200</v>
      </c>
      <c r="Y191" s="63" t="s">
        <v>2245</v>
      </c>
    </row>
    <row r="192" spans="1:25" hidden="1">
      <c r="A192" s="62">
        <v>46071.738611111112</v>
      </c>
      <c r="B192" s="63">
        <v>641517</v>
      </c>
      <c r="C192" s="63" t="s">
        <v>2190</v>
      </c>
      <c r="D192" s="63"/>
      <c r="E192" s="62">
        <v>46072.772951388892</v>
      </c>
      <c r="F192" s="63" t="s">
        <v>266</v>
      </c>
      <c r="G192" s="63">
        <v>1726080201</v>
      </c>
      <c r="H192" s="63">
        <v>26563652081292</v>
      </c>
      <c r="I192" s="63" t="s">
        <v>2535</v>
      </c>
      <c r="J192" s="63" t="s">
        <v>159</v>
      </c>
      <c r="K192" s="63" t="s">
        <v>64</v>
      </c>
      <c r="L192" s="63" t="s">
        <v>2536</v>
      </c>
      <c r="M192" s="63" t="s">
        <v>2537</v>
      </c>
      <c r="N192" s="63" t="s">
        <v>67</v>
      </c>
      <c r="O192" s="63" t="s">
        <v>68</v>
      </c>
      <c r="P192" s="63" t="s">
        <v>69</v>
      </c>
      <c r="Q192" s="63">
        <v>8</v>
      </c>
      <c r="R192" s="63">
        <v>0</v>
      </c>
      <c r="S192" s="63" t="s">
        <v>70</v>
      </c>
      <c r="T192" s="63">
        <v>57.353999999999999</v>
      </c>
      <c r="U192" s="62">
        <v>46072.291666666664</v>
      </c>
      <c r="V192" s="63" t="s">
        <v>86</v>
      </c>
      <c r="W192" s="63">
        <v>625.79</v>
      </c>
      <c r="X192" s="63">
        <v>4200</v>
      </c>
      <c r="Y192" s="63" t="s">
        <v>2245</v>
      </c>
    </row>
    <row r="193" spans="1:25" hidden="1">
      <c r="A193" s="62">
        <v>46071.738611111112</v>
      </c>
      <c r="B193" s="63">
        <v>641517</v>
      </c>
      <c r="C193" s="63" t="s">
        <v>2190</v>
      </c>
      <c r="D193" s="63"/>
      <c r="E193" s="62">
        <v>46072.772951388892</v>
      </c>
      <c r="F193" s="63" t="s">
        <v>266</v>
      </c>
      <c r="G193" s="63">
        <v>1726080201</v>
      </c>
      <c r="H193" s="63">
        <v>26563652081292</v>
      </c>
      <c r="I193" s="63" t="s">
        <v>2535</v>
      </c>
      <c r="J193" s="63" t="s">
        <v>159</v>
      </c>
      <c r="K193" s="63" t="s">
        <v>64</v>
      </c>
      <c r="L193" s="63" t="s">
        <v>2536</v>
      </c>
      <c r="M193" s="63" t="s">
        <v>2537</v>
      </c>
      <c r="N193" s="63" t="s">
        <v>67</v>
      </c>
      <c r="O193" s="63" t="s">
        <v>72</v>
      </c>
      <c r="P193" s="63" t="s">
        <v>73</v>
      </c>
      <c r="Q193" s="63">
        <v>2</v>
      </c>
      <c r="R193" s="63">
        <v>0</v>
      </c>
      <c r="S193" s="63" t="s">
        <v>70</v>
      </c>
      <c r="T193" s="63">
        <v>57.353999999999999</v>
      </c>
      <c r="U193" s="62">
        <v>46072.291666666664</v>
      </c>
      <c r="V193" s="63" t="s">
        <v>86</v>
      </c>
      <c r="W193" s="63">
        <v>625.79</v>
      </c>
      <c r="X193" s="63">
        <v>4200</v>
      </c>
      <c r="Y193" s="63" t="s">
        <v>2245</v>
      </c>
    </row>
    <row r="194" spans="1:25" hidden="1">
      <c r="A194" s="62">
        <v>46071.738611111112</v>
      </c>
      <c r="B194" s="63">
        <v>641517</v>
      </c>
      <c r="C194" s="63" t="s">
        <v>2190</v>
      </c>
      <c r="D194" s="63"/>
      <c r="E194" s="62">
        <v>46072.772951388892</v>
      </c>
      <c r="F194" s="63" t="s">
        <v>266</v>
      </c>
      <c r="G194" s="63">
        <v>1726080201</v>
      </c>
      <c r="H194" s="63">
        <v>26563652081292</v>
      </c>
      <c r="I194" s="63" t="s">
        <v>2535</v>
      </c>
      <c r="J194" s="63" t="s">
        <v>159</v>
      </c>
      <c r="K194" s="63" t="s">
        <v>64</v>
      </c>
      <c r="L194" s="63" t="s">
        <v>2536</v>
      </c>
      <c r="M194" s="63" t="s">
        <v>2537</v>
      </c>
      <c r="N194" s="63" t="s">
        <v>67</v>
      </c>
      <c r="O194" s="63" t="s">
        <v>163</v>
      </c>
      <c r="P194" s="63" t="s">
        <v>164</v>
      </c>
      <c r="Q194" s="63">
        <v>1</v>
      </c>
      <c r="R194" s="63">
        <v>0</v>
      </c>
      <c r="S194" s="63" t="s">
        <v>76</v>
      </c>
      <c r="T194" s="63">
        <v>57.353999999999999</v>
      </c>
      <c r="U194" s="62">
        <v>46072.291666666664</v>
      </c>
      <c r="V194" s="63" t="s">
        <v>86</v>
      </c>
      <c r="W194" s="63">
        <v>625.79</v>
      </c>
      <c r="X194" s="63">
        <v>4200</v>
      </c>
      <c r="Y194" s="63" t="s">
        <v>2245</v>
      </c>
    </row>
    <row r="195" spans="1:25" hidden="1">
      <c r="A195" s="62">
        <v>46071.738611111112</v>
      </c>
      <c r="B195" s="63">
        <v>641517</v>
      </c>
      <c r="C195" s="63" t="s">
        <v>2190</v>
      </c>
      <c r="D195" s="63"/>
      <c r="E195" s="62">
        <v>46072.772951388892</v>
      </c>
      <c r="F195" s="63" t="s">
        <v>266</v>
      </c>
      <c r="G195" s="63">
        <v>1726190201</v>
      </c>
      <c r="H195" s="63">
        <v>26563652061186</v>
      </c>
      <c r="I195" s="63" t="s">
        <v>2199</v>
      </c>
      <c r="J195" s="63" t="s">
        <v>159</v>
      </c>
      <c r="K195" s="63" t="s">
        <v>64</v>
      </c>
      <c r="L195" s="63"/>
      <c r="M195" s="63" t="s">
        <v>2200</v>
      </c>
      <c r="N195" s="63" t="s">
        <v>67</v>
      </c>
      <c r="O195" s="63" t="s">
        <v>68</v>
      </c>
      <c r="P195" s="63" t="s">
        <v>69</v>
      </c>
      <c r="Q195" s="63">
        <v>8</v>
      </c>
      <c r="R195" s="63">
        <v>0</v>
      </c>
      <c r="S195" s="63" t="s">
        <v>70</v>
      </c>
      <c r="T195" s="63">
        <v>47.353999999999999</v>
      </c>
      <c r="U195" s="62">
        <v>46072.291666666664</v>
      </c>
      <c r="V195" s="63" t="s">
        <v>86</v>
      </c>
      <c r="W195" s="63">
        <v>527.77</v>
      </c>
      <c r="X195" s="63">
        <v>4200</v>
      </c>
      <c r="Y195" s="63" t="s">
        <v>2245</v>
      </c>
    </row>
    <row r="196" spans="1:25" hidden="1">
      <c r="A196" s="62">
        <v>46071.738611111112</v>
      </c>
      <c r="B196" s="63">
        <v>641517</v>
      </c>
      <c r="C196" s="63" t="s">
        <v>2190</v>
      </c>
      <c r="D196" s="63"/>
      <c r="E196" s="62">
        <v>46072.772951388892</v>
      </c>
      <c r="F196" s="63" t="s">
        <v>266</v>
      </c>
      <c r="G196" s="63">
        <v>1726190201</v>
      </c>
      <c r="H196" s="63">
        <v>26563652061186</v>
      </c>
      <c r="I196" s="63" t="s">
        <v>2199</v>
      </c>
      <c r="J196" s="63" t="s">
        <v>159</v>
      </c>
      <c r="K196" s="63" t="s">
        <v>64</v>
      </c>
      <c r="L196" s="63"/>
      <c r="M196" s="63" t="s">
        <v>2200</v>
      </c>
      <c r="N196" s="63" t="s">
        <v>67</v>
      </c>
      <c r="O196" s="63" t="s">
        <v>163</v>
      </c>
      <c r="P196" s="63" t="s">
        <v>164</v>
      </c>
      <c r="Q196" s="63">
        <v>1</v>
      </c>
      <c r="R196" s="63">
        <v>0</v>
      </c>
      <c r="S196" s="63" t="s">
        <v>76</v>
      </c>
      <c r="T196" s="63">
        <v>47.353999999999999</v>
      </c>
      <c r="U196" s="62">
        <v>46072.291666666664</v>
      </c>
      <c r="V196" s="63" t="s">
        <v>86</v>
      </c>
      <c r="W196" s="63">
        <v>527.77</v>
      </c>
      <c r="X196" s="63">
        <v>4200</v>
      </c>
      <c r="Y196" s="63" t="s">
        <v>2245</v>
      </c>
    </row>
    <row r="197" spans="1:25" hidden="1">
      <c r="A197" s="62">
        <v>46071.738611111112</v>
      </c>
      <c r="B197" s="63">
        <v>641517</v>
      </c>
      <c r="C197" s="63" t="s">
        <v>2190</v>
      </c>
      <c r="D197" s="63"/>
      <c r="E197" s="62">
        <v>46072.772962962961</v>
      </c>
      <c r="F197" s="63" t="s">
        <v>266</v>
      </c>
      <c r="G197" s="63">
        <v>1726490201</v>
      </c>
      <c r="H197" s="63">
        <v>26563652037129</v>
      </c>
      <c r="I197" s="63" t="s">
        <v>2191</v>
      </c>
      <c r="J197" s="63" t="s">
        <v>159</v>
      </c>
      <c r="K197" s="63" t="s">
        <v>64</v>
      </c>
      <c r="L197" s="63"/>
      <c r="M197" s="63" t="s">
        <v>2192</v>
      </c>
      <c r="N197" s="63" t="s">
        <v>67</v>
      </c>
      <c r="O197" s="63" t="s">
        <v>68</v>
      </c>
      <c r="P197" s="63" t="s">
        <v>69</v>
      </c>
      <c r="Q197" s="63">
        <v>4</v>
      </c>
      <c r="R197" s="63">
        <v>0</v>
      </c>
      <c r="S197" s="63" t="s">
        <v>70</v>
      </c>
      <c r="T197" s="63">
        <v>27.282</v>
      </c>
      <c r="U197" s="62">
        <v>46072.291666666664</v>
      </c>
      <c r="V197" s="63" t="s">
        <v>86</v>
      </c>
      <c r="W197" s="63">
        <v>391.01</v>
      </c>
      <c r="X197" s="63">
        <v>4200</v>
      </c>
      <c r="Y197" s="63" t="s">
        <v>2245</v>
      </c>
    </row>
    <row r="198" spans="1:25" hidden="1">
      <c r="A198" s="62">
        <v>46071.738611111112</v>
      </c>
      <c r="B198" s="63">
        <v>641517</v>
      </c>
      <c r="C198" s="63" t="s">
        <v>2190</v>
      </c>
      <c r="D198" s="63"/>
      <c r="E198" s="62">
        <v>46072.772962962961</v>
      </c>
      <c r="F198" s="63" t="s">
        <v>266</v>
      </c>
      <c r="G198" s="63">
        <v>1726490201</v>
      </c>
      <c r="H198" s="63">
        <v>26563652037129</v>
      </c>
      <c r="I198" s="63" t="s">
        <v>2191</v>
      </c>
      <c r="J198" s="63" t="s">
        <v>159</v>
      </c>
      <c r="K198" s="63" t="s">
        <v>64</v>
      </c>
      <c r="L198" s="63"/>
      <c r="M198" s="63" t="s">
        <v>2192</v>
      </c>
      <c r="N198" s="63" t="s">
        <v>67</v>
      </c>
      <c r="O198" s="63" t="s">
        <v>163</v>
      </c>
      <c r="P198" s="63" t="s">
        <v>164</v>
      </c>
      <c r="Q198" s="63">
        <v>1</v>
      </c>
      <c r="R198" s="63">
        <v>0</v>
      </c>
      <c r="S198" s="63" t="s">
        <v>76</v>
      </c>
      <c r="T198" s="63">
        <v>27.282</v>
      </c>
      <c r="U198" s="62">
        <v>46072.291666666664</v>
      </c>
      <c r="V198" s="63" t="s">
        <v>86</v>
      </c>
      <c r="W198" s="63">
        <v>391.01</v>
      </c>
      <c r="X198" s="63">
        <v>4200</v>
      </c>
      <c r="Y198" s="63" t="s">
        <v>2245</v>
      </c>
    </row>
    <row r="199" spans="1:25" hidden="1">
      <c r="A199" s="62">
        <v>46071.738611111112</v>
      </c>
      <c r="B199" s="63">
        <v>641517</v>
      </c>
      <c r="C199" s="63" t="s">
        <v>2190</v>
      </c>
      <c r="D199" s="63"/>
      <c r="E199" s="62">
        <v>46072.772974537038</v>
      </c>
      <c r="F199" s="63" t="s">
        <v>266</v>
      </c>
      <c r="G199" s="63">
        <v>1726550201</v>
      </c>
      <c r="H199" s="63">
        <v>26563652058398</v>
      </c>
      <c r="I199" s="63" t="s">
        <v>2194</v>
      </c>
      <c r="J199" s="63" t="s">
        <v>159</v>
      </c>
      <c r="K199" s="63" t="s">
        <v>64</v>
      </c>
      <c r="L199" s="63"/>
      <c r="M199" s="63" t="s">
        <v>2195</v>
      </c>
      <c r="N199" s="63" t="s">
        <v>67</v>
      </c>
      <c r="O199" s="63" t="s">
        <v>68</v>
      </c>
      <c r="P199" s="63" t="s">
        <v>69</v>
      </c>
      <c r="Q199" s="63">
        <v>5</v>
      </c>
      <c r="R199" s="63">
        <v>0</v>
      </c>
      <c r="S199" s="63" t="s">
        <v>70</v>
      </c>
      <c r="T199" s="63">
        <v>37.22</v>
      </c>
      <c r="U199" s="62">
        <v>46072.291666666664</v>
      </c>
      <c r="V199" s="63" t="s">
        <v>86</v>
      </c>
      <c r="W199" s="63">
        <v>635.71</v>
      </c>
      <c r="X199" s="63">
        <v>4200</v>
      </c>
      <c r="Y199" s="63" t="s">
        <v>2245</v>
      </c>
    </row>
    <row r="200" spans="1:25" hidden="1">
      <c r="A200" s="62">
        <v>46071.738611111112</v>
      </c>
      <c r="B200" s="63">
        <v>641517</v>
      </c>
      <c r="C200" s="63" t="s">
        <v>2190</v>
      </c>
      <c r="D200" s="63"/>
      <c r="E200" s="62">
        <v>46072.772974537038</v>
      </c>
      <c r="F200" s="63" t="s">
        <v>266</v>
      </c>
      <c r="G200" s="63">
        <v>1726550201</v>
      </c>
      <c r="H200" s="63">
        <v>26563652058398</v>
      </c>
      <c r="I200" s="63" t="s">
        <v>2194</v>
      </c>
      <c r="J200" s="63" t="s">
        <v>159</v>
      </c>
      <c r="K200" s="63" t="s">
        <v>64</v>
      </c>
      <c r="L200" s="63"/>
      <c r="M200" s="63" t="s">
        <v>2195</v>
      </c>
      <c r="N200" s="63" t="s">
        <v>67</v>
      </c>
      <c r="O200" s="63" t="s">
        <v>72</v>
      </c>
      <c r="P200" s="63" t="s">
        <v>73</v>
      </c>
      <c r="Q200" s="63">
        <v>1</v>
      </c>
      <c r="R200" s="63">
        <v>0</v>
      </c>
      <c r="S200" s="63" t="s">
        <v>70</v>
      </c>
      <c r="T200" s="63">
        <v>37.22</v>
      </c>
      <c r="U200" s="62">
        <v>46072.291666666664</v>
      </c>
      <c r="V200" s="63" t="s">
        <v>86</v>
      </c>
      <c r="W200" s="63">
        <v>635.71</v>
      </c>
      <c r="X200" s="63">
        <v>4200</v>
      </c>
      <c r="Y200" s="63" t="s">
        <v>2245</v>
      </c>
    </row>
    <row r="201" spans="1:25" hidden="1">
      <c r="A201" s="62">
        <v>46071.738611111112</v>
      </c>
      <c r="B201" s="63">
        <v>641517</v>
      </c>
      <c r="C201" s="63" t="s">
        <v>2190</v>
      </c>
      <c r="D201" s="63"/>
      <c r="E201" s="62">
        <v>46072.772974537038</v>
      </c>
      <c r="F201" s="63" t="s">
        <v>266</v>
      </c>
      <c r="G201" s="63">
        <v>1726550201</v>
      </c>
      <c r="H201" s="63">
        <v>26563652058398</v>
      </c>
      <c r="I201" s="63" t="s">
        <v>2194</v>
      </c>
      <c r="J201" s="63" t="s">
        <v>159</v>
      </c>
      <c r="K201" s="63" t="s">
        <v>64</v>
      </c>
      <c r="L201" s="63"/>
      <c r="M201" s="63" t="s">
        <v>2195</v>
      </c>
      <c r="N201" s="63" t="s">
        <v>67</v>
      </c>
      <c r="O201" s="63" t="s">
        <v>161</v>
      </c>
      <c r="P201" s="63" t="s">
        <v>162</v>
      </c>
      <c r="Q201" s="63">
        <v>1</v>
      </c>
      <c r="R201" s="63">
        <v>0</v>
      </c>
      <c r="S201" s="63" t="s">
        <v>76</v>
      </c>
      <c r="T201" s="63">
        <v>37.22</v>
      </c>
      <c r="U201" s="62">
        <v>46072.291666666664</v>
      </c>
      <c r="V201" s="63" t="s">
        <v>86</v>
      </c>
      <c r="W201" s="63">
        <v>635.71</v>
      </c>
      <c r="X201" s="63">
        <v>4200</v>
      </c>
      <c r="Y201" s="63" t="s">
        <v>2245</v>
      </c>
    </row>
    <row r="202" spans="1:25" hidden="1">
      <c r="A202" s="62">
        <v>46071.738611111112</v>
      </c>
      <c r="B202" s="63">
        <v>641517</v>
      </c>
      <c r="C202" s="63" t="s">
        <v>2190</v>
      </c>
      <c r="D202" s="63"/>
      <c r="E202" s="62">
        <v>46072.772974537038</v>
      </c>
      <c r="F202" s="63" t="s">
        <v>266</v>
      </c>
      <c r="G202" s="63">
        <v>1726550201</v>
      </c>
      <c r="H202" s="63">
        <v>26563652058398</v>
      </c>
      <c r="I202" s="63" t="s">
        <v>2194</v>
      </c>
      <c r="J202" s="63" t="s">
        <v>159</v>
      </c>
      <c r="K202" s="63" t="s">
        <v>64</v>
      </c>
      <c r="L202" s="63"/>
      <c r="M202" s="63" t="s">
        <v>2195</v>
      </c>
      <c r="N202" s="63" t="s">
        <v>67</v>
      </c>
      <c r="O202" s="63" t="s">
        <v>173</v>
      </c>
      <c r="P202" s="63" t="s">
        <v>174</v>
      </c>
      <c r="Q202" s="63">
        <v>1</v>
      </c>
      <c r="R202" s="63">
        <v>0</v>
      </c>
      <c r="S202" s="63" t="s">
        <v>76</v>
      </c>
      <c r="T202" s="63">
        <v>37.22</v>
      </c>
      <c r="U202" s="62">
        <v>46072.291666666664</v>
      </c>
      <c r="V202" s="63" t="s">
        <v>86</v>
      </c>
      <c r="W202" s="63">
        <v>635.71</v>
      </c>
      <c r="X202" s="63">
        <v>4200</v>
      </c>
      <c r="Y202" s="63" t="s">
        <v>2245</v>
      </c>
    </row>
    <row r="203" spans="1:25" hidden="1">
      <c r="A203" s="62">
        <v>46071.738611111112</v>
      </c>
      <c r="B203" s="63">
        <v>641518</v>
      </c>
      <c r="C203" s="63" t="s">
        <v>2346</v>
      </c>
      <c r="D203" s="63"/>
      <c r="E203" s="62">
        <v>46071.366053240738</v>
      </c>
      <c r="F203" s="63" t="s">
        <v>82</v>
      </c>
      <c r="G203" s="63">
        <v>1715740201</v>
      </c>
      <c r="H203" s="63">
        <v>26563652086502</v>
      </c>
      <c r="I203" s="63" t="s">
        <v>2538</v>
      </c>
      <c r="J203" s="63" t="s">
        <v>159</v>
      </c>
      <c r="K203" s="63" t="s">
        <v>64</v>
      </c>
      <c r="L203" s="63" t="s">
        <v>2539</v>
      </c>
      <c r="M203" s="63" t="s">
        <v>2540</v>
      </c>
      <c r="N203" s="63" t="s">
        <v>338</v>
      </c>
      <c r="O203" s="63" t="s">
        <v>68</v>
      </c>
      <c r="P203" s="63" t="s">
        <v>69</v>
      </c>
      <c r="Q203" s="63">
        <v>49</v>
      </c>
      <c r="R203" s="63">
        <v>72</v>
      </c>
      <c r="S203" s="63" t="s">
        <v>70</v>
      </c>
      <c r="T203" s="63">
        <v>368.67200000000003</v>
      </c>
      <c r="U203" s="62">
        <v>46072.291666666664</v>
      </c>
      <c r="V203" s="63" t="s">
        <v>86</v>
      </c>
      <c r="W203" s="63">
        <v>5316.78</v>
      </c>
      <c r="X203" s="63">
        <v>4000</v>
      </c>
      <c r="Y203" s="63" t="s">
        <v>2193</v>
      </c>
    </row>
    <row r="204" spans="1:25" hidden="1">
      <c r="A204" s="62">
        <v>46071.738611111112</v>
      </c>
      <c r="B204" s="63">
        <v>641518</v>
      </c>
      <c r="C204" s="63" t="s">
        <v>2346</v>
      </c>
      <c r="D204" s="63"/>
      <c r="E204" s="62">
        <v>46071.366053240738</v>
      </c>
      <c r="F204" s="63" t="s">
        <v>82</v>
      </c>
      <c r="G204" s="63">
        <v>1715740201</v>
      </c>
      <c r="H204" s="63">
        <v>26563652086502</v>
      </c>
      <c r="I204" s="63" t="s">
        <v>2538</v>
      </c>
      <c r="J204" s="63" t="s">
        <v>159</v>
      </c>
      <c r="K204" s="63" t="s">
        <v>64</v>
      </c>
      <c r="L204" s="63" t="s">
        <v>2539</v>
      </c>
      <c r="M204" s="63" t="s">
        <v>2540</v>
      </c>
      <c r="N204" s="63" t="s">
        <v>338</v>
      </c>
      <c r="O204" s="63" t="s">
        <v>72</v>
      </c>
      <c r="P204" s="63" t="s">
        <v>73</v>
      </c>
      <c r="Q204" s="63">
        <v>3</v>
      </c>
      <c r="R204" s="63">
        <v>72</v>
      </c>
      <c r="S204" s="63" t="s">
        <v>70</v>
      </c>
      <c r="T204" s="63">
        <v>368.67200000000003</v>
      </c>
      <c r="U204" s="62">
        <v>46072.291666666664</v>
      </c>
      <c r="V204" s="63" t="s">
        <v>86</v>
      </c>
      <c r="W204" s="63">
        <v>5316.78</v>
      </c>
      <c r="X204" s="63">
        <v>4000</v>
      </c>
      <c r="Y204" s="63" t="s">
        <v>2193</v>
      </c>
    </row>
    <row r="205" spans="1:25" hidden="1">
      <c r="A205" s="62">
        <v>46071.738611111112</v>
      </c>
      <c r="B205" s="63">
        <v>641518</v>
      </c>
      <c r="C205" s="63" t="s">
        <v>2346</v>
      </c>
      <c r="D205" s="63"/>
      <c r="E205" s="62">
        <v>46071.366053240738</v>
      </c>
      <c r="F205" s="63" t="s">
        <v>82</v>
      </c>
      <c r="G205" s="63">
        <v>1715740201</v>
      </c>
      <c r="H205" s="63">
        <v>26563652086502</v>
      </c>
      <c r="I205" s="63" t="s">
        <v>2538</v>
      </c>
      <c r="J205" s="63" t="s">
        <v>159</v>
      </c>
      <c r="K205" s="63" t="s">
        <v>64</v>
      </c>
      <c r="L205" s="63" t="s">
        <v>2539</v>
      </c>
      <c r="M205" s="63" t="s">
        <v>2540</v>
      </c>
      <c r="N205" s="63" t="s">
        <v>338</v>
      </c>
      <c r="O205" s="63" t="s">
        <v>74</v>
      </c>
      <c r="P205" s="63" t="s">
        <v>75</v>
      </c>
      <c r="Q205" s="63">
        <v>2</v>
      </c>
      <c r="R205" s="63">
        <v>72</v>
      </c>
      <c r="S205" s="63" t="s">
        <v>76</v>
      </c>
      <c r="T205" s="63">
        <v>368.67200000000003</v>
      </c>
      <c r="U205" s="62">
        <v>46072.291666666664</v>
      </c>
      <c r="V205" s="63" t="s">
        <v>86</v>
      </c>
      <c r="W205" s="63">
        <v>5316.78</v>
      </c>
      <c r="X205" s="63">
        <v>4000</v>
      </c>
      <c r="Y205" s="63" t="s">
        <v>2193</v>
      </c>
    </row>
    <row r="206" spans="1:25" hidden="1">
      <c r="A206" s="62">
        <v>46071.738611111112</v>
      </c>
      <c r="B206" s="63">
        <v>641518</v>
      </c>
      <c r="C206" s="63" t="s">
        <v>2346</v>
      </c>
      <c r="D206" s="63"/>
      <c r="E206" s="62">
        <v>46071.366053240738</v>
      </c>
      <c r="F206" s="63" t="s">
        <v>82</v>
      </c>
      <c r="G206" s="63">
        <v>1715740201</v>
      </c>
      <c r="H206" s="63">
        <v>26563652086502</v>
      </c>
      <c r="I206" s="63" t="s">
        <v>2538</v>
      </c>
      <c r="J206" s="63" t="s">
        <v>159</v>
      </c>
      <c r="K206" s="63" t="s">
        <v>64</v>
      </c>
      <c r="L206" s="63" t="s">
        <v>2539</v>
      </c>
      <c r="M206" s="63" t="s">
        <v>2540</v>
      </c>
      <c r="N206" s="63" t="s">
        <v>338</v>
      </c>
      <c r="O206" s="63" t="s">
        <v>169</v>
      </c>
      <c r="P206" s="63" t="s">
        <v>170</v>
      </c>
      <c r="Q206" s="63">
        <v>1</v>
      </c>
      <c r="R206" s="63">
        <v>72</v>
      </c>
      <c r="S206" s="63" t="s">
        <v>76</v>
      </c>
      <c r="T206" s="63">
        <v>368.67200000000003</v>
      </c>
      <c r="U206" s="62">
        <v>46072.291666666664</v>
      </c>
      <c r="V206" s="63" t="s">
        <v>86</v>
      </c>
      <c r="W206" s="63">
        <v>5316.78</v>
      </c>
      <c r="X206" s="63">
        <v>4000</v>
      </c>
      <c r="Y206" s="63" t="s">
        <v>2193</v>
      </c>
    </row>
    <row r="207" spans="1:25" hidden="1">
      <c r="A207" s="62">
        <v>46071.738611111112</v>
      </c>
      <c r="B207" s="63">
        <v>641518</v>
      </c>
      <c r="C207" s="63" t="s">
        <v>2346</v>
      </c>
      <c r="D207" s="63"/>
      <c r="E207" s="62">
        <v>46071.366053240738</v>
      </c>
      <c r="F207" s="63" t="s">
        <v>82</v>
      </c>
      <c r="G207" s="63">
        <v>1715740201</v>
      </c>
      <c r="H207" s="63">
        <v>26563652086502</v>
      </c>
      <c r="I207" s="63" t="s">
        <v>2538</v>
      </c>
      <c r="J207" s="63" t="s">
        <v>159</v>
      </c>
      <c r="K207" s="63" t="s">
        <v>64</v>
      </c>
      <c r="L207" s="63" t="s">
        <v>2539</v>
      </c>
      <c r="M207" s="63" t="s">
        <v>2540</v>
      </c>
      <c r="N207" s="63" t="s">
        <v>338</v>
      </c>
      <c r="O207" s="63" t="s">
        <v>119</v>
      </c>
      <c r="P207" s="63" t="s">
        <v>120</v>
      </c>
      <c r="Q207" s="63">
        <v>1</v>
      </c>
      <c r="R207" s="63">
        <v>72</v>
      </c>
      <c r="S207" s="63" t="s">
        <v>76</v>
      </c>
      <c r="T207" s="63">
        <v>368.67200000000003</v>
      </c>
      <c r="U207" s="62">
        <v>46072.291666666664</v>
      </c>
      <c r="V207" s="63" t="s">
        <v>86</v>
      </c>
      <c r="W207" s="63">
        <v>5316.78</v>
      </c>
      <c r="X207" s="63">
        <v>4000</v>
      </c>
      <c r="Y207" s="63" t="s">
        <v>2193</v>
      </c>
    </row>
    <row r="208" spans="1:25" hidden="1">
      <c r="A208" s="62">
        <v>46071.738611111112</v>
      </c>
      <c r="B208" s="63">
        <v>641518</v>
      </c>
      <c r="C208" s="63" t="s">
        <v>2346</v>
      </c>
      <c r="D208" s="63"/>
      <c r="E208" s="62">
        <v>46071.366053240738</v>
      </c>
      <c r="F208" s="63" t="s">
        <v>82</v>
      </c>
      <c r="G208" s="63">
        <v>1715740201</v>
      </c>
      <c r="H208" s="63">
        <v>26563652086502</v>
      </c>
      <c r="I208" s="63" t="s">
        <v>2538</v>
      </c>
      <c r="J208" s="63" t="s">
        <v>159</v>
      </c>
      <c r="K208" s="63" t="s">
        <v>64</v>
      </c>
      <c r="L208" s="63" t="s">
        <v>2539</v>
      </c>
      <c r="M208" s="63" t="s">
        <v>2540</v>
      </c>
      <c r="N208" s="63" t="s">
        <v>338</v>
      </c>
      <c r="O208" s="63" t="s">
        <v>189</v>
      </c>
      <c r="P208" s="63" t="s">
        <v>190</v>
      </c>
      <c r="Q208" s="63">
        <v>1</v>
      </c>
      <c r="R208" s="63">
        <v>72</v>
      </c>
      <c r="S208" s="63" t="s">
        <v>76</v>
      </c>
      <c r="T208" s="63">
        <v>368.67200000000003</v>
      </c>
      <c r="U208" s="62">
        <v>46072.291666666664</v>
      </c>
      <c r="V208" s="63" t="s">
        <v>86</v>
      </c>
      <c r="W208" s="63">
        <v>5316.78</v>
      </c>
      <c r="X208" s="63">
        <v>4000</v>
      </c>
      <c r="Y208" s="63" t="s">
        <v>2193</v>
      </c>
    </row>
    <row r="209" spans="1:25" hidden="1">
      <c r="A209" s="62">
        <v>46071.738611111112</v>
      </c>
      <c r="B209" s="63">
        <v>641518</v>
      </c>
      <c r="C209" s="63" t="s">
        <v>2346</v>
      </c>
      <c r="D209" s="63"/>
      <c r="E209" s="62">
        <v>46071.366053240738</v>
      </c>
      <c r="F209" s="63" t="s">
        <v>82</v>
      </c>
      <c r="G209" s="63">
        <v>1715740201</v>
      </c>
      <c r="H209" s="63">
        <v>26563652086502</v>
      </c>
      <c r="I209" s="63" t="s">
        <v>2538</v>
      </c>
      <c r="J209" s="63" t="s">
        <v>159</v>
      </c>
      <c r="K209" s="63" t="s">
        <v>64</v>
      </c>
      <c r="L209" s="63" t="s">
        <v>2539</v>
      </c>
      <c r="M209" s="63" t="s">
        <v>2540</v>
      </c>
      <c r="N209" s="63" t="s">
        <v>338</v>
      </c>
      <c r="O209" s="63" t="s">
        <v>79</v>
      </c>
      <c r="P209" s="63" t="s">
        <v>80</v>
      </c>
      <c r="Q209" s="63">
        <v>1</v>
      </c>
      <c r="R209" s="63">
        <v>72</v>
      </c>
      <c r="S209" s="63" t="s">
        <v>76</v>
      </c>
      <c r="T209" s="63">
        <v>368.67200000000003</v>
      </c>
      <c r="U209" s="62">
        <v>46072.291666666664</v>
      </c>
      <c r="V209" s="63" t="s">
        <v>86</v>
      </c>
      <c r="W209" s="63">
        <v>5316.78</v>
      </c>
      <c r="X209" s="63">
        <v>4000</v>
      </c>
      <c r="Y209" s="63" t="s">
        <v>2193</v>
      </c>
    </row>
    <row r="210" spans="1:25" hidden="1">
      <c r="A210" s="62">
        <v>46071.738611111112</v>
      </c>
      <c r="B210" s="63">
        <v>641518</v>
      </c>
      <c r="C210" s="63" t="s">
        <v>2346</v>
      </c>
      <c r="D210" s="63"/>
      <c r="E210" s="62">
        <v>46071.366053240738</v>
      </c>
      <c r="F210" s="63" t="s">
        <v>82</v>
      </c>
      <c r="G210" s="63">
        <v>1715740201</v>
      </c>
      <c r="H210" s="63">
        <v>26563652086502</v>
      </c>
      <c r="I210" s="63" t="s">
        <v>2538</v>
      </c>
      <c r="J210" s="63" t="s">
        <v>159</v>
      </c>
      <c r="K210" s="63" t="s">
        <v>64</v>
      </c>
      <c r="L210" s="63" t="s">
        <v>2539</v>
      </c>
      <c r="M210" s="63" t="s">
        <v>2540</v>
      </c>
      <c r="N210" s="63" t="s">
        <v>338</v>
      </c>
      <c r="O210" s="63" t="s">
        <v>161</v>
      </c>
      <c r="P210" s="63" t="s">
        <v>162</v>
      </c>
      <c r="Q210" s="63">
        <v>4</v>
      </c>
      <c r="R210" s="63">
        <v>72</v>
      </c>
      <c r="S210" s="63" t="s">
        <v>76</v>
      </c>
      <c r="T210" s="63">
        <v>368.67200000000003</v>
      </c>
      <c r="U210" s="62">
        <v>46072.291666666664</v>
      </c>
      <c r="V210" s="63" t="s">
        <v>86</v>
      </c>
      <c r="W210" s="63">
        <v>5316.78</v>
      </c>
      <c r="X210" s="63">
        <v>4000</v>
      </c>
      <c r="Y210" s="63" t="s">
        <v>2193</v>
      </c>
    </row>
    <row r="211" spans="1:25" hidden="1">
      <c r="A211" s="62">
        <v>46071.738611111112</v>
      </c>
      <c r="B211" s="63">
        <v>641518</v>
      </c>
      <c r="C211" s="63" t="s">
        <v>2346</v>
      </c>
      <c r="D211" s="63"/>
      <c r="E211" s="62">
        <v>46071.366053240738</v>
      </c>
      <c r="F211" s="63" t="s">
        <v>82</v>
      </c>
      <c r="G211" s="63">
        <v>1715740201</v>
      </c>
      <c r="H211" s="63">
        <v>26563652086502</v>
      </c>
      <c r="I211" s="63" t="s">
        <v>2538</v>
      </c>
      <c r="J211" s="63" t="s">
        <v>159</v>
      </c>
      <c r="K211" s="63" t="s">
        <v>64</v>
      </c>
      <c r="L211" s="63" t="s">
        <v>2539</v>
      </c>
      <c r="M211" s="63" t="s">
        <v>2540</v>
      </c>
      <c r="N211" s="63" t="s">
        <v>338</v>
      </c>
      <c r="O211" s="63" t="s">
        <v>163</v>
      </c>
      <c r="P211" s="63" t="s">
        <v>164</v>
      </c>
      <c r="Q211" s="63">
        <v>4</v>
      </c>
      <c r="R211" s="63">
        <v>72</v>
      </c>
      <c r="S211" s="63" t="s">
        <v>76</v>
      </c>
      <c r="T211" s="63">
        <v>368.67200000000003</v>
      </c>
      <c r="U211" s="62">
        <v>46072.291666666664</v>
      </c>
      <c r="V211" s="63" t="s">
        <v>86</v>
      </c>
      <c r="W211" s="63">
        <v>5316.78</v>
      </c>
      <c r="X211" s="63">
        <v>4000</v>
      </c>
      <c r="Y211" s="63" t="s">
        <v>2193</v>
      </c>
    </row>
    <row r="212" spans="1:25" hidden="1">
      <c r="A212" s="62">
        <v>46071.738611111112</v>
      </c>
      <c r="B212" s="63">
        <v>641518</v>
      </c>
      <c r="C212" s="63" t="s">
        <v>2346</v>
      </c>
      <c r="D212" s="63"/>
      <c r="E212" s="62">
        <v>46071.366053240738</v>
      </c>
      <c r="F212" s="63" t="s">
        <v>82</v>
      </c>
      <c r="G212" s="63">
        <v>1715740201</v>
      </c>
      <c r="H212" s="63">
        <v>26563652086502</v>
      </c>
      <c r="I212" s="63" t="s">
        <v>2538</v>
      </c>
      <c r="J212" s="63" t="s">
        <v>159</v>
      </c>
      <c r="K212" s="63" t="s">
        <v>64</v>
      </c>
      <c r="L212" s="63" t="s">
        <v>2539</v>
      </c>
      <c r="M212" s="63" t="s">
        <v>2540</v>
      </c>
      <c r="N212" s="63" t="s">
        <v>338</v>
      </c>
      <c r="O212" s="63" t="s">
        <v>173</v>
      </c>
      <c r="P212" s="63" t="s">
        <v>174</v>
      </c>
      <c r="Q212" s="63">
        <v>1</v>
      </c>
      <c r="R212" s="63">
        <v>72</v>
      </c>
      <c r="S212" s="63" t="s">
        <v>76</v>
      </c>
      <c r="T212" s="63">
        <v>368.67200000000003</v>
      </c>
      <c r="U212" s="62">
        <v>46072.291666666664</v>
      </c>
      <c r="V212" s="63" t="s">
        <v>86</v>
      </c>
      <c r="W212" s="63">
        <v>5316.78</v>
      </c>
      <c r="X212" s="63">
        <v>4000</v>
      </c>
      <c r="Y212" s="63" t="s">
        <v>2193</v>
      </c>
    </row>
    <row r="213" spans="1:25" hidden="1">
      <c r="A213" s="62">
        <v>46071.738611111112</v>
      </c>
      <c r="B213" s="63">
        <v>641518</v>
      </c>
      <c r="C213" s="63" t="s">
        <v>2346</v>
      </c>
      <c r="D213" s="63"/>
      <c r="E213" s="62">
        <v>46071.366053240738</v>
      </c>
      <c r="F213" s="63" t="s">
        <v>82</v>
      </c>
      <c r="G213" s="63">
        <v>1715740201</v>
      </c>
      <c r="H213" s="63">
        <v>26563652086502</v>
      </c>
      <c r="I213" s="63" t="s">
        <v>2538</v>
      </c>
      <c r="J213" s="63" t="s">
        <v>159</v>
      </c>
      <c r="K213" s="63" t="s">
        <v>64</v>
      </c>
      <c r="L213" s="63" t="s">
        <v>2539</v>
      </c>
      <c r="M213" s="63" t="s">
        <v>2540</v>
      </c>
      <c r="N213" s="63" t="s">
        <v>338</v>
      </c>
      <c r="O213" s="63" t="s">
        <v>175</v>
      </c>
      <c r="P213" s="63" t="s">
        <v>176</v>
      </c>
      <c r="Q213" s="63">
        <v>1</v>
      </c>
      <c r="R213" s="63">
        <v>72</v>
      </c>
      <c r="S213" s="63" t="s">
        <v>76</v>
      </c>
      <c r="T213" s="63">
        <v>368.67200000000003</v>
      </c>
      <c r="U213" s="62">
        <v>46072.291666666664</v>
      </c>
      <c r="V213" s="63" t="s">
        <v>86</v>
      </c>
      <c r="W213" s="63">
        <v>5316.78</v>
      </c>
      <c r="X213" s="63">
        <v>4000</v>
      </c>
      <c r="Y213" s="63" t="s">
        <v>2193</v>
      </c>
    </row>
    <row r="214" spans="1:25" hidden="1">
      <c r="A214" s="62">
        <v>46071.738611111112</v>
      </c>
      <c r="B214" s="63">
        <v>641518</v>
      </c>
      <c r="C214" s="63" t="s">
        <v>2346</v>
      </c>
      <c r="D214" s="63"/>
      <c r="E214" s="62">
        <v>46071.366053240738</v>
      </c>
      <c r="F214" s="63" t="s">
        <v>82</v>
      </c>
      <c r="G214" s="63">
        <v>1715740201</v>
      </c>
      <c r="H214" s="63">
        <v>26563652086502</v>
      </c>
      <c r="I214" s="63" t="s">
        <v>2538</v>
      </c>
      <c r="J214" s="63" t="s">
        <v>159</v>
      </c>
      <c r="K214" s="63" t="s">
        <v>64</v>
      </c>
      <c r="L214" s="63" t="s">
        <v>2539</v>
      </c>
      <c r="M214" s="63" t="s">
        <v>2540</v>
      </c>
      <c r="N214" s="63" t="s">
        <v>338</v>
      </c>
      <c r="O214" s="63" t="s">
        <v>165</v>
      </c>
      <c r="P214" s="63" t="s">
        <v>166</v>
      </c>
      <c r="Q214" s="63">
        <v>1</v>
      </c>
      <c r="R214" s="63">
        <v>72</v>
      </c>
      <c r="S214" s="63" t="s">
        <v>76</v>
      </c>
      <c r="T214" s="63">
        <v>368.67200000000003</v>
      </c>
      <c r="U214" s="62">
        <v>46072.291666666664</v>
      </c>
      <c r="V214" s="63" t="s">
        <v>86</v>
      </c>
      <c r="W214" s="63">
        <v>5316.78</v>
      </c>
      <c r="X214" s="63">
        <v>4000</v>
      </c>
      <c r="Y214" s="63" t="s">
        <v>2193</v>
      </c>
    </row>
    <row r="215" spans="1:25" hidden="1">
      <c r="A215" s="62">
        <v>46071.738611111112</v>
      </c>
      <c r="B215" s="63">
        <v>641518</v>
      </c>
      <c r="C215" s="63" t="s">
        <v>2346</v>
      </c>
      <c r="D215" s="63"/>
      <c r="E215" s="62">
        <v>46071.366053240738</v>
      </c>
      <c r="F215" s="63" t="s">
        <v>82</v>
      </c>
      <c r="G215" s="63">
        <v>1715740201</v>
      </c>
      <c r="H215" s="63">
        <v>26563652086502</v>
      </c>
      <c r="I215" s="63" t="s">
        <v>2538</v>
      </c>
      <c r="J215" s="63" t="s">
        <v>159</v>
      </c>
      <c r="K215" s="63" t="s">
        <v>64</v>
      </c>
      <c r="L215" s="63" t="s">
        <v>2539</v>
      </c>
      <c r="M215" s="63" t="s">
        <v>2540</v>
      </c>
      <c r="N215" s="63" t="s">
        <v>338</v>
      </c>
      <c r="O215" s="63" t="s">
        <v>171</v>
      </c>
      <c r="P215" s="63" t="s">
        <v>172</v>
      </c>
      <c r="Q215" s="63">
        <v>1</v>
      </c>
      <c r="R215" s="63">
        <v>72</v>
      </c>
      <c r="S215" s="63" t="s">
        <v>76</v>
      </c>
      <c r="T215" s="63">
        <v>368.67200000000003</v>
      </c>
      <c r="U215" s="62">
        <v>46072.291666666664</v>
      </c>
      <c r="V215" s="63" t="s">
        <v>86</v>
      </c>
      <c r="W215" s="63">
        <v>5316.78</v>
      </c>
      <c r="X215" s="63">
        <v>4000</v>
      </c>
      <c r="Y215" s="63" t="s">
        <v>2193</v>
      </c>
    </row>
    <row r="216" spans="1:25" hidden="1">
      <c r="A216" s="62">
        <v>46071.738611111112</v>
      </c>
      <c r="B216" s="63">
        <v>641518</v>
      </c>
      <c r="C216" s="63" t="s">
        <v>2346</v>
      </c>
      <c r="D216" s="63"/>
      <c r="E216" s="62">
        <v>46071.366053240738</v>
      </c>
      <c r="F216" s="63" t="s">
        <v>82</v>
      </c>
      <c r="G216" s="63">
        <v>1715740201</v>
      </c>
      <c r="H216" s="63">
        <v>26563652086502</v>
      </c>
      <c r="I216" s="63" t="s">
        <v>2538</v>
      </c>
      <c r="J216" s="63" t="s">
        <v>159</v>
      </c>
      <c r="K216" s="63" t="s">
        <v>64</v>
      </c>
      <c r="L216" s="63" t="s">
        <v>2539</v>
      </c>
      <c r="M216" s="63" t="s">
        <v>2540</v>
      </c>
      <c r="N216" s="63" t="s">
        <v>338</v>
      </c>
      <c r="O216" s="63" t="s">
        <v>167</v>
      </c>
      <c r="P216" s="63" t="s">
        <v>168</v>
      </c>
      <c r="Q216" s="63">
        <v>1</v>
      </c>
      <c r="R216" s="63">
        <v>72</v>
      </c>
      <c r="S216" s="63" t="s">
        <v>76</v>
      </c>
      <c r="T216" s="63">
        <v>368.67200000000003</v>
      </c>
      <c r="U216" s="62">
        <v>46072.291666666664</v>
      </c>
      <c r="V216" s="63" t="s">
        <v>86</v>
      </c>
      <c r="W216" s="63">
        <v>5316.78</v>
      </c>
      <c r="X216" s="63">
        <v>4000</v>
      </c>
      <c r="Y216" s="63" t="s">
        <v>2193</v>
      </c>
    </row>
    <row r="217" spans="1:25" hidden="1">
      <c r="A217" s="62">
        <v>46071.738611111112</v>
      </c>
      <c r="B217" s="63">
        <v>641518</v>
      </c>
      <c r="C217" s="63" t="s">
        <v>2346</v>
      </c>
      <c r="D217" s="63"/>
      <c r="E217" s="62">
        <v>46072.772847222222</v>
      </c>
      <c r="F217" s="63" t="s">
        <v>82</v>
      </c>
      <c r="G217" s="63">
        <v>1721910201</v>
      </c>
      <c r="H217" s="63">
        <v>62353476000678</v>
      </c>
      <c r="I217" s="63" t="s">
        <v>2541</v>
      </c>
      <c r="J217" s="63" t="s">
        <v>2472</v>
      </c>
      <c r="K217" s="63" t="s">
        <v>64</v>
      </c>
      <c r="L217" s="63" t="s">
        <v>2542</v>
      </c>
      <c r="M217" s="63" t="s">
        <v>2543</v>
      </c>
      <c r="N217" s="63" t="s">
        <v>338</v>
      </c>
      <c r="O217" s="63" t="s">
        <v>163</v>
      </c>
      <c r="P217" s="63" t="s">
        <v>164</v>
      </c>
      <c r="Q217" s="63">
        <v>1</v>
      </c>
      <c r="R217" s="63">
        <v>0</v>
      </c>
      <c r="S217" s="63" t="s">
        <v>76</v>
      </c>
      <c r="T217" s="63">
        <v>7.21</v>
      </c>
      <c r="U217" s="62">
        <v>46072.291666666664</v>
      </c>
      <c r="V217" s="63" t="s">
        <v>86</v>
      </c>
      <c r="W217" s="63">
        <v>254.25</v>
      </c>
      <c r="X217" s="63">
        <v>4000</v>
      </c>
      <c r="Y217" s="63" t="s">
        <v>2193</v>
      </c>
    </row>
    <row r="218" spans="1:25" hidden="1">
      <c r="A218" s="62">
        <v>46071.738611111112</v>
      </c>
      <c r="B218" s="63">
        <v>641518</v>
      </c>
      <c r="C218" s="63" t="s">
        <v>2346</v>
      </c>
      <c r="D218" s="63"/>
      <c r="E218" s="62">
        <v>46072.772847222222</v>
      </c>
      <c r="F218" s="63" t="s">
        <v>82</v>
      </c>
      <c r="G218" s="63">
        <v>1721950201</v>
      </c>
      <c r="H218" s="63">
        <v>62353476000678</v>
      </c>
      <c r="I218" s="63" t="s">
        <v>2541</v>
      </c>
      <c r="J218" s="63" t="s">
        <v>2472</v>
      </c>
      <c r="K218" s="63" t="s">
        <v>64</v>
      </c>
      <c r="L218" s="63" t="s">
        <v>2542</v>
      </c>
      <c r="M218" s="63" t="s">
        <v>2543</v>
      </c>
      <c r="N218" s="63" t="s">
        <v>338</v>
      </c>
      <c r="O218" s="63" t="s">
        <v>161</v>
      </c>
      <c r="P218" s="63" t="s">
        <v>162</v>
      </c>
      <c r="Q218" s="63">
        <v>1</v>
      </c>
      <c r="R218" s="63">
        <v>0</v>
      </c>
      <c r="S218" s="63" t="s">
        <v>76</v>
      </c>
      <c r="T218" s="63">
        <v>6.97</v>
      </c>
      <c r="U218" s="62">
        <v>46072.291666666664</v>
      </c>
      <c r="V218" s="63" t="s">
        <v>86</v>
      </c>
      <c r="W218" s="63">
        <v>266.39999999999998</v>
      </c>
      <c r="X218" s="63">
        <v>4000</v>
      </c>
      <c r="Y218" s="63" t="s">
        <v>2193</v>
      </c>
    </row>
    <row r="219" spans="1:25" hidden="1">
      <c r="A219" s="62">
        <v>46071.738611111112</v>
      </c>
      <c r="B219" s="63">
        <v>641518</v>
      </c>
      <c r="C219" s="63" t="s">
        <v>2346</v>
      </c>
      <c r="D219" s="63"/>
      <c r="E219" s="62">
        <v>46072.772847222222</v>
      </c>
      <c r="F219" s="63" t="s">
        <v>82</v>
      </c>
      <c r="G219" s="63">
        <v>1721970201</v>
      </c>
      <c r="H219" s="63">
        <v>62353476000759</v>
      </c>
      <c r="I219" s="63" t="s">
        <v>2544</v>
      </c>
      <c r="J219" s="63" t="s">
        <v>2472</v>
      </c>
      <c r="K219" s="63" t="s">
        <v>64</v>
      </c>
      <c r="L219" s="63" t="s">
        <v>2545</v>
      </c>
      <c r="M219" s="63" t="s">
        <v>2546</v>
      </c>
      <c r="N219" s="63" t="s">
        <v>338</v>
      </c>
      <c r="O219" s="63" t="s">
        <v>161</v>
      </c>
      <c r="P219" s="63" t="s">
        <v>162</v>
      </c>
      <c r="Q219" s="63">
        <v>1</v>
      </c>
      <c r="R219" s="63">
        <v>0</v>
      </c>
      <c r="S219" s="63" t="s">
        <v>76</v>
      </c>
      <c r="T219" s="63">
        <v>14.18</v>
      </c>
      <c r="U219" s="62">
        <v>46072.291666666664</v>
      </c>
      <c r="V219" s="63" t="s">
        <v>86</v>
      </c>
      <c r="W219" s="63">
        <v>520.65</v>
      </c>
      <c r="X219" s="63">
        <v>4000</v>
      </c>
      <c r="Y219" s="63" t="s">
        <v>2193</v>
      </c>
    </row>
    <row r="220" spans="1:25" hidden="1">
      <c r="A220" s="62">
        <v>46071.738611111112</v>
      </c>
      <c r="B220" s="63">
        <v>641518</v>
      </c>
      <c r="C220" s="63" t="s">
        <v>2346</v>
      </c>
      <c r="D220" s="63"/>
      <c r="E220" s="62">
        <v>46072.772847222222</v>
      </c>
      <c r="F220" s="63" t="s">
        <v>82</v>
      </c>
      <c r="G220" s="63">
        <v>1721970201</v>
      </c>
      <c r="H220" s="63">
        <v>62353476000759</v>
      </c>
      <c r="I220" s="63" t="s">
        <v>2544</v>
      </c>
      <c r="J220" s="63" t="s">
        <v>2472</v>
      </c>
      <c r="K220" s="63" t="s">
        <v>64</v>
      </c>
      <c r="L220" s="63" t="s">
        <v>2545</v>
      </c>
      <c r="M220" s="63" t="s">
        <v>2546</v>
      </c>
      <c r="N220" s="63" t="s">
        <v>338</v>
      </c>
      <c r="O220" s="63" t="s">
        <v>163</v>
      </c>
      <c r="P220" s="63" t="s">
        <v>164</v>
      </c>
      <c r="Q220" s="63">
        <v>1</v>
      </c>
      <c r="R220" s="63">
        <v>0</v>
      </c>
      <c r="S220" s="63" t="s">
        <v>76</v>
      </c>
      <c r="T220" s="63">
        <v>14.18</v>
      </c>
      <c r="U220" s="62">
        <v>46072.291666666664</v>
      </c>
      <c r="V220" s="63" t="s">
        <v>86</v>
      </c>
      <c r="W220" s="63">
        <v>520.65</v>
      </c>
      <c r="X220" s="63">
        <v>4000</v>
      </c>
      <c r="Y220" s="63" t="s">
        <v>2193</v>
      </c>
    </row>
    <row r="221" spans="1:25" hidden="1">
      <c r="A221" s="62">
        <v>46071.738611111112</v>
      </c>
      <c r="B221" s="63">
        <v>641518</v>
      </c>
      <c r="C221" s="63" t="s">
        <v>2346</v>
      </c>
      <c r="D221" s="63"/>
      <c r="E221" s="62">
        <v>46072.772847222222</v>
      </c>
      <c r="F221" s="63" t="s">
        <v>82</v>
      </c>
      <c r="G221" s="63">
        <v>1722050201</v>
      </c>
      <c r="H221" s="63">
        <v>62353476000830</v>
      </c>
      <c r="I221" s="63" t="s">
        <v>2547</v>
      </c>
      <c r="J221" s="63" t="s">
        <v>2472</v>
      </c>
      <c r="K221" s="63" t="s">
        <v>64</v>
      </c>
      <c r="L221" s="63" t="s">
        <v>2548</v>
      </c>
      <c r="M221" s="63" t="s">
        <v>2347</v>
      </c>
      <c r="N221" s="63" t="s">
        <v>338</v>
      </c>
      <c r="O221" s="63" t="s">
        <v>163</v>
      </c>
      <c r="P221" s="63" t="s">
        <v>164</v>
      </c>
      <c r="Q221" s="63">
        <v>2</v>
      </c>
      <c r="R221" s="63">
        <v>0</v>
      </c>
      <c r="S221" s="63" t="s">
        <v>76</v>
      </c>
      <c r="T221" s="63">
        <v>14.42</v>
      </c>
      <c r="U221" s="62">
        <v>46072.291666666664</v>
      </c>
      <c r="V221" s="63" t="s">
        <v>86</v>
      </c>
      <c r="W221" s="63">
        <v>508.5</v>
      </c>
      <c r="X221" s="63">
        <v>4000</v>
      </c>
      <c r="Y221" s="63" t="s">
        <v>2193</v>
      </c>
    </row>
    <row r="222" spans="1:25" hidden="1">
      <c r="A222" s="62">
        <v>46071.738611111112</v>
      </c>
      <c r="B222" s="63">
        <v>641518</v>
      </c>
      <c r="C222" s="63" t="s">
        <v>2346</v>
      </c>
      <c r="D222" s="63"/>
      <c r="E222" s="62">
        <v>46072.772847222222</v>
      </c>
      <c r="F222" s="63" t="s">
        <v>82</v>
      </c>
      <c r="G222" s="63">
        <v>1722090201</v>
      </c>
      <c r="H222" s="63">
        <v>62353476000759</v>
      </c>
      <c r="I222" s="63" t="s">
        <v>2544</v>
      </c>
      <c r="J222" s="63" t="s">
        <v>2472</v>
      </c>
      <c r="K222" s="63" t="s">
        <v>64</v>
      </c>
      <c r="L222" s="63" t="s">
        <v>2545</v>
      </c>
      <c r="M222" s="63" t="s">
        <v>2546</v>
      </c>
      <c r="N222" s="63" t="s">
        <v>338</v>
      </c>
      <c r="O222" s="63" t="s">
        <v>72</v>
      </c>
      <c r="P222" s="63" t="s">
        <v>73</v>
      </c>
      <c r="Q222" s="63">
        <v>2</v>
      </c>
      <c r="R222" s="63">
        <v>0</v>
      </c>
      <c r="S222" s="63" t="s">
        <v>70</v>
      </c>
      <c r="T222" s="63">
        <v>10</v>
      </c>
      <c r="U222" s="62">
        <v>46072.291666666664</v>
      </c>
      <c r="V222" s="63" t="s">
        <v>86</v>
      </c>
      <c r="W222" s="63">
        <v>98.02</v>
      </c>
      <c r="X222" s="63">
        <v>4000</v>
      </c>
      <c r="Y222" s="63" t="s">
        <v>2193</v>
      </c>
    </row>
    <row r="223" spans="1:25" hidden="1">
      <c r="A223" s="62">
        <v>46071.738611111112</v>
      </c>
      <c r="B223" s="63">
        <v>641518</v>
      </c>
      <c r="C223" s="63" t="s">
        <v>2346</v>
      </c>
      <c r="D223" s="63"/>
      <c r="E223" s="62">
        <v>46072.772858796299</v>
      </c>
      <c r="F223" s="63" t="s">
        <v>82</v>
      </c>
      <c r="G223" s="63">
        <v>1722130201</v>
      </c>
      <c r="H223" s="63">
        <v>62353476000759</v>
      </c>
      <c r="I223" s="63" t="s">
        <v>2544</v>
      </c>
      <c r="J223" s="63" t="s">
        <v>2472</v>
      </c>
      <c r="K223" s="63" t="s">
        <v>64</v>
      </c>
      <c r="L223" s="63" t="s">
        <v>2545</v>
      </c>
      <c r="M223" s="63" t="s">
        <v>2546</v>
      </c>
      <c r="N223" s="63" t="s">
        <v>338</v>
      </c>
      <c r="O223" s="63" t="s">
        <v>74</v>
      </c>
      <c r="P223" s="63" t="s">
        <v>75</v>
      </c>
      <c r="Q223" s="63">
        <v>2</v>
      </c>
      <c r="R223" s="63">
        <v>0</v>
      </c>
      <c r="S223" s="63" t="s">
        <v>76</v>
      </c>
      <c r="T223" s="63">
        <v>20</v>
      </c>
      <c r="U223" s="62">
        <v>46072.291666666664</v>
      </c>
      <c r="V223" s="63" t="s">
        <v>86</v>
      </c>
      <c r="W223" s="63">
        <v>349.44</v>
      </c>
      <c r="X223" s="63">
        <v>4000</v>
      </c>
      <c r="Y223" s="63" t="s">
        <v>2193</v>
      </c>
    </row>
    <row r="224" spans="1:25" hidden="1">
      <c r="A224" s="62">
        <v>46071.738611111112</v>
      </c>
      <c r="B224" s="63">
        <v>641518</v>
      </c>
      <c r="C224" s="63" t="s">
        <v>2346</v>
      </c>
      <c r="D224" s="63"/>
      <c r="E224" s="62">
        <v>46072.772858796299</v>
      </c>
      <c r="F224" s="63" t="s">
        <v>82</v>
      </c>
      <c r="G224" s="63">
        <v>1722170201</v>
      </c>
      <c r="H224" s="63">
        <v>62353476000830</v>
      </c>
      <c r="I224" s="63" t="s">
        <v>2547</v>
      </c>
      <c r="J224" s="63" t="s">
        <v>2472</v>
      </c>
      <c r="K224" s="63" t="s">
        <v>64</v>
      </c>
      <c r="L224" s="63" t="s">
        <v>2548</v>
      </c>
      <c r="M224" s="63" t="s">
        <v>2347</v>
      </c>
      <c r="N224" s="63" t="s">
        <v>338</v>
      </c>
      <c r="O224" s="63" t="s">
        <v>74</v>
      </c>
      <c r="P224" s="63" t="s">
        <v>75</v>
      </c>
      <c r="Q224" s="63">
        <v>3</v>
      </c>
      <c r="R224" s="63">
        <v>0</v>
      </c>
      <c r="S224" s="63" t="s">
        <v>76</v>
      </c>
      <c r="T224" s="63">
        <v>30</v>
      </c>
      <c r="U224" s="62">
        <v>46072.291666666664</v>
      </c>
      <c r="V224" s="63" t="s">
        <v>86</v>
      </c>
      <c r="W224" s="63">
        <v>524.16</v>
      </c>
      <c r="X224" s="63">
        <v>4000</v>
      </c>
      <c r="Y224" s="63" t="s">
        <v>2193</v>
      </c>
    </row>
    <row r="225" spans="1:25" hidden="1">
      <c r="A225" s="62">
        <v>46071.738611111112</v>
      </c>
      <c r="B225" s="63">
        <v>641518</v>
      </c>
      <c r="C225" s="63" t="s">
        <v>2346</v>
      </c>
      <c r="D225" s="63"/>
      <c r="E225" s="62">
        <v>46072.772858796299</v>
      </c>
      <c r="F225" s="63" t="s">
        <v>82</v>
      </c>
      <c r="G225" s="63">
        <v>1722230201</v>
      </c>
      <c r="H225" s="63">
        <v>62353476000830</v>
      </c>
      <c r="I225" s="63" t="s">
        <v>2547</v>
      </c>
      <c r="J225" s="63" t="s">
        <v>2472</v>
      </c>
      <c r="K225" s="63" t="s">
        <v>64</v>
      </c>
      <c r="L225" s="63" t="s">
        <v>2548</v>
      </c>
      <c r="M225" s="63" t="s">
        <v>2347</v>
      </c>
      <c r="N225" s="63" t="s">
        <v>338</v>
      </c>
      <c r="O225" s="63" t="s">
        <v>161</v>
      </c>
      <c r="P225" s="63" t="s">
        <v>162</v>
      </c>
      <c r="Q225" s="63">
        <v>3</v>
      </c>
      <c r="R225" s="63">
        <v>0</v>
      </c>
      <c r="S225" s="63" t="s">
        <v>76</v>
      </c>
      <c r="T225" s="63">
        <v>20.91</v>
      </c>
      <c r="U225" s="62">
        <v>46072.291666666664</v>
      </c>
      <c r="V225" s="63" t="s">
        <v>86</v>
      </c>
      <c r="W225" s="63">
        <v>799.2</v>
      </c>
      <c r="X225" s="63">
        <v>4000</v>
      </c>
      <c r="Y225" s="63" t="s">
        <v>2193</v>
      </c>
    </row>
    <row r="226" spans="1:25" hidden="1">
      <c r="A226" s="62">
        <v>46071.738611111112</v>
      </c>
      <c r="B226" s="63">
        <v>641518</v>
      </c>
      <c r="C226" s="63" t="s">
        <v>2346</v>
      </c>
      <c r="D226" s="63"/>
      <c r="E226" s="62">
        <v>46072.772858796299</v>
      </c>
      <c r="F226" s="63" t="s">
        <v>82</v>
      </c>
      <c r="G226" s="63">
        <v>1722270201</v>
      </c>
      <c r="H226" s="63">
        <v>62353476000830</v>
      </c>
      <c r="I226" s="63" t="s">
        <v>2547</v>
      </c>
      <c r="J226" s="63" t="s">
        <v>2472</v>
      </c>
      <c r="K226" s="63" t="s">
        <v>64</v>
      </c>
      <c r="L226" s="63" t="s">
        <v>2548</v>
      </c>
      <c r="M226" s="63" t="s">
        <v>2347</v>
      </c>
      <c r="N226" s="63" t="s">
        <v>338</v>
      </c>
      <c r="O226" s="63" t="s">
        <v>72</v>
      </c>
      <c r="P226" s="63" t="s">
        <v>73</v>
      </c>
      <c r="Q226" s="63">
        <v>5</v>
      </c>
      <c r="R226" s="63">
        <v>0</v>
      </c>
      <c r="S226" s="63" t="s">
        <v>70</v>
      </c>
      <c r="T226" s="63">
        <v>25</v>
      </c>
      <c r="U226" s="62">
        <v>46072.291666666664</v>
      </c>
      <c r="V226" s="63" t="s">
        <v>86</v>
      </c>
      <c r="W226" s="63">
        <v>245.05</v>
      </c>
      <c r="X226" s="63">
        <v>4000</v>
      </c>
      <c r="Y226" s="63" t="s">
        <v>2193</v>
      </c>
    </row>
    <row r="227" spans="1:25" hidden="1">
      <c r="A227" s="62">
        <v>46071.738611111112</v>
      </c>
      <c r="B227" s="63">
        <v>641518</v>
      </c>
      <c r="C227" s="63" t="s">
        <v>2346</v>
      </c>
      <c r="D227" s="63"/>
      <c r="E227" s="62">
        <v>46072.772870370369</v>
      </c>
      <c r="F227" s="63" t="s">
        <v>82</v>
      </c>
      <c r="G227" s="63">
        <v>1722310201</v>
      </c>
      <c r="H227" s="63">
        <v>62353476000830</v>
      </c>
      <c r="I227" s="63" t="s">
        <v>2547</v>
      </c>
      <c r="J227" s="63" t="s">
        <v>2472</v>
      </c>
      <c r="K227" s="63" t="s">
        <v>64</v>
      </c>
      <c r="L227" s="63" t="s">
        <v>2548</v>
      </c>
      <c r="M227" s="63" t="s">
        <v>2347</v>
      </c>
      <c r="N227" s="63" t="s">
        <v>338</v>
      </c>
      <c r="O227" s="63" t="s">
        <v>68</v>
      </c>
      <c r="P227" s="63" t="s">
        <v>69</v>
      </c>
      <c r="Q227" s="63">
        <v>13</v>
      </c>
      <c r="R227" s="63">
        <v>0</v>
      </c>
      <c r="S227" s="63" t="s">
        <v>70</v>
      </c>
      <c r="T227" s="63">
        <v>65.233999999999995</v>
      </c>
      <c r="U227" s="62">
        <v>46072.291666666664</v>
      </c>
      <c r="V227" s="63" t="s">
        <v>86</v>
      </c>
      <c r="W227" s="63">
        <v>444.47</v>
      </c>
      <c r="X227" s="63">
        <v>4000</v>
      </c>
      <c r="Y227" s="63" t="s">
        <v>2193</v>
      </c>
    </row>
    <row r="228" spans="1:25" hidden="1">
      <c r="A228" s="62">
        <v>46071.738611111112</v>
      </c>
      <c r="B228" s="63">
        <v>641518</v>
      </c>
      <c r="C228" s="63" t="s">
        <v>2346</v>
      </c>
      <c r="D228" s="63"/>
      <c r="E228" s="62">
        <v>46072.772870370369</v>
      </c>
      <c r="F228" s="63" t="s">
        <v>82</v>
      </c>
      <c r="G228" s="63">
        <v>1722350201</v>
      </c>
      <c r="H228" s="63">
        <v>62353476000759</v>
      </c>
      <c r="I228" s="63" t="s">
        <v>2544</v>
      </c>
      <c r="J228" s="63" t="s">
        <v>2472</v>
      </c>
      <c r="K228" s="63" t="s">
        <v>64</v>
      </c>
      <c r="L228" s="63" t="s">
        <v>2545</v>
      </c>
      <c r="M228" s="63" t="s">
        <v>2546</v>
      </c>
      <c r="N228" s="63" t="s">
        <v>338</v>
      </c>
      <c r="O228" s="63" t="s">
        <v>68</v>
      </c>
      <c r="P228" s="63" t="s">
        <v>69</v>
      </c>
      <c r="Q228" s="63">
        <v>45</v>
      </c>
      <c r="R228" s="63">
        <v>0</v>
      </c>
      <c r="S228" s="63" t="s">
        <v>70</v>
      </c>
      <c r="T228" s="63">
        <v>225.81</v>
      </c>
      <c r="U228" s="62">
        <v>46072.291666666664</v>
      </c>
      <c r="V228" s="63" t="s">
        <v>86</v>
      </c>
      <c r="W228" s="63">
        <v>1538.55</v>
      </c>
      <c r="X228" s="63">
        <v>4000</v>
      </c>
      <c r="Y228" s="63" t="s">
        <v>2193</v>
      </c>
    </row>
    <row r="229" spans="1:25" hidden="1">
      <c r="A229" s="62">
        <v>46071.738611111112</v>
      </c>
      <c r="B229" s="63">
        <v>641518</v>
      </c>
      <c r="C229" s="63" t="s">
        <v>2346</v>
      </c>
      <c r="D229" s="63"/>
      <c r="E229" s="62">
        <v>46072.772905092592</v>
      </c>
      <c r="F229" s="63" t="s">
        <v>82</v>
      </c>
      <c r="G229" s="63">
        <v>1725600201</v>
      </c>
      <c r="H229" s="63">
        <v>26563652022601</v>
      </c>
      <c r="I229" s="63" t="s">
        <v>2360</v>
      </c>
      <c r="J229" s="63" t="s">
        <v>159</v>
      </c>
      <c r="K229" s="63" t="s">
        <v>64</v>
      </c>
      <c r="L229" s="63"/>
      <c r="M229" s="63" t="s">
        <v>2351</v>
      </c>
      <c r="N229" s="63" t="s">
        <v>338</v>
      </c>
      <c r="O229" s="63" t="s">
        <v>68</v>
      </c>
      <c r="P229" s="63" t="s">
        <v>69</v>
      </c>
      <c r="Q229" s="63">
        <v>19</v>
      </c>
      <c r="R229" s="63">
        <v>0</v>
      </c>
      <c r="S229" s="63" t="s">
        <v>70</v>
      </c>
      <c r="T229" s="63">
        <v>112.842</v>
      </c>
      <c r="U229" s="62">
        <v>46072.291666666664</v>
      </c>
      <c r="V229" s="63" t="s">
        <v>86</v>
      </c>
      <c r="W229" s="63">
        <v>975.14</v>
      </c>
      <c r="X229" s="63">
        <v>4000</v>
      </c>
      <c r="Y229" s="63" t="s">
        <v>2193</v>
      </c>
    </row>
    <row r="230" spans="1:25" hidden="1">
      <c r="A230" s="62">
        <v>46071.738611111112</v>
      </c>
      <c r="B230" s="63">
        <v>641518</v>
      </c>
      <c r="C230" s="63" t="s">
        <v>2346</v>
      </c>
      <c r="D230" s="63"/>
      <c r="E230" s="62">
        <v>46072.772905092592</v>
      </c>
      <c r="F230" s="63" t="s">
        <v>82</v>
      </c>
      <c r="G230" s="63">
        <v>1725600201</v>
      </c>
      <c r="H230" s="63">
        <v>26563652022601</v>
      </c>
      <c r="I230" s="63" t="s">
        <v>2360</v>
      </c>
      <c r="J230" s="63" t="s">
        <v>159</v>
      </c>
      <c r="K230" s="63" t="s">
        <v>64</v>
      </c>
      <c r="L230" s="63"/>
      <c r="M230" s="63" t="s">
        <v>2351</v>
      </c>
      <c r="N230" s="63" t="s">
        <v>338</v>
      </c>
      <c r="O230" s="63" t="s">
        <v>72</v>
      </c>
      <c r="P230" s="63" t="s">
        <v>73</v>
      </c>
      <c r="Q230" s="63">
        <v>1</v>
      </c>
      <c r="R230" s="63">
        <v>0</v>
      </c>
      <c r="S230" s="63" t="s">
        <v>70</v>
      </c>
      <c r="T230" s="63">
        <v>112.842</v>
      </c>
      <c r="U230" s="62">
        <v>46072.291666666664</v>
      </c>
      <c r="V230" s="63" t="s">
        <v>86</v>
      </c>
      <c r="W230" s="63">
        <v>975.14</v>
      </c>
      <c r="X230" s="63">
        <v>4000</v>
      </c>
      <c r="Y230" s="63" t="s">
        <v>2193</v>
      </c>
    </row>
    <row r="231" spans="1:25" hidden="1">
      <c r="A231" s="62">
        <v>46071.738611111112</v>
      </c>
      <c r="B231" s="63">
        <v>641518</v>
      </c>
      <c r="C231" s="63" t="s">
        <v>2346</v>
      </c>
      <c r="D231" s="63"/>
      <c r="E231" s="62">
        <v>46072.772905092592</v>
      </c>
      <c r="F231" s="63" t="s">
        <v>82</v>
      </c>
      <c r="G231" s="63">
        <v>1725600201</v>
      </c>
      <c r="H231" s="63">
        <v>26563652022601</v>
      </c>
      <c r="I231" s="63" t="s">
        <v>2360</v>
      </c>
      <c r="J231" s="63" t="s">
        <v>159</v>
      </c>
      <c r="K231" s="63" t="s">
        <v>64</v>
      </c>
      <c r="L231" s="63"/>
      <c r="M231" s="63" t="s">
        <v>2351</v>
      </c>
      <c r="N231" s="63" t="s">
        <v>338</v>
      </c>
      <c r="O231" s="63" t="s">
        <v>74</v>
      </c>
      <c r="P231" s="63" t="s">
        <v>75</v>
      </c>
      <c r="Q231" s="63">
        <v>1</v>
      </c>
      <c r="R231" s="63">
        <v>0</v>
      </c>
      <c r="S231" s="63" t="s">
        <v>76</v>
      </c>
      <c r="T231" s="63">
        <v>112.842</v>
      </c>
      <c r="U231" s="62">
        <v>46072.291666666664</v>
      </c>
      <c r="V231" s="63" t="s">
        <v>86</v>
      </c>
      <c r="W231" s="63">
        <v>975.14</v>
      </c>
      <c r="X231" s="63">
        <v>4000</v>
      </c>
      <c r="Y231" s="63" t="s">
        <v>2193</v>
      </c>
    </row>
    <row r="232" spans="1:25" hidden="1">
      <c r="A232" s="62">
        <v>46071.738611111112</v>
      </c>
      <c r="B232" s="63">
        <v>641518</v>
      </c>
      <c r="C232" s="63" t="s">
        <v>2346</v>
      </c>
      <c r="D232" s="63"/>
      <c r="E232" s="62">
        <v>46072.772905092592</v>
      </c>
      <c r="F232" s="63" t="s">
        <v>82</v>
      </c>
      <c r="G232" s="63">
        <v>1725600201</v>
      </c>
      <c r="H232" s="63">
        <v>26563652022601</v>
      </c>
      <c r="I232" s="63" t="s">
        <v>2360</v>
      </c>
      <c r="J232" s="63" t="s">
        <v>159</v>
      </c>
      <c r="K232" s="63" t="s">
        <v>64</v>
      </c>
      <c r="L232" s="63"/>
      <c r="M232" s="63" t="s">
        <v>2351</v>
      </c>
      <c r="N232" s="63" t="s">
        <v>338</v>
      </c>
      <c r="O232" s="63" t="s">
        <v>165</v>
      </c>
      <c r="P232" s="63" t="s">
        <v>166</v>
      </c>
      <c r="Q232" s="63">
        <v>1</v>
      </c>
      <c r="R232" s="63">
        <v>0</v>
      </c>
      <c r="S232" s="63" t="s">
        <v>76</v>
      </c>
      <c r="T232" s="63">
        <v>112.842</v>
      </c>
      <c r="U232" s="62">
        <v>46072.291666666664</v>
      </c>
      <c r="V232" s="63" t="s">
        <v>86</v>
      </c>
      <c r="W232" s="63">
        <v>975.14</v>
      </c>
      <c r="X232" s="63">
        <v>4000</v>
      </c>
      <c r="Y232" s="63" t="s">
        <v>2193</v>
      </c>
    </row>
    <row r="233" spans="1:25" hidden="1">
      <c r="A233" s="62">
        <v>46071.738611111112</v>
      </c>
      <c r="B233" s="63">
        <v>641518</v>
      </c>
      <c r="C233" s="63" t="s">
        <v>2346</v>
      </c>
      <c r="D233" s="63"/>
      <c r="E233" s="62">
        <v>46072.772916666669</v>
      </c>
      <c r="F233" s="63" t="s">
        <v>82</v>
      </c>
      <c r="G233" s="63">
        <v>1725700201</v>
      </c>
      <c r="H233" s="63">
        <v>26563652026356</v>
      </c>
      <c r="I233" s="63" t="s">
        <v>2549</v>
      </c>
      <c r="J233" s="63" t="s">
        <v>159</v>
      </c>
      <c r="K233" s="63" t="s">
        <v>64</v>
      </c>
      <c r="L233" s="63"/>
      <c r="M233" s="63" t="s">
        <v>2351</v>
      </c>
      <c r="N233" s="63" t="s">
        <v>338</v>
      </c>
      <c r="O233" s="63" t="s">
        <v>68</v>
      </c>
      <c r="P233" s="63" t="s">
        <v>69</v>
      </c>
      <c r="Q233" s="63">
        <v>12</v>
      </c>
      <c r="R233" s="63">
        <v>0</v>
      </c>
      <c r="S233" s="63" t="s">
        <v>70</v>
      </c>
      <c r="T233" s="63">
        <v>65.215999999999994</v>
      </c>
      <c r="U233" s="62">
        <v>46072.291666666664</v>
      </c>
      <c r="V233" s="63" t="s">
        <v>86</v>
      </c>
      <c r="W233" s="63">
        <v>459.29</v>
      </c>
      <c r="X233" s="63">
        <v>4000</v>
      </c>
      <c r="Y233" s="63" t="s">
        <v>2193</v>
      </c>
    </row>
    <row r="234" spans="1:25" hidden="1">
      <c r="A234" s="62">
        <v>46071.738611111112</v>
      </c>
      <c r="B234" s="63">
        <v>641518</v>
      </c>
      <c r="C234" s="63" t="s">
        <v>2346</v>
      </c>
      <c r="D234" s="63"/>
      <c r="E234" s="62">
        <v>46072.772916666669</v>
      </c>
      <c r="F234" s="63" t="s">
        <v>82</v>
      </c>
      <c r="G234" s="63">
        <v>1725700201</v>
      </c>
      <c r="H234" s="63">
        <v>26563652026356</v>
      </c>
      <c r="I234" s="63" t="s">
        <v>2549</v>
      </c>
      <c r="J234" s="63" t="s">
        <v>159</v>
      </c>
      <c r="K234" s="63" t="s">
        <v>64</v>
      </c>
      <c r="L234" s="63"/>
      <c r="M234" s="63" t="s">
        <v>2351</v>
      </c>
      <c r="N234" s="63" t="s">
        <v>338</v>
      </c>
      <c r="O234" s="63" t="s">
        <v>72</v>
      </c>
      <c r="P234" s="63" t="s">
        <v>73</v>
      </c>
      <c r="Q234" s="63">
        <v>1</v>
      </c>
      <c r="R234" s="63">
        <v>0</v>
      </c>
      <c r="S234" s="63" t="s">
        <v>70</v>
      </c>
      <c r="T234" s="63">
        <v>65.215999999999994</v>
      </c>
      <c r="U234" s="62">
        <v>46072.291666666664</v>
      </c>
      <c r="V234" s="63" t="s">
        <v>86</v>
      </c>
      <c r="W234" s="63">
        <v>459.29</v>
      </c>
      <c r="X234" s="63">
        <v>4000</v>
      </c>
      <c r="Y234" s="63" t="s">
        <v>2193</v>
      </c>
    </row>
    <row r="235" spans="1:25" hidden="1">
      <c r="A235" s="62">
        <v>46071.738611111112</v>
      </c>
      <c r="B235" s="63">
        <v>641518</v>
      </c>
      <c r="C235" s="63" t="s">
        <v>2346</v>
      </c>
      <c r="D235" s="63"/>
      <c r="E235" s="62">
        <v>46072.772928240738</v>
      </c>
      <c r="F235" s="63" t="s">
        <v>82</v>
      </c>
      <c r="G235" s="63">
        <v>1725840201</v>
      </c>
      <c r="H235" s="63">
        <v>26563652065092</v>
      </c>
      <c r="I235" s="63" t="s">
        <v>2211</v>
      </c>
      <c r="J235" s="63" t="s">
        <v>159</v>
      </c>
      <c r="K235" s="63" t="s">
        <v>64</v>
      </c>
      <c r="L235" s="63"/>
      <c r="M235" s="63" t="s">
        <v>337</v>
      </c>
      <c r="N235" s="63" t="s">
        <v>338</v>
      </c>
      <c r="O235" s="63" t="s">
        <v>68</v>
      </c>
      <c r="P235" s="63" t="s">
        <v>69</v>
      </c>
      <c r="Q235" s="63">
        <v>11</v>
      </c>
      <c r="R235" s="63">
        <v>0</v>
      </c>
      <c r="S235" s="63" t="s">
        <v>70</v>
      </c>
      <c r="T235" s="63">
        <v>67.408000000000001</v>
      </c>
      <c r="U235" s="62">
        <v>46072.291666666664</v>
      </c>
      <c r="V235" s="63" t="s">
        <v>86</v>
      </c>
      <c r="W235" s="63">
        <v>679.35</v>
      </c>
      <c r="X235" s="63">
        <v>4000</v>
      </c>
      <c r="Y235" s="63" t="s">
        <v>2193</v>
      </c>
    </row>
    <row r="236" spans="1:25" hidden="1">
      <c r="A236" s="62">
        <v>46071.738611111112</v>
      </c>
      <c r="B236" s="63">
        <v>641518</v>
      </c>
      <c r="C236" s="63" t="s">
        <v>2346</v>
      </c>
      <c r="D236" s="63"/>
      <c r="E236" s="62">
        <v>46072.772928240738</v>
      </c>
      <c r="F236" s="63" t="s">
        <v>82</v>
      </c>
      <c r="G236" s="63">
        <v>1725840201</v>
      </c>
      <c r="H236" s="63">
        <v>26563652065092</v>
      </c>
      <c r="I236" s="63" t="s">
        <v>2211</v>
      </c>
      <c r="J236" s="63" t="s">
        <v>159</v>
      </c>
      <c r="K236" s="63" t="s">
        <v>64</v>
      </c>
      <c r="L236" s="63"/>
      <c r="M236" s="63" t="s">
        <v>337</v>
      </c>
      <c r="N236" s="63" t="s">
        <v>338</v>
      </c>
      <c r="O236" s="63" t="s">
        <v>72</v>
      </c>
      <c r="P236" s="63" t="s">
        <v>73</v>
      </c>
      <c r="Q236" s="63">
        <v>1</v>
      </c>
      <c r="R236" s="63">
        <v>0</v>
      </c>
      <c r="S236" s="63" t="s">
        <v>70</v>
      </c>
      <c r="T236" s="63">
        <v>67.408000000000001</v>
      </c>
      <c r="U236" s="62">
        <v>46072.291666666664</v>
      </c>
      <c r="V236" s="63" t="s">
        <v>86</v>
      </c>
      <c r="W236" s="63">
        <v>679.35</v>
      </c>
      <c r="X236" s="63">
        <v>4000</v>
      </c>
      <c r="Y236" s="63" t="s">
        <v>2193</v>
      </c>
    </row>
    <row r="237" spans="1:25" hidden="1">
      <c r="A237" s="62">
        <v>46071.738611111112</v>
      </c>
      <c r="B237" s="63">
        <v>641518</v>
      </c>
      <c r="C237" s="63" t="s">
        <v>2346</v>
      </c>
      <c r="D237" s="63"/>
      <c r="E237" s="62">
        <v>46072.772928240738</v>
      </c>
      <c r="F237" s="63" t="s">
        <v>82</v>
      </c>
      <c r="G237" s="63">
        <v>1725840201</v>
      </c>
      <c r="H237" s="63">
        <v>26563652065092</v>
      </c>
      <c r="I237" s="63" t="s">
        <v>2211</v>
      </c>
      <c r="J237" s="63" t="s">
        <v>159</v>
      </c>
      <c r="K237" s="63" t="s">
        <v>64</v>
      </c>
      <c r="L237" s="63"/>
      <c r="M237" s="63" t="s">
        <v>337</v>
      </c>
      <c r="N237" s="63" t="s">
        <v>338</v>
      </c>
      <c r="O237" s="63" t="s">
        <v>163</v>
      </c>
      <c r="P237" s="63" t="s">
        <v>164</v>
      </c>
      <c r="Q237" s="63">
        <v>1</v>
      </c>
      <c r="R237" s="63">
        <v>0</v>
      </c>
      <c r="S237" s="63" t="s">
        <v>76</v>
      </c>
      <c r="T237" s="63">
        <v>67.408000000000001</v>
      </c>
      <c r="U237" s="62">
        <v>46072.291666666664</v>
      </c>
      <c r="V237" s="63" t="s">
        <v>86</v>
      </c>
      <c r="W237" s="63">
        <v>679.35</v>
      </c>
      <c r="X237" s="63">
        <v>4000</v>
      </c>
      <c r="Y237" s="63" t="s">
        <v>2193</v>
      </c>
    </row>
    <row r="238" spans="1:25" hidden="1">
      <c r="A238" s="62">
        <v>46071.738611111112</v>
      </c>
      <c r="B238" s="63">
        <v>641518</v>
      </c>
      <c r="C238" s="63" t="s">
        <v>2346</v>
      </c>
      <c r="D238" s="63"/>
      <c r="E238" s="62">
        <v>46072.772928240738</v>
      </c>
      <c r="F238" s="63" t="s">
        <v>82</v>
      </c>
      <c r="G238" s="63">
        <v>1725860201</v>
      </c>
      <c r="H238" s="63">
        <v>26563652029886</v>
      </c>
      <c r="I238" s="63" t="s">
        <v>2361</v>
      </c>
      <c r="J238" s="63" t="s">
        <v>159</v>
      </c>
      <c r="K238" s="63" t="s">
        <v>64</v>
      </c>
      <c r="L238" s="63" t="s">
        <v>2362</v>
      </c>
      <c r="M238" s="63" t="s">
        <v>160</v>
      </c>
      <c r="N238" s="63" t="s">
        <v>338</v>
      </c>
      <c r="O238" s="63" t="s">
        <v>68</v>
      </c>
      <c r="P238" s="63" t="s">
        <v>69</v>
      </c>
      <c r="Q238" s="63">
        <v>11</v>
      </c>
      <c r="R238" s="63">
        <v>0</v>
      </c>
      <c r="S238" s="63" t="s">
        <v>70</v>
      </c>
      <c r="T238" s="63">
        <v>75.837999999999994</v>
      </c>
      <c r="U238" s="62">
        <v>46072.291666666664</v>
      </c>
      <c r="V238" s="63" t="s">
        <v>86</v>
      </c>
      <c r="W238" s="63">
        <v>1038.3</v>
      </c>
      <c r="X238" s="63">
        <v>4000</v>
      </c>
      <c r="Y238" s="63" t="s">
        <v>2193</v>
      </c>
    </row>
    <row r="239" spans="1:25" hidden="1">
      <c r="A239" s="62">
        <v>46071.738611111112</v>
      </c>
      <c r="B239" s="63">
        <v>641518</v>
      </c>
      <c r="C239" s="63" t="s">
        <v>2346</v>
      </c>
      <c r="D239" s="63"/>
      <c r="E239" s="62">
        <v>46072.772928240738</v>
      </c>
      <c r="F239" s="63" t="s">
        <v>82</v>
      </c>
      <c r="G239" s="63">
        <v>1725860201</v>
      </c>
      <c r="H239" s="63">
        <v>26563652029886</v>
      </c>
      <c r="I239" s="63" t="s">
        <v>2361</v>
      </c>
      <c r="J239" s="63" t="s">
        <v>159</v>
      </c>
      <c r="K239" s="63" t="s">
        <v>64</v>
      </c>
      <c r="L239" s="63" t="s">
        <v>2362</v>
      </c>
      <c r="M239" s="63" t="s">
        <v>160</v>
      </c>
      <c r="N239" s="63" t="s">
        <v>338</v>
      </c>
      <c r="O239" s="63" t="s">
        <v>72</v>
      </c>
      <c r="P239" s="63" t="s">
        <v>73</v>
      </c>
      <c r="Q239" s="63">
        <v>1</v>
      </c>
      <c r="R239" s="63">
        <v>0</v>
      </c>
      <c r="S239" s="63" t="s">
        <v>70</v>
      </c>
      <c r="T239" s="63">
        <v>75.837999999999994</v>
      </c>
      <c r="U239" s="62">
        <v>46072.291666666664</v>
      </c>
      <c r="V239" s="63" t="s">
        <v>86</v>
      </c>
      <c r="W239" s="63">
        <v>1038.3</v>
      </c>
      <c r="X239" s="63">
        <v>4000</v>
      </c>
      <c r="Y239" s="63" t="s">
        <v>2193</v>
      </c>
    </row>
    <row r="240" spans="1:25" hidden="1">
      <c r="A240" s="62">
        <v>46071.738611111112</v>
      </c>
      <c r="B240" s="63">
        <v>641518</v>
      </c>
      <c r="C240" s="63" t="s">
        <v>2346</v>
      </c>
      <c r="D240" s="63"/>
      <c r="E240" s="62">
        <v>46072.772928240738</v>
      </c>
      <c r="F240" s="63" t="s">
        <v>82</v>
      </c>
      <c r="G240" s="63">
        <v>1725860201</v>
      </c>
      <c r="H240" s="63">
        <v>26563652029886</v>
      </c>
      <c r="I240" s="63" t="s">
        <v>2361</v>
      </c>
      <c r="J240" s="63" t="s">
        <v>159</v>
      </c>
      <c r="K240" s="63" t="s">
        <v>64</v>
      </c>
      <c r="L240" s="63" t="s">
        <v>2362</v>
      </c>
      <c r="M240" s="63" t="s">
        <v>160</v>
      </c>
      <c r="N240" s="63" t="s">
        <v>338</v>
      </c>
      <c r="O240" s="63" t="s">
        <v>169</v>
      </c>
      <c r="P240" s="63" t="s">
        <v>170</v>
      </c>
      <c r="Q240" s="63">
        <v>1</v>
      </c>
      <c r="R240" s="63">
        <v>0</v>
      </c>
      <c r="S240" s="63" t="s">
        <v>76</v>
      </c>
      <c r="T240" s="63">
        <v>75.837999999999994</v>
      </c>
      <c r="U240" s="62">
        <v>46072.291666666664</v>
      </c>
      <c r="V240" s="63" t="s">
        <v>86</v>
      </c>
      <c r="W240" s="63">
        <v>1038.3</v>
      </c>
      <c r="X240" s="63">
        <v>4000</v>
      </c>
      <c r="Y240" s="63" t="s">
        <v>2193</v>
      </c>
    </row>
    <row r="241" spans="1:25" hidden="1">
      <c r="A241" s="62">
        <v>46071.738611111112</v>
      </c>
      <c r="B241" s="63">
        <v>641518</v>
      </c>
      <c r="C241" s="63" t="s">
        <v>2346</v>
      </c>
      <c r="D241" s="63"/>
      <c r="E241" s="62">
        <v>46072.772928240738</v>
      </c>
      <c r="F241" s="63" t="s">
        <v>82</v>
      </c>
      <c r="G241" s="63">
        <v>1725860201</v>
      </c>
      <c r="H241" s="63">
        <v>26563652029886</v>
      </c>
      <c r="I241" s="63" t="s">
        <v>2361</v>
      </c>
      <c r="J241" s="63" t="s">
        <v>159</v>
      </c>
      <c r="K241" s="63" t="s">
        <v>64</v>
      </c>
      <c r="L241" s="63" t="s">
        <v>2362</v>
      </c>
      <c r="M241" s="63" t="s">
        <v>160</v>
      </c>
      <c r="N241" s="63" t="s">
        <v>338</v>
      </c>
      <c r="O241" s="63" t="s">
        <v>167</v>
      </c>
      <c r="P241" s="63" t="s">
        <v>168</v>
      </c>
      <c r="Q241" s="63">
        <v>3</v>
      </c>
      <c r="R241" s="63">
        <v>0</v>
      </c>
      <c r="S241" s="63" t="s">
        <v>76</v>
      </c>
      <c r="T241" s="63">
        <v>75.837999999999994</v>
      </c>
      <c r="U241" s="62">
        <v>46072.291666666664</v>
      </c>
      <c r="V241" s="63" t="s">
        <v>86</v>
      </c>
      <c r="W241" s="63">
        <v>1038.3</v>
      </c>
      <c r="X241" s="63">
        <v>4000</v>
      </c>
      <c r="Y241" s="63" t="s">
        <v>2193</v>
      </c>
    </row>
    <row r="242" spans="1:25" hidden="1">
      <c r="A242" s="62">
        <v>46071.738611111112</v>
      </c>
      <c r="B242" s="63">
        <v>641518</v>
      </c>
      <c r="C242" s="63" t="s">
        <v>2346</v>
      </c>
      <c r="D242" s="63"/>
      <c r="E242" s="62">
        <v>46072.772939814815</v>
      </c>
      <c r="F242" s="63" t="s">
        <v>82</v>
      </c>
      <c r="G242" s="63">
        <v>1725960201</v>
      </c>
      <c r="H242" s="63">
        <v>26563652021630</v>
      </c>
      <c r="I242" s="63" t="s">
        <v>2349</v>
      </c>
      <c r="J242" s="63" t="s">
        <v>159</v>
      </c>
      <c r="K242" s="63" t="s">
        <v>64</v>
      </c>
      <c r="L242" s="63"/>
      <c r="M242" s="63" t="s">
        <v>160</v>
      </c>
      <c r="N242" s="63" t="s">
        <v>338</v>
      </c>
      <c r="O242" s="63" t="s">
        <v>68</v>
      </c>
      <c r="P242" s="63" t="s">
        <v>69</v>
      </c>
      <c r="Q242" s="63">
        <v>10</v>
      </c>
      <c r="R242" s="63">
        <v>0</v>
      </c>
      <c r="S242" s="63" t="s">
        <v>70</v>
      </c>
      <c r="T242" s="63">
        <v>77.209999999999994</v>
      </c>
      <c r="U242" s="62">
        <v>46072.291666666664</v>
      </c>
      <c r="V242" s="63" t="s">
        <v>86</v>
      </c>
      <c r="W242" s="63">
        <v>832.92</v>
      </c>
      <c r="X242" s="63">
        <v>4000</v>
      </c>
      <c r="Y242" s="63" t="s">
        <v>2193</v>
      </c>
    </row>
    <row r="243" spans="1:25" hidden="1">
      <c r="A243" s="62">
        <v>46071.738611111112</v>
      </c>
      <c r="B243" s="63">
        <v>641518</v>
      </c>
      <c r="C243" s="63" t="s">
        <v>2346</v>
      </c>
      <c r="D243" s="63"/>
      <c r="E243" s="62">
        <v>46072.772939814815</v>
      </c>
      <c r="F243" s="63" t="s">
        <v>82</v>
      </c>
      <c r="G243" s="63">
        <v>1725960201</v>
      </c>
      <c r="H243" s="63">
        <v>26563652021630</v>
      </c>
      <c r="I243" s="63" t="s">
        <v>2349</v>
      </c>
      <c r="J243" s="63" t="s">
        <v>159</v>
      </c>
      <c r="K243" s="63" t="s">
        <v>64</v>
      </c>
      <c r="L243" s="63"/>
      <c r="M243" s="63" t="s">
        <v>160</v>
      </c>
      <c r="N243" s="63" t="s">
        <v>338</v>
      </c>
      <c r="O243" s="63" t="s">
        <v>72</v>
      </c>
      <c r="P243" s="63" t="s">
        <v>73</v>
      </c>
      <c r="Q243" s="63">
        <v>2</v>
      </c>
      <c r="R243" s="63">
        <v>0</v>
      </c>
      <c r="S243" s="63" t="s">
        <v>70</v>
      </c>
      <c r="T243" s="63">
        <v>77.209999999999994</v>
      </c>
      <c r="U243" s="62">
        <v>46072.291666666664</v>
      </c>
      <c r="V243" s="63" t="s">
        <v>86</v>
      </c>
      <c r="W243" s="63">
        <v>832.92</v>
      </c>
      <c r="X243" s="63">
        <v>4000</v>
      </c>
      <c r="Y243" s="63" t="s">
        <v>2193</v>
      </c>
    </row>
    <row r="244" spans="1:25" hidden="1">
      <c r="A244" s="62">
        <v>46071.738611111112</v>
      </c>
      <c r="B244" s="63">
        <v>641518</v>
      </c>
      <c r="C244" s="63" t="s">
        <v>2346</v>
      </c>
      <c r="D244" s="63"/>
      <c r="E244" s="62">
        <v>46072.772939814815</v>
      </c>
      <c r="F244" s="63" t="s">
        <v>82</v>
      </c>
      <c r="G244" s="63">
        <v>1725960201</v>
      </c>
      <c r="H244" s="63">
        <v>26563652021630</v>
      </c>
      <c r="I244" s="63" t="s">
        <v>2349</v>
      </c>
      <c r="J244" s="63" t="s">
        <v>159</v>
      </c>
      <c r="K244" s="63" t="s">
        <v>64</v>
      </c>
      <c r="L244" s="63"/>
      <c r="M244" s="63" t="s">
        <v>160</v>
      </c>
      <c r="N244" s="63" t="s">
        <v>338</v>
      </c>
      <c r="O244" s="63" t="s">
        <v>169</v>
      </c>
      <c r="P244" s="63" t="s">
        <v>170</v>
      </c>
      <c r="Q244" s="63">
        <v>1</v>
      </c>
      <c r="R244" s="63">
        <v>0</v>
      </c>
      <c r="S244" s="63" t="s">
        <v>76</v>
      </c>
      <c r="T244" s="63">
        <v>77.209999999999994</v>
      </c>
      <c r="U244" s="62">
        <v>46072.291666666664</v>
      </c>
      <c r="V244" s="63" t="s">
        <v>86</v>
      </c>
      <c r="W244" s="63">
        <v>832.92</v>
      </c>
      <c r="X244" s="63">
        <v>4000</v>
      </c>
      <c r="Y244" s="63" t="s">
        <v>2193</v>
      </c>
    </row>
    <row r="245" spans="1:25" hidden="1">
      <c r="A245" s="62">
        <v>46071.738611111112</v>
      </c>
      <c r="B245" s="63">
        <v>641518</v>
      </c>
      <c r="C245" s="63" t="s">
        <v>2346</v>
      </c>
      <c r="D245" s="63"/>
      <c r="E245" s="62">
        <v>46072.772939814815</v>
      </c>
      <c r="F245" s="63" t="s">
        <v>82</v>
      </c>
      <c r="G245" s="63">
        <v>1725960201</v>
      </c>
      <c r="H245" s="63">
        <v>26563652021630</v>
      </c>
      <c r="I245" s="63" t="s">
        <v>2349</v>
      </c>
      <c r="J245" s="63" t="s">
        <v>159</v>
      </c>
      <c r="K245" s="63" t="s">
        <v>64</v>
      </c>
      <c r="L245" s="63"/>
      <c r="M245" s="63" t="s">
        <v>160</v>
      </c>
      <c r="N245" s="63" t="s">
        <v>338</v>
      </c>
      <c r="O245" s="63" t="s">
        <v>189</v>
      </c>
      <c r="P245" s="63" t="s">
        <v>190</v>
      </c>
      <c r="Q245" s="63">
        <v>1</v>
      </c>
      <c r="R245" s="63">
        <v>0</v>
      </c>
      <c r="S245" s="63" t="s">
        <v>76</v>
      </c>
      <c r="T245" s="63">
        <v>77.209999999999994</v>
      </c>
      <c r="U245" s="62">
        <v>46072.291666666664</v>
      </c>
      <c r="V245" s="63" t="s">
        <v>86</v>
      </c>
      <c r="W245" s="63">
        <v>832.92</v>
      </c>
      <c r="X245" s="63">
        <v>4000</v>
      </c>
      <c r="Y245" s="63" t="s">
        <v>2193</v>
      </c>
    </row>
    <row r="246" spans="1:25" hidden="1">
      <c r="A246" s="62">
        <v>46071.738611111112</v>
      </c>
      <c r="B246" s="63">
        <v>641518</v>
      </c>
      <c r="C246" s="63" t="s">
        <v>2346</v>
      </c>
      <c r="D246" s="63"/>
      <c r="E246" s="62">
        <v>46072.772939814815</v>
      </c>
      <c r="F246" s="63" t="s">
        <v>82</v>
      </c>
      <c r="G246" s="63">
        <v>1725960201</v>
      </c>
      <c r="H246" s="63">
        <v>26563652021630</v>
      </c>
      <c r="I246" s="63" t="s">
        <v>2349</v>
      </c>
      <c r="J246" s="63" t="s">
        <v>159</v>
      </c>
      <c r="K246" s="63" t="s">
        <v>64</v>
      </c>
      <c r="L246" s="63"/>
      <c r="M246" s="63" t="s">
        <v>160</v>
      </c>
      <c r="N246" s="63" t="s">
        <v>338</v>
      </c>
      <c r="O246" s="63" t="s">
        <v>79</v>
      </c>
      <c r="P246" s="63" t="s">
        <v>80</v>
      </c>
      <c r="Q246" s="63">
        <v>1</v>
      </c>
      <c r="R246" s="63">
        <v>0</v>
      </c>
      <c r="S246" s="63" t="s">
        <v>76</v>
      </c>
      <c r="T246" s="63">
        <v>77.209999999999994</v>
      </c>
      <c r="U246" s="62">
        <v>46072.291666666664</v>
      </c>
      <c r="V246" s="63" t="s">
        <v>86</v>
      </c>
      <c r="W246" s="63">
        <v>832.92</v>
      </c>
      <c r="X246" s="63">
        <v>4000</v>
      </c>
      <c r="Y246" s="63" t="s">
        <v>2193</v>
      </c>
    </row>
    <row r="247" spans="1:25" hidden="1">
      <c r="A247" s="62">
        <v>46071.738611111112</v>
      </c>
      <c r="B247" s="63">
        <v>641518</v>
      </c>
      <c r="C247" s="63" t="s">
        <v>2346</v>
      </c>
      <c r="D247" s="63"/>
      <c r="E247" s="62">
        <v>46072.772939814815</v>
      </c>
      <c r="F247" s="63" t="s">
        <v>82</v>
      </c>
      <c r="G247" s="63">
        <v>1726060201</v>
      </c>
      <c r="H247" s="63">
        <v>26563652033646</v>
      </c>
      <c r="I247" s="63" t="s">
        <v>2550</v>
      </c>
      <c r="J247" s="63" t="s">
        <v>159</v>
      </c>
      <c r="K247" s="63" t="s">
        <v>64</v>
      </c>
      <c r="L247" s="63" t="s">
        <v>2551</v>
      </c>
      <c r="M247" s="63" t="s">
        <v>337</v>
      </c>
      <c r="N247" s="63" t="s">
        <v>338</v>
      </c>
      <c r="O247" s="63" t="s">
        <v>68</v>
      </c>
      <c r="P247" s="63" t="s">
        <v>69</v>
      </c>
      <c r="Q247" s="63">
        <v>8</v>
      </c>
      <c r="R247" s="63">
        <v>0</v>
      </c>
      <c r="S247" s="63" t="s">
        <v>70</v>
      </c>
      <c r="T247" s="63">
        <v>60.774000000000001</v>
      </c>
      <c r="U247" s="62">
        <v>46072.291666666664</v>
      </c>
      <c r="V247" s="63" t="s">
        <v>86</v>
      </c>
      <c r="W247" s="63">
        <v>632.54</v>
      </c>
      <c r="X247" s="63">
        <v>4000</v>
      </c>
      <c r="Y247" s="63" t="s">
        <v>2193</v>
      </c>
    </row>
    <row r="248" spans="1:25" hidden="1">
      <c r="A248" s="62">
        <v>46071.738611111112</v>
      </c>
      <c r="B248" s="63">
        <v>641518</v>
      </c>
      <c r="C248" s="63" t="s">
        <v>2346</v>
      </c>
      <c r="D248" s="63"/>
      <c r="E248" s="62">
        <v>46072.772939814815</v>
      </c>
      <c r="F248" s="63" t="s">
        <v>82</v>
      </c>
      <c r="G248" s="63">
        <v>1726060201</v>
      </c>
      <c r="H248" s="63">
        <v>26563652033646</v>
      </c>
      <c r="I248" s="63" t="s">
        <v>2550</v>
      </c>
      <c r="J248" s="63" t="s">
        <v>159</v>
      </c>
      <c r="K248" s="63" t="s">
        <v>64</v>
      </c>
      <c r="L248" s="63" t="s">
        <v>2551</v>
      </c>
      <c r="M248" s="63" t="s">
        <v>337</v>
      </c>
      <c r="N248" s="63" t="s">
        <v>338</v>
      </c>
      <c r="O248" s="63" t="s">
        <v>72</v>
      </c>
      <c r="P248" s="63" t="s">
        <v>73</v>
      </c>
      <c r="Q248" s="63">
        <v>2</v>
      </c>
      <c r="R248" s="63">
        <v>0</v>
      </c>
      <c r="S248" s="63" t="s">
        <v>70</v>
      </c>
      <c r="T248" s="63">
        <v>60.774000000000001</v>
      </c>
      <c r="U248" s="62">
        <v>46072.291666666664</v>
      </c>
      <c r="V248" s="63" t="s">
        <v>86</v>
      </c>
      <c r="W248" s="63">
        <v>632.54</v>
      </c>
      <c r="X248" s="63">
        <v>4000</v>
      </c>
      <c r="Y248" s="63" t="s">
        <v>2193</v>
      </c>
    </row>
    <row r="249" spans="1:25" hidden="1">
      <c r="A249" s="62">
        <v>46071.738611111112</v>
      </c>
      <c r="B249" s="63">
        <v>641518</v>
      </c>
      <c r="C249" s="63" t="s">
        <v>2346</v>
      </c>
      <c r="D249" s="63"/>
      <c r="E249" s="62">
        <v>46072.772939814815</v>
      </c>
      <c r="F249" s="63" t="s">
        <v>82</v>
      </c>
      <c r="G249" s="63">
        <v>1726060201</v>
      </c>
      <c r="H249" s="63">
        <v>26563652033646</v>
      </c>
      <c r="I249" s="63" t="s">
        <v>2550</v>
      </c>
      <c r="J249" s="63" t="s">
        <v>159</v>
      </c>
      <c r="K249" s="63" t="s">
        <v>64</v>
      </c>
      <c r="L249" s="63" t="s">
        <v>2551</v>
      </c>
      <c r="M249" s="63" t="s">
        <v>337</v>
      </c>
      <c r="N249" s="63" t="s">
        <v>338</v>
      </c>
      <c r="O249" s="63" t="s">
        <v>169</v>
      </c>
      <c r="P249" s="63" t="s">
        <v>170</v>
      </c>
      <c r="Q249" s="63">
        <v>1</v>
      </c>
      <c r="R249" s="63">
        <v>0</v>
      </c>
      <c r="S249" s="63" t="s">
        <v>76</v>
      </c>
      <c r="T249" s="63">
        <v>60.774000000000001</v>
      </c>
      <c r="U249" s="62">
        <v>46072.291666666664</v>
      </c>
      <c r="V249" s="63" t="s">
        <v>86</v>
      </c>
      <c r="W249" s="63">
        <v>632.54</v>
      </c>
      <c r="X249" s="63">
        <v>4000</v>
      </c>
      <c r="Y249" s="63" t="s">
        <v>2193</v>
      </c>
    </row>
    <row r="250" spans="1:25" hidden="1">
      <c r="A250" s="62">
        <v>46071.738611111112</v>
      </c>
      <c r="B250" s="63">
        <v>641518</v>
      </c>
      <c r="C250" s="63" t="s">
        <v>2346</v>
      </c>
      <c r="D250" s="63"/>
      <c r="E250" s="62">
        <v>46072.772951388892</v>
      </c>
      <c r="F250" s="63" t="s">
        <v>82</v>
      </c>
      <c r="G250" s="63">
        <v>1726170201</v>
      </c>
      <c r="H250" s="63">
        <v>26563652022440</v>
      </c>
      <c r="I250" s="63" t="s">
        <v>2363</v>
      </c>
      <c r="J250" s="63" t="s">
        <v>159</v>
      </c>
      <c r="K250" s="63" t="s">
        <v>64</v>
      </c>
      <c r="L250" s="63"/>
      <c r="M250" s="63" t="s">
        <v>2364</v>
      </c>
      <c r="N250" s="63" t="s">
        <v>338</v>
      </c>
      <c r="O250" s="63" t="s">
        <v>68</v>
      </c>
      <c r="P250" s="63" t="s">
        <v>69</v>
      </c>
      <c r="Q250" s="63">
        <v>8</v>
      </c>
      <c r="R250" s="63">
        <v>0</v>
      </c>
      <c r="S250" s="63" t="s">
        <v>70</v>
      </c>
      <c r="T250" s="63">
        <v>50.143999999999998</v>
      </c>
      <c r="U250" s="62">
        <v>46072.291666666664</v>
      </c>
      <c r="V250" s="63" t="s">
        <v>86</v>
      </c>
      <c r="W250" s="63">
        <v>371.54</v>
      </c>
      <c r="X250" s="63">
        <v>4000</v>
      </c>
      <c r="Y250" s="63" t="s">
        <v>2193</v>
      </c>
    </row>
    <row r="251" spans="1:25" hidden="1">
      <c r="A251" s="62">
        <v>46071.738611111112</v>
      </c>
      <c r="B251" s="63">
        <v>641518</v>
      </c>
      <c r="C251" s="63" t="s">
        <v>2346</v>
      </c>
      <c r="D251" s="63"/>
      <c r="E251" s="62">
        <v>46072.772951388892</v>
      </c>
      <c r="F251" s="63" t="s">
        <v>82</v>
      </c>
      <c r="G251" s="63">
        <v>1726170201</v>
      </c>
      <c r="H251" s="63">
        <v>26563652022440</v>
      </c>
      <c r="I251" s="63" t="s">
        <v>2363</v>
      </c>
      <c r="J251" s="63" t="s">
        <v>159</v>
      </c>
      <c r="K251" s="63" t="s">
        <v>64</v>
      </c>
      <c r="L251" s="63"/>
      <c r="M251" s="63" t="s">
        <v>2364</v>
      </c>
      <c r="N251" s="63" t="s">
        <v>338</v>
      </c>
      <c r="O251" s="63" t="s">
        <v>72</v>
      </c>
      <c r="P251" s="63" t="s">
        <v>73</v>
      </c>
      <c r="Q251" s="63">
        <v>2</v>
      </c>
      <c r="R251" s="63">
        <v>0</v>
      </c>
      <c r="S251" s="63" t="s">
        <v>70</v>
      </c>
      <c r="T251" s="63">
        <v>50.143999999999998</v>
      </c>
      <c r="U251" s="62">
        <v>46072.291666666664</v>
      </c>
      <c r="V251" s="63" t="s">
        <v>86</v>
      </c>
      <c r="W251" s="63">
        <v>371.54</v>
      </c>
      <c r="X251" s="63">
        <v>4000</v>
      </c>
      <c r="Y251" s="63" t="s">
        <v>2193</v>
      </c>
    </row>
    <row r="252" spans="1:25" hidden="1">
      <c r="A252" s="62">
        <v>46071.738611111112</v>
      </c>
      <c r="B252" s="63">
        <v>641518</v>
      </c>
      <c r="C252" s="63" t="s">
        <v>2346</v>
      </c>
      <c r="D252" s="63"/>
      <c r="E252" s="62">
        <v>46072.772962962961</v>
      </c>
      <c r="F252" s="63" t="s">
        <v>82</v>
      </c>
      <c r="G252" s="63">
        <v>1726390201</v>
      </c>
      <c r="H252" s="63">
        <v>26563652051385</v>
      </c>
      <c r="I252" s="63" t="s">
        <v>2350</v>
      </c>
      <c r="J252" s="63" t="s">
        <v>159</v>
      </c>
      <c r="K252" s="63" t="s">
        <v>64</v>
      </c>
      <c r="L252" s="63"/>
      <c r="M252" s="63" t="s">
        <v>2351</v>
      </c>
      <c r="N252" s="63" t="s">
        <v>338</v>
      </c>
      <c r="O252" s="63" t="s">
        <v>68</v>
      </c>
      <c r="P252" s="63" t="s">
        <v>69</v>
      </c>
      <c r="Q252" s="63">
        <v>6</v>
      </c>
      <c r="R252" s="63">
        <v>0</v>
      </c>
      <c r="S252" s="63" t="s">
        <v>70</v>
      </c>
      <c r="T252" s="63">
        <v>42.078000000000003</v>
      </c>
      <c r="U252" s="62">
        <v>46072.291666666664</v>
      </c>
      <c r="V252" s="63" t="s">
        <v>86</v>
      </c>
      <c r="W252" s="63">
        <v>520.54999999999995</v>
      </c>
      <c r="X252" s="63">
        <v>4000</v>
      </c>
      <c r="Y252" s="63" t="s">
        <v>2193</v>
      </c>
    </row>
    <row r="253" spans="1:25" hidden="1">
      <c r="A253" s="62">
        <v>46071.738611111112</v>
      </c>
      <c r="B253" s="63">
        <v>641518</v>
      </c>
      <c r="C253" s="63" t="s">
        <v>2346</v>
      </c>
      <c r="D253" s="63"/>
      <c r="E253" s="62">
        <v>46072.772962962961</v>
      </c>
      <c r="F253" s="63" t="s">
        <v>82</v>
      </c>
      <c r="G253" s="63">
        <v>1726390201</v>
      </c>
      <c r="H253" s="63">
        <v>26563652051385</v>
      </c>
      <c r="I253" s="63" t="s">
        <v>2350</v>
      </c>
      <c r="J253" s="63" t="s">
        <v>159</v>
      </c>
      <c r="K253" s="63" t="s">
        <v>64</v>
      </c>
      <c r="L253" s="63"/>
      <c r="M253" s="63" t="s">
        <v>2351</v>
      </c>
      <c r="N253" s="63" t="s">
        <v>338</v>
      </c>
      <c r="O253" s="63" t="s">
        <v>72</v>
      </c>
      <c r="P253" s="63" t="s">
        <v>73</v>
      </c>
      <c r="Q253" s="63">
        <v>1</v>
      </c>
      <c r="R253" s="63">
        <v>0</v>
      </c>
      <c r="S253" s="63" t="s">
        <v>70</v>
      </c>
      <c r="T253" s="63">
        <v>42.078000000000003</v>
      </c>
      <c r="U253" s="62">
        <v>46072.291666666664</v>
      </c>
      <c r="V253" s="63" t="s">
        <v>86</v>
      </c>
      <c r="W253" s="63">
        <v>520.54999999999995</v>
      </c>
      <c r="X253" s="63">
        <v>4000</v>
      </c>
      <c r="Y253" s="63" t="s">
        <v>2193</v>
      </c>
    </row>
    <row r="254" spans="1:25" hidden="1">
      <c r="A254" s="62">
        <v>46071.738611111112</v>
      </c>
      <c r="B254" s="63">
        <v>641518</v>
      </c>
      <c r="C254" s="63" t="s">
        <v>2346</v>
      </c>
      <c r="D254" s="63"/>
      <c r="E254" s="62">
        <v>46072.772962962961</v>
      </c>
      <c r="F254" s="63" t="s">
        <v>82</v>
      </c>
      <c r="G254" s="63">
        <v>1726390201</v>
      </c>
      <c r="H254" s="63">
        <v>26563652051385</v>
      </c>
      <c r="I254" s="63" t="s">
        <v>2350</v>
      </c>
      <c r="J254" s="63" t="s">
        <v>159</v>
      </c>
      <c r="K254" s="63" t="s">
        <v>64</v>
      </c>
      <c r="L254" s="63"/>
      <c r="M254" s="63" t="s">
        <v>2351</v>
      </c>
      <c r="N254" s="63" t="s">
        <v>338</v>
      </c>
      <c r="O254" s="63" t="s">
        <v>161</v>
      </c>
      <c r="P254" s="63" t="s">
        <v>162</v>
      </c>
      <c r="Q254" s="63">
        <v>1</v>
      </c>
      <c r="R254" s="63">
        <v>0</v>
      </c>
      <c r="S254" s="63" t="s">
        <v>76</v>
      </c>
      <c r="T254" s="63">
        <v>42.078000000000003</v>
      </c>
      <c r="U254" s="62">
        <v>46072.291666666664</v>
      </c>
      <c r="V254" s="63" t="s">
        <v>86</v>
      </c>
      <c r="W254" s="63">
        <v>520.54999999999995</v>
      </c>
      <c r="X254" s="63">
        <v>4000</v>
      </c>
      <c r="Y254" s="63" t="s">
        <v>2193</v>
      </c>
    </row>
    <row r="255" spans="1:25" hidden="1">
      <c r="A255" s="62">
        <v>46071.738611111112</v>
      </c>
      <c r="B255" s="63">
        <v>641518</v>
      </c>
      <c r="C255" s="63" t="s">
        <v>2346</v>
      </c>
      <c r="D255" s="63"/>
      <c r="E255" s="62">
        <v>46072.772974537038</v>
      </c>
      <c r="F255" s="63" t="s">
        <v>82</v>
      </c>
      <c r="G255" s="63">
        <v>1726610201</v>
      </c>
      <c r="H255" s="63">
        <v>26563652061267</v>
      </c>
      <c r="I255" s="63" t="s">
        <v>2552</v>
      </c>
      <c r="J255" s="63" t="s">
        <v>159</v>
      </c>
      <c r="K255" s="63" t="s">
        <v>64</v>
      </c>
      <c r="L255" s="63"/>
      <c r="M255" s="63" t="s">
        <v>160</v>
      </c>
      <c r="N255" s="63" t="s">
        <v>338</v>
      </c>
      <c r="O255" s="63" t="s">
        <v>68</v>
      </c>
      <c r="P255" s="63" t="s">
        <v>69</v>
      </c>
      <c r="Q255" s="63">
        <v>4</v>
      </c>
      <c r="R255" s="63">
        <v>0</v>
      </c>
      <c r="S255" s="63" t="s">
        <v>70</v>
      </c>
      <c r="T255" s="63">
        <v>30.071999999999999</v>
      </c>
      <c r="U255" s="62">
        <v>46072.291666666664</v>
      </c>
      <c r="V255" s="63" t="s">
        <v>86</v>
      </c>
      <c r="W255" s="63">
        <v>234.78</v>
      </c>
      <c r="X255" s="63">
        <v>4000</v>
      </c>
      <c r="Y255" s="63" t="s">
        <v>2193</v>
      </c>
    </row>
    <row r="256" spans="1:25" hidden="1">
      <c r="A256" s="62">
        <v>46071.738611111112</v>
      </c>
      <c r="B256" s="63">
        <v>641518</v>
      </c>
      <c r="C256" s="63" t="s">
        <v>2346</v>
      </c>
      <c r="D256" s="63"/>
      <c r="E256" s="62">
        <v>46072.772974537038</v>
      </c>
      <c r="F256" s="63" t="s">
        <v>82</v>
      </c>
      <c r="G256" s="63">
        <v>1726610201</v>
      </c>
      <c r="H256" s="63">
        <v>26563652061267</v>
      </c>
      <c r="I256" s="63" t="s">
        <v>2552</v>
      </c>
      <c r="J256" s="63" t="s">
        <v>159</v>
      </c>
      <c r="K256" s="63" t="s">
        <v>64</v>
      </c>
      <c r="L256" s="63"/>
      <c r="M256" s="63" t="s">
        <v>160</v>
      </c>
      <c r="N256" s="63" t="s">
        <v>338</v>
      </c>
      <c r="O256" s="63" t="s">
        <v>72</v>
      </c>
      <c r="P256" s="63" t="s">
        <v>73</v>
      </c>
      <c r="Q256" s="63">
        <v>2</v>
      </c>
      <c r="R256" s="63">
        <v>0</v>
      </c>
      <c r="S256" s="63" t="s">
        <v>70</v>
      </c>
      <c r="T256" s="63">
        <v>30.071999999999999</v>
      </c>
      <c r="U256" s="62">
        <v>46072.291666666664</v>
      </c>
      <c r="V256" s="63" t="s">
        <v>86</v>
      </c>
      <c r="W256" s="63">
        <v>234.78</v>
      </c>
      <c r="X256" s="63">
        <v>4000</v>
      </c>
      <c r="Y256" s="63" t="s">
        <v>2193</v>
      </c>
    </row>
    <row r="257" spans="1:25" hidden="1">
      <c r="A257" s="62">
        <v>46071.738611111112</v>
      </c>
      <c r="B257" s="63">
        <v>641519</v>
      </c>
      <c r="C257" s="63" t="s">
        <v>253</v>
      </c>
      <c r="D257" s="63"/>
      <c r="E257" s="62">
        <v>46072.772870370369</v>
      </c>
      <c r="F257" s="63" t="s">
        <v>276</v>
      </c>
      <c r="G257" s="63">
        <v>1721800201</v>
      </c>
      <c r="H257" s="63">
        <v>3205493001751</v>
      </c>
      <c r="I257" s="63" t="s">
        <v>2553</v>
      </c>
      <c r="J257" s="63" t="s">
        <v>2481</v>
      </c>
      <c r="K257" s="63" t="s">
        <v>64</v>
      </c>
      <c r="L257" s="63" t="s">
        <v>2554</v>
      </c>
      <c r="M257" s="63" t="s">
        <v>2555</v>
      </c>
      <c r="N257" s="63" t="s">
        <v>84</v>
      </c>
      <c r="O257" s="63" t="s">
        <v>115</v>
      </c>
      <c r="P257" s="63" t="s">
        <v>116</v>
      </c>
      <c r="Q257" s="63">
        <v>2</v>
      </c>
      <c r="R257" s="63">
        <v>0</v>
      </c>
      <c r="S257" s="63" t="s">
        <v>76</v>
      </c>
      <c r="T257" s="63">
        <v>31.92</v>
      </c>
      <c r="U257" s="62">
        <v>46072.291666666664</v>
      </c>
      <c r="V257" s="63" t="s">
        <v>86</v>
      </c>
      <c r="W257" s="63">
        <v>779.14</v>
      </c>
      <c r="X257" s="63">
        <v>4200</v>
      </c>
      <c r="Y257" s="63" t="s">
        <v>489</v>
      </c>
    </row>
    <row r="258" spans="1:25" hidden="1">
      <c r="A258" s="62">
        <v>46071.738611111112</v>
      </c>
      <c r="B258" s="63">
        <v>641519</v>
      </c>
      <c r="C258" s="63" t="s">
        <v>253</v>
      </c>
      <c r="D258" s="63"/>
      <c r="E258" s="62">
        <v>46072.772870370369</v>
      </c>
      <c r="F258" s="63" t="s">
        <v>276</v>
      </c>
      <c r="G258" s="63">
        <v>1721800201</v>
      </c>
      <c r="H258" s="63">
        <v>3205493001751</v>
      </c>
      <c r="I258" s="63" t="s">
        <v>2553</v>
      </c>
      <c r="J258" s="63" t="s">
        <v>2481</v>
      </c>
      <c r="K258" s="63" t="s">
        <v>64</v>
      </c>
      <c r="L258" s="63" t="s">
        <v>2554</v>
      </c>
      <c r="M258" s="63" t="s">
        <v>2555</v>
      </c>
      <c r="N258" s="63" t="s">
        <v>84</v>
      </c>
      <c r="O258" s="63" t="s">
        <v>117</v>
      </c>
      <c r="P258" s="63" t="s">
        <v>118</v>
      </c>
      <c r="Q258" s="63">
        <v>2</v>
      </c>
      <c r="R258" s="63">
        <v>0</v>
      </c>
      <c r="S258" s="63" t="s">
        <v>76</v>
      </c>
      <c r="T258" s="63">
        <v>31.92</v>
      </c>
      <c r="U258" s="62">
        <v>46072.291666666664</v>
      </c>
      <c r="V258" s="63" t="s">
        <v>86</v>
      </c>
      <c r="W258" s="63">
        <v>779.14</v>
      </c>
      <c r="X258" s="63">
        <v>4200</v>
      </c>
      <c r="Y258" s="63" t="s">
        <v>489</v>
      </c>
    </row>
    <row r="259" spans="1:25" hidden="1">
      <c r="A259" s="62">
        <v>46071.738611111112</v>
      </c>
      <c r="B259" s="63">
        <v>641519</v>
      </c>
      <c r="C259" s="63" t="s">
        <v>253</v>
      </c>
      <c r="D259" s="63"/>
      <c r="E259" s="62">
        <v>46072.772870370369</v>
      </c>
      <c r="F259" s="63" t="s">
        <v>276</v>
      </c>
      <c r="G259" s="63">
        <v>1721800201</v>
      </c>
      <c r="H259" s="63">
        <v>3205493001751</v>
      </c>
      <c r="I259" s="63" t="s">
        <v>2553</v>
      </c>
      <c r="J259" s="63" t="s">
        <v>2481</v>
      </c>
      <c r="K259" s="63" t="s">
        <v>64</v>
      </c>
      <c r="L259" s="63" t="s">
        <v>2554</v>
      </c>
      <c r="M259" s="63" t="s">
        <v>2555</v>
      </c>
      <c r="N259" s="63" t="s">
        <v>84</v>
      </c>
      <c r="O259" s="63" t="s">
        <v>125</v>
      </c>
      <c r="P259" s="63" t="s">
        <v>126</v>
      </c>
      <c r="Q259" s="63">
        <v>1</v>
      </c>
      <c r="R259" s="63">
        <v>0</v>
      </c>
      <c r="S259" s="63" t="s">
        <v>76</v>
      </c>
      <c r="T259" s="63">
        <v>31.92</v>
      </c>
      <c r="U259" s="62">
        <v>46072.291666666664</v>
      </c>
      <c r="V259" s="63" t="s">
        <v>86</v>
      </c>
      <c r="W259" s="63">
        <v>779.14</v>
      </c>
      <c r="X259" s="63">
        <v>4200</v>
      </c>
      <c r="Y259" s="63" t="s">
        <v>489</v>
      </c>
    </row>
    <row r="260" spans="1:25" hidden="1">
      <c r="A260" s="62">
        <v>46071.738611111112</v>
      </c>
      <c r="B260" s="63">
        <v>641519</v>
      </c>
      <c r="C260" s="63" t="s">
        <v>253</v>
      </c>
      <c r="D260" s="63"/>
      <c r="E260" s="62">
        <v>46072.772870370369</v>
      </c>
      <c r="F260" s="63" t="s">
        <v>276</v>
      </c>
      <c r="G260" s="63">
        <v>1721800201</v>
      </c>
      <c r="H260" s="63">
        <v>3205493001751</v>
      </c>
      <c r="I260" s="63" t="s">
        <v>2553</v>
      </c>
      <c r="J260" s="63" t="s">
        <v>2481</v>
      </c>
      <c r="K260" s="63" t="s">
        <v>64</v>
      </c>
      <c r="L260" s="63" t="s">
        <v>2554</v>
      </c>
      <c r="M260" s="63" t="s">
        <v>2555</v>
      </c>
      <c r="N260" s="63" t="s">
        <v>84</v>
      </c>
      <c r="O260" s="63" t="s">
        <v>87</v>
      </c>
      <c r="P260" s="63" t="s">
        <v>88</v>
      </c>
      <c r="Q260" s="63">
        <v>1</v>
      </c>
      <c r="R260" s="63">
        <v>0</v>
      </c>
      <c r="S260" s="63" t="s">
        <v>76</v>
      </c>
      <c r="T260" s="63">
        <v>31.92</v>
      </c>
      <c r="U260" s="62">
        <v>46072.291666666664</v>
      </c>
      <c r="V260" s="63" t="s">
        <v>86</v>
      </c>
      <c r="W260" s="63">
        <v>779.14</v>
      </c>
      <c r="X260" s="63">
        <v>4200</v>
      </c>
      <c r="Y260" s="63" t="s">
        <v>489</v>
      </c>
    </row>
    <row r="261" spans="1:25" hidden="1">
      <c r="A261" s="62">
        <v>46071.738611111112</v>
      </c>
      <c r="B261" s="63">
        <v>641519</v>
      </c>
      <c r="C261" s="63" t="s">
        <v>253</v>
      </c>
      <c r="D261" s="63"/>
      <c r="E261" s="62">
        <v>46072.772870370369</v>
      </c>
      <c r="F261" s="63" t="s">
        <v>276</v>
      </c>
      <c r="G261" s="63">
        <v>1721800201</v>
      </c>
      <c r="H261" s="63">
        <v>3205493001751</v>
      </c>
      <c r="I261" s="63" t="s">
        <v>2553</v>
      </c>
      <c r="J261" s="63" t="s">
        <v>2481</v>
      </c>
      <c r="K261" s="63" t="s">
        <v>64</v>
      </c>
      <c r="L261" s="63" t="s">
        <v>2554</v>
      </c>
      <c r="M261" s="63" t="s">
        <v>2555</v>
      </c>
      <c r="N261" s="63" t="s">
        <v>84</v>
      </c>
      <c r="O261" s="63" t="s">
        <v>77</v>
      </c>
      <c r="P261" s="63" t="s">
        <v>78</v>
      </c>
      <c r="Q261" s="63">
        <v>1</v>
      </c>
      <c r="R261" s="63">
        <v>0</v>
      </c>
      <c r="S261" s="63" t="s">
        <v>76</v>
      </c>
      <c r="T261" s="63">
        <v>31.92</v>
      </c>
      <c r="U261" s="62">
        <v>46072.291666666664</v>
      </c>
      <c r="V261" s="63" t="s">
        <v>86</v>
      </c>
      <c r="W261" s="63">
        <v>779.14</v>
      </c>
      <c r="X261" s="63">
        <v>4200</v>
      </c>
      <c r="Y261" s="63" t="s">
        <v>489</v>
      </c>
    </row>
    <row r="262" spans="1:25" hidden="1">
      <c r="A262" s="62">
        <v>46071.738611111112</v>
      </c>
      <c r="B262" s="63">
        <v>641519</v>
      </c>
      <c r="C262" s="63" t="s">
        <v>253</v>
      </c>
      <c r="D262" s="63"/>
      <c r="E262" s="62">
        <v>46072.772870370369</v>
      </c>
      <c r="F262" s="63" t="s">
        <v>276</v>
      </c>
      <c r="G262" s="63">
        <v>1722390201</v>
      </c>
      <c r="H262" s="63">
        <v>3205493001832</v>
      </c>
      <c r="I262" s="63" t="s">
        <v>2556</v>
      </c>
      <c r="J262" s="63" t="s">
        <v>2481</v>
      </c>
      <c r="K262" s="63" t="s">
        <v>64</v>
      </c>
      <c r="L262" s="63" t="s">
        <v>2557</v>
      </c>
      <c r="M262" s="63" t="s">
        <v>2483</v>
      </c>
      <c r="N262" s="63" t="s">
        <v>84</v>
      </c>
      <c r="O262" s="63" t="s">
        <v>77</v>
      </c>
      <c r="P262" s="63" t="s">
        <v>78</v>
      </c>
      <c r="Q262" s="63">
        <v>1</v>
      </c>
      <c r="R262" s="63">
        <v>0</v>
      </c>
      <c r="S262" s="63" t="s">
        <v>76</v>
      </c>
      <c r="T262" s="63">
        <v>4.96</v>
      </c>
      <c r="U262" s="62">
        <v>46072.291666666664</v>
      </c>
      <c r="V262" s="63" t="s">
        <v>86</v>
      </c>
      <c r="W262" s="63">
        <v>150</v>
      </c>
      <c r="X262" s="63">
        <v>4200</v>
      </c>
      <c r="Y262" s="63" t="s">
        <v>489</v>
      </c>
    </row>
    <row r="263" spans="1:25" hidden="1">
      <c r="A263" s="62">
        <v>46071.738611111112</v>
      </c>
      <c r="B263" s="63">
        <v>641519</v>
      </c>
      <c r="C263" s="63" t="s">
        <v>253</v>
      </c>
      <c r="D263" s="63"/>
      <c r="E263" s="62">
        <v>46072.772870370369</v>
      </c>
      <c r="F263" s="63" t="s">
        <v>276</v>
      </c>
      <c r="G263" s="63">
        <v>1725100201</v>
      </c>
      <c r="H263" s="63">
        <v>26563652058045</v>
      </c>
      <c r="I263" s="63" t="s">
        <v>2558</v>
      </c>
      <c r="J263" s="63" t="s">
        <v>159</v>
      </c>
      <c r="K263" s="63" t="s">
        <v>64</v>
      </c>
      <c r="L263" s="63" t="s">
        <v>2559</v>
      </c>
      <c r="M263" s="63" t="s">
        <v>255</v>
      </c>
      <c r="N263" s="63" t="s">
        <v>84</v>
      </c>
      <c r="O263" s="63" t="s">
        <v>68</v>
      </c>
      <c r="P263" s="63" t="s">
        <v>69</v>
      </c>
      <c r="Q263" s="63">
        <v>3</v>
      </c>
      <c r="R263" s="63">
        <v>0</v>
      </c>
      <c r="S263" s="63" t="s">
        <v>70</v>
      </c>
      <c r="T263" s="63">
        <v>25.234000000000002</v>
      </c>
      <c r="U263" s="62">
        <v>46072.291666666664</v>
      </c>
      <c r="V263" s="63" t="s">
        <v>86</v>
      </c>
      <c r="W263" s="63">
        <v>366.04</v>
      </c>
      <c r="X263" s="63">
        <v>4200</v>
      </c>
      <c r="Y263" s="63" t="s">
        <v>489</v>
      </c>
    </row>
    <row r="264" spans="1:25" hidden="1">
      <c r="A264" s="62">
        <v>46071.738611111112</v>
      </c>
      <c r="B264" s="63">
        <v>641519</v>
      </c>
      <c r="C264" s="63" t="s">
        <v>253</v>
      </c>
      <c r="D264" s="63"/>
      <c r="E264" s="62">
        <v>46072.772870370369</v>
      </c>
      <c r="F264" s="63" t="s">
        <v>276</v>
      </c>
      <c r="G264" s="63">
        <v>1725100201</v>
      </c>
      <c r="H264" s="63">
        <v>26563652058045</v>
      </c>
      <c r="I264" s="63" t="s">
        <v>2558</v>
      </c>
      <c r="J264" s="63" t="s">
        <v>159</v>
      </c>
      <c r="K264" s="63" t="s">
        <v>64</v>
      </c>
      <c r="L264" s="63" t="s">
        <v>2559</v>
      </c>
      <c r="M264" s="63" t="s">
        <v>255</v>
      </c>
      <c r="N264" s="63" t="s">
        <v>84</v>
      </c>
      <c r="O264" s="63" t="s">
        <v>74</v>
      </c>
      <c r="P264" s="63" t="s">
        <v>75</v>
      </c>
      <c r="Q264" s="63">
        <v>1</v>
      </c>
      <c r="R264" s="63">
        <v>0</v>
      </c>
      <c r="S264" s="63" t="s">
        <v>76</v>
      </c>
      <c r="T264" s="63">
        <v>25.234000000000002</v>
      </c>
      <c r="U264" s="62">
        <v>46072.291666666664</v>
      </c>
      <c r="V264" s="63" t="s">
        <v>86</v>
      </c>
      <c r="W264" s="63">
        <v>366.04</v>
      </c>
      <c r="X264" s="63">
        <v>4200</v>
      </c>
      <c r="Y264" s="63" t="s">
        <v>489</v>
      </c>
    </row>
    <row r="265" spans="1:25" hidden="1">
      <c r="A265" s="62">
        <v>46071.738611111112</v>
      </c>
      <c r="B265" s="63">
        <v>641519</v>
      </c>
      <c r="C265" s="63" t="s">
        <v>253</v>
      </c>
      <c r="D265" s="63"/>
      <c r="E265" s="62">
        <v>46072.772870370369</v>
      </c>
      <c r="F265" s="63" t="s">
        <v>276</v>
      </c>
      <c r="G265" s="63">
        <v>1725100201</v>
      </c>
      <c r="H265" s="63">
        <v>26563652058045</v>
      </c>
      <c r="I265" s="63" t="s">
        <v>2558</v>
      </c>
      <c r="J265" s="63" t="s">
        <v>159</v>
      </c>
      <c r="K265" s="63" t="s">
        <v>64</v>
      </c>
      <c r="L265" s="63" t="s">
        <v>2559</v>
      </c>
      <c r="M265" s="63" t="s">
        <v>255</v>
      </c>
      <c r="N265" s="63" t="s">
        <v>84</v>
      </c>
      <c r="O265" s="63" t="s">
        <v>175</v>
      </c>
      <c r="P265" s="63" t="s">
        <v>176</v>
      </c>
      <c r="Q265" s="63">
        <v>1</v>
      </c>
      <c r="R265" s="63">
        <v>0</v>
      </c>
      <c r="S265" s="63" t="s">
        <v>76</v>
      </c>
      <c r="T265" s="63">
        <v>25.234000000000002</v>
      </c>
      <c r="U265" s="62">
        <v>46072.291666666664</v>
      </c>
      <c r="V265" s="63" t="s">
        <v>86</v>
      </c>
      <c r="W265" s="63">
        <v>366.04</v>
      </c>
      <c r="X265" s="63">
        <v>4200</v>
      </c>
      <c r="Y265" s="63" t="s">
        <v>489</v>
      </c>
    </row>
    <row r="266" spans="1:25" hidden="1">
      <c r="A266" s="62">
        <v>46071.738611111112</v>
      </c>
      <c r="B266" s="63">
        <v>641519</v>
      </c>
      <c r="C266" s="63" t="s">
        <v>253</v>
      </c>
      <c r="D266" s="63"/>
      <c r="E266" s="62">
        <v>46072.772870370369</v>
      </c>
      <c r="F266" s="63" t="s">
        <v>276</v>
      </c>
      <c r="G266" s="63">
        <v>1725160201</v>
      </c>
      <c r="H266" s="63">
        <v>26563652069756</v>
      </c>
      <c r="I266" s="63" t="s">
        <v>2417</v>
      </c>
      <c r="J266" s="63" t="s">
        <v>159</v>
      </c>
      <c r="K266" s="63" t="s">
        <v>64</v>
      </c>
      <c r="L266" s="63"/>
      <c r="M266" s="63" t="s">
        <v>256</v>
      </c>
      <c r="N266" s="63" t="s">
        <v>84</v>
      </c>
      <c r="O266" s="63" t="s">
        <v>68</v>
      </c>
      <c r="P266" s="63" t="s">
        <v>69</v>
      </c>
      <c r="Q266" s="63">
        <v>6</v>
      </c>
      <c r="R266" s="63">
        <v>0</v>
      </c>
      <c r="S266" s="63" t="s">
        <v>70</v>
      </c>
      <c r="T266" s="63">
        <v>36.777999999999999</v>
      </c>
      <c r="U266" s="62">
        <v>46072.291666666664</v>
      </c>
      <c r="V266" s="63" t="s">
        <v>86</v>
      </c>
      <c r="W266" s="63">
        <v>371.55</v>
      </c>
      <c r="X266" s="63">
        <v>4200</v>
      </c>
      <c r="Y266" s="63" t="s">
        <v>489</v>
      </c>
    </row>
    <row r="267" spans="1:25" hidden="1">
      <c r="A267" s="62">
        <v>46071.738611111112</v>
      </c>
      <c r="B267" s="63">
        <v>641519</v>
      </c>
      <c r="C267" s="63" t="s">
        <v>253</v>
      </c>
      <c r="D267" s="63"/>
      <c r="E267" s="62">
        <v>46072.772870370369</v>
      </c>
      <c r="F267" s="63" t="s">
        <v>276</v>
      </c>
      <c r="G267" s="63">
        <v>1725160201</v>
      </c>
      <c r="H267" s="63">
        <v>26563652069756</v>
      </c>
      <c r="I267" s="63" t="s">
        <v>2417</v>
      </c>
      <c r="J267" s="63" t="s">
        <v>159</v>
      </c>
      <c r="K267" s="63" t="s">
        <v>64</v>
      </c>
      <c r="L267" s="63"/>
      <c r="M267" s="63" t="s">
        <v>256</v>
      </c>
      <c r="N267" s="63" t="s">
        <v>84</v>
      </c>
      <c r="O267" s="63" t="s">
        <v>72</v>
      </c>
      <c r="P267" s="63" t="s">
        <v>73</v>
      </c>
      <c r="Q267" s="63">
        <v>1</v>
      </c>
      <c r="R267" s="63">
        <v>0</v>
      </c>
      <c r="S267" s="63" t="s">
        <v>70</v>
      </c>
      <c r="T267" s="63">
        <v>36.777999999999999</v>
      </c>
      <c r="U267" s="62">
        <v>46072.291666666664</v>
      </c>
      <c r="V267" s="63" t="s">
        <v>86</v>
      </c>
      <c r="W267" s="63">
        <v>371.55</v>
      </c>
      <c r="X267" s="63">
        <v>4200</v>
      </c>
      <c r="Y267" s="63" t="s">
        <v>489</v>
      </c>
    </row>
    <row r="268" spans="1:25" hidden="1">
      <c r="A268" s="62">
        <v>46071.738611111112</v>
      </c>
      <c r="B268" s="63">
        <v>641519</v>
      </c>
      <c r="C268" s="63" t="s">
        <v>253</v>
      </c>
      <c r="D268" s="63"/>
      <c r="E268" s="62">
        <v>46072.772870370369</v>
      </c>
      <c r="F268" s="63" t="s">
        <v>276</v>
      </c>
      <c r="G268" s="63">
        <v>1725160201</v>
      </c>
      <c r="H268" s="63">
        <v>26563652069756</v>
      </c>
      <c r="I268" s="63" t="s">
        <v>2417</v>
      </c>
      <c r="J268" s="63" t="s">
        <v>159</v>
      </c>
      <c r="K268" s="63" t="s">
        <v>64</v>
      </c>
      <c r="L268" s="63"/>
      <c r="M268" s="63" t="s">
        <v>256</v>
      </c>
      <c r="N268" s="63" t="s">
        <v>84</v>
      </c>
      <c r="O268" s="63" t="s">
        <v>167</v>
      </c>
      <c r="P268" s="63" t="s">
        <v>168</v>
      </c>
      <c r="Q268" s="63">
        <v>1</v>
      </c>
      <c r="R268" s="63">
        <v>0</v>
      </c>
      <c r="S268" s="63" t="s">
        <v>76</v>
      </c>
      <c r="T268" s="63">
        <v>36.777999999999999</v>
      </c>
      <c r="U268" s="62">
        <v>46072.291666666664</v>
      </c>
      <c r="V268" s="63" t="s">
        <v>86</v>
      </c>
      <c r="W268" s="63">
        <v>371.55</v>
      </c>
      <c r="X268" s="63">
        <v>4200</v>
      </c>
      <c r="Y268" s="63" t="s">
        <v>489</v>
      </c>
    </row>
    <row r="269" spans="1:25" hidden="1">
      <c r="A269" s="62">
        <v>46071.738611111112</v>
      </c>
      <c r="B269" s="63">
        <v>641519</v>
      </c>
      <c r="C269" s="63" t="s">
        <v>253</v>
      </c>
      <c r="D269" s="63"/>
      <c r="E269" s="62">
        <v>46072.772881944446</v>
      </c>
      <c r="F269" s="63" t="s">
        <v>276</v>
      </c>
      <c r="G269" s="63">
        <v>1722480201</v>
      </c>
      <c r="H269" s="63">
        <v>3205493001328</v>
      </c>
      <c r="I269" s="63" t="s">
        <v>2560</v>
      </c>
      <c r="J269" s="63" t="s">
        <v>2481</v>
      </c>
      <c r="K269" s="63" t="s">
        <v>64</v>
      </c>
      <c r="L269" s="63" t="s">
        <v>2561</v>
      </c>
      <c r="M269" s="63" t="s">
        <v>2562</v>
      </c>
      <c r="N269" s="63" t="s">
        <v>84</v>
      </c>
      <c r="O269" s="63" t="s">
        <v>103</v>
      </c>
      <c r="P269" s="63" t="s">
        <v>104</v>
      </c>
      <c r="Q269" s="63">
        <v>1</v>
      </c>
      <c r="R269" s="63">
        <v>0</v>
      </c>
      <c r="S269" s="63" t="s">
        <v>76</v>
      </c>
      <c r="T269" s="63">
        <v>34</v>
      </c>
      <c r="U269" s="62">
        <v>46072.291666666664</v>
      </c>
      <c r="V269" s="63" t="s">
        <v>86</v>
      </c>
      <c r="W269" s="63">
        <v>941.04</v>
      </c>
      <c r="X269" s="63">
        <v>4200</v>
      </c>
      <c r="Y269" s="63" t="s">
        <v>489</v>
      </c>
    </row>
    <row r="270" spans="1:25" hidden="1">
      <c r="A270" s="62">
        <v>46071.738611111112</v>
      </c>
      <c r="B270" s="63">
        <v>641519</v>
      </c>
      <c r="C270" s="63" t="s">
        <v>253</v>
      </c>
      <c r="D270" s="63"/>
      <c r="E270" s="62">
        <v>46072.772881944446</v>
      </c>
      <c r="F270" s="63" t="s">
        <v>276</v>
      </c>
      <c r="G270" s="63">
        <v>1722480201</v>
      </c>
      <c r="H270" s="63">
        <v>3205493001328</v>
      </c>
      <c r="I270" s="63" t="s">
        <v>2560</v>
      </c>
      <c r="J270" s="63" t="s">
        <v>2481</v>
      </c>
      <c r="K270" s="63" t="s">
        <v>64</v>
      </c>
      <c r="L270" s="63" t="s">
        <v>2561</v>
      </c>
      <c r="M270" s="63" t="s">
        <v>2562</v>
      </c>
      <c r="N270" s="63" t="s">
        <v>84</v>
      </c>
      <c r="O270" s="63" t="s">
        <v>378</v>
      </c>
      <c r="P270" s="63" t="s">
        <v>379</v>
      </c>
      <c r="Q270" s="63">
        <v>1</v>
      </c>
      <c r="R270" s="63">
        <v>0</v>
      </c>
      <c r="S270" s="63" t="s">
        <v>76</v>
      </c>
      <c r="T270" s="63">
        <v>34</v>
      </c>
      <c r="U270" s="62">
        <v>46072.291666666664</v>
      </c>
      <c r="V270" s="63" t="s">
        <v>86</v>
      </c>
      <c r="W270" s="63">
        <v>941.04</v>
      </c>
      <c r="X270" s="63">
        <v>4200</v>
      </c>
      <c r="Y270" s="63" t="s">
        <v>489</v>
      </c>
    </row>
    <row r="271" spans="1:25" hidden="1">
      <c r="A271" s="62">
        <v>46071.738611111112</v>
      </c>
      <c r="B271" s="63">
        <v>641519</v>
      </c>
      <c r="C271" s="63" t="s">
        <v>253</v>
      </c>
      <c r="D271" s="63"/>
      <c r="E271" s="62">
        <v>46072.772881944446</v>
      </c>
      <c r="F271" s="63" t="s">
        <v>276</v>
      </c>
      <c r="G271" s="63">
        <v>1722480201</v>
      </c>
      <c r="H271" s="63">
        <v>3205493001328</v>
      </c>
      <c r="I271" s="63" t="s">
        <v>2560</v>
      </c>
      <c r="J271" s="63" t="s">
        <v>2481</v>
      </c>
      <c r="K271" s="63" t="s">
        <v>64</v>
      </c>
      <c r="L271" s="63" t="s">
        <v>2561</v>
      </c>
      <c r="M271" s="63" t="s">
        <v>2562</v>
      </c>
      <c r="N271" s="63" t="s">
        <v>84</v>
      </c>
      <c r="O271" s="63" t="s">
        <v>427</v>
      </c>
      <c r="P271" s="63" t="s">
        <v>428</v>
      </c>
      <c r="Q271" s="63">
        <v>1</v>
      </c>
      <c r="R271" s="63">
        <v>0</v>
      </c>
      <c r="S271" s="63" t="s">
        <v>76</v>
      </c>
      <c r="T271" s="63">
        <v>34</v>
      </c>
      <c r="U271" s="62">
        <v>46072.291666666664</v>
      </c>
      <c r="V271" s="63" t="s">
        <v>86</v>
      </c>
      <c r="W271" s="63">
        <v>941.04</v>
      </c>
      <c r="X271" s="63">
        <v>4200</v>
      </c>
      <c r="Y271" s="63" t="s">
        <v>489</v>
      </c>
    </row>
    <row r="272" spans="1:25" hidden="1">
      <c r="A272" s="62">
        <v>46071.738611111112</v>
      </c>
      <c r="B272" s="63">
        <v>641519</v>
      </c>
      <c r="C272" s="63" t="s">
        <v>253</v>
      </c>
      <c r="D272" s="63"/>
      <c r="E272" s="62">
        <v>46072.772893518515</v>
      </c>
      <c r="F272" s="63" t="s">
        <v>276</v>
      </c>
      <c r="G272" s="63">
        <v>1722640201</v>
      </c>
      <c r="H272" s="63">
        <v>71676316000570</v>
      </c>
      <c r="I272" s="63" t="s">
        <v>2563</v>
      </c>
      <c r="J272" s="63" t="s">
        <v>2228</v>
      </c>
      <c r="K272" s="63" t="s">
        <v>64</v>
      </c>
      <c r="L272" s="63" t="s">
        <v>2564</v>
      </c>
      <c r="M272" s="63" t="s">
        <v>2565</v>
      </c>
      <c r="N272" s="63" t="s">
        <v>84</v>
      </c>
      <c r="O272" s="63" t="s">
        <v>68</v>
      </c>
      <c r="P272" s="63" t="s">
        <v>69</v>
      </c>
      <c r="Q272" s="63">
        <v>220</v>
      </c>
      <c r="R272" s="63">
        <v>0</v>
      </c>
      <c r="S272" s="63" t="s">
        <v>70</v>
      </c>
      <c r="T272" s="63">
        <v>1264.585</v>
      </c>
      <c r="U272" s="62">
        <v>46072.291666666664</v>
      </c>
      <c r="V272" s="63" t="s">
        <v>86</v>
      </c>
      <c r="W272" s="63">
        <v>10685.13</v>
      </c>
      <c r="X272" s="63">
        <v>4200</v>
      </c>
      <c r="Y272" s="63" t="s">
        <v>489</v>
      </c>
    </row>
    <row r="273" spans="1:25" hidden="1">
      <c r="A273" s="62">
        <v>46071.738611111112</v>
      </c>
      <c r="B273" s="63">
        <v>641519</v>
      </c>
      <c r="C273" s="63" t="s">
        <v>253</v>
      </c>
      <c r="D273" s="63"/>
      <c r="E273" s="62">
        <v>46072.772893518515</v>
      </c>
      <c r="F273" s="63" t="s">
        <v>276</v>
      </c>
      <c r="G273" s="63">
        <v>1722640201</v>
      </c>
      <c r="H273" s="63">
        <v>71676316000570</v>
      </c>
      <c r="I273" s="63" t="s">
        <v>2563</v>
      </c>
      <c r="J273" s="63" t="s">
        <v>2228</v>
      </c>
      <c r="K273" s="63" t="s">
        <v>64</v>
      </c>
      <c r="L273" s="63" t="s">
        <v>2564</v>
      </c>
      <c r="M273" s="63" t="s">
        <v>2565</v>
      </c>
      <c r="N273" s="63" t="s">
        <v>84</v>
      </c>
      <c r="O273" s="63" t="s">
        <v>91</v>
      </c>
      <c r="P273" s="63" t="s">
        <v>92</v>
      </c>
      <c r="Q273" s="63">
        <v>10</v>
      </c>
      <c r="R273" s="63">
        <v>0</v>
      </c>
      <c r="S273" s="63" t="s">
        <v>70</v>
      </c>
      <c r="T273" s="63">
        <v>1264.585</v>
      </c>
      <c r="U273" s="62">
        <v>46072.291666666664</v>
      </c>
      <c r="V273" s="63" t="s">
        <v>86</v>
      </c>
      <c r="W273" s="63">
        <v>10685.13</v>
      </c>
      <c r="X273" s="63">
        <v>4200</v>
      </c>
      <c r="Y273" s="63" t="s">
        <v>489</v>
      </c>
    </row>
    <row r="274" spans="1:25" hidden="1">
      <c r="A274" s="62">
        <v>46071.738611111112</v>
      </c>
      <c r="B274" s="63">
        <v>641519</v>
      </c>
      <c r="C274" s="63" t="s">
        <v>253</v>
      </c>
      <c r="D274" s="63"/>
      <c r="E274" s="62">
        <v>46072.772893518515</v>
      </c>
      <c r="F274" s="63" t="s">
        <v>276</v>
      </c>
      <c r="G274" s="63">
        <v>1722640201</v>
      </c>
      <c r="H274" s="63">
        <v>71676316000570</v>
      </c>
      <c r="I274" s="63" t="s">
        <v>2563</v>
      </c>
      <c r="J274" s="63" t="s">
        <v>2228</v>
      </c>
      <c r="K274" s="63" t="s">
        <v>64</v>
      </c>
      <c r="L274" s="63" t="s">
        <v>2564</v>
      </c>
      <c r="M274" s="63" t="s">
        <v>2565</v>
      </c>
      <c r="N274" s="63" t="s">
        <v>84</v>
      </c>
      <c r="O274" s="63" t="s">
        <v>93</v>
      </c>
      <c r="P274" s="63" t="s">
        <v>94</v>
      </c>
      <c r="Q274" s="63">
        <v>7</v>
      </c>
      <c r="R274" s="63">
        <v>0</v>
      </c>
      <c r="S274" s="63" t="s">
        <v>70</v>
      </c>
      <c r="T274" s="63">
        <v>1264.585</v>
      </c>
      <c r="U274" s="62">
        <v>46072.291666666664</v>
      </c>
      <c r="V274" s="63" t="s">
        <v>86</v>
      </c>
      <c r="W274" s="63">
        <v>10685.13</v>
      </c>
      <c r="X274" s="63">
        <v>4200</v>
      </c>
      <c r="Y274" s="63" t="s">
        <v>489</v>
      </c>
    </row>
    <row r="275" spans="1:25" hidden="1">
      <c r="A275" s="62">
        <v>46071.738611111112</v>
      </c>
      <c r="B275" s="63">
        <v>641519</v>
      </c>
      <c r="C275" s="63" t="s">
        <v>253</v>
      </c>
      <c r="D275" s="63"/>
      <c r="E275" s="62">
        <v>46072.772893518515</v>
      </c>
      <c r="F275" s="63" t="s">
        <v>276</v>
      </c>
      <c r="G275" s="63">
        <v>1722640201</v>
      </c>
      <c r="H275" s="63">
        <v>71676316000570</v>
      </c>
      <c r="I275" s="63" t="s">
        <v>2563</v>
      </c>
      <c r="J275" s="63" t="s">
        <v>2228</v>
      </c>
      <c r="K275" s="63" t="s">
        <v>64</v>
      </c>
      <c r="L275" s="63" t="s">
        <v>2564</v>
      </c>
      <c r="M275" s="63" t="s">
        <v>2565</v>
      </c>
      <c r="N275" s="63" t="s">
        <v>84</v>
      </c>
      <c r="O275" s="63" t="s">
        <v>72</v>
      </c>
      <c r="P275" s="63" t="s">
        <v>73</v>
      </c>
      <c r="Q275" s="63">
        <v>7</v>
      </c>
      <c r="R275" s="63">
        <v>0</v>
      </c>
      <c r="S275" s="63" t="s">
        <v>70</v>
      </c>
      <c r="T275" s="63">
        <v>1264.585</v>
      </c>
      <c r="U275" s="62">
        <v>46072.291666666664</v>
      </c>
      <c r="V275" s="63" t="s">
        <v>86</v>
      </c>
      <c r="W275" s="63">
        <v>10685.13</v>
      </c>
      <c r="X275" s="63">
        <v>4200</v>
      </c>
      <c r="Y275" s="63" t="s">
        <v>489</v>
      </c>
    </row>
    <row r="276" spans="1:25" hidden="1">
      <c r="A276" s="62">
        <v>46071.738611111112</v>
      </c>
      <c r="B276" s="63">
        <v>641519</v>
      </c>
      <c r="C276" s="63" t="s">
        <v>253</v>
      </c>
      <c r="D276" s="63"/>
      <c r="E276" s="62">
        <v>46072.772893518515</v>
      </c>
      <c r="F276" s="63" t="s">
        <v>276</v>
      </c>
      <c r="G276" s="63">
        <v>1722640201</v>
      </c>
      <c r="H276" s="63">
        <v>71676316000570</v>
      </c>
      <c r="I276" s="63" t="s">
        <v>2563</v>
      </c>
      <c r="J276" s="63" t="s">
        <v>2228</v>
      </c>
      <c r="K276" s="63" t="s">
        <v>64</v>
      </c>
      <c r="L276" s="63" t="s">
        <v>2564</v>
      </c>
      <c r="M276" s="63" t="s">
        <v>2565</v>
      </c>
      <c r="N276" s="63" t="s">
        <v>84</v>
      </c>
      <c r="O276" s="63" t="s">
        <v>105</v>
      </c>
      <c r="P276" s="63" t="s">
        <v>106</v>
      </c>
      <c r="Q276" s="63">
        <v>10</v>
      </c>
      <c r="R276" s="63">
        <v>0</v>
      </c>
      <c r="S276" s="63" t="s">
        <v>76</v>
      </c>
      <c r="T276" s="63">
        <v>1264.585</v>
      </c>
      <c r="U276" s="62">
        <v>46072.291666666664</v>
      </c>
      <c r="V276" s="63" t="s">
        <v>86</v>
      </c>
      <c r="W276" s="63">
        <v>10685.13</v>
      </c>
      <c r="X276" s="63">
        <v>4200</v>
      </c>
      <c r="Y276" s="63" t="s">
        <v>489</v>
      </c>
    </row>
    <row r="277" spans="1:25" hidden="1">
      <c r="A277" s="62">
        <v>46071.738611111112</v>
      </c>
      <c r="B277" s="63">
        <v>641519</v>
      </c>
      <c r="C277" s="63" t="s">
        <v>253</v>
      </c>
      <c r="D277" s="63"/>
      <c r="E277" s="62">
        <v>46072.772893518515</v>
      </c>
      <c r="F277" s="63" t="s">
        <v>276</v>
      </c>
      <c r="G277" s="63">
        <v>1722640201</v>
      </c>
      <c r="H277" s="63">
        <v>71676316000570</v>
      </c>
      <c r="I277" s="63" t="s">
        <v>2563</v>
      </c>
      <c r="J277" s="63" t="s">
        <v>2228</v>
      </c>
      <c r="K277" s="63" t="s">
        <v>64</v>
      </c>
      <c r="L277" s="63" t="s">
        <v>2564</v>
      </c>
      <c r="M277" s="63" t="s">
        <v>2565</v>
      </c>
      <c r="N277" s="63" t="s">
        <v>84</v>
      </c>
      <c r="O277" s="63" t="s">
        <v>383</v>
      </c>
      <c r="P277" s="63" t="s">
        <v>384</v>
      </c>
      <c r="Q277" s="63">
        <v>5</v>
      </c>
      <c r="R277" s="63">
        <v>0</v>
      </c>
      <c r="S277" s="63" t="s">
        <v>70</v>
      </c>
      <c r="T277" s="63">
        <v>1264.585</v>
      </c>
      <c r="U277" s="62">
        <v>46072.291666666664</v>
      </c>
      <c r="V277" s="63" t="s">
        <v>86</v>
      </c>
      <c r="W277" s="63">
        <v>10685.13</v>
      </c>
      <c r="X277" s="63">
        <v>4200</v>
      </c>
      <c r="Y277" s="63" t="s">
        <v>489</v>
      </c>
    </row>
    <row r="278" spans="1:25" hidden="1">
      <c r="A278" s="62">
        <v>46071.738611111112</v>
      </c>
      <c r="B278" s="63">
        <v>641519</v>
      </c>
      <c r="C278" s="63" t="s">
        <v>253</v>
      </c>
      <c r="D278" s="63"/>
      <c r="E278" s="62">
        <v>46072.772951388892</v>
      </c>
      <c r="F278" s="63" t="s">
        <v>276</v>
      </c>
      <c r="G278" s="63">
        <v>1723910201</v>
      </c>
      <c r="H278" s="63">
        <v>26563652053329</v>
      </c>
      <c r="I278" s="63" t="s">
        <v>260</v>
      </c>
      <c r="J278" s="63" t="s">
        <v>159</v>
      </c>
      <c r="K278" s="63" t="s">
        <v>64</v>
      </c>
      <c r="L278" s="63"/>
      <c r="M278" s="63" t="s">
        <v>256</v>
      </c>
      <c r="N278" s="63" t="s">
        <v>84</v>
      </c>
      <c r="O278" s="63" t="s">
        <v>68</v>
      </c>
      <c r="P278" s="63" t="s">
        <v>69</v>
      </c>
      <c r="Q278" s="63">
        <v>9</v>
      </c>
      <c r="R278" s="63">
        <v>0</v>
      </c>
      <c r="S278" s="63" t="s">
        <v>70</v>
      </c>
      <c r="T278" s="63">
        <v>50.161999999999999</v>
      </c>
      <c r="U278" s="62">
        <v>46072.291666666664</v>
      </c>
      <c r="V278" s="63" t="s">
        <v>86</v>
      </c>
      <c r="W278" s="63">
        <v>356.72</v>
      </c>
      <c r="X278" s="63">
        <v>4200</v>
      </c>
      <c r="Y278" s="63" t="s">
        <v>489</v>
      </c>
    </row>
    <row r="279" spans="1:25" hidden="1">
      <c r="A279" s="62">
        <v>46071.738611111112</v>
      </c>
      <c r="B279" s="63">
        <v>641519</v>
      </c>
      <c r="C279" s="63" t="s">
        <v>253</v>
      </c>
      <c r="D279" s="63"/>
      <c r="E279" s="62">
        <v>46072.772951388892</v>
      </c>
      <c r="F279" s="63" t="s">
        <v>276</v>
      </c>
      <c r="G279" s="63">
        <v>1723910201</v>
      </c>
      <c r="H279" s="63">
        <v>26563652053329</v>
      </c>
      <c r="I279" s="63" t="s">
        <v>260</v>
      </c>
      <c r="J279" s="63" t="s">
        <v>159</v>
      </c>
      <c r="K279" s="63" t="s">
        <v>64</v>
      </c>
      <c r="L279" s="63"/>
      <c r="M279" s="63" t="s">
        <v>256</v>
      </c>
      <c r="N279" s="63" t="s">
        <v>84</v>
      </c>
      <c r="O279" s="63" t="s">
        <v>72</v>
      </c>
      <c r="P279" s="63" t="s">
        <v>73</v>
      </c>
      <c r="Q279" s="63">
        <v>1</v>
      </c>
      <c r="R279" s="63">
        <v>0</v>
      </c>
      <c r="S279" s="63" t="s">
        <v>70</v>
      </c>
      <c r="T279" s="63">
        <v>50.161999999999999</v>
      </c>
      <c r="U279" s="62">
        <v>46072.291666666664</v>
      </c>
      <c r="V279" s="63" t="s">
        <v>86</v>
      </c>
      <c r="W279" s="63">
        <v>356.72</v>
      </c>
      <c r="X279" s="63">
        <v>4200</v>
      </c>
      <c r="Y279" s="63" t="s">
        <v>489</v>
      </c>
    </row>
    <row r="280" spans="1:25" hidden="1">
      <c r="A280" s="62">
        <v>46071.738611111112</v>
      </c>
      <c r="B280" s="63">
        <v>641519</v>
      </c>
      <c r="C280" s="63" t="s">
        <v>253</v>
      </c>
      <c r="D280" s="63"/>
      <c r="E280" s="62">
        <v>46072.772951388892</v>
      </c>
      <c r="F280" s="63" t="s">
        <v>276</v>
      </c>
      <c r="G280" s="63">
        <v>1724010201</v>
      </c>
      <c r="H280" s="63">
        <v>26563652070681</v>
      </c>
      <c r="I280" s="63" t="s">
        <v>261</v>
      </c>
      <c r="J280" s="63" t="s">
        <v>159</v>
      </c>
      <c r="K280" s="63" t="s">
        <v>64</v>
      </c>
      <c r="L280" s="63"/>
      <c r="M280" s="63" t="s">
        <v>262</v>
      </c>
      <c r="N280" s="63" t="s">
        <v>84</v>
      </c>
      <c r="O280" s="63" t="s">
        <v>68</v>
      </c>
      <c r="P280" s="63" t="s">
        <v>69</v>
      </c>
      <c r="Q280" s="63">
        <v>11</v>
      </c>
      <c r="R280" s="63">
        <v>0</v>
      </c>
      <c r="S280" s="63" t="s">
        <v>70</v>
      </c>
      <c r="T280" s="63">
        <v>55.198</v>
      </c>
      <c r="U280" s="62">
        <v>46072.291666666664</v>
      </c>
      <c r="V280" s="63" t="s">
        <v>86</v>
      </c>
      <c r="W280" s="63">
        <v>376.09</v>
      </c>
      <c r="X280" s="63">
        <v>4200</v>
      </c>
      <c r="Y280" s="63" t="s">
        <v>489</v>
      </c>
    </row>
    <row r="281" spans="1:25" hidden="1">
      <c r="A281" s="62">
        <v>46071.738611111112</v>
      </c>
      <c r="B281" s="63">
        <v>641519</v>
      </c>
      <c r="C281" s="63" t="s">
        <v>253</v>
      </c>
      <c r="D281" s="63"/>
      <c r="E281" s="62">
        <v>46072.772962962961</v>
      </c>
      <c r="F281" s="63" t="s">
        <v>276</v>
      </c>
      <c r="G281" s="63">
        <v>1724350201</v>
      </c>
      <c r="H281" s="63">
        <v>26563652076531</v>
      </c>
      <c r="I281" s="63" t="s">
        <v>2386</v>
      </c>
      <c r="J281" s="63" t="s">
        <v>159</v>
      </c>
      <c r="K281" s="63" t="s">
        <v>64</v>
      </c>
      <c r="L281" s="63"/>
      <c r="M281" s="63" t="s">
        <v>2387</v>
      </c>
      <c r="N281" s="63" t="s">
        <v>84</v>
      </c>
      <c r="O281" s="63" t="s">
        <v>68</v>
      </c>
      <c r="P281" s="63" t="s">
        <v>69</v>
      </c>
      <c r="Q281" s="63">
        <v>5</v>
      </c>
      <c r="R281" s="63">
        <v>0</v>
      </c>
      <c r="S281" s="63" t="s">
        <v>70</v>
      </c>
      <c r="T281" s="63">
        <v>42.06</v>
      </c>
      <c r="U281" s="62">
        <v>46072.291666666664</v>
      </c>
      <c r="V281" s="63" t="s">
        <v>86</v>
      </c>
      <c r="W281" s="63">
        <v>612.07000000000005</v>
      </c>
      <c r="X281" s="63">
        <v>4200</v>
      </c>
      <c r="Y281" s="63" t="s">
        <v>489</v>
      </c>
    </row>
    <row r="282" spans="1:25" hidden="1">
      <c r="A282" s="62">
        <v>46071.738611111112</v>
      </c>
      <c r="B282" s="63">
        <v>641519</v>
      </c>
      <c r="C282" s="63" t="s">
        <v>253</v>
      </c>
      <c r="D282" s="63"/>
      <c r="E282" s="62">
        <v>46072.772962962961</v>
      </c>
      <c r="F282" s="63" t="s">
        <v>276</v>
      </c>
      <c r="G282" s="63">
        <v>1724350201</v>
      </c>
      <c r="H282" s="63">
        <v>26563652076531</v>
      </c>
      <c r="I282" s="63" t="s">
        <v>2386</v>
      </c>
      <c r="J282" s="63" t="s">
        <v>159</v>
      </c>
      <c r="K282" s="63" t="s">
        <v>64</v>
      </c>
      <c r="L282" s="63"/>
      <c r="M282" s="63" t="s">
        <v>2387</v>
      </c>
      <c r="N282" s="63" t="s">
        <v>84</v>
      </c>
      <c r="O282" s="63" t="s">
        <v>74</v>
      </c>
      <c r="P282" s="63" t="s">
        <v>75</v>
      </c>
      <c r="Q282" s="63">
        <v>1</v>
      </c>
      <c r="R282" s="63">
        <v>0</v>
      </c>
      <c r="S282" s="63" t="s">
        <v>76</v>
      </c>
      <c r="T282" s="63">
        <v>42.06</v>
      </c>
      <c r="U282" s="62">
        <v>46072.291666666664</v>
      </c>
      <c r="V282" s="63" t="s">
        <v>86</v>
      </c>
      <c r="W282" s="63">
        <v>612.07000000000005</v>
      </c>
      <c r="X282" s="63">
        <v>4200</v>
      </c>
      <c r="Y282" s="63" t="s">
        <v>489</v>
      </c>
    </row>
    <row r="283" spans="1:25" hidden="1">
      <c r="A283" s="62">
        <v>46071.738611111112</v>
      </c>
      <c r="B283" s="63">
        <v>641519</v>
      </c>
      <c r="C283" s="63" t="s">
        <v>253</v>
      </c>
      <c r="D283" s="63"/>
      <c r="E283" s="62">
        <v>46072.772962962961</v>
      </c>
      <c r="F283" s="63" t="s">
        <v>276</v>
      </c>
      <c r="G283" s="63">
        <v>1724350201</v>
      </c>
      <c r="H283" s="63">
        <v>26563652076531</v>
      </c>
      <c r="I283" s="63" t="s">
        <v>2386</v>
      </c>
      <c r="J283" s="63" t="s">
        <v>159</v>
      </c>
      <c r="K283" s="63" t="s">
        <v>64</v>
      </c>
      <c r="L283" s="63"/>
      <c r="M283" s="63" t="s">
        <v>2387</v>
      </c>
      <c r="N283" s="63" t="s">
        <v>84</v>
      </c>
      <c r="O283" s="63" t="s">
        <v>161</v>
      </c>
      <c r="P283" s="63" t="s">
        <v>162</v>
      </c>
      <c r="Q283" s="63">
        <v>1</v>
      </c>
      <c r="R283" s="63">
        <v>0</v>
      </c>
      <c r="S283" s="63" t="s">
        <v>76</v>
      </c>
      <c r="T283" s="63">
        <v>42.06</v>
      </c>
      <c r="U283" s="62">
        <v>46072.291666666664</v>
      </c>
      <c r="V283" s="63" t="s">
        <v>86</v>
      </c>
      <c r="W283" s="63">
        <v>612.07000000000005</v>
      </c>
      <c r="X283" s="63">
        <v>4200</v>
      </c>
      <c r="Y283" s="63" t="s">
        <v>489</v>
      </c>
    </row>
    <row r="284" spans="1:25" hidden="1">
      <c r="A284" s="62">
        <v>46071.738611111112</v>
      </c>
      <c r="B284" s="63">
        <v>641519</v>
      </c>
      <c r="C284" s="63" t="s">
        <v>253</v>
      </c>
      <c r="D284" s="63"/>
      <c r="E284" s="62">
        <v>46072.772974537038</v>
      </c>
      <c r="F284" s="63" t="s">
        <v>276</v>
      </c>
      <c r="G284" s="63">
        <v>1717240201</v>
      </c>
      <c r="H284" s="63">
        <v>26563652022873</v>
      </c>
      <c r="I284" s="63" t="s">
        <v>2566</v>
      </c>
      <c r="J284" s="63" t="s">
        <v>159</v>
      </c>
      <c r="K284" s="63" t="s">
        <v>64</v>
      </c>
      <c r="L284" s="63"/>
      <c r="M284" s="63" t="s">
        <v>256</v>
      </c>
      <c r="N284" s="63" t="s">
        <v>84</v>
      </c>
      <c r="O284" s="63" t="s">
        <v>68</v>
      </c>
      <c r="P284" s="63" t="s">
        <v>69</v>
      </c>
      <c r="Q284" s="63">
        <v>4</v>
      </c>
      <c r="R284" s="63">
        <v>0</v>
      </c>
      <c r="S284" s="63" t="s">
        <v>70</v>
      </c>
      <c r="T284" s="63">
        <v>47.911999999999999</v>
      </c>
      <c r="U284" s="62">
        <v>46072.291666666664</v>
      </c>
      <c r="V284" s="63" t="s">
        <v>86</v>
      </c>
      <c r="W284" s="63">
        <v>826.73</v>
      </c>
      <c r="X284" s="63">
        <v>4200</v>
      </c>
      <c r="Y284" s="63" t="s">
        <v>489</v>
      </c>
    </row>
    <row r="285" spans="1:25" hidden="1">
      <c r="A285" s="62">
        <v>46071.738611111112</v>
      </c>
      <c r="B285" s="63">
        <v>641519</v>
      </c>
      <c r="C285" s="63" t="s">
        <v>253</v>
      </c>
      <c r="D285" s="63"/>
      <c r="E285" s="62">
        <v>46072.772974537038</v>
      </c>
      <c r="F285" s="63" t="s">
        <v>276</v>
      </c>
      <c r="G285" s="63">
        <v>1717240201</v>
      </c>
      <c r="H285" s="63">
        <v>26563652022873</v>
      </c>
      <c r="I285" s="63" t="s">
        <v>2566</v>
      </c>
      <c r="J285" s="63" t="s">
        <v>159</v>
      </c>
      <c r="K285" s="63" t="s">
        <v>64</v>
      </c>
      <c r="L285" s="63"/>
      <c r="M285" s="63" t="s">
        <v>256</v>
      </c>
      <c r="N285" s="63" t="s">
        <v>84</v>
      </c>
      <c r="O285" s="63" t="s">
        <v>74</v>
      </c>
      <c r="P285" s="63" t="s">
        <v>75</v>
      </c>
      <c r="Q285" s="63">
        <v>1</v>
      </c>
      <c r="R285" s="63">
        <v>0</v>
      </c>
      <c r="S285" s="63" t="s">
        <v>76</v>
      </c>
      <c r="T285" s="63">
        <v>47.911999999999999</v>
      </c>
      <c r="U285" s="62">
        <v>46072.291666666664</v>
      </c>
      <c r="V285" s="63" t="s">
        <v>86</v>
      </c>
      <c r="W285" s="63">
        <v>826.73</v>
      </c>
      <c r="X285" s="63">
        <v>4200</v>
      </c>
      <c r="Y285" s="63" t="s">
        <v>489</v>
      </c>
    </row>
    <row r="286" spans="1:25" hidden="1">
      <c r="A286" s="62">
        <v>46071.738611111112</v>
      </c>
      <c r="B286" s="63">
        <v>641519</v>
      </c>
      <c r="C286" s="63" t="s">
        <v>253</v>
      </c>
      <c r="D286" s="63"/>
      <c r="E286" s="62">
        <v>46072.772974537038</v>
      </c>
      <c r="F286" s="63" t="s">
        <v>276</v>
      </c>
      <c r="G286" s="63">
        <v>1717240201</v>
      </c>
      <c r="H286" s="63">
        <v>26563652022873</v>
      </c>
      <c r="I286" s="63" t="s">
        <v>2566</v>
      </c>
      <c r="J286" s="63" t="s">
        <v>159</v>
      </c>
      <c r="K286" s="63" t="s">
        <v>64</v>
      </c>
      <c r="L286" s="63"/>
      <c r="M286" s="63" t="s">
        <v>256</v>
      </c>
      <c r="N286" s="63" t="s">
        <v>84</v>
      </c>
      <c r="O286" s="63" t="s">
        <v>169</v>
      </c>
      <c r="P286" s="63" t="s">
        <v>170</v>
      </c>
      <c r="Q286" s="63">
        <v>1</v>
      </c>
      <c r="R286" s="63">
        <v>0</v>
      </c>
      <c r="S286" s="63" t="s">
        <v>76</v>
      </c>
      <c r="T286" s="63">
        <v>47.911999999999999</v>
      </c>
      <c r="U286" s="62">
        <v>46072.291666666664</v>
      </c>
      <c r="V286" s="63" t="s">
        <v>86</v>
      </c>
      <c r="W286" s="63">
        <v>826.73</v>
      </c>
      <c r="X286" s="63">
        <v>4200</v>
      </c>
      <c r="Y286" s="63" t="s">
        <v>489</v>
      </c>
    </row>
    <row r="287" spans="1:25" hidden="1">
      <c r="A287" s="62">
        <v>46071.738611111112</v>
      </c>
      <c r="B287" s="63">
        <v>641519</v>
      </c>
      <c r="C287" s="63" t="s">
        <v>253</v>
      </c>
      <c r="D287" s="63"/>
      <c r="E287" s="62">
        <v>46072.772974537038</v>
      </c>
      <c r="F287" s="63" t="s">
        <v>276</v>
      </c>
      <c r="G287" s="63">
        <v>1717240201</v>
      </c>
      <c r="H287" s="63">
        <v>26563652022873</v>
      </c>
      <c r="I287" s="63" t="s">
        <v>2566</v>
      </c>
      <c r="J287" s="63" t="s">
        <v>159</v>
      </c>
      <c r="K287" s="63" t="s">
        <v>64</v>
      </c>
      <c r="L287" s="63"/>
      <c r="M287" s="63" t="s">
        <v>256</v>
      </c>
      <c r="N287" s="63" t="s">
        <v>84</v>
      </c>
      <c r="O287" s="63" t="s">
        <v>163</v>
      </c>
      <c r="P287" s="63" t="s">
        <v>164</v>
      </c>
      <c r="Q287" s="63">
        <v>1</v>
      </c>
      <c r="R287" s="63">
        <v>0</v>
      </c>
      <c r="S287" s="63" t="s">
        <v>76</v>
      </c>
      <c r="T287" s="63">
        <v>47.911999999999999</v>
      </c>
      <c r="U287" s="62">
        <v>46072.291666666664</v>
      </c>
      <c r="V287" s="63" t="s">
        <v>86</v>
      </c>
      <c r="W287" s="63">
        <v>826.73</v>
      </c>
      <c r="X287" s="63">
        <v>4200</v>
      </c>
      <c r="Y287" s="63" t="s">
        <v>489</v>
      </c>
    </row>
    <row r="288" spans="1:25" hidden="1">
      <c r="A288" s="62">
        <v>46071.738611111112</v>
      </c>
      <c r="B288" s="63">
        <v>641520</v>
      </c>
      <c r="C288" s="63" t="s">
        <v>179</v>
      </c>
      <c r="D288" s="63"/>
      <c r="E288" s="62">
        <v>46070.688240740739</v>
      </c>
      <c r="F288" s="63" t="s">
        <v>202</v>
      </c>
      <c r="G288" s="63">
        <v>1696570201</v>
      </c>
      <c r="H288" s="63">
        <v>26563652005600</v>
      </c>
      <c r="I288" s="63" t="s">
        <v>199</v>
      </c>
      <c r="J288" s="63" t="s">
        <v>159</v>
      </c>
      <c r="K288" s="63" t="s">
        <v>64</v>
      </c>
      <c r="L288" s="63" t="s">
        <v>200</v>
      </c>
      <c r="M288" s="63" t="s">
        <v>188</v>
      </c>
      <c r="N288" s="63" t="s">
        <v>84</v>
      </c>
      <c r="O288" s="63" t="s">
        <v>68</v>
      </c>
      <c r="P288" s="63" t="s">
        <v>69</v>
      </c>
      <c r="Q288" s="63">
        <v>11</v>
      </c>
      <c r="R288" s="63">
        <v>36</v>
      </c>
      <c r="S288" s="63" t="s">
        <v>70</v>
      </c>
      <c r="T288" s="63">
        <v>108.988</v>
      </c>
      <c r="U288" s="62">
        <v>46072.291666666664</v>
      </c>
      <c r="V288" s="63" t="s">
        <v>86</v>
      </c>
      <c r="W288" s="63">
        <v>3491.64</v>
      </c>
      <c r="X288" s="63">
        <v>4200</v>
      </c>
      <c r="Y288" s="63" t="s">
        <v>515</v>
      </c>
    </row>
    <row r="289" spans="1:25" hidden="1">
      <c r="A289" s="62">
        <v>46071.738611111112</v>
      </c>
      <c r="B289" s="63">
        <v>641520</v>
      </c>
      <c r="C289" s="63" t="s">
        <v>179</v>
      </c>
      <c r="D289" s="63"/>
      <c r="E289" s="62">
        <v>46070.688240740739</v>
      </c>
      <c r="F289" s="63" t="s">
        <v>202</v>
      </c>
      <c r="G289" s="63">
        <v>1696570201</v>
      </c>
      <c r="H289" s="63">
        <v>26563652005600</v>
      </c>
      <c r="I289" s="63" t="s">
        <v>199</v>
      </c>
      <c r="J289" s="63" t="s">
        <v>159</v>
      </c>
      <c r="K289" s="63" t="s">
        <v>64</v>
      </c>
      <c r="L289" s="63" t="s">
        <v>200</v>
      </c>
      <c r="M289" s="63" t="s">
        <v>188</v>
      </c>
      <c r="N289" s="63" t="s">
        <v>84</v>
      </c>
      <c r="O289" s="63" t="s">
        <v>161</v>
      </c>
      <c r="P289" s="63" t="s">
        <v>162</v>
      </c>
      <c r="Q289" s="63">
        <v>1</v>
      </c>
      <c r="R289" s="63">
        <v>36</v>
      </c>
      <c r="S289" s="63" t="s">
        <v>76</v>
      </c>
      <c r="T289" s="63">
        <v>108.988</v>
      </c>
      <c r="U289" s="62">
        <v>46072.291666666664</v>
      </c>
      <c r="V289" s="63" t="s">
        <v>86</v>
      </c>
      <c r="W289" s="63">
        <v>3491.64</v>
      </c>
      <c r="X289" s="63">
        <v>4200</v>
      </c>
      <c r="Y289" s="63" t="s">
        <v>515</v>
      </c>
    </row>
    <row r="290" spans="1:25" hidden="1">
      <c r="A290" s="62">
        <v>46071.738611111112</v>
      </c>
      <c r="B290" s="63">
        <v>641520</v>
      </c>
      <c r="C290" s="63" t="s">
        <v>179</v>
      </c>
      <c r="D290" s="63"/>
      <c r="E290" s="62">
        <v>46070.688240740739</v>
      </c>
      <c r="F290" s="63" t="s">
        <v>202</v>
      </c>
      <c r="G290" s="63">
        <v>1696570201</v>
      </c>
      <c r="H290" s="63">
        <v>26563652005600</v>
      </c>
      <c r="I290" s="63" t="s">
        <v>199</v>
      </c>
      <c r="J290" s="63" t="s">
        <v>159</v>
      </c>
      <c r="K290" s="63" t="s">
        <v>64</v>
      </c>
      <c r="L290" s="63" t="s">
        <v>200</v>
      </c>
      <c r="M290" s="63" t="s">
        <v>188</v>
      </c>
      <c r="N290" s="63" t="s">
        <v>84</v>
      </c>
      <c r="O290" s="63" t="s">
        <v>163</v>
      </c>
      <c r="P290" s="63" t="s">
        <v>164</v>
      </c>
      <c r="Q290" s="63">
        <v>1</v>
      </c>
      <c r="R290" s="63">
        <v>36</v>
      </c>
      <c r="S290" s="63" t="s">
        <v>76</v>
      </c>
      <c r="T290" s="63">
        <v>108.988</v>
      </c>
      <c r="U290" s="62">
        <v>46072.291666666664</v>
      </c>
      <c r="V290" s="63" t="s">
        <v>86</v>
      </c>
      <c r="W290" s="63">
        <v>3491.64</v>
      </c>
      <c r="X290" s="63">
        <v>4200</v>
      </c>
      <c r="Y290" s="63" t="s">
        <v>515</v>
      </c>
    </row>
    <row r="291" spans="1:25" hidden="1">
      <c r="A291" s="62">
        <v>46071.738611111112</v>
      </c>
      <c r="B291" s="63">
        <v>641520</v>
      </c>
      <c r="C291" s="63" t="s">
        <v>179</v>
      </c>
      <c r="D291" s="63"/>
      <c r="E291" s="62">
        <v>46070.688240740739</v>
      </c>
      <c r="F291" s="63" t="s">
        <v>202</v>
      </c>
      <c r="G291" s="63">
        <v>1696570201</v>
      </c>
      <c r="H291" s="63">
        <v>26563652005600</v>
      </c>
      <c r="I291" s="63" t="s">
        <v>199</v>
      </c>
      <c r="J291" s="63" t="s">
        <v>159</v>
      </c>
      <c r="K291" s="63" t="s">
        <v>64</v>
      </c>
      <c r="L291" s="63" t="s">
        <v>200</v>
      </c>
      <c r="M291" s="63" t="s">
        <v>188</v>
      </c>
      <c r="N291" s="63" t="s">
        <v>84</v>
      </c>
      <c r="O291" s="63" t="s">
        <v>171</v>
      </c>
      <c r="P291" s="63" t="s">
        <v>172</v>
      </c>
      <c r="Q291" s="63">
        <v>11</v>
      </c>
      <c r="R291" s="63">
        <v>36</v>
      </c>
      <c r="S291" s="63" t="s">
        <v>76</v>
      </c>
      <c r="T291" s="63">
        <v>108.988</v>
      </c>
      <c r="U291" s="62">
        <v>46072.291666666664</v>
      </c>
      <c r="V291" s="63" t="s">
        <v>86</v>
      </c>
      <c r="W291" s="63">
        <v>3491.64</v>
      </c>
      <c r="X291" s="63">
        <v>4200</v>
      </c>
      <c r="Y291" s="63" t="s">
        <v>515</v>
      </c>
    </row>
    <row r="292" spans="1:25" hidden="1">
      <c r="A292" s="62">
        <v>46071.738611111112</v>
      </c>
      <c r="B292" s="63">
        <v>641520</v>
      </c>
      <c r="C292" s="63" t="s">
        <v>179</v>
      </c>
      <c r="D292" s="63"/>
      <c r="E292" s="62">
        <v>46070.688240740739</v>
      </c>
      <c r="F292" s="63" t="s">
        <v>202</v>
      </c>
      <c r="G292" s="63">
        <v>1696570201</v>
      </c>
      <c r="H292" s="63">
        <v>26563652005600</v>
      </c>
      <c r="I292" s="63" t="s">
        <v>199</v>
      </c>
      <c r="J292" s="63" t="s">
        <v>159</v>
      </c>
      <c r="K292" s="63" t="s">
        <v>64</v>
      </c>
      <c r="L292" s="63" t="s">
        <v>200</v>
      </c>
      <c r="M292" s="63" t="s">
        <v>188</v>
      </c>
      <c r="N292" s="63" t="s">
        <v>84</v>
      </c>
      <c r="O292" s="63" t="s">
        <v>167</v>
      </c>
      <c r="P292" s="63" t="s">
        <v>168</v>
      </c>
      <c r="Q292" s="63">
        <v>11</v>
      </c>
      <c r="R292" s="63">
        <v>36</v>
      </c>
      <c r="S292" s="63" t="s">
        <v>76</v>
      </c>
      <c r="T292" s="63">
        <v>108.988</v>
      </c>
      <c r="U292" s="62">
        <v>46072.291666666664</v>
      </c>
      <c r="V292" s="63" t="s">
        <v>86</v>
      </c>
      <c r="W292" s="63">
        <v>3491.64</v>
      </c>
      <c r="X292" s="63">
        <v>4200</v>
      </c>
      <c r="Y292" s="63" t="s">
        <v>515</v>
      </c>
    </row>
    <row r="293" spans="1:25" hidden="1">
      <c r="A293" s="62">
        <v>46071.738611111112</v>
      </c>
      <c r="B293" s="63">
        <v>641520</v>
      </c>
      <c r="C293" s="63" t="s">
        <v>179</v>
      </c>
      <c r="D293" s="63"/>
      <c r="E293" s="62">
        <v>46070.907986111109</v>
      </c>
      <c r="F293" s="63" t="s">
        <v>202</v>
      </c>
      <c r="G293" s="63">
        <v>1709380201</v>
      </c>
      <c r="H293" s="63">
        <v>26563652012487</v>
      </c>
      <c r="I293" s="63" t="s">
        <v>222</v>
      </c>
      <c r="J293" s="63" t="s">
        <v>159</v>
      </c>
      <c r="K293" s="63" t="s">
        <v>64</v>
      </c>
      <c r="L293" s="63"/>
      <c r="M293" s="63" t="s">
        <v>223</v>
      </c>
      <c r="N293" s="63" t="s">
        <v>84</v>
      </c>
      <c r="O293" s="63" t="s">
        <v>68</v>
      </c>
      <c r="P293" s="63" t="s">
        <v>69</v>
      </c>
      <c r="Q293" s="63">
        <v>12</v>
      </c>
      <c r="R293" s="63">
        <v>15</v>
      </c>
      <c r="S293" s="63" t="s">
        <v>70</v>
      </c>
      <c r="T293" s="63">
        <v>80.215999999999994</v>
      </c>
      <c r="U293" s="62">
        <v>46072.291666666664</v>
      </c>
      <c r="V293" s="63" t="s">
        <v>86</v>
      </c>
      <c r="W293" s="63">
        <v>683.02</v>
      </c>
      <c r="X293" s="63">
        <v>4200</v>
      </c>
      <c r="Y293" s="63" t="s">
        <v>515</v>
      </c>
    </row>
    <row r="294" spans="1:25" hidden="1">
      <c r="A294" s="62">
        <v>46071.738611111112</v>
      </c>
      <c r="B294" s="63">
        <v>641520</v>
      </c>
      <c r="C294" s="63" t="s">
        <v>179</v>
      </c>
      <c r="D294" s="63"/>
      <c r="E294" s="62">
        <v>46070.907986111109</v>
      </c>
      <c r="F294" s="63" t="s">
        <v>202</v>
      </c>
      <c r="G294" s="63">
        <v>1709380201</v>
      </c>
      <c r="H294" s="63">
        <v>26563652012487</v>
      </c>
      <c r="I294" s="63" t="s">
        <v>222</v>
      </c>
      <c r="J294" s="63" t="s">
        <v>159</v>
      </c>
      <c r="K294" s="63" t="s">
        <v>64</v>
      </c>
      <c r="L294" s="63"/>
      <c r="M294" s="63" t="s">
        <v>223</v>
      </c>
      <c r="N294" s="63" t="s">
        <v>84</v>
      </c>
      <c r="O294" s="63" t="s">
        <v>72</v>
      </c>
      <c r="P294" s="63" t="s">
        <v>73</v>
      </c>
      <c r="Q294" s="63">
        <v>2</v>
      </c>
      <c r="R294" s="63">
        <v>15</v>
      </c>
      <c r="S294" s="63" t="s">
        <v>70</v>
      </c>
      <c r="T294" s="63">
        <v>80.215999999999994</v>
      </c>
      <c r="U294" s="62">
        <v>46072.291666666664</v>
      </c>
      <c r="V294" s="63" t="s">
        <v>86</v>
      </c>
      <c r="W294" s="63">
        <v>683.02</v>
      </c>
      <c r="X294" s="63">
        <v>4200</v>
      </c>
      <c r="Y294" s="63" t="s">
        <v>515</v>
      </c>
    </row>
    <row r="295" spans="1:25" hidden="1">
      <c r="A295" s="62">
        <v>46071.738611111112</v>
      </c>
      <c r="B295" s="63">
        <v>641520</v>
      </c>
      <c r="C295" s="63" t="s">
        <v>179</v>
      </c>
      <c r="D295" s="63"/>
      <c r="E295" s="62">
        <v>46070.907986111109</v>
      </c>
      <c r="F295" s="63" t="s">
        <v>202</v>
      </c>
      <c r="G295" s="63">
        <v>1709380201</v>
      </c>
      <c r="H295" s="63">
        <v>26563652012487</v>
      </c>
      <c r="I295" s="63" t="s">
        <v>222</v>
      </c>
      <c r="J295" s="63" t="s">
        <v>159</v>
      </c>
      <c r="K295" s="63" t="s">
        <v>64</v>
      </c>
      <c r="L295" s="63"/>
      <c r="M295" s="63" t="s">
        <v>223</v>
      </c>
      <c r="N295" s="63" t="s">
        <v>84</v>
      </c>
      <c r="O295" s="63" t="s">
        <v>74</v>
      </c>
      <c r="P295" s="63" t="s">
        <v>75</v>
      </c>
      <c r="Q295" s="63">
        <v>1</v>
      </c>
      <c r="R295" s="63">
        <v>15</v>
      </c>
      <c r="S295" s="63" t="s">
        <v>76</v>
      </c>
      <c r="T295" s="63">
        <v>80.215999999999994</v>
      </c>
      <c r="U295" s="62">
        <v>46072.291666666664</v>
      </c>
      <c r="V295" s="63" t="s">
        <v>86</v>
      </c>
      <c r="W295" s="63">
        <v>683.02</v>
      </c>
      <c r="X295" s="63">
        <v>4200</v>
      </c>
      <c r="Y295" s="63" t="s">
        <v>515</v>
      </c>
    </row>
    <row r="296" spans="1:25" hidden="1">
      <c r="A296" s="62">
        <v>46071.738611111112</v>
      </c>
      <c r="B296" s="63">
        <v>641520</v>
      </c>
      <c r="C296" s="63" t="s">
        <v>179</v>
      </c>
      <c r="D296" s="63"/>
      <c r="E296" s="62">
        <v>46072.772847222222</v>
      </c>
      <c r="F296" s="63" t="s">
        <v>202</v>
      </c>
      <c r="G296" s="63">
        <v>1720410201</v>
      </c>
      <c r="H296" s="63">
        <v>47508411133466</v>
      </c>
      <c r="I296" s="63" t="s">
        <v>2567</v>
      </c>
      <c r="J296" s="63" t="s">
        <v>181</v>
      </c>
      <c r="K296" s="63" t="s">
        <v>64</v>
      </c>
      <c r="L296" s="63" t="s">
        <v>2568</v>
      </c>
      <c r="M296" s="63" t="s">
        <v>279</v>
      </c>
      <c r="N296" s="63" t="s">
        <v>84</v>
      </c>
      <c r="O296" s="63" t="s">
        <v>68</v>
      </c>
      <c r="P296" s="63" t="s">
        <v>69</v>
      </c>
      <c r="Q296" s="63">
        <v>10</v>
      </c>
      <c r="R296" s="63">
        <v>0</v>
      </c>
      <c r="S296" s="63" t="s">
        <v>70</v>
      </c>
      <c r="T296" s="63">
        <v>85.18</v>
      </c>
      <c r="U296" s="62">
        <v>46072.291666666664</v>
      </c>
      <c r="V296" s="63" t="s">
        <v>86</v>
      </c>
      <c r="W296" s="63">
        <v>638.04</v>
      </c>
      <c r="X296" s="63">
        <v>4200</v>
      </c>
      <c r="Y296" s="63" t="s">
        <v>515</v>
      </c>
    </row>
    <row r="297" spans="1:25" hidden="1">
      <c r="A297" s="62">
        <v>46071.738611111112</v>
      </c>
      <c r="B297" s="63">
        <v>641520</v>
      </c>
      <c r="C297" s="63" t="s">
        <v>179</v>
      </c>
      <c r="D297" s="63"/>
      <c r="E297" s="62">
        <v>46072.772847222222</v>
      </c>
      <c r="F297" s="63" t="s">
        <v>202</v>
      </c>
      <c r="G297" s="63">
        <v>1720410201</v>
      </c>
      <c r="H297" s="63">
        <v>47508411133466</v>
      </c>
      <c r="I297" s="63" t="s">
        <v>2567</v>
      </c>
      <c r="J297" s="63" t="s">
        <v>181</v>
      </c>
      <c r="K297" s="63" t="s">
        <v>64</v>
      </c>
      <c r="L297" s="63" t="s">
        <v>2568</v>
      </c>
      <c r="M297" s="63" t="s">
        <v>279</v>
      </c>
      <c r="N297" s="63" t="s">
        <v>84</v>
      </c>
      <c r="O297" s="63" t="s">
        <v>91</v>
      </c>
      <c r="P297" s="63" t="s">
        <v>92</v>
      </c>
      <c r="Q297" s="63">
        <v>2</v>
      </c>
      <c r="R297" s="63">
        <v>0</v>
      </c>
      <c r="S297" s="63" t="s">
        <v>70</v>
      </c>
      <c r="T297" s="63">
        <v>85.18</v>
      </c>
      <c r="U297" s="62">
        <v>46072.291666666664</v>
      </c>
      <c r="V297" s="63" t="s">
        <v>86</v>
      </c>
      <c r="W297" s="63">
        <v>638.04</v>
      </c>
      <c r="X297" s="63">
        <v>4200</v>
      </c>
      <c r="Y297" s="63" t="s">
        <v>515</v>
      </c>
    </row>
    <row r="298" spans="1:25" hidden="1">
      <c r="A298" s="62">
        <v>46071.738611111112</v>
      </c>
      <c r="B298" s="63">
        <v>641520</v>
      </c>
      <c r="C298" s="63" t="s">
        <v>179</v>
      </c>
      <c r="D298" s="63"/>
      <c r="E298" s="62">
        <v>46072.772847222222</v>
      </c>
      <c r="F298" s="63" t="s">
        <v>202</v>
      </c>
      <c r="G298" s="63">
        <v>1720410201</v>
      </c>
      <c r="H298" s="63">
        <v>47508411133466</v>
      </c>
      <c r="I298" s="63" t="s">
        <v>2567</v>
      </c>
      <c r="J298" s="63" t="s">
        <v>181</v>
      </c>
      <c r="K298" s="63" t="s">
        <v>64</v>
      </c>
      <c r="L298" s="63" t="s">
        <v>2568</v>
      </c>
      <c r="M298" s="63" t="s">
        <v>279</v>
      </c>
      <c r="N298" s="63" t="s">
        <v>84</v>
      </c>
      <c r="O298" s="63" t="s">
        <v>93</v>
      </c>
      <c r="P298" s="63" t="s">
        <v>94</v>
      </c>
      <c r="Q298" s="63">
        <v>5</v>
      </c>
      <c r="R298" s="63">
        <v>0</v>
      </c>
      <c r="S298" s="63" t="s">
        <v>70</v>
      </c>
      <c r="T298" s="63">
        <v>85.18</v>
      </c>
      <c r="U298" s="62">
        <v>46072.291666666664</v>
      </c>
      <c r="V298" s="63" t="s">
        <v>86</v>
      </c>
      <c r="W298" s="63">
        <v>638.04</v>
      </c>
      <c r="X298" s="63">
        <v>4200</v>
      </c>
      <c r="Y298" s="63" t="s">
        <v>515</v>
      </c>
    </row>
    <row r="299" spans="1:25">
      <c r="A299" s="62">
        <v>46071.738611111112</v>
      </c>
      <c r="B299" s="63">
        <v>641520</v>
      </c>
      <c r="C299" s="63" t="s">
        <v>179</v>
      </c>
      <c r="D299" s="63"/>
      <c r="E299" s="62">
        <v>46072.772847222222</v>
      </c>
      <c r="F299" s="63" t="s">
        <v>202</v>
      </c>
      <c r="G299" s="63">
        <v>1720420201</v>
      </c>
      <c r="H299" s="63">
        <v>47508411133466</v>
      </c>
      <c r="I299" s="63" t="s">
        <v>2567</v>
      </c>
      <c r="J299" s="63" t="s">
        <v>181</v>
      </c>
      <c r="K299" s="63" t="s">
        <v>64</v>
      </c>
      <c r="L299" s="63" t="s">
        <v>2568</v>
      </c>
      <c r="M299" s="63" t="s">
        <v>279</v>
      </c>
      <c r="N299" s="63" t="s">
        <v>84</v>
      </c>
      <c r="O299" s="63" t="s">
        <v>109</v>
      </c>
      <c r="P299" s="63" t="s">
        <v>110</v>
      </c>
      <c r="Q299" s="63">
        <v>50</v>
      </c>
      <c r="R299" s="63">
        <v>0</v>
      </c>
      <c r="S299" s="63" t="s">
        <v>70</v>
      </c>
      <c r="T299" s="63">
        <v>250</v>
      </c>
      <c r="U299" s="62">
        <v>46072.291666666664</v>
      </c>
      <c r="V299" s="63" t="s">
        <v>86</v>
      </c>
      <c r="W299" s="63">
        <v>1803.5</v>
      </c>
      <c r="X299" s="63">
        <v>4200</v>
      </c>
      <c r="Y299" s="63" t="s">
        <v>515</v>
      </c>
    </row>
    <row r="300" spans="1:25" hidden="1">
      <c r="A300" s="62">
        <v>46071.738611111112</v>
      </c>
      <c r="B300" s="63">
        <v>641520</v>
      </c>
      <c r="C300" s="63" t="s">
        <v>179</v>
      </c>
      <c r="D300" s="63"/>
      <c r="E300" s="62">
        <v>46072.772847222222</v>
      </c>
      <c r="F300" s="63" t="s">
        <v>202</v>
      </c>
      <c r="G300" s="63">
        <v>1720430201</v>
      </c>
      <c r="H300" s="63">
        <v>47508411271427</v>
      </c>
      <c r="I300" s="63" t="s">
        <v>2569</v>
      </c>
      <c r="J300" s="63" t="s">
        <v>182</v>
      </c>
      <c r="K300" s="63" t="s">
        <v>64</v>
      </c>
      <c r="L300" s="63" t="s">
        <v>2570</v>
      </c>
      <c r="M300" s="63" t="s">
        <v>83</v>
      </c>
      <c r="N300" s="63" t="s">
        <v>84</v>
      </c>
      <c r="O300" s="63" t="s">
        <v>68</v>
      </c>
      <c r="P300" s="63" t="s">
        <v>69</v>
      </c>
      <c r="Q300" s="63">
        <v>10</v>
      </c>
      <c r="R300" s="63">
        <v>0</v>
      </c>
      <c r="S300" s="63" t="s">
        <v>70</v>
      </c>
      <c r="T300" s="63">
        <v>65.180000000000007</v>
      </c>
      <c r="U300" s="62">
        <v>46072.291666666664</v>
      </c>
      <c r="V300" s="63" t="s">
        <v>86</v>
      </c>
      <c r="W300" s="63">
        <v>479.56</v>
      </c>
      <c r="X300" s="63">
        <v>4200</v>
      </c>
      <c r="Y300" s="63" t="s">
        <v>515</v>
      </c>
    </row>
    <row r="301" spans="1:25" hidden="1">
      <c r="A301" s="62">
        <v>46071.738611111112</v>
      </c>
      <c r="B301" s="63">
        <v>641520</v>
      </c>
      <c r="C301" s="63" t="s">
        <v>179</v>
      </c>
      <c r="D301" s="63"/>
      <c r="E301" s="62">
        <v>46072.772847222222</v>
      </c>
      <c r="F301" s="63" t="s">
        <v>202</v>
      </c>
      <c r="G301" s="63">
        <v>1720430201</v>
      </c>
      <c r="H301" s="63">
        <v>47508411271427</v>
      </c>
      <c r="I301" s="63" t="s">
        <v>2569</v>
      </c>
      <c r="J301" s="63" t="s">
        <v>182</v>
      </c>
      <c r="K301" s="63" t="s">
        <v>64</v>
      </c>
      <c r="L301" s="63" t="s">
        <v>2570</v>
      </c>
      <c r="M301" s="63" t="s">
        <v>83</v>
      </c>
      <c r="N301" s="63" t="s">
        <v>84</v>
      </c>
      <c r="O301" s="63" t="s">
        <v>91</v>
      </c>
      <c r="P301" s="63" t="s">
        <v>92</v>
      </c>
      <c r="Q301" s="63">
        <v>1</v>
      </c>
      <c r="R301" s="63">
        <v>0</v>
      </c>
      <c r="S301" s="63" t="s">
        <v>70</v>
      </c>
      <c r="T301" s="63">
        <v>65.180000000000007</v>
      </c>
      <c r="U301" s="62">
        <v>46072.291666666664</v>
      </c>
      <c r="V301" s="63" t="s">
        <v>86</v>
      </c>
      <c r="W301" s="63">
        <v>479.56</v>
      </c>
      <c r="X301" s="63">
        <v>4200</v>
      </c>
      <c r="Y301" s="63" t="s">
        <v>515</v>
      </c>
    </row>
    <row r="302" spans="1:25" hidden="1">
      <c r="A302" s="62">
        <v>46071.738611111112</v>
      </c>
      <c r="B302" s="63">
        <v>641520</v>
      </c>
      <c r="C302" s="63" t="s">
        <v>179</v>
      </c>
      <c r="D302" s="63"/>
      <c r="E302" s="62">
        <v>46072.772847222222</v>
      </c>
      <c r="F302" s="63" t="s">
        <v>202</v>
      </c>
      <c r="G302" s="63">
        <v>1720430201</v>
      </c>
      <c r="H302" s="63">
        <v>47508411271427</v>
      </c>
      <c r="I302" s="63" t="s">
        <v>2569</v>
      </c>
      <c r="J302" s="63" t="s">
        <v>182</v>
      </c>
      <c r="K302" s="63" t="s">
        <v>64</v>
      </c>
      <c r="L302" s="63" t="s">
        <v>2570</v>
      </c>
      <c r="M302" s="63" t="s">
        <v>83</v>
      </c>
      <c r="N302" s="63" t="s">
        <v>84</v>
      </c>
      <c r="O302" s="63" t="s">
        <v>93</v>
      </c>
      <c r="P302" s="63" t="s">
        <v>94</v>
      </c>
      <c r="Q302" s="63">
        <v>2</v>
      </c>
      <c r="R302" s="63">
        <v>0</v>
      </c>
      <c r="S302" s="63" t="s">
        <v>70</v>
      </c>
      <c r="T302" s="63">
        <v>65.180000000000007</v>
      </c>
      <c r="U302" s="62">
        <v>46072.291666666664</v>
      </c>
      <c r="V302" s="63" t="s">
        <v>86</v>
      </c>
      <c r="W302" s="63">
        <v>479.56</v>
      </c>
      <c r="X302" s="63">
        <v>4200</v>
      </c>
      <c r="Y302" s="63" t="s">
        <v>515</v>
      </c>
    </row>
    <row r="303" spans="1:25">
      <c r="A303" s="62">
        <v>46071.738611111112</v>
      </c>
      <c r="B303" s="63">
        <v>641520</v>
      </c>
      <c r="C303" s="63" t="s">
        <v>179</v>
      </c>
      <c r="D303" s="63"/>
      <c r="E303" s="62">
        <v>46072.772847222222</v>
      </c>
      <c r="F303" s="63" t="s">
        <v>202</v>
      </c>
      <c r="G303" s="63">
        <v>1720440201</v>
      </c>
      <c r="H303" s="63">
        <v>47508411271427</v>
      </c>
      <c r="I303" s="63" t="s">
        <v>2569</v>
      </c>
      <c r="J303" s="63" t="s">
        <v>182</v>
      </c>
      <c r="K303" s="63" t="s">
        <v>64</v>
      </c>
      <c r="L303" s="63" t="s">
        <v>2570</v>
      </c>
      <c r="M303" s="63" t="s">
        <v>83</v>
      </c>
      <c r="N303" s="63" t="s">
        <v>84</v>
      </c>
      <c r="O303" s="63" t="s">
        <v>109</v>
      </c>
      <c r="P303" s="63" t="s">
        <v>110</v>
      </c>
      <c r="Q303" s="63">
        <v>15</v>
      </c>
      <c r="R303" s="63">
        <v>0</v>
      </c>
      <c r="S303" s="63" t="s">
        <v>70</v>
      </c>
      <c r="T303" s="63">
        <v>75</v>
      </c>
      <c r="U303" s="62">
        <v>46072.291666666664</v>
      </c>
      <c r="V303" s="63" t="s">
        <v>86</v>
      </c>
      <c r="W303" s="63">
        <v>541.04999999999995</v>
      </c>
      <c r="X303" s="63">
        <v>4200</v>
      </c>
      <c r="Y303" s="63" t="s">
        <v>515</v>
      </c>
    </row>
    <row r="304" spans="1:25" hidden="1">
      <c r="A304" s="62">
        <v>46071.738611111112</v>
      </c>
      <c r="B304" s="63">
        <v>641520</v>
      </c>
      <c r="C304" s="63" t="s">
        <v>179</v>
      </c>
      <c r="D304" s="63"/>
      <c r="E304" s="62">
        <v>46072.772870370369</v>
      </c>
      <c r="F304" s="63" t="s">
        <v>202</v>
      </c>
      <c r="G304" s="63">
        <v>1725000201</v>
      </c>
      <c r="H304" s="63">
        <v>26563652011596</v>
      </c>
      <c r="I304" s="63" t="s">
        <v>227</v>
      </c>
      <c r="J304" s="63" t="s">
        <v>159</v>
      </c>
      <c r="K304" s="63" t="s">
        <v>64</v>
      </c>
      <c r="L304" s="63"/>
      <c r="M304" s="63" t="s">
        <v>226</v>
      </c>
      <c r="N304" s="63" t="s">
        <v>84</v>
      </c>
      <c r="O304" s="63" t="s">
        <v>68</v>
      </c>
      <c r="P304" s="63" t="s">
        <v>69</v>
      </c>
      <c r="Q304" s="63">
        <v>7</v>
      </c>
      <c r="R304" s="63">
        <v>0</v>
      </c>
      <c r="S304" s="63" t="s">
        <v>70</v>
      </c>
      <c r="T304" s="63">
        <v>50.345999999999997</v>
      </c>
      <c r="U304" s="62">
        <v>46072.291666666664</v>
      </c>
      <c r="V304" s="63" t="s">
        <v>86</v>
      </c>
      <c r="W304" s="63">
        <v>1216.6300000000001</v>
      </c>
      <c r="X304" s="63">
        <v>4200</v>
      </c>
      <c r="Y304" s="63" t="s">
        <v>515</v>
      </c>
    </row>
    <row r="305" spans="1:25" hidden="1">
      <c r="A305" s="62">
        <v>46071.738611111112</v>
      </c>
      <c r="B305" s="63">
        <v>641520</v>
      </c>
      <c r="C305" s="63" t="s">
        <v>179</v>
      </c>
      <c r="D305" s="63"/>
      <c r="E305" s="62">
        <v>46072.772870370369</v>
      </c>
      <c r="F305" s="63" t="s">
        <v>202</v>
      </c>
      <c r="G305" s="63">
        <v>1725000201</v>
      </c>
      <c r="H305" s="63">
        <v>26563652011596</v>
      </c>
      <c r="I305" s="63" t="s">
        <v>227</v>
      </c>
      <c r="J305" s="63" t="s">
        <v>159</v>
      </c>
      <c r="K305" s="63" t="s">
        <v>64</v>
      </c>
      <c r="L305" s="63"/>
      <c r="M305" s="63" t="s">
        <v>226</v>
      </c>
      <c r="N305" s="63" t="s">
        <v>84</v>
      </c>
      <c r="O305" s="63" t="s">
        <v>189</v>
      </c>
      <c r="P305" s="63" t="s">
        <v>190</v>
      </c>
      <c r="Q305" s="63">
        <v>1</v>
      </c>
      <c r="R305" s="63">
        <v>0</v>
      </c>
      <c r="S305" s="63" t="s">
        <v>76</v>
      </c>
      <c r="T305" s="63">
        <v>50.345999999999997</v>
      </c>
      <c r="U305" s="62">
        <v>46072.291666666664</v>
      </c>
      <c r="V305" s="63" t="s">
        <v>86</v>
      </c>
      <c r="W305" s="63">
        <v>1216.6300000000001</v>
      </c>
      <c r="X305" s="63">
        <v>4200</v>
      </c>
      <c r="Y305" s="63" t="s">
        <v>515</v>
      </c>
    </row>
    <row r="306" spans="1:25" hidden="1">
      <c r="A306" s="62">
        <v>46071.738611111112</v>
      </c>
      <c r="B306" s="63">
        <v>641520</v>
      </c>
      <c r="C306" s="63" t="s">
        <v>179</v>
      </c>
      <c r="D306" s="63"/>
      <c r="E306" s="62">
        <v>46072.772870370369</v>
      </c>
      <c r="F306" s="63" t="s">
        <v>202</v>
      </c>
      <c r="G306" s="63">
        <v>1725000201</v>
      </c>
      <c r="H306" s="63">
        <v>26563652011596</v>
      </c>
      <c r="I306" s="63" t="s">
        <v>227</v>
      </c>
      <c r="J306" s="63" t="s">
        <v>159</v>
      </c>
      <c r="K306" s="63" t="s">
        <v>64</v>
      </c>
      <c r="L306" s="63"/>
      <c r="M306" s="63" t="s">
        <v>226</v>
      </c>
      <c r="N306" s="63" t="s">
        <v>84</v>
      </c>
      <c r="O306" s="63" t="s">
        <v>173</v>
      </c>
      <c r="P306" s="63" t="s">
        <v>174</v>
      </c>
      <c r="Q306" s="63">
        <v>1</v>
      </c>
      <c r="R306" s="63">
        <v>0</v>
      </c>
      <c r="S306" s="63" t="s">
        <v>76</v>
      </c>
      <c r="T306" s="63">
        <v>50.345999999999997</v>
      </c>
      <c r="U306" s="62">
        <v>46072.291666666664</v>
      </c>
      <c r="V306" s="63" t="s">
        <v>86</v>
      </c>
      <c r="W306" s="63">
        <v>1216.6300000000001</v>
      </c>
      <c r="X306" s="63">
        <v>4200</v>
      </c>
      <c r="Y306" s="63" t="s">
        <v>515</v>
      </c>
    </row>
    <row r="307" spans="1:25" hidden="1">
      <c r="A307" s="62">
        <v>46071.738611111112</v>
      </c>
      <c r="B307" s="63">
        <v>641520</v>
      </c>
      <c r="C307" s="63" t="s">
        <v>179</v>
      </c>
      <c r="D307" s="63"/>
      <c r="E307" s="62">
        <v>46072.772870370369</v>
      </c>
      <c r="F307" s="63" t="s">
        <v>202</v>
      </c>
      <c r="G307" s="63">
        <v>1725000201</v>
      </c>
      <c r="H307" s="63">
        <v>26563652011596</v>
      </c>
      <c r="I307" s="63" t="s">
        <v>227</v>
      </c>
      <c r="J307" s="63" t="s">
        <v>159</v>
      </c>
      <c r="K307" s="63" t="s">
        <v>64</v>
      </c>
      <c r="L307" s="63"/>
      <c r="M307" s="63" t="s">
        <v>226</v>
      </c>
      <c r="N307" s="63" t="s">
        <v>84</v>
      </c>
      <c r="O307" s="63" t="s">
        <v>175</v>
      </c>
      <c r="P307" s="63" t="s">
        <v>176</v>
      </c>
      <c r="Q307" s="63">
        <v>1</v>
      </c>
      <c r="R307" s="63">
        <v>0</v>
      </c>
      <c r="S307" s="63" t="s">
        <v>76</v>
      </c>
      <c r="T307" s="63">
        <v>50.345999999999997</v>
      </c>
      <c r="U307" s="62">
        <v>46072.291666666664</v>
      </c>
      <c r="V307" s="63" t="s">
        <v>86</v>
      </c>
      <c r="W307" s="63">
        <v>1216.6300000000001</v>
      </c>
      <c r="X307" s="63">
        <v>4200</v>
      </c>
      <c r="Y307" s="63" t="s">
        <v>515</v>
      </c>
    </row>
    <row r="308" spans="1:25" hidden="1">
      <c r="A308" s="62">
        <v>46071.738611111112</v>
      </c>
      <c r="B308" s="63">
        <v>641520</v>
      </c>
      <c r="C308" s="63" t="s">
        <v>179</v>
      </c>
      <c r="D308" s="63"/>
      <c r="E308" s="62">
        <v>46072.772870370369</v>
      </c>
      <c r="F308" s="63" t="s">
        <v>202</v>
      </c>
      <c r="G308" s="63">
        <v>1725000201</v>
      </c>
      <c r="H308" s="63">
        <v>26563652011596</v>
      </c>
      <c r="I308" s="63" t="s">
        <v>227</v>
      </c>
      <c r="J308" s="63" t="s">
        <v>159</v>
      </c>
      <c r="K308" s="63" t="s">
        <v>64</v>
      </c>
      <c r="L308" s="63"/>
      <c r="M308" s="63" t="s">
        <v>226</v>
      </c>
      <c r="N308" s="63" t="s">
        <v>84</v>
      </c>
      <c r="O308" s="63" t="s">
        <v>165</v>
      </c>
      <c r="P308" s="63" t="s">
        <v>166</v>
      </c>
      <c r="Q308" s="63">
        <v>2</v>
      </c>
      <c r="R308" s="63">
        <v>0</v>
      </c>
      <c r="S308" s="63" t="s">
        <v>76</v>
      </c>
      <c r="T308" s="63">
        <v>50.345999999999997</v>
      </c>
      <c r="U308" s="62">
        <v>46072.291666666664</v>
      </c>
      <c r="V308" s="63" t="s">
        <v>86</v>
      </c>
      <c r="W308" s="63">
        <v>1216.6300000000001</v>
      </c>
      <c r="X308" s="63">
        <v>4200</v>
      </c>
      <c r="Y308" s="63" t="s">
        <v>515</v>
      </c>
    </row>
    <row r="309" spans="1:25" hidden="1">
      <c r="A309" s="62">
        <v>46071.738611111112</v>
      </c>
      <c r="B309" s="63">
        <v>641520</v>
      </c>
      <c r="C309" s="63" t="s">
        <v>179</v>
      </c>
      <c r="D309" s="63"/>
      <c r="E309" s="62">
        <v>46072.772870370369</v>
      </c>
      <c r="F309" s="63" t="s">
        <v>202</v>
      </c>
      <c r="G309" s="63">
        <v>1725000201</v>
      </c>
      <c r="H309" s="63">
        <v>26563652011596</v>
      </c>
      <c r="I309" s="63" t="s">
        <v>227</v>
      </c>
      <c r="J309" s="63" t="s">
        <v>159</v>
      </c>
      <c r="K309" s="63" t="s">
        <v>64</v>
      </c>
      <c r="L309" s="63"/>
      <c r="M309" s="63" t="s">
        <v>226</v>
      </c>
      <c r="N309" s="63" t="s">
        <v>84</v>
      </c>
      <c r="O309" s="63" t="s">
        <v>167</v>
      </c>
      <c r="P309" s="63" t="s">
        <v>168</v>
      </c>
      <c r="Q309" s="63">
        <v>4</v>
      </c>
      <c r="R309" s="63">
        <v>0</v>
      </c>
      <c r="S309" s="63" t="s">
        <v>76</v>
      </c>
      <c r="T309" s="63">
        <v>50.345999999999997</v>
      </c>
      <c r="U309" s="62">
        <v>46072.291666666664</v>
      </c>
      <c r="V309" s="63" t="s">
        <v>86</v>
      </c>
      <c r="W309" s="63">
        <v>1216.6300000000001</v>
      </c>
      <c r="X309" s="63">
        <v>4200</v>
      </c>
      <c r="Y309" s="63" t="s">
        <v>515</v>
      </c>
    </row>
    <row r="310" spans="1:25" hidden="1">
      <c r="A310" s="62">
        <v>46071.738611111112</v>
      </c>
      <c r="B310" s="63">
        <v>641520</v>
      </c>
      <c r="C310" s="63" t="s">
        <v>179</v>
      </c>
      <c r="D310" s="63"/>
      <c r="E310" s="62">
        <v>46072.772870370369</v>
      </c>
      <c r="F310" s="63" t="s">
        <v>202</v>
      </c>
      <c r="G310" s="63">
        <v>1725020201</v>
      </c>
      <c r="H310" s="63">
        <v>26563652036408</v>
      </c>
      <c r="I310" s="63" t="s">
        <v>277</v>
      </c>
      <c r="J310" s="63" t="s">
        <v>159</v>
      </c>
      <c r="K310" s="63" t="s">
        <v>64</v>
      </c>
      <c r="L310" s="63" t="s">
        <v>278</v>
      </c>
      <c r="M310" s="63" t="s">
        <v>214</v>
      </c>
      <c r="N310" s="63" t="s">
        <v>84</v>
      </c>
      <c r="O310" s="63" t="s">
        <v>68</v>
      </c>
      <c r="P310" s="63" t="s">
        <v>69</v>
      </c>
      <c r="Q310" s="63">
        <v>4</v>
      </c>
      <c r="R310" s="63">
        <v>0</v>
      </c>
      <c r="S310" s="63" t="s">
        <v>70</v>
      </c>
      <c r="T310" s="63">
        <v>30.702000000000002</v>
      </c>
      <c r="U310" s="62">
        <v>46072.291666666664</v>
      </c>
      <c r="V310" s="63" t="s">
        <v>86</v>
      </c>
      <c r="W310" s="63">
        <v>397.76</v>
      </c>
      <c r="X310" s="63">
        <v>4200</v>
      </c>
      <c r="Y310" s="63" t="s">
        <v>515</v>
      </c>
    </row>
    <row r="311" spans="1:25" hidden="1">
      <c r="A311" s="62">
        <v>46071.738611111112</v>
      </c>
      <c r="B311" s="63">
        <v>641520</v>
      </c>
      <c r="C311" s="63" t="s">
        <v>179</v>
      </c>
      <c r="D311" s="63"/>
      <c r="E311" s="62">
        <v>46072.772870370369</v>
      </c>
      <c r="F311" s="63" t="s">
        <v>202</v>
      </c>
      <c r="G311" s="63">
        <v>1725020201</v>
      </c>
      <c r="H311" s="63">
        <v>26563652036408</v>
      </c>
      <c r="I311" s="63" t="s">
        <v>277</v>
      </c>
      <c r="J311" s="63" t="s">
        <v>159</v>
      </c>
      <c r="K311" s="63" t="s">
        <v>64</v>
      </c>
      <c r="L311" s="63" t="s">
        <v>278</v>
      </c>
      <c r="M311" s="63" t="s">
        <v>214</v>
      </c>
      <c r="N311" s="63" t="s">
        <v>84</v>
      </c>
      <c r="O311" s="63" t="s">
        <v>169</v>
      </c>
      <c r="P311" s="63" t="s">
        <v>170</v>
      </c>
      <c r="Q311" s="63">
        <v>1</v>
      </c>
      <c r="R311" s="63">
        <v>0</v>
      </c>
      <c r="S311" s="63" t="s">
        <v>76</v>
      </c>
      <c r="T311" s="63">
        <v>30.702000000000002</v>
      </c>
      <c r="U311" s="62">
        <v>46072.291666666664</v>
      </c>
      <c r="V311" s="63" t="s">
        <v>86</v>
      </c>
      <c r="W311" s="63">
        <v>397.76</v>
      </c>
      <c r="X311" s="63">
        <v>4200</v>
      </c>
      <c r="Y311" s="63" t="s">
        <v>515</v>
      </c>
    </row>
    <row r="312" spans="1:25">
      <c r="A312" s="62">
        <v>46071.738611111112</v>
      </c>
      <c r="B312" s="63">
        <v>641520</v>
      </c>
      <c r="C312" s="63" t="s">
        <v>179</v>
      </c>
      <c r="D312" s="63"/>
      <c r="E312" s="62">
        <v>46072.772881944446</v>
      </c>
      <c r="F312" s="63" t="s">
        <v>202</v>
      </c>
      <c r="G312" s="63">
        <v>1720950201</v>
      </c>
      <c r="H312" s="63">
        <v>47508411170582</v>
      </c>
      <c r="I312" s="63" t="s">
        <v>2571</v>
      </c>
      <c r="J312" s="63" t="s">
        <v>182</v>
      </c>
      <c r="K312" s="63" t="s">
        <v>64</v>
      </c>
      <c r="L312" s="63" t="s">
        <v>2572</v>
      </c>
      <c r="M312" s="63" t="s">
        <v>2573</v>
      </c>
      <c r="N312" s="63" t="s">
        <v>84</v>
      </c>
      <c r="O312" s="63" t="s">
        <v>109</v>
      </c>
      <c r="P312" s="63" t="s">
        <v>110</v>
      </c>
      <c r="Q312" s="63">
        <v>19</v>
      </c>
      <c r="R312" s="63">
        <v>0</v>
      </c>
      <c r="S312" s="63" t="s">
        <v>70</v>
      </c>
      <c r="T312" s="63">
        <v>95</v>
      </c>
      <c r="U312" s="62">
        <v>46072.291666666664</v>
      </c>
      <c r="V312" s="63" t="s">
        <v>86</v>
      </c>
      <c r="W312" s="63">
        <v>685.33</v>
      </c>
      <c r="X312" s="63">
        <v>4200</v>
      </c>
      <c r="Y312" s="63" t="s">
        <v>515</v>
      </c>
    </row>
    <row r="313" spans="1:25" hidden="1">
      <c r="A313" s="62">
        <v>46071.738611111112</v>
      </c>
      <c r="B313" s="63">
        <v>641520</v>
      </c>
      <c r="C313" s="63" t="s">
        <v>179</v>
      </c>
      <c r="D313" s="63"/>
      <c r="E313" s="62">
        <v>46072.772881944446</v>
      </c>
      <c r="F313" s="63" t="s">
        <v>202</v>
      </c>
      <c r="G313" s="63">
        <v>1720960201</v>
      </c>
      <c r="H313" s="63">
        <v>47508411170582</v>
      </c>
      <c r="I313" s="63" t="s">
        <v>2571</v>
      </c>
      <c r="J313" s="63" t="s">
        <v>182</v>
      </c>
      <c r="K313" s="63" t="s">
        <v>64</v>
      </c>
      <c r="L313" s="63" t="s">
        <v>2572</v>
      </c>
      <c r="M313" s="63" t="s">
        <v>2573</v>
      </c>
      <c r="N313" s="63" t="s">
        <v>84</v>
      </c>
      <c r="O313" s="63" t="s">
        <v>68</v>
      </c>
      <c r="P313" s="63" t="s">
        <v>69</v>
      </c>
      <c r="Q313" s="63">
        <v>65</v>
      </c>
      <c r="R313" s="63">
        <v>0</v>
      </c>
      <c r="S313" s="63" t="s">
        <v>70</v>
      </c>
      <c r="T313" s="63">
        <v>336.17</v>
      </c>
      <c r="U313" s="62">
        <v>46072.291666666664</v>
      </c>
      <c r="V313" s="63" t="s">
        <v>86</v>
      </c>
      <c r="W313" s="63">
        <v>2423.79</v>
      </c>
      <c r="X313" s="63">
        <v>4200</v>
      </c>
      <c r="Y313" s="63" t="s">
        <v>515</v>
      </c>
    </row>
    <row r="314" spans="1:25" hidden="1">
      <c r="A314" s="62">
        <v>46071.738611111112</v>
      </c>
      <c r="B314" s="63">
        <v>641520</v>
      </c>
      <c r="C314" s="63" t="s">
        <v>179</v>
      </c>
      <c r="D314" s="63"/>
      <c r="E314" s="62">
        <v>46072.772881944446</v>
      </c>
      <c r="F314" s="63" t="s">
        <v>202</v>
      </c>
      <c r="G314" s="63">
        <v>1720960201</v>
      </c>
      <c r="H314" s="63">
        <v>47508411170582</v>
      </c>
      <c r="I314" s="63" t="s">
        <v>2571</v>
      </c>
      <c r="J314" s="63" t="s">
        <v>182</v>
      </c>
      <c r="K314" s="63" t="s">
        <v>64</v>
      </c>
      <c r="L314" s="63" t="s">
        <v>2572</v>
      </c>
      <c r="M314" s="63" t="s">
        <v>2573</v>
      </c>
      <c r="N314" s="63" t="s">
        <v>84</v>
      </c>
      <c r="O314" s="63" t="s">
        <v>93</v>
      </c>
      <c r="P314" s="63" t="s">
        <v>94</v>
      </c>
      <c r="Q314" s="63">
        <v>2</v>
      </c>
      <c r="R314" s="63">
        <v>0</v>
      </c>
      <c r="S314" s="63" t="s">
        <v>70</v>
      </c>
      <c r="T314" s="63">
        <v>336.17</v>
      </c>
      <c r="U314" s="62">
        <v>46072.291666666664</v>
      </c>
      <c r="V314" s="63" t="s">
        <v>86</v>
      </c>
      <c r="W314" s="63">
        <v>2423.79</v>
      </c>
      <c r="X314" s="63">
        <v>4200</v>
      </c>
      <c r="Y314" s="63" t="s">
        <v>515</v>
      </c>
    </row>
    <row r="315" spans="1:25" hidden="1">
      <c r="A315" s="62">
        <v>46071.738611111112</v>
      </c>
      <c r="B315" s="63">
        <v>641520</v>
      </c>
      <c r="C315" s="63" t="s">
        <v>179</v>
      </c>
      <c r="D315" s="63"/>
      <c r="E315" s="62">
        <v>46072.772905092592</v>
      </c>
      <c r="F315" s="63" t="s">
        <v>202</v>
      </c>
      <c r="G315" s="63">
        <v>1722950201</v>
      </c>
      <c r="H315" s="63">
        <v>26563652027751</v>
      </c>
      <c r="I315" s="63" t="s">
        <v>186</v>
      </c>
      <c r="J315" s="63" t="s">
        <v>159</v>
      </c>
      <c r="K315" s="63" t="s">
        <v>64</v>
      </c>
      <c r="L315" s="63" t="s">
        <v>187</v>
      </c>
      <c r="M315" s="63" t="s">
        <v>188</v>
      </c>
      <c r="N315" s="63" t="s">
        <v>84</v>
      </c>
      <c r="O315" s="63" t="s">
        <v>68</v>
      </c>
      <c r="P315" s="63" t="s">
        <v>69</v>
      </c>
      <c r="Q315" s="63">
        <v>10</v>
      </c>
      <c r="R315" s="63">
        <v>0</v>
      </c>
      <c r="S315" s="63" t="s">
        <v>70</v>
      </c>
      <c r="T315" s="63">
        <v>60.34</v>
      </c>
      <c r="U315" s="62">
        <v>46072.291666666664</v>
      </c>
      <c r="V315" s="63" t="s">
        <v>86</v>
      </c>
      <c r="W315" s="63">
        <v>589.27</v>
      </c>
      <c r="X315" s="63">
        <v>4200</v>
      </c>
      <c r="Y315" s="63" t="s">
        <v>515</v>
      </c>
    </row>
    <row r="316" spans="1:25" hidden="1">
      <c r="A316" s="62">
        <v>46071.738611111112</v>
      </c>
      <c r="B316" s="63">
        <v>641520</v>
      </c>
      <c r="C316" s="63" t="s">
        <v>179</v>
      </c>
      <c r="D316" s="63"/>
      <c r="E316" s="62">
        <v>46072.772905092592</v>
      </c>
      <c r="F316" s="63" t="s">
        <v>202</v>
      </c>
      <c r="G316" s="63">
        <v>1722950201</v>
      </c>
      <c r="H316" s="63">
        <v>26563652027751</v>
      </c>
      <c r="I316" s="63" t="s">
        <v>186</v>
      </c>
      <c r="J316" s="63" t="s">
        <v>159</v>
      </c>
      <c r="K316" s="63" t="s">
        <v>64</v>
      </c>
      <c r="L316" s="63" t="s">
        <v>187</v>
      </c>
      <c r="M316" s="63" t="s">
        <v>188</v>
      </c>
      <c r="N316" s="63" t="s">
        <v>84</v>
      </c>
      <c r="O316" s="63" t="s">
        <v>72</v>
      </c>
      <c r="P316" s="63" t="s">
        <v>73</v>
      </c>
      <c r="Q316" s="63">
        <v>2</v>
      </c>
      <c r="R316" s="63">
        <v>0</v>
      </c>
      <c r="S316" s="63" t="s">
        <v>70</v>
      </c>
      <c r="T316" s="63">
        <v>60.34</v>
      </c>
      <c r="U316" s="62">
        <v>46072.291666666664</v>
      </c>
      <c r="V316" s="63" t="s">
        <v>86</v>
      </c>
      <c r="W316" s="63">
        <v>589.27</v>
      </c>
      <c r="X316" s="63">
        <v>4200</v>
      </c>
      <c r="Y316" s="63" t="s">
        <v>515</v>
      </c>
    </row>
    <row r="317" spans="1:25" hidden="1">
      <c r="A317" s="62">
        <v>46071.738611111112</v>
      </c>
      <c r="B317" s="63">
        <v>641520</v>
      </c>
      <c r="C317" s="63" t="s">
        <v>179</v>
      </c>
      <c r="D317" s="63"/>
      <c r="E317" s="62">
        <v>46072.772905092592</v>
      </c>
      <c r="F317" s="63" t="s">
        <v>202</v>
      </c>
      <c r="G317" s="63">
        <v>1722950201</v>
      </c>
      <c r="H317" s="63">
        <v>26563652027751</v>
      </c>
      <c r="I317" s="63" t="s">
        <v>186</v>
      </c>
      <c r="J317" s="63" t="s">
        <v>159</v>
      </c>
      <c r="K317" s="63" t="s">
        <v>64</v>
      </c>
      <c r="L317" s="63" t="s">
        <v>187</v>
      </c>
      <c r="M317" s="63" t="s">
        <v>188</v>
      </c>
      <c r="N317" s="63" t="s">
        <v>84</v>
      </c>
      <c r="O317" s="63" t="s">
        <v>173</v>
      </c>
      <c r="P317" s="63" t="s">
        <v>174</v>
      </c>
      <c r="Q317" s="63">
        <v>1</v>
      </c>
      <c r="R317" s="63">
        <v>0</v>
      </c>
      <c r="S317" s="63" t="s">
        <v>76</v>
      </c>
      <c r="T317" s="63">
        <v>60.34</v>
      </c>
      <c r="U317" s="62">
        <v>46072.291666666664</v>
      </c>
      <c r="V317" s="63" t="s">
        <v>86</v>
      </c>
      <c r="W317" s="63">
        <v>589.27</v>
      </c>
      <c r="X317" s="63">
        <v>4200</v>
      </c>
      <c r="Y317" s="63" t="s">
        <v>515</v>
      </c>
    </row>
    <row r="318" spans="1:25" hidden="1">
      <c r="A318" s="62">
        <v>46071.738611111112</v>
      </c>
      <c r="B318" s="63">
        <v>641520</v>
      </c>
      <c r="C318" s="63" t="s">
        <v>179</v>
      </c>
      <c r="D318" s="63"/>
      <c r="E318" s="62">
        <v>46072.772905092592</v>
      </c>
      <c r="F318" s="63" t="s">
        <v>202</v>
      </c>
      <c r="G318" s="63">
        <v>1725460201</v>
      </c>
      <c r="H318" s="63">
        <v>26563652038605</v>
      </c>
      <c r="I318" s="63" t="s">
        <v>2574</v>
      </c>
      <c r="J318" s="63" t="s">
        <v>159</v>
      </c>
      <c r="K318" s="63" t="s">
        <v>64</v>
      </c>
      <c r="L318" s="63"/>
      <c r="M318" s="63" t="s">
        <v>2575</v>
      </c>
      <c r="N318" s="63" t="s">
        <v>84</v>
      </c>
      <c r="O318" s="63" t="s">
        <v>68</v>
      </c>
      <c r="P318" s="63" t="s">
        <v>69</v>
      </c>
      <c r="Q318" s="63">
        <v>11</v>
      </c>
      <c r="R318" s="63">
        <v>0</v>
      </c>
      <c r="S318" s="63" t="s">
        <v>70</v>
      </c>
      <c r="T318" s="63">
        <v>55.198</v>
      </c>
      <c r="U318" s="62">
        <v>46072.291666666664</v>
      </c>
      <c r="V318" s="63" t="s">
        <v>86</v>
      </c>
      <c r="W318" s="63">
        <v>376.09</v>
      </c>
      <c r="X318" s="63">
        <v>4200</v>
      </c>
      <c r="Y318" s="63" t="s">
        <v>515</v>
      </c>
    </row>
    <row r="319" spans="1:25" hidden="1">
      <c r="A319" s="62">
        <v>46071.738611111112</v>
      </c>
      <c r="B319" s="63">
        <v>641520</v>
      </c>
      <c r="C319" s="63" t="s">
        <v>179</v>
      </c>
      <c r="D319" s="63"/>
      <c r="E319" s="62">
        <v>46072.772916666669</v>
      </c>
      <c r="F319" s="63" t="s">
        <v>202</v>
      </c>
      <c r="G319" s="63">
        <v>1725640201</v>
      </c>
      <c r="H319" s="63">
        <v>26563652013106</v>
      </c>
      <c r="I319" s="63" t="s">
        <v>2434</v>
      </c>
      <c r="J319" s="63" t="s">
        <v>159</v>
      </c>
      <c r="K319" s="63" t="s">
        <v>64</v>
      </c>
      <c r="L319" s="63" t="s">
        <v>2435</v>
      </c>
      <c r="M319" s="63" t="s">
        <v>195</v>
      </c>
      <c r="N319" s="63" t="s">
        <v>84</v>
      </c>
      <c r="O319" s="63" t="s">
        <v>68</v>
      </c>
      <c r="P319" s="63" t="s">
        <v>69</v>
      </c>
      <c r="Q319" s="63">
        <v>5</v>
      </c>
      <c r="R319" s="63">
        <v>0</v>
      </c>
      <c r="S319" s="63" t="s">
        <v>70</v>
      </c>
      <c r="T319" s="63">
        <v>25.09</v>
      </c>
      <c r="U319" s="62">
        <v>46072.291666666664</v>
      </c>
      <c r="V319" s="63" t="s">
        <v>86</v>
      </c>
      <c r="W319" s="63">
        <v>170.95</v>
      </c>
      <c r="X319" s="63">
        <v>4200</v>
      </c>
      <c r="Y319" s="63" t="s">
        <v>515</v>
      </c>
    </row>
    <row r="320" spans="1:25" hidden="1">
      <c r="A320" s="62">
        <v>46071.738611111112</v>
      </c>
      <c r="B320" s="63">
        <v>641520</v>
      </c>
      <c r="C320" s="63" t="s">
        <v>179</v>
      </c>
      <c r="D320" s="63"/>
      <c r="E320" s="62">
        <v>46072.772928240738</v>
      </c>
      <c r="F320" s="63" t="s">
        <v>202</v>
      </c>
      <c r="G320" s="63">
        <v>1723090201</v>
      </c>
      <c r="H320" s="63">
        <v>26563652028995</v>
      </c>
      <c r="I320" s="63" t="s">
        <v>2576</v>
      </c>
      <c r="J320" s="63" t="s">
        <v>159</v>
      </c>
      <c r="K320" s="63" t="s">
        <v>64</v>
      </c>
      <c r="L320" s="63" t="s">
        <v>2577</v>
      </c>
      <c r="M320" s="63" t="s">
        <v>223</v>
      </c>
      <c r="N320" s="63" t="s">
        <v>84</v>
      </c>
      <c r="O320" s="63" t="s">
        <v>68</v>
      </c>
      <c r="P320" s="63" t="s">
        <v>69</v>
      </c>
      <c r="Q320" s="63">
        <v>9</v>
      </c>
      <c r="R320" s="63">
        <v>0</v>
      </c>
      <c r="S320" s="63" t="s">
        <v>70</v>
      </c>
      <c r="T320" s="63">
        <v>70.792000000000002</v>
      </c>
      <c r="U320" s="62">
        <v>46072.291666666664</v>
      </c>
      <c r="V320" s="63" t="s">
        <v>86</v>
      </c>
      <c r="W320" s="63">
        <v>792.44</v>
      </c>
      <c r="X320" s="63">
        <v>4200</v>
      </c>
      <c r="Y320" s="63" t="s">
        <v>515</v>
      </c>
    </row>
    <row r="321" spans="1:25" hidden="1">
      <c r="A321" s="62">
        <v>46071.738611111112</v>
      </c>
      <c r="B321" s="63">
        <v>641520</v>
      </c>
      <c r="C321" s="63" t="s">
        <v>179</v>
      </c>
      <c r="D321" s="63"/>
      <c r="E321" s="62">
        <v>46072.772928240738</v>
      </c>
      <c r="F321" s="63" t="s">
        <v>202</v>
      </c>
      <c r="G321" s="63">
        <v>1723090201</v>
      </c>
      <c r="H321" s="63">
        <v>26563652028995</v>
      </c>
      <c r="I321" s="63" t="s">
        <v>2576</v>
      </c>
      <c r="J321" s="63" t="s">
        <v>159</v>
      </c>
      <c r="K321" s="63" t="s">
        <v>64</v>
      </c>
      <c r="L321" s="63" t="s">
        <v>2577</v>
      </c>
      <c r="M321" s="63" t="s">
        <v>223</v>
      </c>
      <c r="N321" s="63" t="s">
        <v>84</v>
      </c>
      <c r="O321" s="63" t="s">
        <v>72</v>
      </c>
      <c r="P321" s="63" t="s">
        <v>73</v>
      </c>
      <c r="Q321" s="63">
        <v>1</v>
      </c>
      <c r="R321" s="63">
        <v>0</v>
      </c>
      <c r="S321" s="63" t="s">
        <v>70</v>
      </c>
      <c r="T321" s="63">
        <v>70.792000000000002</v>
      </c>
      <c r="U321" s="62">
        <v>46072.291666666664</v>
      </c>
      <c r="V321" s="63" t="s">
        <v>86</v>
      </c>
      <c r="W321" s="63">
        <v>792.44</v>
      </c>
      <c r="X321" s="63">
        <v>4200</v>
      </c>
      <c r="Y321" s="63" t="s">
        <v>515</v>
      </c>
    </row>
    <row r="322" spans="1:25" hidden="1">
      <c r="A322" s="62">
        <v>46071.738611111112</v>
      </c>
      <c r="B322" s="63">
        <v>641520</v>
      </c>
      <c r="C322" s="63" t="s">
        <v>179</v>
      </c>
      <c r="D322" s="63"/>
      <c r="E322" s="62">
        <v>46072.772928240738</v>
      </c>
      <c r="F322" s="63" t="s">
        <v>202</v>
      </c>
      <c r="G322" s="63">
        <v>1723090201</v>
      </c>
      <c r="H322" s="63">
        <v>26563652028995</v>
      </c>
      <c r="I322" s="63" t="s">
        <v>2576</v>
      </c>
      <c r="J322" s="63" t="s">
        <v>159</v>
      </c>
      <c r="K322" s="63" t="s">
        <v>64</v>
      </c>
      <c r="L322" s="63" t="s">
        <v>2577</v>
      </c>
      <c r="M322" s="63" t="s">
        <v>223</v>
      </c>
      <c r="N322" s="63" t="s">
        <v>84</v>
      </c>
      <c r="O322" s="63" t="s">
        <v>74</v>
      </c>
      <c r="P322" s="63" t="s">
        <v>75</v>
      </c>
      <c r="Q322" s="63">
        <v>1</v>
      </c>
      <c r="R322" s="63">
        <v>0</v>
      </c>
      <c r="S322" s="63" t="s">
        <v>76</v>
      </c>
      <c r="T322" s="63">
        <v>70.792000000000002</v>
      </c>
      <c r="U322" s="62">
        <v>46072.291666666664</v>
      </c>
      <c r="V322" s="63" t="s">
        <v>86</v>
      </c>
      <c r="W322" s="63">
        <v>792.44</v>
      </c>
      <c r="X322" s="63">
        <v>4200</v>
      </c>
      <c r="Y322" s="63" t="s">
        <v>515</v>
      </c>
    </row>
    <row r="323" spans="1:25" hidden="1">
      <c r="A323" s="62">
        <v>46071.738611111112</v>
      </c>
      <c r="B323" s="63">
        <v>641520</v>
      </c>
      <c r="C323" s="63" t="s">
        <v>179</v>
      </c>
      <c r="D323" s="63"/>
      <c r="E323" s="62">
        <v>46072.772928240738</v>
      </c>
      <c r="F323" s="63" t="s">
        <v>202</v>
      </c>
      <c r="G323" s="63">
        <v>1723090201</v>
      </c>
      <c r="H323" s="63">
        <v>26563652028995</v>
      </c>
      <c r="I323" s="63" t="s">
        <v>2576</v>
      </c>
      <c r="J323" s="63" t="s">
        <v>159</v>
      </c>
      <c r="K323" s="63" t="s">
        <v>64</v>
      </c>
      <c r="L323" s="63" t="s">
        <v>2577</v>
      </c>
      <c r="M323" s="63" t="s">
        <v>223</v>
      </c>
      <c r="N323" s="63" t="s">
        <v>84</v>
      </c>
      <c r="O323" s="63" t="s">
        <v>169</v>
      </c>
      <c r="P323" s="63" t="s">
        <v>170</v>
      </c>
      <c r="Q323" s="63">
        <v>1</v>
      </c>
      <c r="R323" s="63">
        <v>0</v>
      </c>
      <c r="S323" s="63" t="s">
        <v>76</v>
      </c>
      <c r="T323" s="63">
        <v>70.792000000000002</v>
      </c>
      <c r="U323" s="62">
        <v>46072.291666666664</v>
      </c>
      <c r="V323" s="63" t="s">
        <v>86</v>
      </c>
      <c r="W323" s="63">
        <v>792.44</v>
      </c>
      <c r="X323" s="63">
        <v>4200</v>
      </c>
      <c r="Y323" s="63" t="s">
        <v>515</v>
      </c>
    </row>
    <row r="324" spans="1:25" hidden="1">
      <c r="A324" s="62">
        <v>46071.738611111112</v>
      </c>
      <c r="B324" s="63">
        <v>641520</v>
      </c>
      <c r="C324" s="63" t="s">
        <v>179</v>
      </c>
      <c r="D324" s="63"/>
      <c r="E324" s="62">
        <v>46072.772928240738</v>
      </c>
      <c r="F324" s="63" t="s">
        <v>202</v>
      </c>
      <c r="G324" s="63">
        <v>1723130201</v>
      </c>
      <c r="H324" s="63">
        <v>26563652034880</v>
      </c>
      <c r="I324" s="63" t="s">
        <v>191</v>
      </c>
      <c r="J324" s="63" t="s">
        <v>159</v>
      </c>
      <c r="K324" s="63" t="s">
        <v>64</v>
      </c>
      <c r="L324" s="63"/>
      <c r="M324" s="63" t="s">
        <v>185</v>
      </c>
      <c r="N324" s="63" t="s">
        <v>84</v>
      </c>
      <c r="O324" s="63" t="s">
        <v>68</v>
      </c>
      <c r="P324" s="63" t="s">
        <v>69</v>
      </c>
      <c r="Q324" s="63">
        <v>8</v>
      </c>
      <c r="R324" s="63">
        <v>0</v>
      </c>
      <c r="S324" s="63" t="s">
        <v>70</v>
      </c>
      <c r="T324" s="63">
        <v>60.774000000000001</v>
      </c>
      <c r="U324" s="62">
        <v>46072.291666666664</v>
      </c>
      <c r="V324" s="63" t="s">
        <v>86</v>
      </c>
      <c r="W324" s="63">
        <v>632.54</v>
      </c>
      <c r="X324" s="63">
        <v>4200</v>
      </c>
      <c r="Y324" s="63" t="s">
        <v>515</v>
      </c>
    </row>
    <row r="325" spans="1:25" hidden="1">
      <c r="A325" s="62">
        <v>46071.738611111112</v>
      </c>
      <c r="B325" s="63">
        <v>641520</v>
      </c>
      <c r="C325" s="63" t="s">
        <v>179</v>
      </c>
      <c r="D325" s="63"/>
      <c r="E325" s="62">
        <v>46072.772928240738</v>
      </c>
      <c r="F325" s="63" t="s">
        <v>202</v>
      </c>
      <c r="G325" s="63">
        <v>1723130201</v>
      </c>
      <c r="H325" s="63">
        <v>26563652034880</v>
      </c>
      <c r="I325" s="63" t="s">
        <v>191</v>
      </c>
      <c r="J325" s="63" t="s">
        <v>159</v>
      </c>
      <c r="K325" s="63" t="s">
        <v>64</v>
      </c>
      <c r="L325" s="63"/>
      <c r="M325" s="63" t="s">
        <v>185</v>
      </c>
      <c r="N325" s="63" t="s">
        <v>84</v>
      </c>
      <c r="O325" s="63" t="s">
        <v>72</v>
      </c>
      <c r="P325" s="63" t="s">
        <v>73</v>
      </c>
      <c r="Q325" s="63">
        <v>2</v>
      </c>
      <c r="R325" s="63">
        <v>0</v>
      </c>
      <c r="S325" s="63" t="s">
        <v>70</v>
      </c>
      <c r="T325" s="63">
        <v>60.774000000000001</v>
      </c>
      <c r="U325" s="62">
        <v>46072.291666666664</v>
      </c>
      <c r="V325" s="63" t="s">
        <v>86</v>
      </c>
      <c r="W325" s="63">
        <v>632.54</v>
      </c>
      <c r="X325" s="63">
        <v>4200</v>
      </c>
      <c r="Y325" s="63" t="s">
        <v>515</v>
      </c>
    </row>
    <row r="326" spans="1:25" hidden="1">
      <c r="A326" s="62">
        <v>46071.738611111112</v>
      </c>
      <c r="B326" s="63">
        <v>641520</v>
      </c>
      <c r="C326" s="63" t="s">
        <v>179</v>
      </c>
      <c r="D326" s="63"/>
      <c r="E326" s="62">
        <v>46072.772928240738</v>
      </c>
      <c r="F326" s="63" t="s">
        <v>202</v>
      </c>
      <c r="G326" s="63">
        <v>1723130201</v>
      </c>
      <c r="H326" s="63">
        <v>26563652034880</v>
      </c>
      <c r="I326" s="63" t="s">
        <v>191</v>
      </c>
      <c r="J326" s="63" t="s">
        <v>159</v>
      </c>
      <c r="K326" s="63" t="s">
        <v>64</v>
      </c>
      <c r="L326" s="63"/>
      <c r="M326" s="63" t="s">
        <v>185</v>
      </c>
      <c r="N326" s="63" t="s">
        <v>84</v>
      </c>
      <c r="O326" s="63" t="s">
        <v>169</v>
      </c>
      <c r="P326" s="63" t="s">
        <v>170</v>
      </c>
      <c r="Q326" s="63">
        <v>1</v>
      </c>
      <c r="R326" s="63">
        <v>0</v>
      </c>
      <c r="S326" s="63" t="s">
        <v>76</v>
      </c>
      <c r="T326" s="63">
        <v>60.774000000000001</v>
      </c>
      <c r="U326" s="62">
        <v>46072.291666666664</v>
      </c>
      <c r="V326" s="63" t="s">
        <v>86</v>
      </c>
      <c r="W326" s="63">
        <v>632.54</v>
      </c>
      <c r="X326" s="63">
        <v>4200</v>
      </c>
      <c r="Y326" s="63" t="s">
        <v>515</v>
      </c>
    </row>
    <row r="327" spans="1:25" hidden="1">
      <c r="A327" s="62">
        <v>46071.738611111112</v>
      </c>
      <c r="B327" s="63">
        <v>641520</v>
      </c>
      <c r="C327" s="63" t="s">
        <v>179</v>
      </c>
      <c r="D327" s="63"/>
      <c r="E327" s="62">
        <v>46072.772928240738</v>
      </c>
      <c r="F327" s="63" t="s">
        <v>202</v>
      </c>
      <c r="G327" s="63">
        <v>1723190201</v>
      </c>
      <c r="H327" s="63">
        <v>26563652035932</v>
      </c>
      <c r="I327" s="63" t="s">
        <v>192</v>
      </c>
      <c r="J327" s="63" t="s">
        <v>159</v>
      </c>
      <c r="K327" s="63" t="s">
        <v>64</v>
      </c>
      <c r="L327" s="63" t="s">
        <v>193</v>
      </c>
      <c r="M327" s="63" t="s">
        <v>194</v>
      </c>
      <c r="N327" s="63" t="s">
        <v>84</v>
      </c>
      <c r="O327" s="63" t="s">
        <v>68</v>
      </c>
      <c r="P327" s="63" t="s">
        <v>69</v>
      </c>
      <c r="Q327" s="63">
        <v>9</v>
      </c>
      <c r="R327" s="63">
        <v>0</v>
      </c>
      <c r="S327" s="63" t="s">
        <v>70</v>
      </c>
      <c r="T327" s="63">
        <v>50.161999999999999</v>
      </c>
      <c r="U327" s="62">
        <v>46072.291666666664</v>
      </c>
      <c r="V327" s="63" t="s">
        <v>86</v>
      </c>
      <c r="W327" s="63">
        <v>356.72</v>
      </c>
      <c r="X327" s="63">
        <v>4200</v>
      </c>
      <c r="Y327" s="63" t="s">
        <v>515</v>
      </c>
    </row>
    <row r="328" spans="1:25" hidden="1">
      <c r="A328" s="62">
        <v>46071.738611111112</v>
      </c>
      <c r="B328" s="63">
        <v>641520</v>
      </c>
      <c r="C328" s="63" t="s">
        <v>179</v>
      </c>
      <c r="D328" s="63"/>
      <c r="E328" s="62">
        <v>46072.772928240738</v>
      </c>
      <c r="F328" s="63" t="s">
        <v>202</v>
      </c>
      <c r="G328" s="63">
        <v>1723190201</v>
      </c>
      <c r="H328" s="63">
        <v>26563652035932</v>
      </c>
      <c r="I328" s="63" t="s">
        <v>192</v>
      </c>
      <c r="J328" s="63" t="s">
        <v>159</v>
      </c>
      <c r="K328" s="63" t="s">
        <v>64</v>
      </c>
      <c r="L328" s="63" t="s">
        <v>193</v>
      </c>
      <c r="M328" s="63" t="s">
        <v>194</v>
      </c>
      <c r="N328" s="63" t="s">
        <v>84</v>
      </c>
      <c r="O328" s="63" t="s">
        <v>72</v>
      </c>
      <c r="P328" s="63" t="s">
        <v>73</v>
      </c>
      <c r="Q328" s="63">
        <v>1</v>
      </c>
      <c r="R328" s="63">
        <v>0</v>
      </c>
      <c r="S328" s="63" t="s">
        <v>70</v>
      </c>
      <c r="T328" s="63">
        <v>50.161999999999999</v>
      </c>
      <c r="U328" s="62">
        <v>46072.291666666664</v>
      </c>
      <c r="V328" s="63" t="s">
        <v>86</v>
      </c>
      <c r="W328" s="63">
        <v>356.72</v>
      </c>
      <c r="X328" s="63">
        <v>4200</v>
      </c>
      <c r="Y328" s="63" t="s">
        <v>515</v>
      </c>
    </row>
    <row r="329" spans="1:25" hidden="1">
      <c r="A329" s="62">
        <v>46071.738611111112</v>
      </c>
      <c r="B329" s="63">
        <v>641520</v>
      </c>
      <c r="C329" s="63" t="s">
        <v>179</v>
      </c>
      <c r="D329" s="63"/>
      <c r="E329" s="62">
        <v>46072.772928240738</v>
      </c>
      <c r="F329" s="63" t="s">
        <v>202</v>
      </c>
      <c r="G329" s="63">
        <v>1723250201</v>
      </c>
      <c r="H329" s="63">
        <v>26563652036580</v>
      </c>
      <c r="I329" s="63" t="s">
        <v>2578</v>
      </c>
      <c r="J329" s="63" t="s">
        <v>159</v>
      </c>
      <c r="K329" s="63" t="s">
        <v>64</v>
      </c>
      <c r="L329" s="63" t="s">
        <v>2579</v>
      </c>
      <c r="M329" s="63" t="s">
        <v>198</v>
      </c>
      <c r="N329" s="63" t="s">
        <v>84</v>
      </c>
      <c r="O329" s="63" t="s">
        <v>68</v>
      </c>
      <c r="P329" s="63" t="s">
        <v>69</v>
      </c>
      <c r="Q329" s="63">
        <v>2</v>
      </c>
      <c r="R329" s="63">
        <v>0</v>
      </c>
      <c r="S329" s="63" t="s">
        <v>70</v>
      </c>
      <c r="T329" s="63">
        <v>27.876000000000001</v>
      </c>
      <c r="U329" s="62">
        <v>46072.291666666664</v>
      </c>
      <c r="V329" s="63" t="s">
        <v>86</v>
      </c>
      <c r="W329" s="63">
        <v>583.63</v>
      </c>
      <c r="X329" s="63">
        <v>4200</v>
      </c>
      <c r="Y329" s="63" t="s">
        <v>515</v>
      </c>
    </row>
    <row r="330" spans="1:25" hidden="1">
      <c r="A330" s="62">
        <v>46071.738611111112</v>
      </c>
      <c r="B330" s="63">
        <v>641520</v>
      </c>
      <c r="C330" s="63" t="s">
        <v>179</v>
      </c>
      <c r="D330" s="63"/>
      <c r="E330" s="62">
        <v>46072.772928240738</v>
      </c>
      <c r="F330" s="63" t="s">
        <v>202</v>
      </c>
      <c r="G330" s="63">
        <v>1723250201</v>
      </c>
      <c r="H330" s="63">
        <v>26563652036580</v>
      </c>
      <c r="I330" s="63" t="s">
        <v>2578</v>
      </c>
      <c r="J330" s="63" t="s">
        <v>159</v>
      </c>
      <c r="K330" s="63" t="s">
        <v>64</v>
      </c>
      <c r="L330" s="63" t="s">
        <v>2579</v>
      </c>
      <c r="M330" s="63" t="s">
        <v>198</v>
      </c>
      <c r="N330" s="63" t="s">
        <v>84</v>
      </c>
      <c r="O330" s="63" t="s">
        <v>169</v>
      </c>
      <c r="P330" s="63" t="s">
        <v>170</v>
      </c>
      <c r="Q330" s="63">
        <v>1</v>
      </c>
      <c r="R330" s="63">
        <v>0</v>
      </c>
      <c r="S330" s="63" t="s">
        <v>76</v>
      </c>
      <c r="T330" s="63">
        <v>27.876000000000001</v>
      </c>
      <c r="U330" s="62">
        <v>46072.291666666664</v>
      </c>
      <c r="V330" s="63" t="s">
        <v>86</v>
      </c>
      <c r="W330" s="63">
        <v>583.63</v>
      </c>
      <c r="X330" s="63">
        <v>4200</v>
      </c>
      <c r="Y330" s="63" t="s">
        <v>515</v>
      </c>
    </row>
    <row r="331" spans="1:25" hidden="1">
      <c r="A331" s="62">
        <v>46071.738611111112</v>
      </c>
      <c r="B331" s="63">
        <v>641520</v>
      </c>
      <c r="C331" s="63" t="s">
        <v>179</v>
      </c>
      <c r="D331" s="63"/>
      <c r="E331" s="62">
        <v>46072.772928240738</v>
      </c>
      <c r="F331" s="63" t="s">
        <v>202</v>
      </c>
      <c r="G331" s="63">
        <v>1723250201</v>
      </c>
      <c r="H331" s="63">
        <v>26563652036580</v>
      </c>
      <c r="I331" s="63" t="s">
        <v>2578</v>
      </c>
      <c r="J331" s="63" t="s">
        <v>159</v>
      </c>
      <c r="K331" s="63" t="s">
        <v>64</v>
      </c>
      <c r="L331" s="63" t="s">
        <v>2579</v>
      </c>
      <c r="M331" s="63" t="s">
        <v>198</v>
      </c>
      <c r="N331" s="63" t="s">
        <v>84</v>
      </c>
      <c r="O331" s="63" t="s">
        <v>163</v>
      </c>
      <c r="P331" s="63" t="s">
        <v>164</v>
      </c>
      <c r="Q331" s="63">
        <v>1</v>
      </c>
      <c r="R331" s="63">
        <v>0</v>
      </c>
      <c r="S331" s="63" t="s">
        <v>76</v>
      </c>
      <c r="T331" s="63">
        <v>27.876000000000001</v>
      </c>
      <c r="U331" s="62">
        <v>46072.291666666664</v>
      </c>
      <c r="V331" s="63" t="s">
        <v>86</v>
      </c>
      <c r="W331" s="63">
        <v>583.63</v>
      </c>
      <c r="X331" s="63">
        <v>4200</v>
      </c>
      <c r="Y331" s="63" t="s">
        <v>515</v>
      </c>
    </row>
    <row r="332" spans="1:25" hidden="1">
      <c r="A332" s="62">
        <v>46071.738611111112</v>
      </c>
      <c r="B332" s="63">
        <v>641520</v>
      </c>
      <c r="C332" s="63" t="s">
        <v>179</v>
      </c>
      <c r="D332" s="63"/>
      <c r="E332" s="62">
        <v>46072.772939814815</v>
      </c>
      <c r="F332" s="63" t="s">
        <v>202</v>
      </c>
      <c r="G332" s="63">
        <v>1723390201</v>
      </c>
      <c r="H332" s="63">
        <v>26563652012487</v>
      </c>
      <c r="I332" s="63" t="s">
        <v>222</v>
      </c>
      <c r="J332" s="63" t="s">
        <v>159</v>
      </c>
      <c r="K332" s="63" t="s">
        <v>64</v>
      </c>
      <c r="L332" s="63"/>
      <c r="M332" s="63" t="s">
        <v>223</v>
      </c>
      <c r="N332" s="63" t="s">
        <v>84</v>
      </c>
      <c r="O332" s="63" t="s">
        <v>68</v>
      </c>
      <c r="P332" s="63" t="s">
        <v>69</v>
      </c>
      <c r="Q332" s="63">
        <v>4</v>
      </c>
      <c r="R332" s="63">
        <v>0</v>
      </c>
      <c r="S332" s="63" t="s">
        <v>70</v>
      </c>
      <c r="T332" s="63">
        <v>40.072000000000003</v>
      </c>
      <c r="U332" s="62">
        <v>46072.291666666664</v>
      </c>
      <c r="V332" s="63" t="s">
        <v>86</v>
      </c>
      <c r="W332" s="63">
        <v>409.5</v>
      </c>
      <c r="X332" s="63">
        <v>4200</v>
      </c>
      <c r="Y332" s="63" t="s">
        <v>515</v>
      </c>
    </row>
    <row r="333" spans="1:25" hidden="1">
      <c r="A333" s="62">
        <v>46071.738611111112</v>
      </c>
      <c r="B333" s="63">
        <v>641520</v>
      </c>
      <c r="C333" s="63" t="s">
        <v>179</v>
      </c>
      <c r="D333" s="63"/>
      <c r="E333" s="62">
        <v>46072.772939814815</v>
      </c>
      <c r="F333" s="63" t="s">
        <v>202</v>
      </c>
      <c r="G333" s="63">
        <v>1723390201</v>
      </c>
      <c r="H333" s="63">
        <v>26563652012487</v>
      </c>
      <c r="I333" s="63" t="s">
        <v>222</v>
      </c>
      <c r="J333" s="63" t="s">
        <v>159</v>
      </c>
      <c r="K333" s="63" t="s">
        <v>64</v>
      </c>
      <c r="L333" s="63"/>
      <c r="M333" s="63" t="s">
        <v>223</v>
      </c>
      <c r="N333" s="63" t="s">
        <v>84</v>
      </c>
      <c r="O333" s="63" t="s">
        <v>72</v>
      </c>
      <c r="P333" s="63" t="s">
        <v>73</v>
      </c>
      <c r="Q333" s="63">
        <v>2</v>
      </c>
      <c r="R333" s="63">
        <v>0</v>
      </c>
      <c r="S333" s="63" t="s">
        <v>70</v>
      </c>
      <c r="T333" s="63">
        <v>40.072000000000003</v>
      </c>
      <c r="U333" s="62">
        <v>46072.291666666664</v>
      </c>
      <c r="V333" s="63" t="s">
        <v>86</v>
      </c>
      <c r="W333" s="63">
        <v>409.5</v>
      </c>
      <c r="X333" s="63">
        <v>4200</v>
      </c>
      <c r="Y333" s="63" t="s">
        <v>515</v>
      </c>
    </row>
    <row r="334" spans="1:25" hidden="1">
      <c r="A334" s="62">
        <v>46071.738611111112</v>
      </c>
      <c r="B334" s="63">
        <v>641520</v>
      </c>
      <c r="C334" s="63" t="s">
        <v>179</v>
      </c>
      <c r="D334" s="63"/>
      <c r="E334" s="62">
        <v>46072.772939814815</v>
      </c>
      <c r="F334" s="63" t="s">
        <v>202</v>
      </c>
      <c r="G334" s="63">
        <v>1723390201</v>
      </c>
      <c r="H334" s="63">
        <v>26563652012487</v>
      </c>
      <c r="I334" s="63" t="s">
        <v>222</v>
      </c>
      <c r="J334" s="63" t="s">
        <v>159</v>
      </c>
      <c r="K334" s="63" t="s">
        <v>64</v>
      </c>
      <c r="L334" s="63"/>
      <c r="M334" s="63" t="s">
        <v>223</v>
      </c>
      <c r="N334" s="63" t="s">
        <v>84</v>
      </c>
      <c r="O334" s="63" t="s">
        <v>74</v>
      </c>
      <c r="P334" s="63" t="s">
        <v>75</v>
      </c>
      <c r="Q334" s="63">
        <v>1</v>
      </c>
      <c r="R334" s="63">
        <v>0</v>
      </c>
      <c r="S334" s="63" t="s">
        <v>76</v>
      </c>
      <c r="T334" s="63">
        <v>40.072000000000003</v>
      </c>
      <c r="U334" s="62">
        <v>46072.291666666664</v>
      </c>
      <c r="V334" s="63" t="s">
        <v>86</v>
      </c>
      <c r="W334" s="63">
        <v>409.5</v>
      </c>
      <c r="X334" s="63">
        <v>4200</v>
      </c>
      <c r="Y334" s="63" t="s">
        <v>515</v>
      </c>
    </row>
    <row r="335" spans="1:25" hidden="1">
      <c r="A335" s="62">
        <v>46071.738611111112</v>
      </c>
      <c r="B335" s="63">
        <v>641520</v>
      </c>
      <c r="C335" s="63" t="s">
        <v>179</v>
      </c>
      <c r="D335" s="63"/>
      <c r="E335" s="62">
        <v>46072.772939814815</v>
      </c>
      <c r="F335" s="63" t="s">
        <v>202</v>
      </c>
      <c r="G335" s="63">
        <v>1723450201</v>
      </c>
      <c r="H335" s="63">
        <v>26563652010433</v>
      </c>
      <c r="I335" s="63" t="s">
        <v>2247</v>
      </c>
      <c r="J335" s="63" t="s">
        <v>159</v>
      </c>
      <c r="K335" s="63" t="s">
        <v>64</v>
      </c>
      <c r="L335" s="63" t="s">
        <v>2248</v>
      </c>
      <c r="M335" s="63" t="s">
        <v>2249</v>
      </c>
      <c r="N335" s="63" t="s">
        <v>84</v>
      </c>
      <c r="O335" s="63" t="s">
        <v>68</v>
      </c>
      <c r="P335" s="63" t="s">
        <v>69</v>
      </c>
      <c r="Q335" s="63">
        <v>6</v>
      </c>
      <c r="R335" s="63">
        <v>0</v>
      </c>
      <c r="S335" s="63" t="s">
        <v>70</v>
      </c>
      <c r="T335" s="63">
        <v>30.108000000000001</v>
      </c>
      <c r="U335" s="62">
        <v>46072.291666666664</v>
      </c>
      <c r="V335" s="63" t="s">
        <v>86</v>
      </c>
      <c r="W335" s="63">
        <v>205.14</v>
      </c>
      <c r="X335" s="63">
        <v>4200</v>
      </c>
      <c r="Y335" s="63" t="s">
        <v>515</v>
      </c>
    </row>
    <row r="336" spans="1:25" hidden="1">
      <c r="A336" s="62">
        <v>46071.738611111112</v>
      </c>
      <c r="B336" s="63">
        <v>641520</v>
      </c>
      <c r="C336" s="63" t="s">
        <v>179</v>
      </c>
      <c r="D336" s="63"/>
      <c r="E336" s="62">
        <v>46072.772951388892</v>
      </c>
      <c r="F336" s="63" t="s">
        <v>202</v>
      </c>
      <c r="G336" s="63">
        <v>1723770201</v>
      </c>
      <c r="H336" s="63">
        <v>26563652013378</v>
      </c>
      <c r="I336" s="63" t="s">
        <v>2432</v>
      </c>
      <c r="J336" s="63" t="s">
        <v>159</v>
      </c>
      <c r="K336" s="63" t="s">
        <v>64</v>
      </c>
      <c r="L336" s="63" t="s">
        <v>2433</v>
      </c>
      <c r="M336" s="63" t="s">
        <v>198</v>
      </c>
      <c r="N336" s="63" t="s">
        <v>84</v>
      </c>
      <c r="O336" s="63" t="s">
        <v>68</v>
      </c>
      <c r="P336" s="63" t="s">
        <v>69</v>
      </c>
      <c r="Q336" s="63">
        <v>10</v>
      </c>
      <c r="R336" s="63">
        <v>0</v>
      </c>
      <c r="S336" s="63" t="s">
        <v>70</v>
      </c>
      <c r="T336" s="63">
        <v>55.18</v>
      </c>
      <c r="U336" s="62">
        <v>46072.291666666664</v>
      </c>
      <c r="V336" s="63" t="s">
        <v>86</v>
      </c>
      <c r="W336" s="63">
        <v>390.91</v>
      </c>
      <c r="X336" s="63">
        <v>4200</v>
      </c>
      <c r="Y336" s="63" t="s">
        <v>515</v>
      </c>
    </row>
    <row r="337" spans="1:25" hidden="1">
      <c r="A337" s="62">
        <v>46071.738611111112</v>
      </c>
      <c r="B337" s="63">
        <v>641520</v>
      </c>
      <c r="C337" s="63" t="s">
        <v>179</v>
      </c>
      <c r="D337" s="63"/>
      <c r="E337" s="62">
        <v>46072.772951388892</v>
      </c>
      <c r="F337" s="63" t="s">
        <v>202</v>
      </c>
      <c r="G337" s="63">
        <v>1723770201</v>
      </c>
      <c r="H337" s="63">
        <v>26563652013378</v>
      </c>
      <c r="I337" s="63" t="s">
        <v>2432</v>
      </c>
      <c r="J337" s="63" t="s">
        <v>159</v>
      </c>
      <c r="K337" s="63" t="s">
        <v>64</v>
      </c>
      <c r="L337" s="63" t="s">
        <v>2433</v>
      </c>
      <c r="M337" s="63" t="s">
        <v>198</v>
      </c>
      <c r="N337" s="63" t="s">
        <v>84</v>
      </c>
      <c r="O337" s="63" t="s">
        <v>72</v>
      </c>
      <c r="P337" s="63" t="s">
        <v>73</v>
      </c>
      <c r="Q337" s="63">
        <v>1</v>
      </c>
      <c r="R337" s="63">
        <v>0</v>
      </c>
      <c r="S337" s="63" t="s">
        <v>70</v>
      </c>
      <c r="T337" s="63">
        <v>55.18</v>
      </c>
      <c r="U337" s="62">
        <v>46072.291666666664</v>
      </c>
      <c r="V337" s="63" t="s">
        <v>86</v>
      </c>
      <c r="W337" s="63">
        <v>390.91</v>
      </c>
      <c r="X337" s="63">
        <v>4200</v>
      </c>
      <c r="Y337" s="63" t="s">
        <v>515</v>
      </c>
    </row>
    <row r="338" spans="1:25" hidden="1">
      <c r="A338" s="62">
        <v>46071.738611111112</v>
      </c>
      <c r="B338" s="63">
        <v>641520</v>
      </c>
      <c r="C338" s="63" t="s">
        <v>179</v>
      </c>
      <c r="D338" s="63"/>
      <c r="E338" s="62">
        <v>46072.772951388892</v>
      </c>
      <c r="F338" s="63" t="s">
        <v>202</v>
      </c>
      <c r="G338" s="63">
        <v>1723870201</v>
      </c>
      <c r="H338" s="63">
        <v>26563652037986</v>
      </c>
      <c r="I338" s="63" t="s">
        <v>196</v>
      </c>
      <c r="J338" s="63" t="s">
        <v>159</v>
      </c>
      <c r="K338" s="63" t="s">
        <v>64</v>
      </c>
      <c r="L338" s="63" t="s">
        <v>197</v>
      </c>
      <c r="M338" s="63" t="s">
        <v>198</v>
      </c>
      <c r="N338" s="63" t="s">
        <v>84</v>
      </c>
      <c r="O338" s="63" t="s">
        <v>68</v>
      </c>
      <c r="P338" s="63" t="s">
        <v>69</v>
      </c>
      <c r="Q338" s="63">
        <v>7</v>
      </c>
      <c r="R338" s="63">
        <v>0</v>
      </c>
      <c r="S338" s="63" t="s">
        <v>70</v>
      </c>
      <c r="T338" s="63">
        <v>55.756</v>
      </c>
      <c r="U338" s="62">
        <v>46072.291666666664</v>
      </c>
      <c r="V338" s="63" t="s">
        <v>86</v>
      </c>
      <c r="W338" s="63">
        <v>675.05</v>
      </c>
      <c r="X338" s="63">
        <v>4200</v>
      </c>
      <c r="Y338" s="63" t="s">
        <v>515</v>
      </c>
    </row>
    <row r="339" spans="1:25" hidden="1">
      <c r="A339" s="62">
        <v>46071.738611111112</v>
      </c>
      <c r="B339" s="63">
        <v>641520</v>
      </c>
      <c r="C339" s="63" t="s">
        <v>179</v>
      </c>
      <c r="D339" s="63"/>
      <c r="E339" s="62">
        <v>46072.772951388892</v>
      </c>
      <c r="F339" s="63" t="s">
        <v>202</v>
      </c>
      <c r="G339" s="63">
        <v>1723870201</v>
      </c>
      <c r="H339" s="63">
        <v>26563652037986</v>
      </c>
      <c r="I339" s="63" t="s">
        <v>196</v>
      </c>
      <c r="J339" s="63" t="s">
        <v>159</v>
      </c>
      <c r="K339" s="63" t="s">
        <v>64</v>
      </c>
      <c r="L339" s="63" t="s">
        <v>197</v>
      </c>
      <c r="M339" s="63" t="s">
        <v>198</v>
      </c>
      <c r="N339" s="63" t="s">
        <v>84</v>
      </c>
      <c r="O339" s="63" t="s">
        <v>74</v>
      </c>
      <c r="P339" s="63" t="s">
        <v>75</v>
      </c>
      <c r="Q339" s="63">
        <v>1</v>
      </c>
      <c r="R339" s="63">
        <v>0</v>
      </c>
      <c r="S339" s="63" t="s">
        <v>76</v>
      </c>
      <c r="T339" s="63">
        <v>55.756</v>
      </c>
      <c r="U339" s="62">
        <v>46072.291666666664</v>
      </c>
      <c r="V339" s="63" t="s">
        <v>86</v>
      </c>
      <c r="W339" s="63">
        <v>675.05</v>
      </c>
      <c r="X339" s="63">
        <v>4200</v>
      </c>
      <c r="Y339" s="63" t="s">
        <v>515</v>
      </c>
    </row>
    <row r="340" spans="1:25" hidden="1">
      <c r="A340" s="62">
        <v>46071.738611111112</v>
      </c>
      <c r="B340" s="63">
        <v>641520</v>
      </c>
      <c r="C340" s="63" t="s">
        <v>179</v>
      </c>
      <c r="D340" s="63"/>
      <c r="E340" s="62">
        <v>46072.772951388892</v>
      </c>
      <c r="F340" s="63" t="s">
        <v>202</v>
      </c>
      <c r="G340" s="63">
        <v>1723870201</v>
      </c>
      <c r="H340" s="63">
        <v>26563652037986</v>
      </c>
      <c r="I340" s="63" t="s">
        <v>196</v>
      </c>
      <c r="J340" s="63" t="s">
        <v>159</v>
      </c>
      <c r="K340" s="63" t="s">
        <v>64</v>
      </c>
      <c r="L340" s="63" t="s">
        <v>197</v>
      </c>
      <c r="M340" s="63" t="s">
        <v>198</v>
      </c>
      <c r="N340" s="63" t="s">
        <v>84</v>
      </c>
      <c r="O340" s="63" t="s">
        <v>169</v>
      </c>
      <c r="P340" s="63" t="s">
        <v>170</v>
      </c>
      <c r="Q340" s="63">
        <v>1</v>
      </c>
      <c r="R340" s="63">
        <v>0</v>
      </c>
      <c r="S340" s="63" t="s">
        <v>76</v>
      </c>
      <c r="T340" s="63">
        <v>55.756</v>
      </c>
      <c r="U340" s="62">
        <v>46072.291666666664</v>
      </c>
      <c r="V340" s="63" t="s">
        <v>86</v>
      </c>
      <c r="W340" s="63">
        <v>675.05</v>
      </c>
      <c r="X340" s="63">
        <v>4200</v>
      </c>
      <c r="Y340" s="63" t="s">
        <v>515</v>
      </c>
    </row>
    <row r="341" spans="1:25" ht="30" hidden="1">
      <c r="A341" s="62">
        <v>46071.738622685189</v>
      </c>
      <c r="B341" s="63">
        <v>641521</v>
      </c>
      <c r="C341" s="63" t="s">
        <v>2580</v>
      </c>
      <c r="D341" s="63"/>
      <c r="E341" s="62">
        <v>46072.772835648146</v>
      </c>
      <c r="F341" s="63" t="s">
        <v>288</v>
      </c>
      <c r="G341" s="63">
        <v>1708590201</v>
      </c>
      <c r="H341" s="63">
        <v>67228536001535</v>
      </c>
      <c r="I341" s="63" t="s">
        <v>2581</v>
      </c>
      <c r="J341" s="63" t="s">
        <v>2582</v>
      </c>
      <c r="K341" s="63" t="s">
        <v>64</v>
      </c>
      <c r="L341" s="63" t="s">
        <v>2583</v>
      </c>
      <c r="M341" s="63" t="s">
        <v>2584</v>
      </c>
      <c r="N341" s="63" t="s">
        <v>2585</v>
      </c>
      <c r="O341" s="63" t="s">
        <v>74</v>
      </c>
      <c r="P341" s="63" t="s">
        <v>75</v>
      </c>
      <c r="Q341" s="63">
        <v>2</v>
      </c>
      <c r="R341" s="63">
        <v>0</v>
      </c>
      <c r="S341" s="63" t="s">
        <v>76</v>
      </c>
      <c r="T341" s="63">
        <v>104.41</v>
      </c>
      <c r="U341" s="62">
        <v>46072.291666666664</v>
      </c>
      <c r="V341" s="63" t="s">
        <v>86</v>
      </c>
      <c r="W341" s="63">
        <v>1386</v>
      </c>
      <c r="X341" s="63">
        <v>4200</v>
      </c>
      <c r="Y341" s="63" t="s">
        <v>466</v>
      </c>
    </row>
    <row r="342" spans="1:25" ht="30" hidden="1">
      <c r="A342" s="62">
        <v>46071.738622685189</v>
      </c>
      <c r="B342" s="63">
        <v>641521</v>
      </c>
      <c r="C342" s="63" t="s">
        <v>2580</v>
      </c>
      <c r="D342" s="63"/>
      <c r="E342" s="62">
        <v>46072.772835648146</v>
      </c>
      <c r="F342" s="63" t="s">
        <v>288</v>
      </c>
      <c r="G342" s="63">
        <v>1708590201</v>
      </c>
      <c r="H342" s="63">
        <v>67228536001535</v>
      </c>
      <c r="I342" s="63" t="s">
        <v>2581</v>
      </c>
      <c r="J342" s="63" t="s">
        <v>2582</v>
      </c>
      <c r="K342" s="63" t="s">
        <v>64</v>
      </c>
      <c r="L342" s="63" t="s">
        <v>2583</v>
      </c>
      <c r="M342" s="63" t="s">
        <v>2584</v>
      </c>
      <c r="N342" s="63" t="s">
        <v>2585</v>
      </c>
      <c r="O342" s="63" t="s">
        <v>280</v>
      </c>
      <c r="P342" s="63" t="s">
        <v>281</v>
      </c>
      <c r="Q342" s="63">
        <v>2</v>
      </c>
      <c r="R342" s="63">
        <v>0</v>
      </c>
      <c r="S342" s="63" t="s">
        <v>70</v>
      </c>
      <c r="T342" s="63">
        <v>104.41</v>
      </c>
      <c r="U342" s="62">
        <v>46072.291666666664</v>
      </c>
      <c r="V342" s="63" t="s">
        <v>86</v>
      </c>
      <c r="W342" s="63">
        <v>1386</v>
      </c>
      <c r="X342" s="63">
        <v>4200</v>
      </c>
      <c r="Y342" s="63" t="s">
        <v>466</v>
      </c>
    </row>
    <row r="343" spans="1:25" ht="30" hidden="1">
      <c r="A343" s="62">
        <v>46071.738622685189</v>
      </c>
      <c r="B343" s="63">
        <v>641521</v>
      </c>
      <c r="C343" s="63" t="s">
        <v>2580</v>
      </c>
      <c r="D343" s="63"/>
      <c r="E343" s="62">
        <v>46072.772835648146</v>
      </c>
      <c r="F343" s="63" t="s">
        <v>288</v>
      </c>
      <c r="G343" s="63">
        <v>1708590201</v>
      </c>
      <c r="H343" s="63">
        <v>67228536001535</v>
      </c>
      <c r="I343" s="63" t="s">
        <v>2581</v>
      </c>
      <c r="J343" s="63" t="s">
        <v>2582</v>
      </c>
      <c r="K343" s="63" t="s">
        <v>64</v>
      </c>
      <c r="L343" s="63" t="s">
        <v>2583</v>
      </c>
      <c r="M343" s="63" t="s">
        <v>2584</v>
      </c>
      <c r="N343" s="63" t="s">
        <v>2585</v>
      </c>
      <c r="O343" s="63" t="s">
        <v>101</v>
      </c>
      <c r="P343" s="63" t="s">
        <v>102</v>
      </c>
      <c r="Q343" s="63">
        <v>5</v>
      </c>
      <c r="R343" s="63">
        <v>0</v>
      </c>
      <c r="S343" s="63" t="s">
        <v>76</v>
      </c>
      <c r="T343" s="63">
        <v>104.41</v>
      </c>
      <c r="U343" s="62">
        <v>46072.291666666664</v>
      </c>
      <c r="V343" s="63" t="s">
        <v>86</v>
      </c>
      <c r="W343" s="63">
        <v>1386</v>
      </c>
      <c r="X343" s="63">
        <v>4200</v>
      </c>
      <c r="Y343" s="63" t="s">
        <v>466</v>
      </c>
    </row>
    <row r="344" spans="1:25" ht="30" hidden="1">
      <c r="A344" s="62">
        <v>46071.738622685189</v>
      </c>
      <c r="B344" s="63">
        <v>641521</v>
      </c>
      <c r="C344" s="63" t="s">
        <v>2580</v>
      </c>
      <c r="D344" s="63"/>
      <c r="E344" s="62">
        <v>46072.772835648146</v>
      </c>
      <c r="F344" s="63" t="s">
        <v>288</v>
      </c>
      <c r="G344" s="63">
        <v>1708590201</v>
      </c>
      <c r="H344" s="63">
        <v>67228536001535</v>
      </c>
      <c r="I344" s="63" t="s">
        <v>2581</v>
      </c>
      <c r="J344" s="63" t="s">
        <v>2582</v>
      </c>
      <c r="K344" s="63" t="s">
        <v>64</v>
      </c>
      <c r="L344" s="63" t="s">
        <v>2583</v>
      </c>
      <c r="M344" s="63" t="s">
        <v>2584</v>
      </c>
      <c r="N344" s="63" t="s">
        <v>2585</v>
      </c>
      <c r="O344" s="63" t="s">
        <v>105</v>
      </c>
      <c r="P344" s="63" t="s">
        <v>106</v>
      </c>
      <c r="Q344" s="63">
        <v>1</v>
      </c>
      <c r="R344" s="63">
        <v>0</v>
      </c>
      <c r="S344" s="63" t="s">
        <v>76</v>
      </c>
      <c r="T344" s="63">
        <v>104.41</v>
      </c>
      <c r="U344" s="62">
        <v>46072.291666666664</v>
      </c>
      <c r="V344" s="63" t="s">
        <v>86</v>
      </c>
      <c r="W344" s="63">
        <v>1386</v>
      </c>
      <c r="X344" s="63">
        <v>4200</v>
      </c>
      <c r="Y344" s="63" t="s">
        <v>466</v>
      </c>
    </row>
    <row r="345" spans="1:25" ht="30" hidden="1">
      <c r="A345" s="62">
        <v>46071.738622685189</v>
      </c>
      <c r="B345" s="63">
        <v>641521</v>
      </c>
      <c r="C345" s="63" t="s">
        <v>2580</v>
      </c>
      <c r="D345" s="63"/>
      <c r="E345" s="62">
        <v>46072.772835648146</v>
      </c>
      <c r="F345" s="63" t="s">
        <v>288</v>
      </c>
      <c r="G345" s="63">
        <v>1708590201</v>
      </c>
      <c r="H345" s="63">
        <v>67228536001535</v>
      </c>
      <c r="I345" s="63" t="s">
        <v>2581</v>
      </c>
      <c r="J345" s="63" t="s">
        <v>2582</v>
      </c>
      <c r="K345" s="63" t="s">
        <v>64</v>
      </c>
      <c r="L345" s="63" t="s">
        <v>2583</v>
      </c>
      <c r="M345" s="63" t="s">
        <v>2584</v>
      </c>
      <c r="N345" s="63" t="s">
        <v>2585</v>
      </c>
      <c r="O345" s="63" t="s">
        <v>269</v>
      </c>
      <c r="P345" s="63" t="s">
        <v>270</v>
      </c>
      <c r="Q345" s="63">
        <v>3</v>
      </c>
      <c r="R345" s="63">
        <v>0</v>
      </c>
      <c r="S345" s="63" t="s">
        <v>76</v>
      </c>
      <c r="T345" s="63">
        <v>104.41</v>
      </c>
      <c r="U345" s="62">
        <v>46072.291666666664</v>
      </c>
      <c r="V345" s="63" t="s">
        <v>86</v>
      </c>
      <c r="W345" s="63">
        <v>1386</v>
      </c>
      <c r="X345" s="63">
        <v>4200</v>
      </c>
      <c r="Y345" s="63" t="s">
        <v>466</v>
      </c>
    </row>
    <row r="346" spans="1:25" ht="30" hidden="1">
      <c r="A346" s="62">
        <v>46071.738622685189</v>
      </c>
      <c r="B346" s="63">
        <v>641521</v>
      </c>
      <c r="C346" s="63" t="s">
        <v>2580</v>
      </c>
      <c r="D346" s="63"/>
      <c r="E346" s="62">
        <v>46072.772858796299</v>
      </c>
      <c r="F346" s="63" t="s">
        <v>288</v>
      </c>
      <c r="G346" s="63">
        <v>1722920201</v>
      </c>
      <c r="H346" s="63">
        <v>67228536001020</v>
      </c>
      <c r="I346" s="63" t="s">
        <v>2581</v>
      </c>
      <c r="J346" s="63" t="s">
        <v>2582</v>
      </c>
      <c r="K346" s="63" t="s">
        <v>64</v>
      </c>
      <c r="L346" s="63" t="s">
        <v>2586</v>
      </c>
      <c r="M346" s="63" t="s">
        <v>2587</v>
      </c>
      <c r="N346" s="63" t="s">
        <v>2588</v>
      </c>
      <c r="O346" s="63" t="s">
        <v>68</v>
      </c>
      <c r="P346" s="63" t="s">
        <v>69</v>
      </c>
      <c r="Q346" s="63">
        <v>20</v>
      </c>
      <c r="R346" s="63">
        <v>0</v>
      </c>
      <c r="S346" s="63" t="s">
        <v>70</v>
      </c>
      <c r="T346" s="63">
        <v>100.36</v>
      </c>
      <c r="U346" s="62">
        <v>46072.291666666664</v>
      </c>
      <c r="V346" s="63" t="s">
        <v>86</v>
      </c>
      <c r="W346" s="63">
        <v>680</v>
      </c>
      <c r="X346" s="63">
        <v>4200</v>
      </c>
      <c r="Y346" s="63" t="s">
        <v>466</v>
      </c>
    </row>
    <row r="347" spans="1:25" hidden="1">
      <c r="A347" s="62">
        <v>46071.738622685189</v>
      </c>
      <c r="B347" s="63">
        <v>641521</v>
      </c>
      <c r="C347" s="63" t="s">
        <v>2580</v>
      </c>
      <c r="D347" s="63"/>
      <c r="E347" s="62">
        <v>46072.772881944446</v>
      </c>
      <c r="F347" s="63" t="s">
        <v>288</v>
      </c>
      <c r="G347" s="63">
        <v>1720970201</v>
      </c>
      <c r="H347" s="63">
        <v>39043203000109</v>
      </c>
      <c r="I347" s="63" t="s">
        <v>2589</v>
      </c>
      <c r="J347" s="63" t="s">
        <v>2590</v>
      </c>
      <c r="K347" s="63" t="s">
        <v>64</v>
      </c>
      <c r="L347" s="63" t="s">
        <v>2591</v>
      </c>
      <c r="M347" s="63" t="s">
        <v>2592</v>
      </c>
      <c r="N347" s="63" t="s">
        <v>2593</v>
      </c>
      <c r="O347" s="63" t="s">
        <v>68</v>
      </c>
      <c r="P347" s="63" t="s">
        <v>69</v>
      </c>
      <c r="Q347" s="63">
        <v>95</v>
      </c>
      <c r="R347" s="63">
        <v>0</v>
      </c>
      <c r="S347" s="63" t="s">
        <v>70</v>
      </c>
      <c r="T347" s="63">
        <v>491.71</v>
      </c>
      <c r="U347" s="62">
        <v>46072.291666666664</v>
      </c>
      <c r="V347" s="63" t="s">
        <v>86</v>
      </c>
      <c r="W347" s="63">
        <v>3771.55</v>
      </c>
      <c r="X347" s="63">
        <v>4200</v>
      </c>
      <c r="Y347" s="63" t="s">
        <v>466</v>
      </c>
    </row>
    <row r="348" spans="1:25" hidden="1">
      <c r="A348" s="62">
        <v>46071.738622685189</v>
      </c>
      <c r="B348" s="63">
        <v>641521</v>
      </c>
      <c r="C348" s="63" t="s">
        <v>2580</v>
      </c>
      <c r="D348" s="63"/>
      <c r="E348" s="62">
        <v>46072.772881944446</v>
      </c>
      <c r="F348" s="63" t="s">
        <v>288</v>
      </c>
      <c r="G348" s="63">
        <v>1720970201</v>
      </c>
      <c r="H348" s="63">
        <v>39043203000109</v>
      </c>
      <c r="I348" s="63" t="s">
        <v>2589</v>
      </c>
      <c r="J348" s="63" t="s">
        <v>2590</v>
      </c>
      <c r="K348" s="63" t="s">
        <v>64</v>
      </c>
      <c r="L348" s="63" t="s">
        <v>2591</v>
      </c>
      <c r="M348" s="63" t="s">
        <v>2592</v>
      </c>
      <c r="N348" s="63" t="s">
        <v>2593</v>
      </c>
      <c r="O348" s="63" t="s">
        <v>93</v>
      </c>
      <c r="P348" s="63" t="s">
        <v>94</v>
      </c>
      <c r="Q348" s="63">
        <v>1</v>
      </c>
      <c r="R348" s="63">
        <v>0</v>
      </c>
      <c r="S348" s="63" t="s">
        <v>70</v>
      </c>
      <c r="T348" s="63">
        <v>491.71</v>
      </c>
      <c r="U348" s="62">
        <v>46072.291666666664</v>
      </c>
      <c r="V348" s="63" t="s">
        <v>86</v>
      </c>
      <c r="W348" s="63">
        <v>3771.55</v>
      </c>
      <c r="X348" s="63">
        <v>4200</v>
      </c>
      <c r="Y348" s="63" t="s">
        <v>466</v>
      </c>
    </row>
    <row r="349" spans="1:25" hidden="1">
      <c r="A349" s="62">
        <v>46071.738622685189</v>
      </c>
      <c r="B349" s="63">
        <v>641521</v>
      </c>
      <c r="C349" s="63" t="s">
        <v>2580</v>
      </c>
      <c r="D349" s="63"/>
      <c r="E349" s="62">
        <v>46072.772881944446</v>
      </c>
      <c r="F349" s="63" t="s">
        <v>288</v>
      </c>
      <c r="G349" s="63">
        <v>1720970201</v>
      </c>
      <c r="H349" s="63">
        <v>39043203000109</v>
      </c>
      <c r="I349" s="63" t="s">
        <v>2589</v>
      </c>
      <c r="J349" s="63" t="s">
        <v>2590</v>
      </c>
      <c r="K349" s="63" t="s">
        <v>64</v>
      </c>
      <c r="L349" s="63" t="s">
        <v>2591</v>
      </c>
      <c r="M349" s="63" t="s">
        <v>2592</v>
      </c>
      <c r="N349" s="63" t="s">
        <v>2593</v>
      </c>
      <c r="O349" s="63" t="s">
        <v>123</v>
      </c>
      <c r="P349" s="63" t="s">
        <v>124</v>
      </c>
      <c r="Q349" s="63">
        <v>10</v>
      </c>
      <c r="R349" s="63">
        <v>0</v>
      </c>
      <c r="S349" s="63" t="s">
        <v>70</v>
      </c>
      <c r="T349" s="63">
        <v>491.71</v>
      </c>
      <c r="U349" s="62">
        <v>46072.291666666664</v>
      </c>
      <c r="V349" s="63" t="s">
        <v>86</v>
      </c>
      <c r="W349" s="63">
        <v>3771.55</v>
      </c>
      <c r="X349" s="63">
        <v>4200</v>
      </c>
      <c r="Y349" s="63" t="s">
        <v>466</v>
      </c>
    </row>
    <row r="350" spans="1:25" hidden="1">
      <c r="A350" s="62">
        <v>46071.738622685189</v>
      </c>
      <c r="B350" s="63">
        <v>641521</v>
      </c>
      <c r="C350" s="63" t="s">
        <v>2580</v>
      </c>
      <c r="D350" s="63"/>
      <c r="E350" s="62">
        <v>46072.772881944446</v>
      </c>
      <c r="F350" s="63" t="s">
        <v>288</v>
      </c>
      <c r="G350" s="63">
        <v>1720980201</v>
      </c>
      <c r="H350" s="63">
        <v>39043203000362</v>
      </c>
      <c r="I350" s="63" t="s">
        <v>2594</v>
      </c>
      <c r="J350" s="63" t="s">
        <v>2590</v>
      </c>
      <c r="K350" s="63" t="s">
        <v>64</v>
      </c>
      <c r="L350" s="63" t="s">
        <v>2595</v>
      </c>
      <c r="M350" s="63" t="s">
        <v>96</v>
      </c>
      <c r="N350" s="63" t="s">
        <v>2593</v>
      </c>
      <c r="O350" s="63" t="s">
        <v>68</v>
      </c>
      <c r="P350" s="63" t="s">
        <v>69</v>
      </c>
      <c r="Q350" s="63">
        <v>95</v>
      </c>
      <c r="R350" s="63">
        <v>0</v>
      </c>
      <c r="S350" s="63" t="s">
        <v>70</v>
      </c>
      <c r="T350" s="63">
        <v>501.71</v>
      </c>
      <c r="U350" s="62">
        <v>46072.291666666664</v>
      </c>
      <c r="V350" s="63" t="s">
        <v>86</v>
      </c>
      <c r="W350" s="63">
        <v>3851.16</v>
      </c>
      <c r="X350" s="63">
        <v>4200</v>
      </c>
      <c r="Y350" s="63" t="s">
        <v>466</v>
      </c>
    </row>
    <row r="351" spans="1:25" hidden="1">
      <c r="A351" s="62">
        <v>46071.738622685189</v>
      </c>
      <c r="B351" s="63">
        <v>641521</v>
      </c>
      <c r="C351" s="63" t="s">
        <v>2580</v>
      </c>
      <c r="D351" s="63"/>
      <c r="E351" s="62">
        <v>46072.772881944446</v>
      </c>
      <c r="F351" s="63" t="s">
        <v>288</v>
      </c>
      <c r="G351" s="63">
        <v>1720980201</v>
      </c>
      <c r="H351" s="63">
        <v>39043203000362</v>
      </c>
      <c r="I351" s="63" t="s">
        <v>2594</v>
      </c>
      <c r="J351" s="63" t="s">
        <v>2590</v>
      </c>
      <c r="K351" s="63" t="s">
        <v>64</v>
      </c>
      <c r="L351" s="63" t="s">
        <v>2595</v>
      </c>
      <c r="M351" s="63" t="s">
        <v>96</v>
      </c>
      <c r="N351" s="63" t="s">
        <v>2593</v>
      </c>
      <c r="O351" s="63" t="s">
        <v>91</v>
      </c>
      <c r="P351" s="63" t="s">
        <v>92</v>
      </c>
      <c r="Q351" s="63">
        <v>1</v>
      </c>
      <c r="R351" s="63">
        <v>0</v>
      </c>
      <c r="S351" s="63" t="s">
        <v>70</v>
      </c>
      <c r="T351" s="63">
        <v>501.71</v>
      </c>
      <c r="U351" s="62">
        <v>46072.291666666664</v>
      </c>
      <c r="V351" s="63" t="s">
        <v>86</v>
      </c>
      <c r="W351" s="63">
        <v>3851.16</v>
      </c>
      <c r="X351" s="63">
        <v>4200</v>
      </c>
      <c r="Y351" s="63" t="s">
        <v>466</v>
      </c>
    </row>
    <row r="352" spans="1:25" hidden="1">
      <c r="A352" s="62">
        <v>46071.738622685189</v>
      </c>
      <c r="B352" s="63">
        <v>641521</v>
      </c>
      <c r="C352" s="63" t="s">
        <v>2580</v>
      </c>
      <c r="D352" s="63"/>
      <c r="E352" s="62">
        <v>46072.772881944446</v>
      </c>
      <c r="F352" s="63" t="s">
        <v>288</v>
      </c>
      <c r="G352" s="63">
        <v>1720980201</v>
      </c>
      <c r="H352" s="63">
        <v>39043203000362</v>
      </c>
      <c r="I352" s="63" t="s">
        <v>2594</v>
      </c>
      <c r="J352" s="63" t="s">
        <v>2590</v>
      </c>
      <c r="K352" s="63" t="s">
        <v>64</v>
      </c>
      <c r="L352" s="63" t="s">
        <v>2595</v>
      </c>
      <c r="M352" s="63" t="s">
        <v>96</v>
      </c>
      <c r="N352" s="63" t="s">
        <v>2593</v>
      </c>
      <c r="O352" s="63" t="s">
        <v>93</v>
      </c>
      <c r="P352" s="63" t="s">
        <v>94</v>
      </c>
      <c r="Q352" s="63">
        <v>1</v>
      </c>
      <c r="R352" s="63">
        <v>0</v>
      </c>
      <c r="S352" s="63" t="s">
        <v>70</v>
      </c>
      <c r="T352" s="63">
        <v>501.71</v>
      </c>
      <c r="U352" s="62">
        <v>46072.291666666664</v>
      </c>
      <c r="V352" s="63" t="s">
        <v>86</v>
      </c>
      <c r="W352" s="63">
        <v>3851.16</v>
      </c>
      <c r="X352" s="63">
        <v>4200</v>
      </c>
      <c r="Y352" s="63" t="s">
        <v>466</v>
      </c>
    </row>
    <row r="353" spans="1:25" hidden="1">
      <c r="A353" s="62">
        <v>46071.738622685189</v>
      </c>
      <c r="B353" s="63">
        <v>641521</v>
      </c>
      <c r="C353" s="63" t="s">
        <v>2580</v>
      </c>
      <c r="D353" s="63"/>
      <c r="E353" s="62">
        <v>46072.772881944446</v>
      </c>
      <c r="F353" s="63" t="s">
        <v>288</v>
      </c>
      <c r="G353" s="63">
        <v>1720980201</v>
      </c>
      <c r="H353" s="63">
        <v>39043203000362</v>
      </c>
      <c r="I353" s="63" t="s">
        <v>2594</v>
      </c>
      <c r="J353" s="63" t="s">
        <v>2590</v>
      </c>
      <c r="K353" s="63" t="s">
        <v>64</v>
      </c>
      <c r="L353" s="63" t="s">
        <v>2595</v>
      </c>
      <c r="M353" s="63" t="s">
        <v>96</v>
      </c>
      <c r="N353" s="63" t="s">
        <v>2593</v>
      </c>
      <c r="O353" s="63" t="s">
        <v>72</v>
      </c>
      <c r="P353" s="63" t="s">
        <v>73</v>
      </c>
      <c r="Q353" s="63">
        <v>1</v>
      </c>
      <c r="R353" s="63">
        <v>0</v>
      </c>
      <c r="S353" s="63" t="s">
        <v>70</v>
      </c>
      <c r="T353" s="63">
        <v>501.71</v>
      </c>
      <c r="U353" s="62">
        <v>46072.291666666664</v>
      </c>
      <c r="V353" s="63" t="s">
        <v>86</v>
      </c>
      <c r="W353" s="63">
        <v>3851.16</v>
      </c>
      <c r="X353" s="63">
        <v>4200</v>
      </c>
      <c r="Y353" s="63" t="s">
        <v>466</v>
      </c>
    </row>
    <row r="354" spans="1:25" hidden="1">
      <c r="A354" s="62">
        <v>46071.738622685189</v>
      </c>
      <c r="B354" s="63">
        <v>641521</v>
      </c>
      <c r="C354" s="63" t="s">
        <v>2580</v>
      </c>
      <c r="D354" s="63"/>
      <c r="E354" s="62">
        <v>46072.772881944446</v>
      </c>
      <c r="F354" s="63" t="s">
        <v>288</v>
      </c>
      <c r="G354" s="63">
        <v>1720980201</v>
      </c>
      <c r="H354" s="63">
        <v>39043203000362</v>
      </c>
      <c r="I354" s="63" t="s">
        <v>2594</v>
      </c>
      <c r="J354" s="63" t="s">
        <v>2590</v>
      </c>
      <c r="K354" s="63" t="s">
        <v>64</v>
      </c>
      <c r="L354" s="63" t="s">
        <v>2595</v>
      </c>
      <c r="M354" s="63" t="s">
        <v>96</v>
      </c>
      <c r="N354" s="63" t="s">
        <v>2593</v>
      </c>
      <c r="O354" s="63" t="s">
        <v>123</v>
      </c>
      <c r="P354" s="63" t="s">
        <v>124</v>
      </c>
      <c r="Q354" s="63">
        <v>10</v>
      </c>
      <c r="R354" s="63">
        <v>0</v>
      </c>
      <c r="S354" s="63" t="s">
        <v>70</v>
      </c>
      <c r="T354" s="63">
        <v>501.71</v>
      </c>
      <c r="U354" s="62">
        <v>46072.291666666664</v>
      </c>
      <c r="V354" s="63" t="s">
        <v>86</v>
      </c>
      <c r="W354" s="63">
        <v>3851.16</v>
      </c>
      <c r="X354" s="63">
        <v>4200</v>
      </c>
      <c r="Y354" s="63" t="s">
        <v>466</v>
      </c>
    </row>
    <row r="355" spans="1:25" ht="30" hidden="1">
      <c r="A355" s="62">
        <v>46071.738622685189</v>
      </c>
      <c r="B355" s="63">
        <v>641521</v>
      </c>
      <c r="C355" s="63" t="s">
        <v>2580</v>
      </c>
      <c r="D355" s="63"/>
      <c r="E355" s="62">
        <v>46072.772905092592</v>
      </c>
      <c r="F355" s="63" t="s">
        <v>288</v>
      </c>
      <c r="G355" s="63">
        <v>1722880201</v>
      </c>
      <c r="H355" s="63">
        <v>67228536001535</v>
      </c>
      <c r="I355" s="63" t="s">
        <v>2581</v>
      </c>
      <c r="J355" s="63" t="s">
        <v>2582</v>
      </c>
      <c r="K355" s="63" t="s">
        <v>64</v>
      </c>
      <c r="L355" s="63" t="s">
        <v>2583</v>
      </c>
      <c r="M355" s="63" t="s">
        <v>2584</v>
      </c>
      <c r="N355" s="63" t="s">
        <v>2585</v>
      </c>
      <c r="O355" s="63" t="s">
        <v>87</v>
      </c>
      <c r="P355" s="63" t="s">
        <v>88</v>
      </c>
      <c r="Q355" s="63">
        <v>1</v>
      </c>
      <c r="R355" s="63">
        <v>0</v>
      </c>
      <c r="S355" s="63" t="s">
        <v>76</v>
      </c>
      <c r="T355" s="63">
        <v>15.28</v>
      </c>
      <c r="U355" s="62">
        <v>46072.291666666664</v>
      </c>
      <c r="V355" s="63" t="s">
        <v>86</v>
      </c>
      <c r="W355" s="63">
        <v>390</v>
      </c>
      <c r="X355" s="63">
        <v>4200</v>
      </c>
      <c r="Y355" s="63" t="s">
        <v>466</v>
      </c>
    </row>
    <row r="356" spans="1:25" ht="30" hidden="1">
      <c r="A356" s="62">
        <v>46071.738622685189</v>
      </c>
      <c r="B356" s="63">
        <v>641521</v>
      </c>
      <c r="C356" s="63" t="s">
        <v>2580</v>
      </c>
      <c r="D356" s="63"/>
      <c r="E356" s="62">
        <v>46072.772905092592</v>
      </c>
      <c r="F356" s="63" t="s">
        <v>288</v>
      </c>
      <c r="G356" s="63">
        <v>1722880201</v>
      </c>
      <c r="H356" s="63">
        <v>67228536001535</v>
      </c>
      <c r="I356" s="63" t="s">
        <v>2581</v>
      </c>
      <c r="J356" s="63" t="s">
        <v>2582</v>
      </c>
      <c r="K356" s="63" t="s">
        <v>64</v>
      </c>
      <c r="L356" s="63" t="s">
        <v>2583</v>
      </c>
      <c r="M356" s="63" t="s">
        <v>2584</v>
      </c>
      <c r="N356" s="63" t="s">
        <v>2585</v>
      </c>
      <c r="O356" s="63" t="s">
        <v>77</v>
      </c>
      <c r="P356" s="63" t="s">
        <v>78</v>
      </c>
      <c r="Q356" s="63">
        <v>1</v>
      </c>
      <c r="R356" s="63">
        <v>0</v>
      </c>
      <c r="S356" s="63" t="s">
        <v>76</v>
      </c>
      <c r="T356" s="63">
        <v>15.28</v>
      </c>
      <c r="U356" s="62">
        <v>46072.291666666664</v>
      </c>
      <c r="V356" s="63" t="s">
        <v>86</v>
      </c>
      <c r="W356" s="63">
        <v>390</v>
      </c>
      <c r="X356" s="63">
        <v>4200</v>
      </c>
      <c r="Y356" s="63" t="s">
        <v>466</v>
      </c>
    </row>
    <row r="357" spans="1:25" ht="30" hidden="1">
      <c r="A357" s="62">
        <v>46071.738622685189</v>
      </c>
      <c r="B357" s="63">
        <v>641521</v>
      </c>
      <c r="C357" s="63" t="s">
        <v>2580</v>
      </c>
      <c r="D357" s="63"/>
      <c r="E357" s="62">
        <v>46072.772905092592</v>
      </c>
      <c r="F357" s="63" t="s">
        <v>288</v>
      </c>
      <c r="G357" s="63">
        <v>1722880201</v>
      </c>
      <c r="H357" s="63">
        <v>67228536001535</v>
      </c>
      <c r="I357" s="63" t="s">
        <v>2581</v>
      </c>
      <c r="J357" s="63" t="s">
        <v>2582</v>
      </c>
      <c r="K357" s="63" t="s">
        <v>64</v>
      </c>
      <c r="L357" s="63" t="s">
        <v>2583</v>
      </c>
      <c r="M357" s="63" t="s">
        <v>2584</v>
      </c>
      <c r="N357" s="63" t="s">
        <v>2585</v>
      </c>
      <c r="O357" s="63" t="s">
        <v>183</v>
      </c>
      <c r="P357" s="63" t="s">
        <v>184</v>
      </c>
      <c r="Q357" s="63">
        <v>1</v>
      </c>
      <c r="R357" s="63">
        <v>0</v>
      </c>
      <c r="S357" s="63" t="s">
        <v>76</v>
      </c>
      <c r="T357" s="63">
        <v>15.28</v>
      </c>
      <c r="U357" s="62">
        <v>46072.291666666664</v>
      </c>
      <c r="V357" s="63" t="s">
        <v>86</v>
      </c>
      <c r="W357" s="63">
        <v>390</v>
      </c>
      <c r="X357" s="63">
        <v>4200</v>
      </c>
      <c r="Y357" s="63" t="s">
        <v>466</v>
      </c>
    </row>
    <row r="358" spans="1:25" ht="30" hidden="1">
      <c r="A358" s="62">
        <v>46071.738622685189</v>
      </c>
      <c r="B358" s="63">
        <v>641521</v>
      </c>
      <c r="C358" s="63" t="s">
        <v>2580</v>
      </c>
      <c r="D358" s="63"/>
      <c r="E358" s="62">
        <v>46072.772974537038</v>
      </c>
      <c r="F358" s="63" t="s">
        <v>288</v>
      </c>
      <c r="G358" s="63">
        <v>1726700201</v>
      </c>
      <c r="H358" s="63">
        <v>67228536001020</v>
      </c>
      <c r="I358" s="63" t="s">
        <v>2581</v>
      </c>
      <c r="J358" s="63" t="s">
        <v>2582</v>
      </c>
      <c r="K358" s="63" t="s">
        <v>64</v>
      </c>
      <c r="L358" s="63" t="s">
        <v>2586</v>
      </c>
      <c r="M358" s="63" t="s">
        <v>2587</v>
      </c>
      <c r="N358" s="63" t="s">
        <v>2588</v>
      </c>
      <c r="O358" s="63" t="s">
        <v>68</v>
      </c>
      <c r="P358" s="63" t="s">
        <v>69</v>
      </c>
      <c r="Q358" s="63">
        <v>140</v>
      </c>
      <c r="R358" s="63">
        <v>0</v>
      </c>
      <c r="S358" s="63" t="s">
        <v>70</v>
      </c>
      <c r="T358" s="63">
        <v>707.52</v>
      </c>
      <c r="U358" s="62">
        <v>46072.291666666664</v>
      </c>
      <c r="V358" s="63" t="s">
        <v>86</v>
      </c>
      <c r="W358" s="63">
        <v>4799.25</v>
      </c>
      <c r="X358" s="63">
        <v>4200</v>
      </c>
      <c r="Y358" s="63" t="s">
        <v>466</v>
      </c>
    </row>
    <row r="359" spans="1:25" ht="30" hidden="1">
      <c r="A359" s="62">
        <v>46071.738622685189</v>
      </c>
      <c r="B359" s="63">
        <v>641521</v>
      </c>
      <c r="C359" s="63" t="s">
        <v>2580</v>
      </c>
      <c r="D359" s="63"/>
      <c r="E359" s="62">
        <v>46072.772974537038</v>
      </c>
      <c r="F359" s="63" t="s">
        <v>288</v>
      </c>
      <c r="G359" s="63">
        <v>1726700201</v>
      </c>
      <c r="H359" s="63">
        <v>67228536001020</v>
      </c>
      <c r="I359" s="63" t="s">
        <v>2581</v>
      </c>
      <c r="J359" s="63" t="s">
        <v>2582</v>
      </c>
      <c r="K359" s="63" t="s">
        <v>64</v>
      </c>
      <c r="L359" s="63" t="s">
        <v>2586</v>
      </c>
      <c r="M359" s="63" t="s">
        <v>2587</v>
      </c>
      <c r="N359" s="63" t="s">
        <v>2588</v>
      </c>
      <c r="O359" s="63" t="s">
        <v>72</v>
      </c>
      <c r="P359" s="63" t="s">
        <v>73</v>
      </c>
      <c r="Q359" s="63">
        <v>1</v>
      </c>
      <c r="R359" s="63">
        <v>0</v>
      </c>
      <c r="S359" s="63" t="s">
        <v>70</v>
      </c>
      <c r="T359" s="63">
        <v>707.52</v>
      </c>
      <c r="U359" s="62">
        <v>46072.291666666664</v>
      </c>
      <c r="V359" s="63" t="s">
        <v>86</v>
      </c>
      <c r="W359" s="63">
        <v>4799.25</v>
      </c>
      <c r="X359" s="63">
        <v>4200</v>
      </c>
      <c r="Y359" s="63" t="s">
        <v>466</v>
      </c>
    </row>
    <row r="360" spans="1:25" hidden="1">
      <c r="A360" s="62">
        <v>46071.738622685189</v>
      </c>
      <c r="B360" s="63">
        <v>641523</v>
      </c>
      <c r="C360" s="63" t="s">
        <v>201</v>
      </c>
      <c r="D360" s="63"/>
      <c r="E360" s="62">
        <v>46065</v>
      </c>
      <c r="F360" s="63" t="s">
        <v>336</v>
      </c>
      <c r="G360" s="63">
        <v>1697840201</v>
      </c>
      <c r="H360" s="63">
        <v>26563652010271</v>
      </c>
      <c r="I360" s="63" t="s">
        <v>203</v>
      </c>
      <c r="J360" s="63" t="s">
        <v>159</v>
      </c>
      <c r="K360" s="63" t="s">
        <v>238</v>
      </c>
      <c r="L360" s="63" t="s">
        <v>204</v>
      </c>
      <c r="M360" s="63" t="s">
        <v>205</v>
      </c>
      <c r="N360" s="63" t="s">
        <v>84</v>
      </c>
      <c r="O360" s="63" t="s">
        <v>68</v>
      </c>
      <c r="P360" s="63" t="s">
        <v>69</v>
      </c>
      <c r="Q360" s="63">
        <v>11</v>
      </c>
      <c r="R360" s="63">
        <v>13</v>
      </c>
      <c r="S360" s="63" t="s">
        <v>70</v>
      </c>
      <c r="T360" s="63">
        <v>69.378</v>
      </c>
      <c r="U360" s="62">
        <v>46072.291666666664</v>
      </c>
      <c r="V360" s="63" t="s">
        <v>86</v>
      </c>
      <c r="W360" s="63">
        <v>896.74</v>
      </c>
      <c r="X360" s="63">
        <v>1500</v>
      </c>
      <c r="Y360" s="63" t="s">
        <v>2409</v>
      </c>
    </row>
    <row r="361" spans="1:25" hidden="1">
      <c r="A361" s="62">
        <v>46071.738622685189</v>
      </c>
      <c r="B361" s="63">
        <v>641523</v>
      </c>
      <c r="C361" s="63" t="s">
        <v>201</v>
      </c>
      <c r="D361" s="63"/>
      <c r="E361" s="62">
        <v>46065</v>
      </c>
      <c r="F361" s="63" t="s">
        <v>336</v>
      </c>
      <c r="G361" s="63">
        <v>1697840201</v>
      </c>
      <c r="H361" s="63">
        <v>26563652010271</v>
      </c>
      <c r="I361" s="63" t="s">
        <v>203</v>
      </c>
      <c r="J361" s="63" t="s">
        <v>159</v>
      </c>
      <c r="K361" s="63" t="s">
        <v>238</v>
      </c>
      <c r="L361" s="63" t="s">
        <v>204</v>
      </c>
      <c r="M361" s="63" t="s">
        <v>205</v>
      </c>
      <c r="N361" s="63" t="s">
        <v>84</v>
      </c>
      <c r="O361" s="63" t="s">
        <v>161</v>
      </c>
      <c r="P361" s="63" t="s">
        <v>162</v>
      </c>
      <c r="Q361" s="63">
        <v>1</v>
      </c>
      <c r="R361" s="63">
        <v>13</v>
      </c>
      <c r="S361" s="63" t="s">
        <v>76</v>
      </c>
      <c r="T361" s="63">
        <v>69.378</v>
      </c>
      <c r="U361" s="62">
        <v>46072.291666666664</v>
      </c>
      <c r="V361" s="63" t="s">
        <v>86</v>
      </c>
      <c r="W361" s="63">
        <v>896.74</v>
      </c>
      <c r="X361" s="63">
        <v>1500</v>
      </c>
      <c r="Y361" s="63" t="s">
        <v>2409</v>
      </c>
    </row>
    <row r="362" spans="1:25" hidden="1">
      <c r="A362" s="62">
        <v>46071.738622685189</v>
      </c>
      <c r="B362" s="63">
        <v>641523</v>
      </c>
      <c r="C362" s="63" t="s">
        <v>201</v>
      </c>
      <c r="D362" s="63"/>
      <c r="E362" s="62">
        <v>46065</v>
      </c>
      <c r="F362" s="63" t="s">
        <v>336</v>
      </c>
      <c r="G362" s="63">
        <v>1697840201</v>
      </c>
      <c r="H362" s="63">
        <v>26563652010271</v>
      </c>
      <c r="I362" s="63" t="s">
        <v>203</v>
      </c>
      <c r="J362" s="63" t="s">
        <v>159</v>
      </c>
      <c r="K362" s="63" t="s">
        <v>238</v>
      </c>
      <c r="L362" s="63" t="s">
        <v>204</v>
      </c>
      <c r="M362" s="63" t="s">
        <v>205</v>
      </c>
      <c r="N362" s="63" t="s">
        <v>84</v>
      </c>
      <c r="O362" s="63" t="s">
        <v>163</v>
      </c>
      <c r="P362" s="63" t="s">
        <v>164</v>
      </c>
      <c r="Q362" s="63">
        <v>1</v>
      </c>
      <c r="R362" s="63">
        <v>13</v>
      </c>
      <c r="S362" s="63" t="s">
        <v>76</v>
      </c>
      <c r="T362" s="63">
        <v>69.378</v>
      </c>
      <c r="U362" s="62">
        <v>46072.291666666664</v>
      </c>
      <c r="V362" s="63" t="s">
        <v>86</v>
      </c>
      <c r="W362" s="63">
        <v>896.74</v>
      </c>
      <c r="X362" s="63">
        <v>1500</v>
      </c>
      <c r="Y362" s="63" t="s">
        <v>2409</v>
      </c>
    </row>
    <row r="363" spans="1:25" hidden="1">
      <c r="A363" s="62">
        <v>46071.738622685189</v>
      </c>
      <c r="B363" s="63">
        <v>641523</v>
      </c>
      <c r="C363" s="63" t="s">
        <v>201</v>
      </c>
      <c r="D363" s="63"/>
      <c r="E363" s="62">
        <v>46066</v>
      </c>
      <c r="F363" s="63" t="s">
        <v>336</v>
      </c>
      <c r="G363" s="63">
        <v>1706640201</v>
      </c>
      <c r="H363" s="63">
        <v>26563652010271</v>
      </c>
      <c r="I363" s="63" t="s">
        <v>203</v>
      </c>
      <c r="J363" s="63" t="s">
        <v>159</v>
      </c>
      <c r="K363" s="63" t="s">
        <v>238</v>
      </c>
      <c r="L363" s="63" t="s">
        <v>204</v>
      </c>
      <c r="M363" s="63" t="s">
        <v>205</v>
      </c>
      <c r="N363" s="63" t="s">
        <v>84</v>
      </c>
      <c r="O363" s="63" t="s">
        <v>169</v>
      </c>
      <c r="P363" s="63" t="s">
        <v>170</v>
      </c>
      <c r="Q363" s="63">
        <v>3</v>
      </c>
      <c r="R363" s="63">
        <v>3</v>
      </c>
      <c r="S363" s="63" t="s">
        <v>76</v>
      </c>
      <c r="T363" s="63">
        <v>31.89</v>
      </c>
      <c r="U363" s="62">
        <v>46072.291666666664</v>
      </c>
      <c r="V363" s="63" t="s">
        <v>86</v>
      </c>
      <c r="W363" s="63">
        <v>783</v>
      </c>
      <c r="X363" s="63">
        <v>1500</v>
      </c>
      <c r="Y363" s="63" t="s">
        <v>2409</v>
      </c>
    </row>
    <row r="364" spans="1:25" hidden="1">
      <c r="A364" s="62">
        <v>46071.738622685189</v>
      </c>
      <c r="B364" s="63">
        <v>641523</v>
      </c>
      <c r="C364" s="63" t="s">
        <v>201</v>
      </c>
      <c r="D364" s="63"/>
      <c r="E364" s="62">
        <v>46071.294583333336</v>
      </c>
      <c r="F364" s="63" t="s">
        <v>336</v>
      </c>
      <c r="G364" s="63">
        <v>1712130201</v>
      </c>
      <c r="H364" s="63">
        <v>26563652010271</v>
      </c>
      <c r="I364" s="63" t="s">
        <v>203</v>
      </c>
      <c r="J364" s="63" t="s">
        <v>159</v>
      </c>
      <c r="K364" s="63" t="s">
        <v>238</v>
      </c>
      <c r="L364" s="63" t="s">
        <v>204</v>
      </c>
      <c r="M364" s="63" t="s">
        <v>205</v>
      </c>
      <c r="N364" s="63" t="s">
        <v>84</v>
      </c>
      <c r="O364" s="63" t="s">
        <v>68</v>
      </c>
      <c r="P364" s="63" t="s">
        <v>69</v>
      </c>
      <c r="Q364" s="63">
        <v>6</v>
      </c>
      <c r="R364" s="63">
        <v>10</v>
      </c>
      <c r="S364" s="63" t="s">
        <v>70</v>
      </c>
      <c r="T364" s="63">
        <v>69.207999999999998</v>
      </c>
      <c r="U364" s="62">
        <v>46072.291666666664</v>
      </c>
      <c r="V364" s="63" t="s">
        <v>86</v>
      </c>
      <c r="W364" s="63">
        <v>1242.3900000000001</v>
      </c>
      <c r="X364" s="63">
        <v>1500</v>
      </c>
      <c r="Y364" s="63" t="s">
        <v>2409</v>
      </c>
    </row>
    <row r="365" spans="1:25" hidden="1">
      <c r="A365" s="62">
        <v>46071.738622685189</v>
      </c>
      <c r="B365" s="63">
        <v>641523</v>
      </c>
      <c r="C365" s="63" t="s">
        <v>201</v>
      </c>
      <c r="D365" s="63"/>
      <c r="E365" s="62">
        <v>46071.294583333336</v>
      </c>
      <c r="F365" s="63" t="s">
        <v>336</v>
      </c>
      <c r="G365" s="63">
        <v>1712130201</v>
      </c>
      <c r="H365" s="63">
        <v>26563652010271</v>
      </c>
      <c r="I365" s="63" t="s">
        <v>203</v>
      </c>
      <c r="J365" s="63" t="s">
        <v>159</v>
      </c>
      <c r="K365" s="63" t="s">
        <v>238</v>
      </c>
      <c r="L365" s="63" t="s">
        <v>204</v>
      </c>
      <c r="M365" s="63" t="s">
        <v>205</v>
      </c>
      <c r="N365" s="63" t="s">
        <v>84</v>
      </c>
      <c r="O365" s="63" t="s">
        <v>169</v>
      </c>
      <c r="P365" s="63" t="s">
        <v>170</v>
      </c>
      <c r="Q365" s="63">
        <v>3</v>
      </c>
      <c r="R365" s="63">
        <v>10</v>
      </c>
      <c r="S365" s="63" t="s">
        <v>76</v>
      </c>
      <c r="T365" s="63">
        <v>69.207999999999998</v>
      </c>
      <c r="U365" s="62">
        <v>46072.291666666664</v>
      </c>
      <c r="V365" s="63" t="s">
        <v>86</v>
      </c>
      <c r="W365" s="63">
        <v>1242.3900000000001</v>
      </c>
      <c r="X365" s="63">
        <v>1500</v>
      </c>
      <c r="Y365" s="63" t="s">
        <v>2409</v>
      </c>
    </row>
    <row r="366" spans="1:25" hidden="1">
      <c r="A366" s="62">
        <v>46071.738622685189</v>
      </c>
      <c r="B366" s="63">
        <v>641523</v>
      </c>
      <c r="C366" s="63" t="s">
        <v>201</v>
      </c>
      <c r="D366" s="63"/>
      <c r="E366" s="62">
        <v>46071.294583333336</v>
      </c>
      <c r="F366" s="63" t="s">
        <v>336</v>
      </c>
      <c r="G366" s="63">
        <v>1712130201</v>
      </c>
      <c r="H366" s="63">
        <v>26563652010271</v>
      </c>
      <c r="I366" s="63" t="s">
        <v>203</v>
      </c>
      <c r="J366" s="63" t="s">
        <v>159</v>
      </c>
      <c r="K366" s="63" t="s">
        <v>238</v>
      </c>
      <c r="L366" s="63" t="s">
        <v>204</v>
      </c>
      <c r="M366" s="63" t="s">
        <v>205</v>
      </c>
      <c r="N366" s="63" t="s">
        <v>84</v>
      </c>
      <c r="O366" s="63" t="s">
        <v>163</v>
      </c>
      <c r="P366" s="63" t="s">
        <v>164</v>
      </c>
      <c r="Q366" s="63">
        <v>1</v>
      </c>
      <c r="R366" s="63">
        <v>10</v>
      </c>
      <c r="S366" s="63" t="s">
        <v>76</v>
      </c>
      <c r="T366" s="63">
        <v>69.207999999999998</v>
      </c>
      <c r="U366" s="62">
        <v>46072.291666666664</v>
      </c>
      <c r="V366" s="63" t="s">
        <v>86</v>
      </c>
      <c r="W366" s="63">
        <v>1242.3900000000001</v>
      </c>
      <c r="X366" s="63">
        <v>1500</v>
      </c>
      <c r="Y366" s="63" t="s">
        <v>2409</v>
      </c>
    </row>
    <row r="367" spans="1:25" hidden="1">
      <c r="A367" s="62">
        <v>46071.738622685189</v>
      </c>
      <c r="B367" s="63">
        <v>641523</v>
      </c>
      <c r="C367" s="63" t="s">
        <v>201</v>
      </c>
      <c r="D367" s="63"/>
      <c r="E367" s="62">
        <v>46072.772858796299</v>
      </c>
      <c r="F367" s="63" t="s">
        <v>336</v>
      </c>
      <c r="G367" s="63">
        <v>1724820201</v>
      </c>
      <c r="H367" s="63">
        <v>26563652005944</v>
      </c>
      <c r="I367" s="63" t="s">
        <v>215</v>
      </c>
      <c r="J367" s="63" t="s">
        <v>159</v>
      </c>
      <c r="K367" s="63" t="s">
        <v>238</v>
      </c>
      <c r="L367" s="63" t="s">
        <v>216</v>
      </c>
      <c r="M367" s="63" t="s">
        <v>211</v>
      </c>
      <c r="N367" s="63" t="s">
        <v>84</v>
      </c>
      <c r="O367" s="63" t="s">
        <v>68</v>
      </c>
      <c r="P367" s="63" t="s">
        <v>69</v>
      </c>
      <c r="Q367" s="63">
        <v>5</v>
      </c>
      <c r="R367" s="63">
        <v>0</v>
      </c>
      <c r="S367" s="63" t="s">
        <v>70</v>
      </c>
      <c r="T367" s="63">
        <v>25.09</v>
      </c>
      <c r="U367" s="62">
        <v>46072.291666666664</v>
      </c>
      <c r="V367" s="63" t="s">
        <v>86</v>
      </c>
      <c r="W367" s="63">
        <v>170.95</v>
      </c>
      <c r="X367" s="63">
        <v>1500</v>
      </c>
      <c r="Y367" s="63" t="s">
        <v>2409</v>
      </c>
    </row>
    <row r="368" spans="1:25" hidden="1">
      <c r="A368" s="62">
        <v>46071.738622685189</v>
      </c>
      <c r="B368" s="63">
        <v>641523</v>
      </c>
      <c r="C368" s="63" t="s">
        <v>201</v>
      </c>
      <c r="D368" s="63"/>
      <c r="E368" s="62">
        <v>46072.772858796299</v>
      </c>
      <c r="F368" s="63" t="s">
        <v>336</v>
      </c>
      <c r="G368" s="63">
        <v>1724940201</v>
      </c>
      <c r="H368" s="63">
        <v>26563652012053</v>
      </c>
      <c r="I368" s="63" t="s">
        <v>208</v>
      </c>
      <c r="J368" s="63" t="s">
        <v>159</v>
      </c>
      <c r="K368" s="63" t="s">
        <v>238</v>
      </c>
      <c r="L368" s="63" t="s">
        <v>209</v>
      </c>
      <c r="M368" s="63" t="s">
        <v>205</v>
      </c>
      <c r="N368" s="63" t="s">
        <v>84</v>
      </c>
      <c r="O368" s="63" t="s">
        <v>68</v>
      </c>
      <c r="P368" s="63" t="s">
        <v>69</v>
      </c>
      <c r="Q368" s="63">
        <v>5</v>
      </c>
      <c r="R368" s="63">
        <v>0</v>
      </c>
      <c r="S368" s="63" t="s">
        <v>70</v>
      </c>
      <c r="T368" s="63">
        <v>25.09</v>
      </c>
      <c r="U368" s="62">
        <v>46072.291666666664</v>
      </c>
      <c r="V368" s="63" t="s">
        <v>86</v>
      </c>
      <c r="W368" s="63">
        <v>170.95</v>
      </c>
      <c r="X368" s="63">
        <v>1500</v>
      </c>
      <c r="Y368" s="63" t="s">
        <v>2409</v>
      </c>
    </row>
    <row r="369" spans="1:25" hidden="1">
      <c r="A369" s="62">
        <v>46071.738622685189</v>
      </c>
      <c r="B369" s="63">
        <v>641523</v>
      </c>
      <c r="C369" s="63" t="s">
        <v>201</v>
      </c>
      <c r="D369" s="63"/>
      <c r="E369" s="62">
        <v>46072.772870370369</v>
      </c>
      <c r="F369" s="63" t="s">
        <v>336</v>
      </c>
      <c r="G369" s="63">
        <v>1725140201</v>
      </c>
      <c r="H369" s="63">
        <v>26563652044923</v>
      </c>
      <c r="I369" s="63" t="s">
        <v>217</v>
      </c>
      <c r="J369" s="63" t="s">
        <v>159</v>
      </c>
      <c r="K369" s="63" t="s">
        <v>238</v>
      </c>
      <c r="L369" s="63"/>
      <c r="M369" s="63" t="s">
        <v>205</v>
      </c>
      <c r="N369" s="63" t="s">
        <v>84</v>
      </c>
      <c r="O369" s="63" t="s">
        <v>68</v>
      </c>
      <c r="P369" s="63" t="s">
        <v>69</v>
      </c>
      <c r="Q369" s="63">
        <v>11</v>
      </c>
      <c r="R369" s="63">
        <v>0</v>
      </c>
      <c r="S369" s="63" t="s">
        <v>70</v>
      </c>
      <c r="T369" s="63">
        <v>67.697999999999993</v>
      </c>
      <c r="U369" s="62">
        <v>46072.291666666664</v>
      </c>
      <c r="V369" s="63" t="s">
        <v>86</v>
      </c>
      <c r="W369" s="63">
        <v>652.61</v>
      </c>
      <c r="X369" s="63">
        <v>1500</v>
      </c>
      <c r="Y369" s="63" t="s">
        <v>2409</v>
      </c>
    </row>
    <row r="370" spans="1:25" hidden="1">
      <c r="A370" s="62">
        <v>46071.738622685189</v>
      </c>
      <c r="B370" s="63">
        <v>641523</v>
      </c>
      <c r="C370" s="63" t="s">
        <v>201</v>
      </c>
      <c r="D370" s="63"/>
      <c r="E370" s="62">
        <v>46072.772870370369</v>
      </c>
      <c r="F370" s="63" t="s">
        <v>336</v>
      </c>
      <c r="G370" s="63">
        <v>1725140201</v>
      </c>
      <c r="H370" s="63">
        <v>26563652044923</v>
      </c>
      <c r="I370" s="63" t="s">
        <v>217</v>
      </c>
      <c r="J370" s="63" t="s">
        <v>159</v>
      </c>
      <c r="K370" s="63" t="s">
        <v>238</v>
      </c>
      <c r="L370" s="63"/>
      <c r="M370" s="63" t="s">
        <v>205</v>
      </c>
      <c r="N370" s="63" t="s">
        <v>84</v>
      </c>
      <c r="O370" s="63" t="s">
        <v>74</v>
      </c>
      <c r="P370" s="63" t="s">
        <v>75</v>
      </c>
      <c r="Q370" s="63">
        <v>1</v>
      </c>
      <c r="R370" s="63">
        <v>0</v>
      </c>
      <c r="S370" s="63" t="s">
        <v>76</v>
      </c>
      <c r="T370" s="63">
        <v>67.697999999999993</v>
      </c>
      <c r="U370" s="62">
        <v>46072.291666666664</v>
      </c>
      <c r="V370" s="63" t="s">
        <v>86</v>
      </c>
      <c r="W370" s="63">
        <v>652.61</v>
      </c>
      <c r="X370" s="63">
        <v>1500</v>
      </c>
      <c r="Y370" s="63" t="s">
        <v>2409</v>
      </c>
    </row>
    <row r="371" spans="1:25" hidden="1">
      <c r="A371" s="62">
        <v>46071.738622685189</v>
      </c>
      <c r="B371" s="63">
        <v>641523</v>
      </c>
      <c r="C371" s="63" t="s">
        <v>201</v>
      </c>
      <c r="D371" s="63"/>
      <c r="E371" s="62">
        <v>46072.772870370369</v>
      </c>
      <c r="F371" s="63" t="s">
        <v>336</v>
      </c>
      <c r="G371" s="63">
        <v>1725140201</v>
      </c>
      <c r="H371" s="63">
        <v>26563652044923</v>
      </c>
      <c r="I371" s="63" t="s">
        <v>217</v>
      </c>
      <c r="J371" s="63" t="s">
        <v>159</v>
      </c>
      <c r="K371" s="63" t="s">
        <v>238</v>
      </c>
      <c r="L371" s="63"/>
      <c r="M371" s="63" t="s">
        <v>205</v>
      </c>
      <c r="N371" s="63" t="s">
        <v>84</v>
      </c>
      <c r="O371" s="63" t="s">
        <v>165</v>
      </c>
      <c r="P371" s="63" t="s">
        <v>166</v>
      </c>
      <c r="Q371" s="63">
        <v>1</v>
      </c>
      <c r="R371" s="63">
        <v>0</v>
      </c>
      <c r="S371" s="63" t="s">
        <v>76</v>
      </c>
      <c r="T371" s="63">
        <v>67.697999999999993</v>
      </c>
      <c r="U371" s="62">
        <v>46072.291666666664</v>
      </c>
      <c r="V371" s="63" t="s">
        <v>86</v>
      </c>
      <c r="W371" s="63">
        <v>652.61</v>
      </c>
      <c r="X371" s="63">
        <v>1500</v>
      </c>
      <c r="Y371" s="63" t="s">
        <v>2409</v>
      </c>
    </row>
    <row r="372" spans="1:25" hidden="1">
      <c r="A372" s="62">
        <v>46071.738622685189</v>
      </c>
      <c r="B372" s="63">
        <v>641523</v>
      </c>
      <c r="C372" s="63" t="s">
        <v>201</v>
      </c>
      <c r="D372" s="63"/>
      <c r="E372" s="62">
        <v>46072.772893518515</v>
      </c>
      <c r="F372" s="63" t="s">
        <v>336</v>
      </c>
      <c r="G372" s="63">
        <v>1725400201</v>
      </c>
      <c r="H372" s="63">
        <v>26563652010190</v>
      </c>
      <c r="I372" s="63" t="s">
        <v>2410</v>
      </c>
      <c r="J372" s="63" t="s">
        <v>159</v>
      </c>
      <c r="K372" s="63" t="s">
        <v>238</v>
      </c>
      <c r="L372" s="63" t="s">
        <v>2411</v>
      </c>
      <c r="M372" s="63" t="s">
        <v>210</v>
      </c>
      <c r="N372" s="63" t="s">
        <v>84</v>
      </c>
      <c r="O372" s="63" t="s">
        <v>68</v>
      </c>
      <c r="P372" s="63" t="s">
        <v>69</v>
      </c>
      <c r="Q372" s="63">
        <v>8</v>
      </c>
      <c r="R372" s="63">
        <v>0</v>
      </c>
      <c r="S372" s="63" t="s">
        <v>70</v>
      </c>
      <c r="T372" s="63">
        <v>55.933999999999997</v>
      </c>
      <c r="U372" s="62">
        <v>46072.291666666664</v>
      </c>
      <c r="V372" s="63" t="s">
        <v>86</v>
      </c>
      <c r="W372" s="63">
        <v>732.88</v>
      </c>
      <c r="X372" s="63">
        <v>1500</v>
      </c>
      <c r="Y372" s="63" t="s">
        <v>2409</v>
      </c>
    </row>
    <row r="373" spans="1:25" hidden="1">
      <c r="A373" s="62">
        <v>46071.738622685189</v>
      </c>
      <c r="B373" s="63">
        <v>641523</v>
      </c>
      <c r="C373" s="63" t="s">
        <v>201</v>
      </c>
      <c r="D373" s="63"/>
      <c r="E373" s="62">
        <v>46072.772893518515</v>
      </c>
      <c r="F373" s="63" t="s">
        <v>336</v>
      </c>
      <c r="G373" s="63">
        <v>1725400201</v>
      </c>
      <c r="H373" s="63">
        <v>26563652010190</v>
      </c>
      <c r="I373" s="63" t="s">
        <v>2410</v>
      </c>
      <c r="J373" s="63" t="s">
        <v>159</v>
      </c>
      <c r="K373" s="63" t="s">
        <v>238</v>
      </c>
      <c r="L373" s="63" t="s">
        <v>2411</v>
      </c>
      <c r="M373" s="63" t="s">
        <v>210</v>
      </c>
      <c r="N373" s="63" t="s">
        <v>84</v>
      </c>
      <c r="O373" s="63" t="s">
        <v>72</v>
      </c>
      <c r="P373" s="63" t="s">
        <v>73</v>
      </c>
      <c r="Q373" s="63">
        <v>1</v>
      </c>
      <c r="R373" s="63">
        <v>0</v>
      </c>
      <c r="S373" s="63" t="s">
        <v>70</v>
      </c>
      <c r="T373" s="63">
        <v>55.933999999999997</v>
      </c>
      <c r="U373" s="62">
        <v>46072.291666666664</v>
      </c>
      <c r="V373" s="63" t="s">
        <v>86</v>
      </c>
      <c r="W373" s="63">
        <v>732.88</v>
      </c>
      <c r="X373" s="63">
        <v>1500</v>
      </c>
      <c r="Y373" s="63" t="s">
        <v>2409</v>
      </c>
    </row>
    <row r="374" spans="1:25" hidden="1">
      <c r="A374" s="62">
        <v>46071.738622685189</v>
      </c>
      <c r="B374" s="63">
        <v>641523</v>
      </c>
      <c r="C374" s="63" t="s">
        <v>201</v>
      </c>
      <c r="D374" s="63"/>
      <c r="E374" s="62">
        <v>46072.772893518515</v>
      </c>
      <c r="F374" s="63" t="s">
        <v>336</v>
      </c>
      <c r="G374" s="63">
        <v>1725400201</v>
      </c>
      <c r="H374" s="63">
        <v>26563652010190</v>
      </c>
      <c r="I374" s="63" t="s">
        <v>2410</v>
      </c>
      <c r="J374" s="63" t="s">
        <v>159</v>
      </c>
      <c r="K374" s="63" t="s">
        <v>238</v>
      </c>
      <c r="L374" s="63" t="s">
        <v>2411</v>
      </c>
      <c r="M374" s="63" t="s">
        <v>210</v>
      </c>
      <c r="N374" s="63" t="s">
        <v>84</v>
      </c>
      <c r="O374" s="63" t="s">
        <v>169</v>
      </c>
      <c r="P374" s="63" t="s">
        <v>170</v>
      </c>
      <c r="Q374" s="63">
        <v>1</v>
      </c>
      <c r="R374" s="63">
        <v>0</v>
      </c>
      <c r="S374" s="63" t="s">
        <v>76</v>
      </c>
      <c r="T374" s="63">
        <v>55.933999999999997</v>
      </c>
      <c r="U374" s="62">
        <v>46072.291666666664</v>
      </c>
      <c r="V374" s="63" t="s">
        <v>86</v>
      </c>
      <c r="W374" s="63">
        <v>732.88</v>
      </c>
      <c r="X374" s="63">
        <v>1500</v>
      </c>
      <c r="Y374" s="63" t="s">
        <v>2409</v>
      </c>
    </row>
    <row r="375" spans="1:25" hidden="1">
      <c r="A375" s="62">
        <v>46071.738622685189</v>
      </c>
      <c r="B375" s="63">
        <v>641523</v>
      </c>
      <c r="C375" s="63" t="s">
        <v>201</v>
      </c>
      <c r="D375" s="63"/>
      <c r="E375" s="62">
        <v>46072.772893518515</v>
      </c>
      <c r="F375" s="63" t="s">
        <v>336</v>
      </c>
      <c r="G375" s="63">
        <v>1725400201</v>
      </c>
      <c r="H375" s="63">
        <v>26563652010190</v>
      </c>
      <c r="I375" s="63" t="s">
        <v>2410</v>
      </c>
      <c r="J375" s="63" t="s">
        <v>159</v>
      </c>
      <c r="K375" s="63" t="s">
        <v>238</v>
      </c>
      <c r="L375" s="63" t="s">
        <v>2411</v>
      </c>
      <c r="M375" s="63" t="s">
        <v>210</v>
      </c>
      <c r="N375" s="63" t="s">
        <v>84</v>
      </c>
      <c r="O375" s="63" t="s">
        <v>173</v>
      </c>
      <c r="P375" s="63" t="s">
        <v>174</v>
      </c>
      <c r="Q375" s="63">
        <v>1</v>
      </c>
      <c r="R375" s="63">
        <v>0</v>
      </c>
      <c r="S375" s="63" t="s">
        <v>76</v>
      </c>
      <c r="T375" s="63">
        <v>55.933999999999997</v>
      </c>
      <c r="U375" s="62">
        <v>46072.291666666664</v>
      </c>
      <c r="V375" s="63" t="s">
        <v>86</v>
      </c>
      <c r="W375" s="63">
        <v>732.88</v>
      </c>
      <c r="X375" s="63">
        <v>1500</v>
      </c>
      <c r="Y375" s="63" t="s">
        <v>2409</v>
      </c>
    </row>
    <row r="376" spans="1:25" hidden="1">
      <c r="A376" s="62">
        <v>46071.738622685189</v>
      </c>
      <c r="B376" s="63">
        <v>641523</v>
      </c>
      <c r="C376" s="63" t="s">
        <v>201</v>
      </c>
      <c r="D376" s="63"/>
      <c r="E376" s="62">
        <v>46072.772905092592</v>
      </c>
      <c r="F376" s="63" t="s">
        <v>336</v>
      </c>
      <c r="G376" s="63">
        <v>1725620201</v>
      </c>
      <c r="H376" s="63">
        <v>26563652008536</v>
      </c>
      <c r="I376" s="63" t="s">
        <v>2596</v>
      </c>
      <c r="J376" s="63" t="s">
        <v>159</v>
      </c>
      <c r="K376" s="63" t="s">
        <v>238</v>
      </c>
      <c r="L376" s="63" t="s">
        <v>2597</v>
      </c>
      <c r="M376" s="63" t="s">
        <v>210</v>
      </c>
      <c r="N376" s="63" t="s">
        <v>84</v>
      </c>
      <c r="O376" s="63" t="s">
        <v>68</v>
      </c>
      <c r="P376" s="63" t="s">
        <v>69</v>
      </c>
      <c r="Q376" s="63">
        <v>11</v>
      </c>
      <c r="R376" s="63">
        <v>0</v>
      </c>
      <c r="S376" s="63" t="s">
        <v>70</v>
      </c>
      <c r="T376" s="63">
        <v>55.198</v>
      </c>
      <c r="U376" s="62">
        <v>46072.291666666664</v>
      </c>
      <c r="V376" s="63" t="s">
        <v>86</v>
      </c>
      <c r="W376" s="63">
        <v>376.09</v>
      </c>
      <c r="X376" s="63">
        <v>1500</v>
      </c>
      <c r="Y376" s="63" t="s">
        <v>2409</v>
      </c>
    </row>
    <row r="377" spans="1:25" hidden="1">
      <c r="A377" s="62">
        <v>46071.738622685189</v>
      </c>
      <c r="B377" s="63">
        <v>641523</v>
      </c>
      <c r="C377" s="63" t="s">
        <v>201</v>
      </c>
      <c r="D377" s="63"/>
      <c r="E377" s="62">
        <v>46072.772939814815</v>
      </c>
      <c r="F377" s="63" t="s">
        <v>336</v>
      </c>
      <c r="G377" s="63">
        <v>1723290201</v>
      </c>
      <c r="H377" s="63">
        <v>26563652007807</v>
      </c>
      <c r="I377" s="63" t="s">
        <v>2286</v>
      </c>
      <c r="J377" s="63" t="s">
        <v>159</v>
      </c>
      <c r="K377" s="63" t="s">
        <v>238</v>
      </c>
      <c r="L377" s="63" t="s">
        <v>2287</v>
      </c>
      <c r="M377" s="63" t="s">
        <v>2288</v>
      </c>
      <c r="N377" s="63" t="s">
        <v>84</v>
      </c>
      <c r="O377" s="63" t="s">
        <v>68</v>
      </c>
      <c r="P377" s="63" t="s">
        <v>69</v>
      </c>
      <c r="Q377" s="63">
        <v>9</v>
      </c>
      <c r="R377" s="63">
        <v>0</v>
      </c>
      <c r="S377" s="63" t="s">
        <v>70</v>
      </c>
      <c r="T377" s="63">
        <v>50.161999999999999</v>
      </c>
      <c r="U377" s="62">
        <v>46072.291666666664</v>
      </c>
      <c r="V377" s="63" t="s">
        <v>86</v>
      </c>
      <c r="W377" s="63">
        <v>356.72</v>
      </c>
      <c r="X377" s="63">
        <v>1500</v>
      </c>
      <c r="Y377" s="63" t="s">
        <v>2409</v>
      </c>
    </row>
    <row r="378" spans="1:25" hidden="1">
      <c r="A378" s="62">
        <v>46071.738622685189</v>
      </c>
      <c r="B378" s="63">
        <v>641523</v>
      </c>
      <c r="C378" s="63" t="s">
        <v>201</v>
      </c>
      <c r="D378" s="63"/>
      <c r="E378" s="62">
        <v>46072.772939814815</v>
      </c>
      <c r="F378" s="63" t="s">
        <v>336</v>
      </c>
      <c r="G378" s="63">
        <v>1723290201</v>
      </c>
      <c r="H378" s="63">
        <v>26563652007807</v>
      </c>
      <c r="I378" s="63" t="s">
        <v>2286</v>
      </c>
      <c r="J378" s="63" t="s">
        <v>159</v>
      </c>
      <c r="K378" s="63" t="s">
        <v>238</v>
      </c>
      <c r="L378" s="63" t="s">
        <v>2287</v>
      </c>
      <c r="M378" s="63" t="s">
        <v>2288</v>
      </c>
      <c r="N378" s="63" t="s">
        <v>84</v>
      </c>
      <c r="O378" s="63" t="s">
        <v>72</v>
      </c>
      <c r="P378" s="63" t="s">
        <v>73</v>
      </c>
      <c r="Q378" s="63">
        <v>1</v>
      </c>
      <c r="R378" s="63">
        <v>0</v>
      </c>
      <c r="S378" s="63" t="s">
        <v>70</v>
      </c>
      <c r="T378" s="63">
        <v>50.161999999999999</v>
      </c>
      <c r="U378" s="62">
        <v>46072.291666666664</v>
      </c>
      <c r="V378" s="63" t="s">
        <v>86</v>
      </c>
      <c r="W378" s="63">
        <v>356.72</v>
      </c>
      <c r="X378" s="63">
        <v>1500</v>
      </c>
      <c r="Y378" s="63" t="s">
        <v>2409</v>
      </c>
    </row>
    <row r="379" spans="1:25" hidden="1">
      <c r="A379" s="62">
        <v>46071.738622685189</v>
      </c>
      <c r="B379" s="63">
        <v>641523</v>
      </c>
      <c r="C379" s="63" t="s">
        <v>201</v>
      </c>
      <c r="D379" s="63"/>
      <c r="E379" s="62">
        <v>46072.772939814815</v>
      </c>
      <c r="F379" s="63" t="s">
        <v>336</v>
      </c>
      <c r="G379" s="63">
        <v>1723630201</v>
      </c>
      <c r="H379" s="63">
        <v>26563652018841</v>
      </c>
      <c r="I379" s="63" t="s">
        <v>2263</v>
      </c>
      <c r="J379" s="63" t="s">
        <v>159</v>
      </c>
      <c r="K379" s="63" t="s">
        <v>238</v>
      </c>
      <c r="L379" s="63" t="s">
        <v>2264</v>
      </c>
      <c r="M379" s="63" t="s">
        <v>2265</v>
      </c>
      <c r="N379" s="63" t="s">
        <v>84</v>
      </c>
      <c r="O379" s="63" t="s">
        <v>68</v>
      </c>
      <c r="P379" s="63" t="s">
        <v>69</v>
      </c>
      <c r="Q379" s="63">
        <v>10</v>
      </c>
      <c r="R379" s="63">
        <v>0</v>
      </c>
      <c r="S379" s="63" t="s">
        <v>70</v>
      </c>
      <c r="T379" s="63">
        <v>60.18</v>
      </c>
      <c r="U379" s="62">
        <v>46072.291666666664</v>
      </c>
      <c r="V379" s="63" t="s">
        <v>86</v>
      </c>
      <c r="W379" s="63">
        <v>516.62</v>
      </c>
      <c r="X379" s="63">
        <v>1500</v>
      </c>
      <c r="Y379" s="63" t="s">
        <v>2409</v>
      </c>
    </row>
    <row r="380" spans="1:25" hidden="1">
      <c r="A380" s="62">
        <v>46071.738622685189</v>
      </c>
      <c r="B380" s="63">
        <v>641523</v>
      </c>
      <c r="C380" s="63" t="s">
        <v>201</v>
      </c>
      <c r="D380" s="63"/>
      <c r="E380" s="62">
        <v>46072.772939814815</v>
      </c>
      <c r="F380" s="63" t="s">
        <v>336</v>
      </c>
      <c r="G380" s="63">
        <v>1723630201</v>
      </c>
      <c r="H380" s="63">
        <v>26563652018841</v>
      </c>
      <c r="I380" s="63" t="s">
        <v>2263</v>
      </c>
      <c r="J380" s="63" t="s">
        <v>159</v>
      </c>
      <c r="K380" s="63" t="s">
        <v>238</v>
      </c>
      <c r="L380" s="63" t="s">
        <v>2264</v>
      </c>
      <c r="M380" s="63" t="s">
        <v>2265</v>
      </c>
      <c r="N380" s="63" t="s">
        <v>84</v>
      </c>
      <c r="O380" s="63" t="s">
        <v>74</v>
      </c>
      <c r="P380" s="63" t="s">
        <v>75</v>
      </c>
      <c r="Q380" s="63">
        <v>1</v>
      </c>
      <c r="R380" s="63">
        <v>0</v>
      </c>
      <c r="S380" s="63" t="s">
        <v>76</v>
      </c>
      <c r="T380" s="63">
        <v>60.18</v>
      </c>
      <c r="U380" s="62">
        <v>46072.291666666664</v>
      </c>
      <c r="V380" s="63" t="s">
        <v>86</v>
      </c>
      <c r="W380" s="63">
        <v>516.62</v>
      </c>
      <c r="X380" s="63">
        <v>1500</v>
      </c>
      <c r="Y380" s="63" t="s">
        <v>2409</v>
      </c>
    </row>
    <row r="381" spans="1:25" hidden="1">
      <c r="A381" s="62">
        <v>46071.738622685189</v>
      </c>
      <c r="B381" s="63">
        <v>641523</v>
      </c>
      <c r="C381" s="63" t="s">
        <v>201</v>
      </c>
      <c r="D381" s="63"/>
      <c r="E381" s="62">
        <v>46072.772951388892</v>
      </c>
      <c r="F381" s="63" t="s">
        <v>336</v>
      </c>
      <c r="G381" s="63">
        <v>1723790201</v>
      </c>
      <c r="H381" s="63">
        <v>26563652003224</v>
      </c>
      <c r="I381" s="63" t="s">
        <v>2412</v>
      </c>
      <c r="J381" s="63" t="s">
        <v>159</v>
      </c>
      <c r="K381" s="63" t="s">
        <v>238</v>
      </c>
      <c r="L381" s="63" t="s">
        <v>2413</v>
      </c>
      <c r="M381" s="63" t="s">
        <v>211</v>
      </c>
      <c r="N381" s="63" t="s">
        <v>84</v>
      </c>
      <c r="O381" s="63" t="s">
        <v>68</v>
      </c>
      <c r="P381" s="63" t="s">
        <v>69</v>
      </c>
      <c r="Q381" s="63">
        <v>6</v>
      </c>
      <c r="R381" s="63">
        <v>0</v>
      </c>
      <c r="S381" s="63" t="s">
        <v>70</v>
      </c>
      <c r="T381" s="63">
        <v>40.107999999999997</v>
      </c>
      <c r="U381" s="62">
        <v>46072.291666666664</v>
      </c>
      <c r="V381" s="63" t="s">
        <v>86</v>
      </c>
      <c r="W381" s="63">
        <v>379.86</v>
      </c>
      <c r="X381" s="63">
        <v>1500</v>
      </c>
      <c r="Y381" s="63" t="s">
        <v>2409</v>
      </c>
    </row>
    <row r="382" spans="1:25" hidden="1">
      <c r="A382" s="62">
        <v>46071.738622685189</v>
      </c>
      <c r="B382" s="63">
        <v>641523</v>
      </c>
      <c r="C382" s="63" t="s">
        <v>201</v>
      </c>
      <c r="D382" s="63"/>
      <c r="E382" s="62">
        <v>46072.772951388892</v>
      </c>
      <c r="F382" s="63" t="s">
        <v>336</v>
      </c>
      <c r="G382" s="63">
        <v>1723790201</v>
      </c>
      <c r="H382" s="63">
        <v>26563652003224</v>
      </c>
      <c r="I382" s="63" t="s">
        <v>2412</v>
      </c>
      <c r="J382" s="63" t="s">
        <v>159</v>
      </c>
      <c r="K382" s="63" t="s">
        <v>238</v>
      </c>
      <c r="L382" s="63" t="s">
        <v>2413</v>
      </c>
      <c r="M382" s="63" t="s">
        <v>211</v>
      </c>
      <c r="N382" s="63" t="s">
        <v>84</v>
      </c>
      <c r="O382" s="63" t="s">
        <v>74</v>
      </c>
      <c r="P382" s="63" t="s">
        <v>75</v>
      </c>
      <c r="Q382" s="63">
        <v>1</v>
      </c>
      <c r="R382" s="63">
        <v>0</v>
      </c>
      <c r="S382" s="63" t="s">
        <v>76</v>
      </c>
      <c r="T382" s="63">
        <v>40.107999999999997</v>
      </c>
      <c r="U382" s="62">
        <v>46072.291666666664</v>
      </c>
      <c r="V382" s="63" t="s">
        <v>86</v>
      </c>
      <c r="W382" s="63">
        <v>379.86</v>
      </c>
      <c r="X382" s="63">
        <v>1500</v>
      </c>
      <c r="Y382" s="63" t="s">
        <v>2409</v>
      </c>
    </row>
    <row r="383" spans="1:25" hidden="1">
      <c r="A383" s="62">
        <v>46071.738622685189</v>
      </c>
      <c r="B383" s="63">
        <v>641523</v>
      </c>
      <c r="C383" s="63" t="s">
        <v>201</v>
      </c>
      <c r="D383" s="63"/>
      <c r="E383" s="62">
        <v>46072.772951388892</v>
      </c>
      <c r="F383" s="63" t="s">
        <v>336</v>
      </c>
      <c r="G383" s="63">
        <v>1723930201</v>
      </c>
      <c r="H383" s="63">
        <v>26563652068431</v>
      </c>
      <c r="I383" s="63" t="s">
        <v>2266</v>
      </c>
      <c r="J383" s="63" t="s">
        <v>159</v>
      </c>
      <c r="K383" s="63" t="s">
        <v>238</v>
      </c>
      <c r="L383" s="63"/>
      <c r="M383" s="63" t="s">
        <v>375</v>
      </c>
      <c r="N383" s="63" t="s">
        <v>84</v>
      </c>
      <c r="O383" s="63" t="s">
        <v>68</v>
      </c>
      <c r="P383" s="63" t="s">
        <v>69</v>
      </c>
      <c r="Q383" s="63">
        <v>8</v>
      </c>
      <c r="R383" s="63">
        <v>0</v>
      </c>
      <c r="S383" s="63" t="s">
        <v>70</v>
      </c>
      <c r="T383" s="63">
        <v>50.143999999999998</v>
      </c>
      <c r="U383" s="62">
        <v>46072.291666666664</v>
      </c>
      <c r="V383" s="63" t="s">
        <v>86</v>
      </c>
      <c r="W383" s="63">
        <v>448.24</v>
      </c>
      <c r="X383" s="63">
        <v>1500</v>
      </c>
      <c r="Y383" s="63" t="s">
        <v>2409</v>
      </c>
    </row>
    <row r="384" spans="1:25" hidden="1">
      <c r="A384" s="62">
        <v>46071.738622685189</v>
      </c>
      <c r="B384" s="63">
        <v>641523</v>
      </c>
      <c r="C384" s="63" t="s">
        <v>201</v>
      </c>
      <c r="D384" s="63"/>
      <c r="E384" s="62">
        <v>46072.772951388892</v>
      </c>
      <c r="F384" s="63" t="s">
        <v>336</v>
      </c>
      <c r="G384" s="63">
        <v>1723930201</v>
      </c>
      <c r="H384" s="63">
        <v>26563652068431</v>
      </c>
      <c r="I384" s="63" t="s">
        <v>2266</v>
      </c>
      <c r="J384" s="63" t="s">
        <v>159</v>
      </c>
      <c r="K384" s="63" t="s">
        <v>238</v>
      </c>
      <c r="L384" s="63"/>
      <c r="M384" s="63" t="s">
        <v>375</v>
      </c>
      <c r="N384" s="63" t="s">
        <v>84</v>
      </c>
      <c r="O384" s="63" t="s">
        <v>74</v>
      </c>
      <c r="P384" s="63" t="s">
        <v>75</v>
      </c>
      <c r="Q384" s="63">
        <v>1</v>
      </c>
      <c r="R384" s="63">
        <v>0</v>
      </c>
      <c r="S384" s="63" t="s">
        <v>76</v>
      </c>
      <c r="T384" s="63">
        <v>50.143999999999998</v>
      </c>
      <c r="U384" s="62">
        <v>46072.291666666664</v>
      </c>
      <c r="V384" s="63" t="s">
        <v>86</v>
      </c>
      <c r="W384" s="63">
        <v>448.24</v>
      </c>
      <c r="X384" s="63">
        <v>1500</v>
      </c>
      <c r="Y384" s="63" t="s">
        <v>2409</v>
      </c>
    </row>
    <row r="385" spans="1:25" hidden="1">
      <c r="A385" s="62">
        <v>46071.738622685189</v>
      </c>
      <c r="B385" s="63">
        <v>641523</v>
      </c>
      <c r="C385" s="63" t="s">
        <v>201</v>
      </c>
      <c r="D385" s="63"/>
      <c r="E385" s="62">
        <v>46072.772962962961</v>
      </c>
      <c r="F385" s="63" t="s">
        <v>336</v>
      </c>
      <c r="G385" s="63">
        <v>1724230201</v>
      </c>
      <c r="H385" s="63">
        <v>26563652033727</v>
      </c>
      <c r="I385" s="63" t="s">
        <v>212</v>
      </c>
      <c r="J385" s="63" t="s">
        <v>159</v>
      </c>
      <c r="K385" s="63" t="s">
        <v>238</v>
      </c>
      <c r="L385" s="63" t="s">
        <v>213</v>
      </c>
      <c r="M385" s="63" t="s">
        <v>205</v>
      </c>
      <c r="N385" s="63" t="s">
        <v>84</v>
      </c>
      <c r="O385" s="63" t="s">
        <v>68</v>
      </c>
      <c r="P385" s="63" t="s">
        <v>69</v>
      </c>
      <c r="Q385" s="63">
        <v>7</v>
      </c>
      <c r="R385" s="63">
        <v>0</v>
      </c>
      <c r="S385" s="63" t="s">
        <v>70</v>
      </c>
      <c r="T385" s="63">
        <v>40.125999999999998</v>
      </c>
      <c r="U385" s="62">
        <v>46072.291666666664</v>
      </c>
      <c r="V385" s="63" t="s">
        <v>86</v>
      </c>
      <c r="W385" s="63">
        <v>288.33999999999997</v>
      </c>
      <c r="X385" s="63">
        <v>1500</v>
      </c>
      <c r="Y385" s="63" t="s">
        <v>2409</v>
      </c>
    </row>
    <row r="386" spans="1:25" hidden="1">
      <c r="A386" s="62">
        <v>46071.738622685189</v>
      </c>
      <c r="B386" s="63">
        <v>641523</v>
      </c>
      <c r="C386" s="63" t="s">
        <v>201</v>
      </c>
      <c r="D386" s="63"/>
      <c r="E386" s="62">
        <v>46072.772962962961</v>
      </c>
      <c r="F386" s="63" t="s">
        <v>336</v>
      </c>
      <c r="G386" s="63">
        <v>1724230201</v>
      </c>
      <c r="H386" s="63">
        <v>26563652033727</v>
      </c>
      <c r="I386" s="63" t="s">
        <v>212</v>
      </c>
      <c r="J386" s="63" t="s">
        <v>159</v>
      </c>
      <c r="K386" s="63" t="s">
        <v>238</v>
      </c>
      <c r="L386" s="63" t="s">
        <v>213</v>
      </c>
      <c r="M386" s="63" t="s">
        <v>205</v>
      </c>
      <c r="N386" s="63" t="s">
        <v>84</v>
      </c>
      <c r="O386" s="63" t="s">
        <v>72</v>
      </c>
      <c r="P386" s="63" t="s">
        <v>73</v>
      </c>
      <c r="Q386" s="63">
        <v>1</v>
      </c>
      <c r="R386" s="63">
        <v>0</v>
      </c>
      <c r="S386" s="63" t="s">
        <v>70</v>
      </c>
      <c r="T386" s="63">
        <v>40.125999999999998</v>
      </c>
      <c r="U386" s="62">
        <v>46072.291666666664</v>
      </c>
      <c r="V386" s="63" t="s">
        <v>86</v>
      </c>
      <c r="W386" s="63">
        <v>288.33999999999997</v>
      </c>
      <c r="X386" s="63">
        <v>1500</v>
      </c>
      <c r="Y386" s="63" t="s">
        <v>2409</v>
      </c>
    </row>
    <row r="387" spans="1:25" hidden="1">
      <c r="A387" s="62">
        <v>46071.738622685189</v>
      </c>
      <c r="B387" s="63">
        <v>641523</v>
      </c>
      <c r="C387" s="63" t="s">
        <v>201</v>
      </c>
      <c r="D387" s="63"/>
      <c r="E387" s="62">
        <v>46072.772962962961</v>
      </c>
      <c r="F387" s="63" t="s">
        <v>336</v>
      </c>
      <c r="G387" s="63">
        <v>1724370201</v>
      </c>
      <c r="H387" s="63">
        <v>26563652045571</v>
      </c>
      <c r="I387" s="63" t="s">
        <v>2285</v>
      </c>
      <c r="J387" s="63" t="s">
        <v>159</v>
      </c>
      <c r="K387" s="63" t="s">
        <v>238</v>
      </c>
      <c r="L387" s="63"/>
      <c r="M387" s="63" t="s">
        <v>2278</v>
      </c>
      <c r="N387" s="63" t="s">
        <v>84</v>
      </c>
      <c r="O387" s="63" t="s">
        <v>68</v>
      </c>
      <c r="P387" s="63" t="s">
        <v>69</v>
      </c>
      <c r="Q387" s="63">
        <v>2</v>
      </c>
      <c r="R387" s="63">
        <v>0</v>
      </c>
      <c r="S387" s="63" t="s">
        <v>70</v>
      </c>
      <c r="T387" s="63">
        <v>20.826000000000001</v>
      </c>
      <c r="U387" s="62">
        <v>46072.291666666664</v>
      </c>
      <c r="V387" s="63" t="s">
        <v>86</v>
      </c>
      <c r="W387" s="63">
        <v>478.73</v>
      </c>
      <c r="X387" s="63">
        <v>1500</v>
      </c>
      <c r="Y387" s="63" t="s">
        <v>2409</v>
      </c>
    </row>
    <row r="388" spans="1:25" hidden="1">
      <c r="A388" s="62">
        <v>46071.738622685189</v>
      </c>
      <c r="B388" s="63">
        <v>641523</v>
      </c>
      <c r="C388" s="63" t="s">
        <v>201</v>
      </c>
      <c r="D388" s="63"/>
      <c r="E388" s="62">
        <v>46072.772962962961</v>
      </c>
      <c r="F388" s="63" t="s">
        <v>336</v>
      </c>
      <c r="G388" s="63">
        <v>1724370201</v>
      </c>
      <c r="H388" s="63">
        <v>26563652045571</v>
      </c>
      <c r="I388" s="63" t="s">
        <v>2285</v>
      </c>
      <c r="J388" s="63" t="s">
        <v>159</v>
      </c>
      <c r="K388" s="63" t="s">
        <v>238</v>
      </c>
      <c r="L388" s="63"/>
      <c r="M388" s="63" t="s">
        <v>2278</v>
      </c>
      <c r="N388" s="63" t="s">
        <v>84</v>
      </c>
      <c r="O388" s="63" t="s">
        <v>169</v>
      </c>
      <c r="P388" s="63" t="s">
        <v>170</v>
      </c>
      <c r="Q388" s="63">
        <v>1</v>
      </c>
      <c r="R388" s="63">
        <v>0</v>
      </c>
      <c r="S388" s="63" t="s">
        <v>76</v>
      </c>
      <c r="T388" s="63">
        <v>20.826000000000001</v>
      </c>
      <c r="U388" s="62">
        <v>46072.291666666664</v>
      </c>
      <c r="V388" s="63" t="s">
        <v>86</v>
      </c>
      <c r="W388" s="63">
        <v>478.73</v>
      </c>
      <c r="X388" s="63">
        <v>1500</v>
      </c>
      <c r="Y388" s="63" t="s">
        <v>2409</v>
      </c>
    </row>
    <row r="389" spans="1:25" hidden="1">
      <c r="A389" s="62">
        <v>46071.738622685189</v>
      </c>
      <c r="B389" s="63">
        <v>641523</v>
      </c>
      <c r="C389" s="63" t="s">
        <v>201</v>
      </c>
      <c r="D389" s="63"/>
      <c r="E389" s="62">
        <v>46072.772962962961</v>
      </c>
      <c r="F389" s="63" t="s">
        <v>336</v>
      </c>
      <c r="G389" s="63">
        <v>1724370201</v>
      </c>
      <c r="H389" s="63">
        <v>26563652045571</v>
      </c>
      <c r="I389" s="63" t="s">
        <v>2285</v>
      </c>
      <c r="J389" s="63" t="s">
        <v>159</v>
      </c>
      <c r="K389" s="63" t="s">
        <v>238</v>
      </c>
      <c r="L389" s="63"/>
      <c r="M389" s="63" t="s">
        <v>2278</v>
      </c>
      <c r="N389" s="63" t="s">
        <v>84</v>
      </c>
      <c r="O389" s="63" t="s">
        <v>173</v>
      </c>
      <c r="P389" s="63" t="s">
        <v>174</v>
      </c>
      <c r="Q389" s="63">
        <v>1</v>
      </c>
      <c r="R389" s="63">
        <v>0</v>
      </c>
      <c r="S389" s="63" t="s">
        <v>76</v>
      </c>
      <c r="T389" s="63">
        <v>20.826000000000001</v>
      </c>
      <c r="U389" s="62">
        <v>46072.291666666664</v>
      </c>
      <c r="V389" s="63" t="s">
        <v>86</v>
      </c>
      <c r="W389" s="63">
        <v>478.73</v>
      </c>
      <c r="X389" s="63">
        <v>1500</v>
      </c>
      <c r="Y389" s="63" t="s">
        <v>2409</v>
      </c>
    </row>
    <row r="390" spans="1:25" hidden="1">
      <c r="A390" s="62">
        <v>46071.738622685189</v>
      </c>
      <c r="B390" s="63">
        <v>641523</v>
      </c>
      <c r="C390" s="63" t="s">
        <v>201</v>
      </c>
      <c r="D390" s="63"/>
      <c r="E390" s="62">
        <v>46072.772974537038</v>
      </c>
      <c r="F390" s="63" t="s">
        <v>336</v>
      </c>
      <c r="G390" s="63">
        <v>1724590201</v>
      </c>
      <c r="H390" s="63">
        <v>26563652010271</v>
      </c>
      <c r="I390" s="63" t="s">
        <v>203</v>
      </c>
      <c r="J390" s="63" t="s">
        <v>159</v>
      </c>
      <c r="K390" s="63" t="s">
        <v>238</v>
      </c>
      <c r="L390" s="63" t="s">
        <v>204</v>
      </c>
      <c r="M390" s="63" t="s">
        <v>205</v>
      </c>
      <c r="N390" s="63" t="s">
        <v>84</v>
      </c>
      <c r="O390" s="63" t="s">
        <v>72</v>
      </c>
      <c r="P390" s="63" t="s">
        <v>73</v>
      </c>
      <c r="Q390" s="63">
        <v>1</v>
      </c>
      <c r="R390" s="63">
        <v>0</v>
      </c>
      <c r="S390" s="63" t="s">
        <v>70</v>
      </c>
      <c r="T390" s="63">
        <v>26.42</v>
      </c>
      <c r="U390" s="62">
        <v>46072.291666666664</v>
      </c>
      <c r="V390" s="63" t="s">
        <v>86</v>
      </c>
      <c r="W390" s="63">
        <v>720.36</v>
      </c>
      <c r="X390" s="63">
        <v>1500</v>
      </c>
      <c r="Y390" s="63" t="s">
        <v>2409</v>
      </c>
    </row>
    <row r="391" spans="1:25" hidden="1">
      <c r="A391" s="62">
        <v>46071.738622685189</v>
      </c>
      <c r="B391" s="63">
        <v>641523</v>
      </c>
      <c r="C391" s="63" t="s">
        <v>201</v>
      </c>
      <c r="D391" s="63"/>
      <c r="E391" s="62">
        <v>46072.772974537038</v>
      </c>
      <c r="F391" s="63" t="s">
        <v>336</v>
      </c>
      <c r="G391" s="63">
        <v>1724590201</v>
      </c>
      <c r="H391" s="63">
        <v>26563652010271</v>
      </c>
      <c r="I391" s="63" t="s">
        <v>203</v>
      </c>
      <c r="J391" s="63" t="s">
        <v>159</v>
      </c>
      <c r="K391" s="63" t="s">
        <v>238</v>
      </c>
      <c r="L391" s="63" t="s">
        <v>204</v>
      </c>
      <c r="M391" s="63" t="s">
        <v>205</v>
      </c>
      <c r="N391" s="63" t="s">
        <v>84</v>
      </c>
      <c r="O391" s="63" t="s">
        <v>169</v>
      </c>
      <c r="P391" s="63" t="s">
        <v>170</v>
      </c>
      <c r="Q391" s="63">
        <v>2</v>
      </c>
      <c r="R391" s="63">
        <v>0</v>
      </c>
      <c r="S391" s="63" t="s">
        <v>76</v>
      </c>
      <c r="T391" s="63">
        <v>26.42</v>
      </c>
      <c r="U391" s="62">
        <v>46072.291666666664</v>
      </c>
      <c r="V391" s="63" t="s">
        <v>86</v>
      </c>
      <c r="W391" s="63">
        <v>720.36</v>
      </c>
      <c r="X391" s="63">
        <v>1500</v>
      </c>
      <c r="Y391" s="63" t="s">
        <v>2409</v>
      </c>
    </row>
    <row r="392" spans="1:25" hidden="1">
      <c r="A392" s="62">
        <v>46071.738622685189</v>
      </c>
      <c r="B392" s="63">
        <v>641523</v>
      </c>
      <c r="C392" s="63" t="s">
        <v>201</v>
      </c>
      <c r="D392" s="63"/>
      <c r="E392" s="62">
        <v>46072.772974537038</v>
      </c>
      <c r="F392" s="63" t="s">
        <v>336</v>
      </c>
      <c r="G392" s="63">
        <v>1724590201</v>
      </c>
      <c r="H392" s="63">
        <v>26563652010271</v>
      </c>
      <c r="I392" s="63" t="s">
        <v>203</v>
      </c>
      <c r="J392" s="63" t="s">
        <v>159</v>
      </c>
      <c r="K392" s="63" t="s">
        <v>238</v>
      </c>
      <c r="L392" s="63" t="s">
        <v>204</v>
      </c>
      <c r="M392" s="63" t="s">
        <v>205</v>
      </c>
      <c r="N392" s="63" t="s">
        <v>84</v>
      </c>
      <c r="O392" s="63" t="s">
        <v>173</v>
      </c>
      <c r="P392" s="63" t="s">
        <v>174</v>
      </c>
      <c r="Q392" s="63">
        <v>1</v>
      </c>
      <c r="R392" s="63">
        <v>0</v>
      </c>
      <c r="S392" s="63" t="s">
        <v>76</v>
      </c>
      <c r="T392" s="63">
        <v>26.42</v>
      </c>
      <c r="U392" s="62">
        <v>46072.291666666664</v>
      </c>
      <c r="V392" s="63" t="s">
        <v>86</v>
      </c>
      <c r="W392" s="63">
        <v>720.36</v>
      </c>
      <c r="X392" s="63">
        <v>1500</v>
      </c>
      <c r="Y392" s="63" t="s">
        <v>2409</v>
      </c>
    </row>
    <row r="393" spans="1:25" hidden="1">
      <c r="A393" s="62">
        <v>46071.738622685189</v>
      </c>
      <c r="B393" s="63">
        <v>641524</v>
      </c>
      <c r="C393" s="63" t="s">
        <v>218</v>
      </c>
      <c r="D393" s="63"/>
      <c r="E393" s="62">
        <v>46070.657071759262</v>
      </c>
      <c r="F393" s="63" t="s">
        <v>340</v>
      </c>
      <c r="G393" s="63">
        <v>1711430201</v>
      </c>
      <c r="H393" s="63">
        <v>26563652019309</v>
      </c>
      <c r="I393" s="63" t="s">
        <v>2205</v>
      </c>
      <c r="J393" s="63" t="s">
        <v>159</v>
      </c>
      <c r="K393" s="63" t="s">
        <v>64</v>
      </c>
      <c r="L393" s="63"/>
      <c r="M393" s="63" t="s">
        <v>339</v>
      </c>
      <c r="N393" s="63" t="s">
        <v>84</v>
      </c>
      <c r="O393" s="63" t="s">
        <v>68</v>
      </c>
      <c r="P393" s="63" t="s">
        <v>69</v>
      </c>
      <c r="Q393" s="63">
        <v>11</v>
      </c>
      <c r="R393" s="63">
        <v>11</v>
      </c>
      <c r="S393" s="63" t="s">
        <v>70</v>
      </c>
      <c r="T393" s="63">
        <v>55.198</v>
      </c>
      <c r="U393" s="62">
        <v>46072.291666666664</v>
      </c>
      <c r="V393" s="63" t="s">
        <v>86</v>
      </c>
      <c r="W393" s="63">
        <v>376.09</v>
      </c>
      <c r="X393" s="63">
        <v>4200</v>
      </c>
      <c r="Y393" s="63" t="s">
        <v>2238</v>
      </c>
    </row>
    <row r="394" spans="1:25" hidden="1">
      <c r="A394" s="62">
        <v>46071.738622685189</v>
      </c>
      <c r="B394" s="63">
        <v>641524</v>
      </c>
      <c r="C394" s="63" t="s">
        <v>218</v>
      </c>
      <c r="D394" s="63"/>
      <c r="E394" s="62">
        <v>46072.772847222222</v>
      </c>
      <c r="F394" s="63" t="s">
        <v>340</v>
      </c>
      <c r="G394" s="63">
        <v>1720470201</v>
      </c>
      <c r="H394" s="63">
        <v>47508411282461</v>
      </c>
      <c r="I394" s="63" t="s">
        <v>2598</v>
      </c>
      <c r="J394" s="63" t="s">
        <v>182</v>
      </c>
      <c r="K394" s="63" t="s">
        <v>64</v>
      </c>
      <c r="L394" s="63" t="s">
        <v>2599</v>
      </c>
      <c r="M394" s="63" t="s">
        <v>2600</v>
      </c>
      <c r="N394" s="63" t="s">
        <v>84</v>
      </c>
      <c r="O394" s="63" t="s">
        <v>93</v>
      </c>
      <c r="P394" s="63" t="s">
        <v>94</v>
      </c>
      <c r="Q394" s="63">
        <v>2</v>
      </c>
      <c r="R394" s="63">
        <v>0</v>
      </c>
      <c r="S394" s="63" t="s">
        <v>70</v>
      </c>
      <c r="T394" s="63">
        <v>10</v>
      </c>
      <c r="U394" s="62">
        <v>46072.291666666664</v>
      </c>
      <c r="V394" s="63" t="s">
        <v>86</v>
      </c>
      <c r="W394" s="63">
        <v>79.239999999999995</v>
      </c>
      <c r="X394" s="63">
        <v>4200</v>
      </c>
      <c r="Y394" s="63" t="s">
        <v>2238</v>
      </c>
    </row>
    <row r="395" spans="1:25">
      <c r="A395" s="62">
        <v>46071.738622685189</v>
      </c>
      <c r="B395" s="63">
        <v>641524</v>
      </c>
      <c r="C395" s="63" t="s">
        <v>218</v>
      </c>
      <c r="D395" s="63"/>
      <c r="E395" s="62">
        <v>46072.772847222222</v>
      </c>
      <c r="F395" s="63" t="s">
        <v>340</v>
      </c>
      <c r="G395" s="63">
        <v>1720480201</v>
      </c>
      <c r="H395" s="63">
        <v>47508411282461</v>
      </c>
      <c r="I395" s="63" t="s">
        <v>2598</v>
      </c>
      <c r="J395" s="63" t="s">
        <v>182</v>
      </c>
      <c r="K395" s="63" t="s">
        <v>64</v>
      </c>
      <c r="L395" s="63" t="s">
        <v>2599</v>
      </c>
      <c r="M395" s="63" t="s">
        <v>2600</v>
      </c>
      <c r="N395" s="63" t="s">
        <v>84</v>
      </c>
      <c r="O395" s="63" t="s">
        <v>109</v>
      </c>
      <c r="P395" s="63" t="s">
        <v>110</v>
      </c>
      <c r="Q395" s="63">
        <v>8</v>
      </c>
      <c r="R395" s="63">
        <v>0</v>
      </c>
      <c r="S395" s="63" t="s">
        <v>70</v>
      </c>
      <c r="T395" s="63">
        <v>40</v>
      </c>
      <c r="U395" s="62">
        <v>46072.291666666664</v>
      </c>
      <c r="V395" s="63" t="s">
        <v>86</v>
      </c>
      <c r="W395" s="63">
        <v>288.56</v>
      </c>
      <c r="X395" s="63">
        <v>4200</v>
      </c>
      <c r="Y395" s="63" t="s">
        <v>2238</v>
      </c>
    </row>
    <row r="396" spans="1:25" hidden="1">
      <c r="A396" s="62">
        <v>46071.738622685189</v>
      </c>
      <c r="B396" s="63">
        <v>641524</v>
      </c>
      <c r="C396" s="63" t="s">
        <v>218</v>
      </c>
      <c r="D396" s="63"/>
      <c r="E396" s="62">
        <v>46072.772847222222</v>
      </c>
      <c r="F396" s="63" t="s">
        <v>340</v>
      </c>
      <c r="G396" s="63">
        <v>1720510201</v>
      </c>
      <c r="H396" s="63">
        <v>47508411149540</v>
      </c>
      <c r="I396" s="63" t="s">
        <v>2601</v>
      </c>
      <c r="J396" s="63" t="s">
        <v>206</v>
      </c>
      <c r="K396" s="63" t="s">
        <v>64</v>
      </c>
      <c r="L396" s="63" t="s">
        <v>2602</v>
      </c>
      <c r="M396" s="63" t="s">
        <v>2603</v>
      </c>
      <c r="N396" s="63" t="s">
        <v>84</v>
      </c>
      <c r="O396" s="63" t="s">
        <v>68</v>
      </c>
      <c r="P396" s="63" t="s">
        <v>69</v>
      </c>
      <c r="Q396" s="63">
        <v>6</v>
      </c>
      <c r="R396" s="63">
        <v>0</v>
      </c>
      <c r="S396" s="63" t="s">
        <v>70</v>
      </c>
      <c r="T396" s="63">
        <v>40.107999999999997</v>
      </c>
      <c r="U396" s="62">
        <v>46072.291666666664</v>
      </c>
      <c r="V396" s="63" t="s">
        <v>86</v>
      </c>
      <c r="W396" s="63">
        <v>295.66000000000003</v>
      </c>
      <c r="X396" s="63">
        <v>4200</v>
      </c>
      <c r="Y396" s="63" t="s">
        <v>2238</v>
      </c>
    </row>
    <row r="397" spans="1:25" hidden="1">
      <c r="A397" s="62">
        <v>46071.738622685189</v>
      </c>
      <c r="B397" s="63">
        <v>641524</v>
      </c>
      <c r="C397" s="63" t="s">
        <v>218</v>
      </c>
      <c r="D397" s="63"/>
      <c r="E397" s="62">
        <v>46072.772847222222</v>
      </c>
      <c r="F397" s="63" t="s">
        <v>340</v>
      </c>
      <c r="G397" s="63">
        <v>1720510201</v>
      </c>
      <c r="H397" s="63">
        <v>47508411149540</v>
      </c>
      <c r="I397" s="63" t="s">
        <v>2601</v>
      </c>
      <c r="J397" s="63" t="s">
        <v>206</v>
      </c>
      <c r="K397" s="63" t="s">
        <v>64</v>
      </c>
      <c r="L397" s="63" t="s">
        <v>2602</v>
      </c>
      <c r="M397" s="63" t="s">
        <v>2603</v>
      </c>
      <c r="N397" s="63" t="s">
        <v>84</v>
      </c>
      <c r="O397" s="63" t="s">
        <v>93</v>
      </c>
      <c r="P397" s="63" t="s">
        <v>94</v>
      </c>
      <c r="Q397" s="63">
        <v>2</v>
      </c>
      <c r="R397" s="63">
        <v>0</v>
      </c>
      <c r="S397" s="63" t="s">
        <v>70</v>
      </c>
      <c r="T397" s="63">
        <v>40.107999999999997</v>
      </c>
      <c r="U397" s="62">
        <v>46072.291666666664</v>
      </c>
      <c r="V397" s="63" t="s">
        <v>86</v>
      </c>
      <c r="W397" s="63">
        <v>295.66000000000003</v>
      </c>
      <c r="X397" s="63">
        <v>4200</v>
      </c>
      <c r="Y397" s="63" t="s">
        <v>2238</v>
      </c>
    </row>
    <row r="398" spans="1:25">
      <c r="A398" s="62">
        <v>46071.738622685189</v>
      </c>
      <c r="B398" s="63">
        <v>641524</v>
      </c>
      <c r="C398" s="63" t="s">
        <v>218</v>
      </c>
      <c r="D398" s="63"/>
      <c r="E398" s="62">
        <v>46072.772847222222</v>
      </c>
      <c r="F398" s="63" t="s">
        <v>340</v>
      </c>
      <c r="G398" s="63">
        <v>1720530201</v>
      </c>
      <c r="H398" s="63">
        <v>47508411149540</v>
      </c>
      <c r="I398" s="63" t="s">
        <v>2601</v>
      </c>
      <c r="J398" s="63" t="s">
        <v>206</v>
      </c>
      <c r="K398" s="63" t="s">
        <v>64</v>
      </c>
      <c r="L398" s="63" t="s">
        <v>2602</v>
      </c>
      <c r="M398" s="63" t="s">
        <v>2603</v>
      </c>
      <c r="N398" s="63" t="s">
        <v>84</v>
      </c>
      <c r="O398" s="63" t="s">
        <v>109</v>
      </c>
      <c r="P398" s="63" t="s">
        <v>110</v>
      </c>
      <c r="Q398" s="63">
        <v>21</v>
      </c>
      <c r="R398" s="63">
        <v>0</v>
      </c>
      <c r="S398" s="63" t="s">
        <v>70</v>
      </c>
      <c r="T398" s="63">
        <v>105</v>
      </c>
      <c r="U398" s="62">
        <v>46072.291666666664</v>
      </c>
      <c r="V398" s="63" t="s">
        <v>86</v>
      </c>
      <c r="W398" s="63">
        <v>757.47</v>
      </c>
      <c r="X398" s="63">
        <v>4200</v>
      </c>
      <c r="Y398" s="63" t="s">
        <v>2238</v>
      </c>
    </row>
    <row r="399" spans="1:25" hidden="1">
      <c r="A399" s="62">
        <v>46071.738622685189</v>
      </c>
      <c r="B399" s="63">
        <v>641524</v>
      </c>
      <c r="C399" s="63" t="s">
        <v>218</v>
      </c>
      <c r="D399" s="63"/>
      <c r="E399" s="62">
        <v>46072.772858796299</v>
      </c>
      <c r="F399" s="63" t="s">
        <v>340</v>
      </c>
      <c r="G399" s="63">
        <v>1720540201</v>
      </c>
      <c r="H399" s="63">
        <v>47508411149540</v>
      </c>
      <c r="I399" s="63" t="s">
        <v>2601</v>
      </c>
      <c r="J399" s="63" t="s">
        <v>206</v>
      </c>
      <c r="K399" s="63" t="s">
        <v>64</v>
      </c>
      <c r="L399" s="63" t="s">
        <v>2602</v>
      </c>
      <c r="M399" s="63" t="s">
        <v>2603</v>
      </c>
      <c r="N399" s="63" t="s">
        <v>84</v>
      </c>
      <c r="O399" s="63" t="s">
        <v>107</v>
      </c>
      <c r="P399" s="63" t="s">
        <v>108</v>
      </c>
      <c r="Q399" s="63">
        <v>1</v>
      </c>
      <c r="R399" s="63">
        <v>0</v>
      </c>
      <c r="S399" s="63" t="s">
        <v>76</v>
      </c>
      <c r="T399" s="63">
        <v>10.63</v>
      </c>
      <c r="U399" s="62">
        <v>46072.291666666664</v>
      </c>
      <c r="V399" s="63" t="s">
        <v>86</v>
      </c>
      <c r="W399" s="63">
        <v>135.35</v>
      </c>
      <c r="X399" s="63">
        <v>4200</v>
      </c>
      <c r="Y399" s="63" t="s">
        <v>2238</v>
      </c>
    </row>
    <row r="400" spans="1:25" hidden="1">
      <c r="A400" s="62">
        <v>46071.738622685189</v>
      </c>
      <c r="B400" s="63">
        <v>641524</v>
      </c>
      <c r="C400" s="63" t="s">
        <v>218</v>
      </c>
      <c r="D400" s="63"/>
      <c r="E400" s="62">
        <v>46072.772858796299</v>
      </c>
      <c r="F400" s="63" t="s">
        <v>340</v>
      </c>
      <c r="G400" s="63">
        <v>1720550201</v>
      </c>
      <c r="H400" s="63">
        <v>47508411289806</v>
      </c>
      <c r="I400" s="63" t="s">
        <v>2604</v>
      </c>
      <c r="J400" s="63" t="s">
        <v>182</v>
      </c>
      <c r="K400" s="63" t="s">
        <v>64</v>
      </c>
      <c r="L400" s="63" t="s">
        <v>2605</v>
      </c>
      <c r="M400" s="63" t="s">
        <v>2603</v>
      </c>
      <c r="N400" s="63" t="s">
        <v>84</v>
      </c>
      <c r="O400" s="63" t="s">
        <v>68</v>
      </c>
      <c r="P400" s="63" t="s">
        <v>69</v>
      </c>
      <c r="Q400" s="63">
        <v>25</v>
      </c>
      <c r="R400" s="63">
        <v>0</v>
      </c>
      <c r="S400" s="63" t="s">
        <v>70</v>
      </c>
      <c r="T400" s="63">
        <v>140.44999999999999</v>
      </c>
      <c r="U400" s="62">
        <v>46072.291666666664</v>
      </c>
      <c r="V400" s="63" t="s">
        <v>86</v>
      </c>
      <c r="W400" s="63">
        <v>1020.61</v>
      </c>
      <c r="X400" s="63">
        <v>4200</v>
      </c>
      <c r="Y400" s="63" t="s">
        <v>2238</v>
      </c>
    </row>
    <row r="401" spans="1:25" hidden="1">
      <c r="A401" s="62">
        <v>46071.738622685189</v>
      </c>
      <c r="B401" s="63">
        <v>641524</v>
      </c>
      <c r="C401" s="63" t="s">
        <v>218</v>
      </c>
      <c r="D401" s="63"/>
      <c r="E401" s="62">
        <v>46072.772858796299</v>
      </c>
      <c r="F401" s="63" t="s">
        <v>340</v>
      </c>
      <c r="G401" s="63">
        <v>1720550201</v>
      </c>
      <c r="H401" s="63">
        <v>47508411289806</v>
      </c>
      <c r="I401" s="63" t="s">
        <v>2604</v>
      </c>
      <c r="J401" s="63" t="s">
        <v>182</v>
      </c>
      <c r="K401" s="63" t="s">
        <v>64</v>
      </c>
      <c r="L401" s="63" t="s">
        <v>2605</v>
      </c>
      <c r="M401" s="63" t="s">
        <v>2603</v>
      </c>
      <c r="N401" s="63" t="s">
        <v>84</v>
      </c>
      <c r="O401" s="63" t="s">
        <v>91</v>
      </c>
      <c r="P401" s="63" t="s">
        <v>92</v>
      </c>
      <c r="Q401" s="63">
        <v>1</v>
      </c>
      <c r="R401" s="63">
        <v>0</v>
      </c>
      <c r="S401" s="63" t="s">
        <v>70</v>
      </c>
      <c r="T401" s="63">
        <v>140.44999999999999</v>
      </c>
      <c r="U401" s="62">
        <v>46072.291666666664</v>
      </c>
      <c r="V401" s="63" t="s">
        <v>86</v>
      </c>
      <c r="W401" s="63">
        <v>1020.61</v>
      </c>
      <c r="X401" s="63">
        <v>4200</v>
      </c>
      <c r="Y401" s="63" t="s">
        <v>2238</v>
      </c>
    </row>
    <row r="402" spans="1:25" hidden="1">
      <c r="A402" s="62">
        <v>46071.738622685189</v>
      </c>
      <c r="B402" s="63">
        <v>641524</v>
      </c>
      <c r="C402" s="63" t="s">
        <v>218</v>
      </c>
      <c r="D402" s="63"/>
      <c r="E402" s="62">
        <v>46072.772858796299</v>
      </c>
      <c r="F402" s="63" t="s">
        <v>340</v>
      </c>
      <c r="G402" s="63">
        <v>1720550201</v>
      </c>
      <c r="H402" s="63">
        <v>47508411289806</v>
      </c>
      <c r="I402" s="63" t="s">
        <v>2604</v>
      </c>
      <c r="J402" s="63" t="s">
        <v>182</v>
      </c>
      <c r="K402" s="63" t="s">
        <v>64</v>
      </c>
      <c r="L402" s="63" t="s">
        <v>2605</v>
      </c>
      <c r="M402" s="63" t="s">
        <v>2603</v>
      </c>
      <c r="N402" s="63" t="s">
        <v>84</v>
      </c>
      <c r="O402" s="63" t="s">
        <v>141</v>
      </c>
      <c r="P402" s="63" t="s">
        <v>142</v>
      </c>
      <c r="Q402" s="63">
        <v>1</v>
      </c>
      <c r="R402" s="63">
        <v>0</v>
      </c>
      <c r="S402" s="63" t="s">
        <v>70</v>
      </c>
      <c r="T402" s="63">
        <v>140.44999999999999</v>
      </c>
      <c r="U402" s="62">
        <v>46072.291666666664</v>
      </c>
      <c r="V402" s="63" t="s">
        <v>86</v>
      </c>
      <c r="W402" s="63">
        <v>1020.61</v>
      </c>
      <c r="X402" s="63">
        <v>4200</v>
      </c>
      <c r="Y402" s="63" t="s">
        <v>2238</v>
      </c>
    </row>
    <row r="403" spans="1:25" hidden="1">
      <c r="A403" s="62">
        <v>46071.738622685189</v>
      </c>
      <c r="B403" s="63">
        <v>641524</v>
      </c>
      <c r="C403" s="63" t="s">
        <v>218</v>
      </c>
      <c r="D403" s="63"/>
      <c r="E403" s="62">
        <v>46072.772858796299</v>
      </c>
      <c r="F403" s="63" t="s">
        <v>340</v>
      </c>
      <c r="G403" s="63">
        <v>1720550201</v>
      </c>
      <c r="H403" s="63">
        <v>47508411289806</v>
      </c>
      <c r="I403" s="63" t="s">
        <v>2604</v>
      </c>
      <c r="J403" s="63" t="s">
        <v>182</v>
      </c>
      <c r="K403" s="63" t="s">
        <v>64</v>
      </c>
      <c r="L403" s="63" t="s">
        <v>2605</v>
      </c>
      <c r="M403" s="63" t="s">
        <v>2603</v>
      </c>
      <c r="N403" s="63" t="s">
        <v>84</v>
      </c>
      <c r="O403" s="63" t="s">
        <v>93</v>
      </c>
      <c r="P403" s="63" t="s">
        <v>94</v>
      </c>
      <c r="Q403" s="63">
        <v>1</v>
      </c>
      <c r="R403" s="63">
        <v>0</v>
      </c>
      <c r="S403" s="63" t="s">
        <v>70</v>
      </c>
      <c r="T403" s="63">
        <v>140.44999999999999</v>
      </c>
      <c r="U403" s="62">
        <v>46072.291666666664</v>
      </c>
      <c r="V403" s="63" t="s">
        <v>86</v>
      </c>
      <c r="W403" s="63">
        <v>1020.61</v>
      </c>
      <c r="X403" s="63">
        <v>4200</v>
      </c>
      <c r="Y403" s="63" t="s">
        <v>2238</v>
      </c>
    </row>
    <row r="404" spans="1:25">
      <c r="A404" s="62">
        <v>46071.738622685189</v>
      </c>
      <c r="B404" s="63">
        <v>641524</v>
      </c>
      <c r="C404" s="63" t="s">
        <v>218</v>
      </c>
      <c r="D404" s="63"/>
      <c r="E404" s="62">
        <v>46072.772858796299</v>
      </c>
      <c r="F404" s="63" t="s">
        <v>340</v>
      </c>
      <c r="G404" s="63">
        <v>1720560201</v>
      </c>
      <c r="H404" s="63">
        <v>47508411289806</v>
      </c>
      <c r="I404" s="63" t="s">
        <v>2604</v>
      </c>
      <c r="J404" s="63" t="s">
        <v>182</v>
      </c>
      <c r="K404" s="63" t="s">
        <v>64</v>
      </c>
      <c r="L404" s="63" t="s">
        <v>2605</v>
      </c>
      <c r="M404" s="63" t="s">
        <v>2603</v>
      </c>
      <c r="N404" s="63" t="s">
        <v>84</v>
      </c>
      <c r="O404" s="63" t="s">
        <v>109</v>
      </c>
      <c r="P404" s="63" t="s">
        <v>110</v>
      </c>
      <c r="Q404" s="63">
        <v>15</v>
      </c>
      <c r="R404" s="63">
        <v>0</v>
      </c>
      <c r="S404" s="63" t="s">
        <v>70</v>
      </c>
      <c r="T404" s="63">
        <v>75</v>
      </c>
      <c r="U404" s="62">
        <v>46072.291666666664</v>
      </c>
      <c r="V404" s="63" t="s">
        <v>86</v>
      </c>
      <c r="W404" s="63">
        <v>541.04999999999995</v>
      </c>
      <c r="X404" s="63">
        <v>4200</v>
      </c>
      <c r="Y404" s="63" t="s">
        <v>2238</v>
      </c>
    </row>
    <row r="405" spans="1:25" hidden="1">
      <c r="A405" s="62">
        <v>46071.738622685189</v>
      </c>
      <c r="B405" s="63">
        <v>641524</v>
      </c>
      <c r="C405" s="63" t="s">
        <v>218</v>
      </c>
      <c r="D405" s="63"/>
      <c r="E405" s="62">
        <v>46072.772858796299</v>
      </c>
      <c r="F405" s="63" t="s">
        <v>340</v>
      </c>
      <c r="G405" s="63">
        <v>1720570201</v>
      </c>
      <c r="H405" s="63">
        <v>47508411289806</v>
      </c>
      <c r="I405" s="63" t="s">
        <v>2604</v>
      </c>
      <c r="J405" s="63" t="s">
        <v>182</v>
      </c>
      <c r="K405" s="63" t="s">
        <v>64</v>
      </c>
      <c r="L405" s="63" t="s">
        <v>2605</v>
      </c>
      <c r="M405" s="63" t="s">
        <v>2603</v>
      </c>
      <c r="N405" s="63" t="s">
        <v>84</v>
      </c>
      <c r="O405" s="63" t="s">
        <v>107</v>
      </c>
      <c r="P405" s="63" t="s">
        <v>108</v>
      </c>
      <c r="Q405" s="63">
        <v>1</v>
      </c>
      <c r="R405" s="63">
        <v>0</v>
      </c>
      <c r="S405" s="63" t="s">
        <v>76</v>
      </c>
      <c r="T405" s="63">
        <v>10.63</v>
      </c>
      <c r="U405" s="62">
        <v>46072.291666666664</v>
      </c>
      <c r="V405" s="63" t="s">
        <v>86</v>
      </c>
      <c r="W405" s="63">
        <v>79</v>
      </c>
      <c r="X405" s="63">
        <v>4200</v>
      </c>
      <c r="Y405" s="63" t="s">
        <v>2238</v>
      </c>
    </row>
    <row r="406" spans="1:25" hidden="1">
      <c r="A406" s="62">
        <v>46071.738622685189</v>
      </c>
      <c r="B406" s="63">
        <v>641524</v>
      </c>
      <c r="C406" s="63" t="s">
        <v>218</v>
      </c>
      <c r="D406" s="63"/>
      <c r="E406" s="62">
        <v>46072.772858796299</v>
      </c>
      <c r="F406" s="63" t="s">
        <v>340</v>
      </c>
      <c r="G406" s="63">
        <v>1720590201</v>
      </c>
      <c r="H406" s="63">
        <v>47508411169908</v>
      </c>
      <c r="I406" s="63" t="s">
        <v>2606</v>
      </c>
      <c r="J406" s="63" t="s">
        <v>181</v>
      </c>
      <c r="K406" s="63" t="s">
        <v>64</v>
      </c>
      <c r="L406" s="63" t="s">
        <v>2607</v>
      </c>
      <c r="M406" s="63" t="s">
        <v>2603</v>
      </c>
      <c r="N406" s="63" t="s">
        <v>84</v>
      </c>
      <c r="O406" s="63" t="s">
        <v>68</v>
      </c>
      <c r="P406" s="63" t="s">
        <v>69</v>
      </c>
      <c r="Q406" s="63">
        <v>20</v>
      </c>
      <c r="R406" s="63">
        <v>0</v>
      </c>
      <c r="S406" s="63" t="s">
        <v>70</v>
      </c>
      <c r="T406" s="63">
        <v>120.36</v>
      </c>
      <c r="U406" s="62">
        <v>46072.291666666664</v>
      </c>
      <c r="V406" s="63" t="s">
        <v>86</v>
      </c>
      <c r="W406" s="63">
        <v>879.88</v>
      </c>
      <c r="X406" s="63">
        <v>4200</v>
      </c>
      <c r="Y406" s="63" t="s">
        <v>2238</v>
      </c>
    </row>
    <row r="407" spans="1:25" hidden="1">
      <c r="A407" s="62">
        <v>46071.738622685189</v>
      </c>
      <c r="B407" s="63">
        <v>641524</v>
      </c>
      <c r="C407" s="63" t="s">
        <v>218</v>
      </c>
      <c r="D407" s="63"/>
      <c r="E407" s="62">
        <v>46072.772858796299</v>
      </c>
      <c r="F407" s="63" t="s">
        <v>340</v>
      </c>
      <c r="G407" s="63">
        <v>1720590201</v>
      </c>
      <c r="H407" s="63">
        <v>47508411169908</v>
      </c>
      <c r="I407" s="63" t="s">
        <v>2606</v>
      </c>
      <c r="J407" s="63" t="s">
        <v>181</v>
      </c>
      <c r="K407" s="63" t="s">
        <v>64</v>
      </c>
      <c r="L407" s="63" t="s">
        <v>2607</v>
      </c>
      <c r="M407" s="63" t="s">
        <v>2603</v>
      </c>
      <c r="N407" s="63" t="s">
        <v>84</v>
      </c>
      <c r="O407" s="63" t="s">
        <v>91</v>
      </c>
      <c r="P407" s="63" t="s">
        <v>92</v>
      </c>
      <c r="Q407" s="63">
        <v>1</v>
      </c>
      <c r="R407" s="63">
        <v>0</v>
      </c>
      <c r="S407" s="63" t="s">
        <v>70</v>
      </c>
      <c r="T407" s="63">
        <v>120.36</v>
      </c>
      <c r="U407" s="62">
        <v>46072.291666666664</v>
      </c>
      <c r="V407" s="63" t="s">
        <v>86</v>
      </c>
      <c r="W407" s="63">
        <v>879.88</v>
      </c>
      <c r="X407" s="63">
        <v>4200</v>
      </c>
      <c r="Y407" s="63" t="s">
        <v>2238</v>
      </c>
    </row>
    <row r="408" spans="1:25" hidden="1">
      <c r="A408" s="62">
        <v>46071.738622685189</v>
      </c>
      <c r="B408" s="63">
        <v>641524</v>
      </c>
      <c r="C408" s="63" t="s">
        <v>218</v>
      </c>
      <c r="D408" s="63"/>
      <c r="E408" s="62">
        <v>46072.772858796299</v>
      </c>
      <c r="F408" s="63" t="s">
        <v>340</v>
      </c>
      <c r="G408" s="63">
        <v>1720590201</v>
      </c>
      <c r="H408" s="63">
        <v>47508411169908</v>
      </c>
      <c r="I408" s="63" t="s">
        <v>2606</v>
      </c>
      <c r="J408" s="63" t="s">
        <v>181</v>
      </c>
      <c r="K408" s="63" t="s">
        <v>64</v>
      </c>
      <c r="L408" s="63" t="s">
        <v>2607</v>
      </c>
      <c r="M408" s="63" t="s">
        <v>2603</v>
      </c>
      <c r="N408" s="63" t="s">
        <v>84</v>
      </c>
      <c r="O408" s="63" t="s">
        <v>141</v>
      </c>
      <c r="P408" s="63" t="s">
        <v>142</v>
      </c>
      <c r="Q408" s="63">
        <v>1</v>
      </c>
      <c r="R408" s="63">
        <v>0</v>
      </c>
      <c r="S408" s="63" t="s">
        <v>70</v>
      </c>
      <c r="T408" s="63">
        <v>120.36</v>
      </c>
      <c r="U408" s="62">
        <v>46072.291666666664</v>
      </c>
      <c r="V408" s="63" t="s">
        <v>86</v>
      </c>
      <c r="W408" s="63">
        <v>879.88</v>
      </c>
      <c r="X408" s="63">
        <v>4200</v>
      </c>
      <c r="Y408" s="63" t="s">
        <v>2238</v>
      </c>
    </row>
    <row r="409" spans="1:25" hidden="1">
      <c r="A409" s="62">
        <v>46071.738622685189</v>
      </c>
      <c r="B409" s="63">
        <v>641524</v>
      </c>
      <c r="C409" s="63" t="s">
        <v>218</v>
      </c>
      <c r="D409" s="63"/>
      <c r="E409" s="62">
        <v>46072.772858796299</v>
      </c>
      <c r="F409" s="63" t="s">
        <v>340</v>
      </c>
      <c r="G409" s="63">
        <v>1720590201</v>
      </c>
      <c r="H409" s="63">
        <v>47508411169908</v>
      </c>
      <c r="I409" s="63" t="s">
        <v>2606</v>
      </c>
      <c r="J409" s="63" t="s">
        <v>181</v>
      </c>
      <c r="K409" s="63" t="s">
        <v>64</v>
      </c>
      <c r="L409" s="63" t="s">
        <v>2607</v>
      </c>
      <c r="M409" s="63" t="s">
        <v>2603</v>
      </c>
      <c r="N409" s="63" t="s">
        <v>84</v>
      </c>
      <c r="O409" s="63" t="s">
        <v>93</v>
      </c>
      <c r="P409" s="63" t="s">
        <v>94</v>
      </c>
      <c r="Q409" s="63">
        <v>2</v>
      </c>
      <c r="R409" s="63">
        <v>0</v>
      </c>
      <c r="S409" s="63" t="s">
        <v>70</v>
      </c>
      <c r="T409" s="63">
        <v>120.36</v>
      </c>
      <c r="U409" s="62">
        <v>46072.291666666664</v>
      </c>
      <c r="V409" s="63" t="s">
        <v>86</v>
      </c>
      <c r="W409" s="63">
        <v>879.88</v>
      </c>
      <c r="X409" s="63">
        <v>4200</v>
      </c>
      <c r="Y409" s="63" t="s">
        <v>2238</v>
      </c>
    </row>
    <row r="410" spans="1:25">
      <c r="A410" s="62">
        <v>46071.738622685189</v>
      </c>
      <c r="B410" s="63">
        <v>641524</v>
      </c>
      <c r="C410" s="63" t="s">
        <v>218</v>
      </c>
      <c r="D410" s="63"/>
      <c r="E410" s="62">
        <v>46072.772858796299</v>
      </c>
      <c r="F410" s="63" t="s">
        <v>340</v>
      </c>
      <c r="G410" s="63">
        <v>1720600201</v>
      </c>
      <c r="H410" s="63">
        <v>47508411169908</v>
      </c>
      <c r="I410" s="63" t="s">
        <v>2606</v>
      </c>
      <c r="J410" s="63" t="s">
        <v>181</v>
      </c>
      <c r="K410" s="63" t="s">
        <v>64</v>
      </c>
      <c r="L410" s="63" t="s">
        <v>2607</v>
      </c>
      <c r="M410" s="63" t="s">
        <v>2603</v>
      </c>
      <c r="N410" s="63" t="s">
        <v>84</v>
      </c>
      <c r="O410" s="63" t="s">
        <v>109</v>
      </c>
      <c r="P410" s="63" t="s">
        <v>110</v>
      </c>
      <c r="Q410" s="63">
        <v>20</v>
      </c>
      <c r="R410" s="63">
        <v>0</v>
      </c>
      <c r="S410" s="63" t="s">
        <v>70</v>
      </c>
      <c r="T410" s="63">
        <v>100</v>
      </c>
      <c r="U410" s="62">
        <v>46072.291666666664</v>
      </c>
      <c r="V410" s="63" t="s">
        <v>86</v>
      </c>
      <c r="W410" s="63">
        <v>721.4</v>
      </c>
      <c r="X410" s="63">
        <v>4200</v>
      </c>
      <c r="Y410" s="63" t="s">
        <v>2238</v>
      </c>
    </row>
    <row r="411" spans="1:25" hidden="1">
      <c r="A411" s="62">
        <v>46071.738622685189</v>
      </c>
      <c r="B411" s="63">
        <v>641524</v>
      </c>
      <c r="C411" s="63" t="s">
        <v>218</v>
      </c>
      <c r="D411" s="63"/>
      <c r="E411" s="62">
        <v>46072.772858796299</v>
      </c>
      <c r="F411" s="63" t="s">
        <v>340</v>
      </c>
      <c r="G411" s="63">
        <v>1720690201</v>
      </c>
      <c r="H411" s="63">
        <v>47508411104288</v>
      </c>
      <c r="I411" s="63" t="s">
        <v>2608</v>
      </c>
      <c r="J411" s="63" t="s">
        <v>181</v>
      </c>
      <c r="K411" s="63" t="s">
        <v>64</v>
      </c>
      <c r="L411" s="63" t="s">
        <v>2609</v>
      </c>
      <c r="M411" s="63" t="s">
        <v>2610</v>
      </c>
      <c r="N411" s="63" t="s">
        <v>84</v>
      </c>
      <c r="O411" s="63" t="s">
        <v>68</v>
      </c>
      <c r="P411" s="63" t="s">
        <v>69</v>
      </c>
      <c r="Q411" s="63">
        <v>50</v>
      </c>
      <c r="R411" s="63">
        <v>0</v>
      </c>
      <c r="S411" s="63" t="s">
        <v>70</v>
      </c>
      <c r="T411" s="63">
        <v>325.89999999999998</v>
      </c>
      <c r="U411" s="62">
        <v>46072.291666666664</v>
      </c>
      <c r="V411" s="63" t="s">
        <v>86</v>
      </c>
      <c r="W411" s="63">
        <v>2397.8000000000002</v>
      </c>
      <c r="X411" s="63">
        <v>4200</v>
      </c>
      <c r="Y411" s="63" t="s">
        <v>2238</v>
      </c>
    </row>
    <row r="412" spans="1:25" hidden="1">
      <c r="A412" s="62">
        <v>46071.738622685189</v>
      </c>
      <c r="B412" s="63">
        <v>641524</v>
      </c>
      <c r="C412" s="63" t="s">
        <v>218</v>
      </c>
      <c r="D412" s="63"/>
      <c r="E412" s="62">
        <v>46072.772858796299</v>
      </c>
      <c r="F412" s="63" t="s">
        <v>340</v>
      </c>
      <c r="G412" s="63">
        <v>1720690201</v>
      </c>
      <c r="H412" s="63">
        <v>47508411104288</v>
      </c>
      <c r="I412" s="63" t="s">
        <v>2608</v>
      </c>
      <c r="J412" s="63" t="s">
        <v>181</v>
      </c>
      <c r="K412" s="63" t="s">
        <v>64</v>
      </c>
      <c r="L412" s="63" t="s">
        <v>2609</v>
      </c>
      <c r="M412" s="63" t="s">
        <v>2610</v>
      </c>
      <c r="N412" s="63" t="s">
        <v>84</v>
      </c>
      <c r="O412" s="63" t="s">
        <v>91</v>
      </c>
      <c r="P412" s="63" t="s">
        <v>92</v>
      </c>
      <c r="Q412" s="63">
        <v>5</v>
      </c>
      <c r="R412" s="63">
        <v>0</v>
      </c>
      <c r="S412" s="63" t="s">
        <v>70</v>
      </c>
      <c r="T412" s="63">
        <v>325.89999999999998</v>
      </c>
      <c r="U412" s="62">
        <v>46072.291666666664</v>
      </c>
      <c r="V412" s="63" t="s">
        <v>86</v>
      </c>
      <c r="W412" s="63">
        <v>2397.8000000000002</v>
      </c>
      <c r="X412" s="63">
        <v>4200</v>
      </c>
      <c r="Y412" s="63" t="s">
        <v>2238</v>
      </c>
    </row>
    <row r="413" spans="1:25" hidden="1">
      <c r="A413" s="62">
        <v>46071.738622685189</v>
      </c>
      <c r="B413" s="63">
        <v>641524</v>
      </c>
      <c r="C413" s="63" t="s">
        <v>218</v>
      </c>
      <c r="D413" s="63"/>
      <c r="E413" s="62">
        <v>46072.772858796299</v>
      </c>
      <c r="F413" s="63" t="s">
        <v>340</v>
      </c>
      <c r="G413" s="63">
        <v>1720690201</v>
      </c>
      <c r="H413" s="63">
        <v>47508411104288</v>
      </c>
      <c r="I413" s="63" t="s">
        <v>2608</v>
      </c>
      <c r="J413" s="63" t="s">
        <v>181</v>
      </c>
      <c r="K413" s="63" t="s">
        <v>64</v>
      </c>
      <c r="L413" s="63" t="s">
        <v>2609</v>
      </c>
      <c r="M413" s="63" t="s">
        <v>2610</v>
      </c>
      <c r="N413" s="63" t="s">
        <v>84</v>
      </c>
      <c r="O413" s="63" t="s">
        <v>141</v>
      </c>
      <c r="P413" s="63" t="s">
        <v>142</v>
      </c>
      <c r="Q413" s="63">
        <v>5</v>
      </c>
      <c r="R413" s="63">
        <v>0</v>
      </c>
      <c r="S413" s="63" t="s">
        <v>70</v>
      </c>
      <c r="T413" s="63">
        <v>325.89999999999998</v>
      </c>
      <c r="U413" s="62">
        <v>46072.291666666664</v>
      </c>
      <c r="V413" s="63" t="s">
        <v>86</v>
      </c>
      <c r="W413" s="63">
        <v>2397.8000000000002</v>
      </c>
      <c r="X413" s="63">
        <v>4200</v>
      </c>
      <c r="Y413" s="63" t="s">
        <v>2238</v>
      </c>
    </row>
    <row r="414" spans="1:25" hidden="1">
      <c r="A414" s="62">
        <v>46071.738622685189</v>
      </c>
      <c r="B414" s="63">
        <v>641524</v>
      </c>
      <c r="C414" s="63" t="s">
        <v>218</v>
      </c>
      <c r="D414" s="63"/>
      <c r="E414" s="62">
        <v>46072.772858796299</v>
      </c>
      <c r="F414" s="63" t="s">
        <v>340</v>
      </c>
      <c r="G414" s="63">
        <v>1720690201</v>
      </c>
      <c r="H414" s="63">
        <v>47508411104288</v>
      </c>
      <c r="I414" s="63" t="s">
        <v>2608</v>
      </c>
      <c r="J414" s="63" t="s">
        <v>181</v>
      </c>
      <c r="K414" s="63" t="s">
        <v>64</v>
      </c>
      <c r="L414" s="63" t="s">
        <v>2609</v>
      </c>
      <c r="M414" s="63" t="s">
        <v>2610</v>
      </c>
      <c r="N414" s="63" t="s">
        <v>84</v>
      </c>
      <c r="O414" s="63" t="s">
        <v>93</v>
      </c>
      <c r="P414" s="63" t="s">
        <v>94</v>
      </c>
      <c r="Q414" s="63">
        <v>5</v>
      </c>
      <c r="R414" s="63">
        <v>0</v>
      </c>
      <c r="S414" s="63" t="s">
        <v>70</v>
      </c>
      <c r="T414" s="63">
        <v>325.89999999999998</v>
      </c>
      <c r="U414" s="62">
        <v>46072.291666666664</v>
      </c>
      <c r="V414" s="63" t="s">
        <v>86</v>
      </c>
      <c r="W414" s="63">
        <v>2397.8000000000002</v>
      </c>
      <c r="X414" s="63">
        <v>4200</v>
      </c>
      <c r="Y414" s="63" t="s">
        <v>2238</v>
      </c>
    </row>
    <row r="415" spans="1:25" hidden="1">
      <c r="A415" s="62">
        <v>46071.738622685189</v>
      </c>
      <c r="B415" s="63">
        <v>641524</v>
      </c>
      <c r="C415" s="63" t="s">
        <v>218</v>
      </c>
      <c r="D415" s="63"/>
      <c r="E415" s="62">
        <v>46072.772858796299</v>
      </c>
      <c r="F415" s="63" t="s">
        <v>340</v>
      </c>
      <c r="G415" s="63">
        <v>1720760201</v>
      </c>
      <c r="H415" s="63">
        <v>47508411267829</v>
      </c>
      <c r="I415" s="63" t="s">
        <v>2611</v>
      </c>
      <c r="J415" s="63" t="s">
        <v>182</v>
      </c>
      <c r="K415" s="63" t="s">
        <v>64</v>
      </c>
      <c r="L415" s="63" t="s">
        <v>2612</v>
      </c>
      <c r="M415" s="63" t="s">
        <v>2613</v>
      </c>
      <c r="N415" s="63" t="s">
        <v>84</v>
      </c>
      <c r="O415" s="63" t="s">
        <v>68</v>
      </c>
      <c r="P415" s="63" t="s">
        <v>69</v>
      </c>
      <c r="Q415" s="63">
        <v>15</v>
      </c>
      <c r="R415" s="63">
        <v>0</v>
      </c>
      <c r="S415" s="63" t="s">
        <v>70</v>
      </c>
      <c r="T415" s="63">
        <v>80.27</v>
      </c>
      <c r="U415" s="62">
        <v>46072.291666666664</v>
      </c>
      <c r="V415" s="63" t="s">
        <v>86</v>
      </c>
      <c r="W415" s="63">
        <v>580.66999999999996</v>
      </c>
      <c r="X415" s="63">
        <v>4200</v>
      </c>
      <c r="Y415" s="63" t="s">
        <v>2238</v>
      </c>
    </row>
    <row r="416" spans="1:25" hidden="1">
      <c r="A416" s="62">
        <v>46071.738622685189</v>
      </c>
      <c r="B416" s="63">
        <v>641524</v>
      </c>
      <c r="C416" s="63" t="s">
        <v>218</v>
      </c>
      <c r="D416" s="63"/>
      <c r="E416" s="62">
        <v>46072.772858796299</v>
      </c>
      <c r="F416" s="63" t="s">
        <v>340</v>
      </c>
      <c r="G416" s="63">
        <v>1720760201</v>
      </c>
      <c r="H416" s="63">
        <v>47508411267829</v>
      </c>
      <c r="I416" s="63" t="s">
        <v>2611</v>
      </c>
      <c r="J416" s="63" t="s">
        <v>182</v>
      </c>
      <c r="K416" s="63" t="s">
        <v>64</v>
      </c>
      <c r="L416" s="63" t="s">
        <v>2612</v>
      </c>
      <c r="M416" s="63" t="s">
        <v>2613</v>
      </c>
      <c r="N416" s="63" t="s">
        <v>84</v>
      </c>
      <c r="O416" s="63" t="s">
        <v>93</v>
      </c>
      <c r="P416" s="63" t="s">
        <v>94</v>
      </c>
      <c r="Q416" s="63">
        <v>1</v>
      </c>
      <c r="R416" s="63">
        <v>0</v>
      </c>
      <c r="S416" s="63" t="s">
        <v>70</v>
      </c>
      <c r="T416" s="63">
        <v>80.27</v>
      </c>
      <c r="U416" s="62">
        <v>46072.291666666664</v>
      </c>
      <c r="V416" s="63" t="s">
        <v>86</v>
      </c>
      <c r="W416" s="63">
        <v>580.66999999999996</v>
      </c>
      <c r="X416" s="63">
        <v>4200</v>
      </c>
      <c r="Y416" s="63" t="s">
        <v>2238</v>
      </c>
    </row>
    <row r="417" spans="1:25" hidden="1">
      <c r="A417" s="62">
        <v>46071.738622685189</v>
      </c>
      <c r="B417" s="63">
        <v>641524</v>
      </c>
      <c r="C417" s="63" t="s">
        <v>218</v>
      </c>
      <c r="D417" s="63"/>
      <c r="E417" s="62">
        <v>46072.772858796299</v>
      </c>
      <c r="F417" s="63" t="s">
        <v>340</v>
      </c>
      <c r="G417" s="63">
        <v>1724860201</v>
      </c>
      <c r="H417" s="63">
        <v>26563652073354</v>
      </c>
      <c r="I417" s="63" t="s">
        <v>2614</v>
      </c>
      <c r="J417" s="63" t="s">
        <v>159</v>
      </c>
      <c r="K417" s="63" t="s">
        <v>64</v>
      </c>
      <c r="L417" s="63" t="s">
        <v>2615</v>
      </c>
      <c r="M417" s="63" t="s">
        <v>2616</v>
      </c>
      <c r="N417" s="63" t="s">
        <v>84</v>
      </c>
      <c r="O417" s="63" t="s">
        <v>68</v>
      </c>
      <c r="P417" s="63" t="s">
        <v>69</v>
      </c>
      <c r="Q417" s="63">
        <v>9</v>
      </c>
      <c r="R417" s="63">
        <v>0</v>
      </c>
      <c r="S417" s="63" t="s">
        <v>70</v>
      </c>
      <c r="T417" s="63">
        <v>50.161999999999999</v>
      </c>
      <c r="U417" s="62">
        <v>46072.291666666664</v>
      </c>
      <c r="V417" s="63" t="s">
        <v>86</v>
      </c>
      <c r="W417" s="63">
        <v>356.72</v>
      </c>
      <c r="X417" s="63">
        <v>4200</v>
      </c>
      <c r="Y417" s="63" t="s">
        <v>2238</v>
      </c>
    </row>
    <row r="418" spans="1:25" hidden="1">
      <c r="A418" s="62">
        <v>46071.738622685189</v>
      </c>
      <c r="B418" s="63">
        <v>641524</v>
      </c>
      <c r="C418" s="63" t="s">
        <v>218</v>
      </c>
      <c r="D418" s="63"/>
      <c r="E418" s="62">
        <v>46072.772858796299</v>
      </c>
      <c r="F418" s="63" t="s">
        <v>340</v>
      </c>
      <c r="G418" s="63">
        <v>1724860201</v>
      </c>
      <c r="H418" s="63">
        <v>26563652073354</v>
      </c>
      <c r="I418" s="63" t="s">
        <v>2614</v>
      </c>
      <c r="J418" s="63" t="s">
        <v>159</v>
      </c>
      <c r="K418" s="63" t="s">
        <v>64</v>
      </c>
      <c r="L418" s="63" t="s">
        <v>2615</v>
      </c>
      <c r="M418" s="63" t="s">
        <v>2616</v>
      </c>
      <c r="N418" s="63" t="s">
        <v>84</v>
      </c>
      <c r="O418" s="63" t="s">
        <v>72</v>
      </c>
      <c r="P418" s="63" t="s">
        <v>73</v>
      </c>
      <c r="Q418" s="63">
        <v>1</v>
      </c>
      <c r="R418" s="63">
        <v>0</v>
      </c>
      <c r="S418" s="63" t="s">
        <v>70</v>
      </c>
      <c r="T418" s="63">
        <v>50.161999999999999</v>
      </c>
      <c r="U418" s="62">
        <v>46072.291666666664</v>
      </c>
      <c r="V418" s="63" t="s">
        <v>86</v>
      </c>
      <c r="W418" s="63">
        <v>356.72</v>
      </c>
      <c r="X418" s="63">
        <v>4200</v>
      </c>
      <c r="Y418" s="63" t="s">
        <v>2238</v>
      </c>
    </row>
    <row r="419" spans="1:25">
      <c r="A419" s="62">
        <v>46071.738622685189</v>
      </c>
      <c r="B419" s="63">
        <v>641524</v>
      </c>
      <c r="C419" s="63" t="s">
        <v>218</v>
      </c>
      <c r="D419" s="63"/>
      <c r="E419" s="62">
        <v>46072.772870370369</v>
      </c>
      <c r="F419" s="63" t="s">
        <v>340</v>
      </c>
      <c r="G419" s="63">
        <v>1720770201</v>
      </c>
      <c r="H419" s="63">
        <v>47508411267829</v>
      </c>
      <c r="I419" s="63" t="s">
        <v>2611</v>
      </c>
      <c r="J419" s="63" t="s">
        <v>182</v>
      </c>
      <c r="K419" s="63" t="s">
        <v>64</v>
      </c>
      <c r="L419" s="63" t="s">
        <v>2612</v>
      </c>
      <c r="M419" s="63" t="s">
        <v>2613</v>
      </c>
      <c r="N419" s="63" t="s">
        <v>84</v>
      </c>
      <c r="O419" s="63" t="s">
        <v>109</v>
      </c>
      <c r="P419" s="63" t="s">
        <v>110</v>
      </c>
      <c r="Q419" s="63">
        <v>30</v>
      </c>
      <c r="R419" s="63">
        <v>0</v>
      </c>
      <c r="S419" s="63" t="s">
        <v>70</v>
      </c>
      <c r="T419" s="63">
        <v>150</v>
      </c>
      <c r="U419" s="62">
        <v>46072.291666666664</v>
      </c>
      <c r="V419" s="63" t="s">
        <v>86</v>
      </c>
      <c r="W419" s="63">
        <v>1082.0999999999999</v>
      </c>
      <c r="X419" s="63">
        <v>4200</v>
      </c>
      <c r="Y419" s="63" t="s">
        <v>2238</v>
      </c>
    </row>
    <row r="420" spans="1:25" hidden="1">
      <c r="A420" s="62">
        <v>46071.738622685189</v>
      </c>
      <c r="B420" s="63">
        <v>641524</v>
      </c>
      <c r="C420" s="63" t="s">
        <v>218</v>
      </c>
      <c r="D420" s="63"/>
      <c r="E420" s="62">
        <v>46072.772870370369</v>
      </c>
      <c r="F420" s="63" t="s">
        <v>340</v>
      </c>
      <c r="G420" s="63">
        <v>1720800201</v>
      </c>
      <c r="H420" s="63">
        <v>47508411109085</v>
      </c>
      <c r="I420" s="63" t="s">
        <v>2617</v>
      </c>
      <c r="J420" s="63" t="s">
        <v>182</v>
      </c>
      <c r="K420" s="63" t="s">
        <v>64</v>
      </c>
      <c r="L420" s="63" t="s">
        <v>2618</v>
      </c>
      <c r="M420" s="63" t="s">
        <v>2603</v>
      </c>
      <c r="N420" s="63" t="s">
        <v>84</v>
      </c>
      <c r="O420" s="63" t="s">
        <v>91</v>
      </c>
      <c r="P420" s="63" t="s">
        <v>92</v>
      </c>
      <c r="Q420" s="63">
        <v>1</v>
      </c>
      <c r="R420" s="63">
        <v>0</v>
      </c>
      <c r="S420" s="63" t="s">
        <v>70</v>
      </c>
      <c r="T420" s="63">
        <v>20</v>
      </c>
      <c r="U420" s="62">
        <v>46072.291666666664</v>
      </c>
      <c r="V420" s="63" t="s">
        <v>86</v>
      </c>
      <c r="W420" s="63">
        <v>158.47999999999999</v>
      </c>
      <c r="X420" s="63">
        <v>4200</v>
      </c>
      <c r="Y420" s="63" t="s">
        <v>2238</v>
      </c>
    </row>
    <row r="421" spans="1:25" hidden="1">
      <c r="A421" s="62">
        <v>46071.738622685189</v>
      </c>
      <c r="B421" s="63">
        <v>641524</v>
      </c>
      <c r="C421" s="63" t="s">
        <v>218</v>
      </c>
      <c r="D421" s="63"/>
      <c r="E421" s="62">
        <v>46072.772870370369</v>
      </c>
      <c r="F421" s="63" t="s">
        <v>340</v>
      </c>
      <c r="G421" s="63">
        <v>1720800201</v>
      </c>
      <c r="H421" s="63">
        <v>47508411109085</v>
      </c>
      <c r="I421" s="63" t="s">
        <v>2617</v>
      </c>
      <c r="J421" s="63" t="s">
        <v>182</v>
      </c>
      <c r="K421" s="63" t="s">
        <v>64</v>
      </c>
      <c r="L421" s="63" t="s">
        <v>2618</v>
      </c>
      <c r="M421" s="63" t="s">
        <v>2603</v>
      </c>
      <c r="N421" s="63" t="s">
        <v>84</v>
      </c>
      <c r="O421" s="63" t="s">
        <v>141</v>
      </c>
      <c r="P421" s="63" t="s">
        <v>142</v>
      </c>
      <c r="Q421" s="63">
        <v>1</v>
      </c>
      <c r="R421" s="63">
        <v>0</v>
      </c>
      <c r="S421" s="63" t="s">
        <v>70</v>
      </c>
      <c r="T421" s="63">
        <v>20</v>
      </c>
      <c r="U421" s="62">
        <v>46072.291666666664</v>
      </c>
      <c r="V421" s="63" t="s">
        <v>86</v>
      </c>
      <c r="W421" s="63">
        <v>158.47999999999999</v>
      </c>
      <c r="X421" s="63">
        <v>4200</v>
      </c>
      <c r="Y421" s="63" t="s">
        <v>2238</v>
      </c>
    </row>
    <row r="422" spans="1:25" hidden="1">
      <c r="A422" s="62">
        <v>46071.738622685189</v>
      </c>
      <c r="B422" s="63">
        <v>641524</v>
      </c>
      <c r="C422" s="63" t="s">
        <v>218</v>
      </c>
      <c r="D422" s="63"/>
      <c r="E422" s="62">
        <v>46072.772870370369</v>
      </c>
      <c r="F422" s="63" t="s">
        <v>340</v>
      </c>
      <c r="G422" s="63">
        <v>1720800201</v>
      </c>
      <c r="H422" s="63">
        <v>47508411109085</v>
      </c>
      <c r="I422" s="63" t="s">
        <v>2617</v>
      </c>
      <c r="J422" s="63" t="s">
        <v>182</v>
      </c>
      <c r="K422" s="63" t="s">
        <v>64</v>
      </c>
      <c r="L422" s="63" t="s">
        <v>2618</v>
      </c>
      <c r="M422" s="63" t="s">
        <v>2603</v>
      </c>
      <c r="N422" s="63" t="s">
        <v>84</v>
      </c>
      <c r="O422" s="63" t="s">
        <v>93</v>
      </c>
      <c r="P422" s="63" t="s">
        <v>94</v>
      </c>
      <c r="Q422" s="63">
        <v>2</v>
      </c>
      <c r="R422" s="63">
        <v>0</v>
      </c>
      <c r="S422" s="63" t="s">
        <v>70</v>
      </c>
      <c r="T422" s="63">
        <v>20</v>
      </c>
      <c r="U422" s="62">
        <v>46072.291666666664</v>
      </c>
      <c r="V422" s="63" t="s">
        <v>86</v>
      </c>
      <c r="W422" s="63">
        <v>158.47999999999999</v>
      </c>
      <c r="X422" s="63">
        <v>4200</v>
      </c>
      <c r="Y422" s="63" t="s">
        <v>2238</v>
      </c>
    </row>
    <row r="423" spans="1:25">
      <c r="A423" s="62">
        <v>46071.738622685189</v>
      </c>
      <c r="B423" s="63">
        <v>641524</v>
      </c>
      <c r="C423" s="63" t="s">
        <v>218</v>
      </c>
      <c r="D423" s="63"/>
      <c r="E423" s="62">
        <v>46072.772870370369</v>
      </c>
      <c r="F423" s="63" t="s">
        <v>340</v>
      </c>
      <c r="G423" s="63">
        <v>1720810201</v>
      </c>
      <c r="H423" s="63">
        <v>47508411109085</v>
      </c>
      <c r="I423" s="63" t="s">
        <v>2617</v>
      </c>
      <c r="J423" s="63" t="s">
        <v>182</v>
      </c>
      <c r="K423" s="63" t="s">
        <v>64</v>
      </c>
      <c r="L423" s="63" t="s">
        <v>2618</v>
      </c>
      <c r="M423" s="63" t="s">
        <v>2603</v>
      </c>
      <c r="N423" s="63" t="s">
        <v>84</v>
      </c>
      <c r="O423" s="63" t="s">
        <v>109</v>
      </c>
      <c r="P423" s="63" t="s">
        <v>110</v>
      </c>
      <c r="Q423" s="63">
        <v>60</v>
      </c>
      <c r="R423" s="63">
        <v>0</v>
      </c>
      <c r="S423" s="63" t="s">
        <v>70</v>
      </c>
      <c r="T423" s="63">
        <v>300</v>
      </c>
      <c r="U423" s="62">
        <v>46072.291666666664</v>
      </c>
      <c r="V423" s="63" t="s">
        <v>86</v>
      </c>
      <c r="W423" s="63">
        <v>2164.1999999999998</v>
      </c>
      <c r="X423" s="63">
        <v>4200</v>
      </c>
      <c r="Y423" s="63" t="s">
        <v>2238</v>
      </c>
    </row>
    <row r="424" spans="1:25" hidden="1">
      <c r="A424" s="62">
        <v>46071.738622685189</v>
      </c>
      <c r="B424" s="63">
        <v>641524</v>
      </c>
      <c r="C424" s="63" t="s">
        <v>218</v>
      </c>
      <c r="D424" s="63"/>
      <c r="E424" s="62">
        <v>46072.772881944446</v>
      </c>
      <c r="F424" s="63" t="s">
        <v>340</v>
      </c>
      <c r="G424" s="63">
        <v>1725260201</v>
      </c>
      <c r="H424" s="63">
        <v>26563652015664</v>
      </c>
      <c r="I424" s="63" t="s">
        <v>2438</v>
      </c>
      <c r="J424" s="63" t="s">
        <v>159</v>
      </c>
      <c r="K424" s="63" t="s">
        <v>64</v>
      </c>
      <c r="L424" s="63"/>
      <c r="M424" s="63" t="s">
        <v>321</v>
      </c>
      <c r="N424" s="63" t="s">
        <v>84</v>
      </c>
      <c r="O424" s="63" t="s">
        <v>68</v>
      </c>
      <c r="P424" s="63" t="s">
        <v>69</v>
      </c>
      <c r="Q424" s="63">
        <v>4</v>
      </c>
      <c r="R424" s="63">
        <v>0</v>
      </c>
      <c r="S424" s="63" t="s">
        <v>70</v>
      </c>
      <c r="T424" s="63">
        <v>20.071999999999999</v>
      </c>
      <c r="U424" s="62">
        <v>46072.291666666664</v>
      </c>
      <c r="V424" s="63" t="s">
        <v>86</v>
      </c>
      <c r="W424" s="63">
        <v>136.76</v>
      </c>
      <c r="X424" s="63">
        <v>4200</v>
      </c>
      <c r="Y424" s="63" t="s">
        <v>2238</v>
      </c>
    </row>
    <row r="425" spans="1:25" hidden="1">
      <c r="A425" s="62">
        <v>46071.738622685189</v>
      </c>
      <c r="B425" s="63">
        <v>641524</v>
      </c>
      <c r="C425" s="63" t="s">
        <v>218</v>
      </c>
      <c r="D425" s="63"/>
      <c r="E425" s="62">
        <v>46072.772916666669</v>
      </c>
      <c r="F425" s="63" t="s">
        <v>340</v>
      </c>
      <c r="G425" s="63">
        <v>1722970201</v>
      </c>
      <c r="H425" s="63">
        <v>26563652020072</v>
      </c>
      <c r="I425" s="63" t="s">
        <v>221</v>
      </c>
      <c r="J425" s="63" t="s">
        <v>159</v>
      </c>
      <c r="K425" s="63" t="s">
        <v>64</v>
      </c>
      <c r="L425" s="63"/>
      <c r="M425" s="63" t="s">
        <v>220</v>
      </c>
      <c r="N425" s="63" t="s">
        <v>84</v>
      </c>
      <c r="O425" s="63" t="s">
        <v>68</v>
      </c>
      <c r="P425" s="63" t="s">
        <v>69</v>
      </c>
      <c r="Q425" s="63">
        <v>7</v>
      </c>
      <c r="R425" s="63">
        <v>0</v>
      </c>
      <c r="S425" s="63" t="s">
        <v>70</v>
      </c>
      <c r="T425" s="63">
        <v>43.326000000000001</v>
      </c>
      <c r="U425" s="62">
        <v>46072.291666666664</v>
      </c>
      <c r="V425" s="63" t="s">
        <v>86</v>
      </c>
      <c r="W425" s="63">
        <v>354.34</v>
      </c>
      <c r="X425" s="63">
        <v>4200</v>
      </c>
      <c r="Y425" s="63" t="s">
        <v>2238</v>
      </c>
    </row>
    <row r="426" spans="1:25" hidden="1">
      <c r="A426" s="62">
        <v>46071.738622685189</v>
      </c>
      <c r="B426" s="63">
        <v>641524</v>
      </c>
      <c r="C426" s="63" t="s">
        <v>218</v>
      </c>
      <c r="D426" s="63"/>
      <c r="E426" s="62">
        <v>46072.772916666669</v>
      </c>
      <c r="F426" s="63" t="s">
        <v>340</v>
      </c>
      <c r="G426" s="63">
        <v>1722970201</v>
      </c>
      <c r="H426" s="63">
        <v>26563652020072</v>
      </c>
      <c r="I426" s="63" t="s">
        <v>221</v>
      </c>
      <c r="J426" s="63" t="s">
        <v>159</v>
      </c>
      <c r="K426" s="63" t="s">
        <v>64</v>
      </c>
      <c r="L426" s="63"/>
      <c r="M426" s="63" t="s">
        <v>220</v>
      </c>
      <c r="N426" s="63" t="s">
        <v>84</v>
      </c>
      <c r="O426" s="63" t="s">
        <v>72</v>
      </c>
      <c r="P426" s="63" t="s">
        <v>73</v>
      </c>
      <c r="Q426" s="63">
        <v>1</v>
      </c>
      <c r="R426" s="63">
        <v>0</v>
      </c>
      <c r="S426" s="63" t="s">
        <v>70</v>
      </c>
      <c r="T426" s="63">
        <v>43.326000000000001</v>
      </c>
      <c r="U426" s="62">
        <v>46072.291666666664</v>
      </c>
      <c r="V426" s="63" t="s">
        <v>86</v>
      </c>
      <c r="W426" s="63">
        <v>354.34</v>
      </c>
      <c r="X426" s="63">
        <v>4200</v>
      </c>
      <c r="Y426" s="63" t="s">
        <v>2238</v>
      </c>
    </row>
    <row r="427" spans="1:25" hidden="1">
      <c r="A427" s="62">
        <v>46071.738622685189</v>
      </c>
      <c r="B427" s="63">
        <v>641524</v>
      </c>
      <c r="C427" s="63" t="s">
        <v>218</v>
      </c>
      <c r="D427" s="63"/>
      <c r="E427" s="62">
        <v>46072.772916666669</v>
      </c>
      <c r="F427" s="63" t="s">
        <v>340</v>
      </c>
      <c r="G427" s="63">
        <v>1722970201</v>
      </c>
      <c r="H427" s="63">
        <v>26563652020072</v>
      </c>
      <c r="I427" s="63" t="s">
        <v>221</v>
      </c>
      <c r="J427" s="63" t="s">
        <v>159</v>
      </c>
      <c r="K427" s="63" t="s">
        <v>64</v>
      </c>
      <c r="L427" s="63"/>
      <c r="M427" s="63" t="s">
        <v>220</v>
      </c>
      <c r="N427" s="63" t="s">
        <v>84</v>
      </c>
      <c r="O427" s="63" t="s">
        <v>189</v>
      </c>
      <c r="P427" s="63" t="s">
        <v>190</v>
      </c>
      <c r="Q427" s="63">
        <v>1</v>
      </c>
      <c r="R427" s="63">
        <v>0</v>
      </c>
      <c r="S427" s="63" t="s">
        <v>76</v>
      </c>
      <c r="T427" s="63">
        <v>43.326000000000001</v>
      </c>
      <c r="U427" s="62">
        <v>46072.291666666664</v>
      </c>
      <c r="V427" s="63" t="s">
        <v>86</v>
      </c>
      <c r="W427" s="63">
        <v>354.34</v>
      </c>
      <c r="X427" s="63">
        <v>4200</v>
      </c>
      <c r="Y427" s="63" t="s">
        <v>2238</v>
      </c>
    </row>
    <row r="428" spans="1:25" hidden="1">
      <c r="A428" s="62">
        <v>46071.738622685189</v>
      </c>
      <c r="B428" s="63">
        <v>641524</v>
      </c>
      <c r="C428" s="63" t="s">
        <v>218</v>
      </c>
      <c r="D428" s="63"/>
      <c r="E428" s="62">
        <v>46072.772916666669</v>
      </c>
      <c r="F428" s="63" t="s">
        <v>340</v>
      </c>
      <c r="G428" s="63">
        <v>1723070201</v>
      </c>
      <c r="H428" s="63">
        <v>26563652059521</v>
      </c>
      <c r="I428" s="63" t="s">
        <v>2441</v>
      </c>
      <c r="J428" s="63" t="s">
        <v>159</v>
      </c>
      <c r="K428" s="63" t="s">
        <v>64</v>
      </c>
      <c r="L428" s="63"/>
      <c r="M428" s="63" t="s">
        <v>220</v>
      </c>
      <c r="N428" s="63" t="s">
        <v>84</v>
      </c>
      <c r="O428" s="63" t="s">
        <v>68</v>
      </c>
      <c r="P428" s="63" t="s">
        <v>69</v>
      </c>
      <c r="Q428" s="63">
        <v>9</v>
      </c>
      <c r="R428" s="63">
        <v>0</v>
      </c>
      <c r="S428" s="63" t="s">
        <v>70</v>
      </c>
      <c r="T428" s="63">
        <v>58.362000000000002</v>
      </c>
      <c r="U428" s="62">
        <v>46072.291666666664</v>
      </c>
      <c r="V428" s="63" t="s">
        <v>86</v>
      </c>
      <c r="W428" s="63">
        <v>471.73</v>
      </c>
      <c r="X428" s="63">
        <v>4200</v>
      </c>
      <c r="Y428" s="63" t="s">
        <v>2238</v>
      </c>
    </row>
    <row r="429" spans="1:25" hidden="1">
      <c r="A429" s="62">
        <v>46071.738622685189</v>
      </c>
      <c r="B429" s="63">
        <v>641524</v>
      </c>
      <c r="C429" s="63" t="s">
        <v>218</v>
      </c>
      <c r="D429" s="63"/>
      <c r="E429" s="62">
        <v>46072.772916666669</v>
      </c>
      <c r="F429" s="63" t="s">
        <v>340</v>
      </c>
      <c r="G429" s="63">
        <v>1723070201</v>
      </c>
      <c r="H429" s="63">
        <v>26563652059521</v>
      </c>
      <c r="I429" s="63" t="s">
        <v>2441</v>
      </c>
      <c r="J429" s="63" t="s">
        <v>159</v>
      </c>
      <c r="K429" s="63" t="s">
        <v>64</v>
      </c>
      <c r="L429" s="63"/>
      <c r="M429" s="63" t="s">
        <v>220</v>
      </c>
      <c r="N429" s="63" t="s">
        <v>84</v>
      </c>
      <c r="O429" s="63" t="s">
        <v>72</v>
      </c>
      <c r="P429" s="63" t="s">
        <v>73</v>
      </c>
      <c r="Q429" s="63">
        <v>2</v>
      </c>
      <c r="R429" s="63">
        <v>0</v>
      </c>
      <c r="S429" s="63" t="s">
        <v>70</v>
      </c>
      <c r="T429" s="63">
        <v>58.362000000000002</v>
      </c>
      <c r="U429" s="62">
        <v>46072.291666666664</v>
      </c>
      <c r="V429" s="63" t="s">
        <v>86</v>
      </c>
      <c r="W429" s="63">
        <v>471.73</v>
      </c>
      <c r="X429" s="63">
        <v>4200</v>
      </c>
      <c r="Y429" s="63" t="s">
        <v>2238</v>
      </c>
    </row>
    <row r="430" spans="1:25" hidden="1">
      <c r="A430" s="62">
        <v>46071.738622685189</v>
      </c>
      <c r="B430" s="63">
        <v>641524</v>
      </c>
      <c r="C430" s="63" t="s">
        <v>218</v>
      </c>
      <c r="D430" s="63"/>
      <c r="E430" s="62">
        <v>46072.772916666669</v>
      </c>
      <c r="F430" s="63" t="s">
        <v>340</v>
      </c>
      <c r="G430" s="63">
        <v>1723070201</v>
      </c>
      <c r="H430" s="63">
        <v>26563652059521</v>
      </c>
      <c r="I430" s="63" t="s">
        <v>2441</v>
      </c>
      <c r="J430" s="63" t="s">
        <v>159</v>
      </c>
      <c r="K430" s="63" t="s">
        <v>64</v>
      </c>
      <c r="L430" s="63"/>
      <c r="M430" s="63" t="s">
        <v>220</v>
      </c>
      <c r="N430" s="63" t="s">
        <v>84</v>
      </c>
      <c r="O430" s="63" t="s">
        <v>79</v>
      </c>
      <c r="P430" s="63" t="s">
        <v>80</v>
      </c>
      <c r="Q430" s="63">
        <v>1</v>
      </c>
      <c r="R430" s="63">
        <v>0</v>
      </c>
      <c r="S430" s="63" t="s">
        <v>76</v>
      </c>
      <c r="T430" s="63">
        <v>58.362000000000002</v>
      </c>
      <c r="U430" s="62">
        <v>46072.291666666664</v>
      </c>
      <c r="V430" s="63" t="s">
        <v>86</v>
      </c>
      <c r="W430" s="63">
        <v>471.73</v>
      </c>
      <c r="X430" s="63">
        <v>4200</v>
      </c>
      <c r="Y430" s="63" t="s">
        <v>2238</v>
      </c>
    </row>
    <row r="431" spans="1:25" hidden="1">
      <c r="A431" s="62">
        <v>46071.738622685189</v>
      </c>
      <c r="B431" s="63">
        <v>641524</v>
      </c>
      <c r="C431" s="63" t="s">
        <v>218</v>
      </c>
      <c r="D431" s="63"/>
      <c r="E431" s="62">
        <v>46072.772928240738</v>
      </c>
      <c r="F431" s="63" t="s">
        <v>340</v>
      </c>
      <c r="G431" s="63">
        <v>1723270201</v>
      </c>
      <c r="H431" s="63">
        <v>26563652034103</v>
      </c>
      <c r="I431" s="63" t="s">
        <v>224</v>
      </c>
      <c r="J431" s="63" t="s">
        <v>159</v>
      </c>
      <c r="K431" s="63" t="s">
        <v>64</v>
      </c>
      <c r="L431" s="63"/>
      <c r="M431" s="63" t="s">
        <v>225</v>
      </c>
      <c r="N431" s="63" t="s">
        <v>84</v>
      </c>
      <c r="O431" s="63" t="s">
        <v>68</v>
      </c>
      <c r="P431" s="63" t="s">
        <v>69</v>
      </c>
      <c r="Q431" s="63">
        <v>15</v>
      </c>
      <c r="R431" s="63">
        <v>0</v>
      </c>
      <c r="S431" s="63" t="s">
        <v>70</v>
      </c>
      <c r="T431" s="63">
        <v>80.27</v>
      </c>
      <c r="U431" s="62">
        <v>46072.291666666664</v>
      </c>
      <c r="V431" s="63" t="s">
        <v>86</v>
      </c>
      <c r="W431" s="63">
        <v>561.86</v>
      </c>
      <c r="X431" s="63">
        <v>4200</v>
      </c>
      <c r="Y431" s="63" t="s">
        <v>2238</v>
      </c>
    </row>
    <row r="432" spans="1:25" hidden="1">
      <c r="A432" s="62">
        <v>46071.738622685189</v>
      </c>
      <c r="B432" s="63">
        <v>641524</v>
      </c>
      <c r="C432" s="63" t="s">
        <v>218</v>
      </c>
      <c r="D432" s="63"/>
      <c r="E432" s="62">
        <v>46072.772928240738</v>
      </c>
      <c r="F432" s="63" t="s">
        <v>340</v>
      </c>
      <c r="G432" s="63">
        <v>1723270201</v>
      </c>
      <c r="H432" s="63">
        <v>26563652034103</v>
      </c>
      <c r="I432" s="63" t="s">
        <v>224</v>
      </c>
      <c r="J432" s="63" t="s">
        <v>159</v>
      </c>
      <c r="K432" s="63" t="s">
        <v>64</v>
      </c>
      <c r="L432" s="63"/>
      <c r="M432" s="63" t="s">
        <v>225</v>
      </c>
      <c r="N432" s="63" t="s">
        <v>84</v>
      </c>
      <c r="O432" s="63" t="s">
        <v>72</v>
      </c>
      <c r="P432" s="63" t="s">
        <v>73</v>
      </c>
      <c r="Q432" s="63">
        <v>1</v>
      </c>
      <c r="R432" s="63">
        <v>0</v>
      </c>
      <c r="S432" s="63" t="s">
        <v>70</v>
      </c>
      <c r="T432" s="63">
        <v>80.27</v>
      </c>
      <c r="U432" s="62">
        <v>46072.291666666664</v>
      </c>
      <c r="V432" s="63" t="s">
        <v>86</v>
      </c>
      <c r="W432" s="63">
        <v>561.86</v>
      </c>
      <c r="X432" s="63">
        <v>4200</v>
      </c>
      <c r="Y432" s="63" t="s">
        <v>2238</v>
      </c>
    </row>
    <row r="433" spans="1:25" hidden="1">
      <c r="A433" s="62">
        <v>46071.738622685189</v>
      </c>
      <c r="B433" s="63">
        <v>641524</v>
      </c>
      <c r="C433" s="63" t="s">
        <v>218</v>
      </c>
      <c r="D433" s="63"/>
      <c r="E433" s="62">
        <v>46072.772939814815</v>
      </c>
      <c r="F433" s="63" t="s">
        <v>340</v>
      </c>
      <c r="G433" s="63">
        <v>1723310201</v>
      </c>
      <c r="H433" s="63">
        <v>26563652011839</v>
      </c>
      <c r="I433" s="63" t="s">
        <v>2439</v>
      </c>
      <c r="J433" s="63" t="s">
        <v>159</v>
      </c>
      <c r="K433" s="63" t="s">
        <v>64</v>
      </c>
      <c r="L433" s="63"/>
      <c r="M433" s="63" t="s">
        <v>2440</v>
      </c>
      <c r="N433" s="63" t="s">
        <v>84</v>
      </c>
      <c r="O433" s="63" t="s">
        <v>68</v>
      </c>
      <c r="P433" s="63" t="s">
        <v>69</v>
      </c>
      <c r="Q433" s="63">
        <v>9</v>
      </c>
      <c r="R433" s="63">
        <v>0</v>
      </c>
      <c r="S433" s="63" t="s">
        <v>70</v>
      </c>
      <c r="T433" s="63">
        <v>50.161999999999999</v>
      </c>
      <c r="U433" s="62">
        <v>46072.291666666664</v>
      </c>
      <c r="V433" s="63" t="s">
        <v>86</v>
      </c>
      <c r="W433" s="63">
        <v>356.72</v>
      </c>
      <c r="X433" s="63">
        <v>4200</v>
      </c>
      <c r="Y433" s="63" t="s">
        <v>2238</v>
      </c>
    </row>
    <row r="434" spans="1:25" hidden="1">
      <c r="A434" s="62">
        <v>46071.738622685189</v>
      </c>
      <c r="B434" s="63">
        <v>641524</v>
      </c>
      <c r="C434" s="63" t="s">
        <v>218</v>
      </c>
      <c r="D434" s="63"/>
      <c r="E434" s="62">
        <v>46072.772939814815</v>
      </c>
      <c r="F434" s="63" t="s">
        <v>340</v>
      </c>
      <c r="G434" s="63">
        <v>1723310201</v>
      </c>
      <c r="H434" s="63">
        <v>26563652011839</v>
      </c>
      <c r="I434" s="63" t="s">
        <v>2439</v>
      </c>
      <c r="J434" s="63" t="s">
        <v>159</v>
      </c>
      <c r="K434" s="63" t="s">
        <v>64</v>
      </c>
      <c r="L434" s="63"/>
      <c r="M434" s="63" t="s">
        <v>2440</v>
      </c>
      <c r="N434" s="63" t="s">
        <v>84</v>
      </c>
      <c r="O434" s="63" t="s">
        <v>72</v>
      </c>
      <c r="P434" s="63" t="s">
        <v>73</v>
      </c>
      <c r="Q434" s="63">
        <v>1</v>
      </c>
      <c r="R434" s="63">
        <v>0</v>
      </c>
      <c r="S434" s="63" t="s">
        <v>70</v>
      </c>
      <c r="T434" s="63">
        <v>50.161999999999999</v>
      </c>
      <c r="U434" s="62">
        <v>46072.291666666664</v>
      </c>
      <c r="V434" s="63" t="s">
        <v>86</v>
      </c>
      <c r="W434" s="63">
        <v>356.72</v>
      </c>
      <c r="X434" s="63">
        <v>4200</v>
      </c>
      <c r="Y434" s="63" t="s">
        <v>2238</v>
      </c>
    </row>
    <row r="435" spans="1:25" hidden="1">
      <c r="A435" s="62">
        <v>46071.738622685189</v>
      </c>
      <c r="B435" s="63">
        <v>641524</v>
      </c>
      <c r="C435" s="63" t="s">
        <v>218</v>
      </c>
      <c r="D435" s="63"/>
      <c r="E435" s="62">
        <v>46072.772951388892</v>
      </c>
      <c r="F435" s="63" t="s">
        <v>340</v>
      </c>
      <c r="G435" s="63">
        <v>1723970201</v>
      </c>
      <c r="H435" s="63">
        <v>26563652082264</v>
      </c>
      <c r="I435" s="63" t="s">
        <v>2436</v>
      </c>
      <c r="J435" s="63" t="s">
        <v>159</v>
      </c>
      <c r="K435" s="63" t="s">
        <v>64</v>
      </c>
      <c r="L435" s="63" t="s">
        <v>2437</v>
      </c>
      <c r="M435" s="63" t="s">
        <v>322</v>
      </c>
      <c r="N435" s="63" t="s">
        <v>84</v>
      </c>
      <c r="O435" s="63" t="s">
        <v>68</v>
      </c>
      <c r="P435" s="63" t="s">
        <v>69</v>
      </c>
      <c r="Q435" s="63">
        <v>10</v>
      </c>
      <c r="R435" s="63">
        <v>0</v>
      </c>
      <c r="S435" s="63" t="s">
        <v>70</v>
      </c>
      <c r="T435" s="63">
        <v>60.18</v>
      </c>
      <c r="U435" s="62">
        <v>46072.291666666664</v>
      </c>
      <c r="V435" s="63" t="s">
        <v>86</v>
      </c>
      <c r="W435" s="63">
        <v>439.92</v>
      </c>
      <c r="X435" s="63">
        <v>4200</v>
      </c>
      <c r="Y435" s="63" t="s">
        <v>2238</v>
      </c>
    </row>
    <row r="436" spans="1:25" hidden="1">
      <c r="A436" s="62">
        <v>46071.738622685189</v>
      </c>
      <c r="B436" s="63">
        <v>641524</v>
      </c>
      <c r="C436" s="63" t="s">
        <v>218</v>
      </c>
      <c r="D436" s="63"/>
      <c r="E436" s="62">
        <v>46072.772951388892</v>
      </c>
      <c r="F436" s="63" t="s">
        <v>340</v>
      </c>
      <c r="G436" s="63">
        <v>1723970201</v>
      </c>
      <c r="H436" s="63">
        <v>26563652082264</v>
      </c>
      <c r="I436" s="63" t="s">
        <v>2436</v>
      </c>
      <c r="J436" s="63" t="s">
        <v>159</v>
      </c>
      <c r="K436" s="63" t="s">
        <v>64</v>
      </c>
      <c r="L436" s="63" t="s">
        <v>2437</v>
      </c>
      <c r="M436" s="63" t="s">
        <v>322</v>
      </c>
      <c r="N436" s="63" t="s">
        <v>84</v>
      </c>
      <c r="O436" s="63" t="s">
        <v>72</v>
      </c>
      <c r="P436" s="63" t="s">
        <v>73</v>
      </c>
      <c r="Q436" s="63">
        <v>2</v>
      </c>
      <c r="R436" s="63">
        <v>0</v>
      </c>
      <c r="S436" s="63" t="s">
        <v>70</v>
      </c>
      <c r="T436" s="63">
        <v>60.18</v>
      </c>
      <c r="U436" s="62">
        <v>46072.291666666664</v>
      </c>
      <c r="V436" s="63" t="s">
        <v>86</v>
      </c>
      <c r="W436" s="63">
        <v>439.92</v>
      </c>
      <c r="X436" s="63">
        <v>4200</v>
      </c>
      <c r="Y436" s="63" t="s">
        <v>2238</v>
      </c>
    </row>
    <row r="437" spans="1:25" hidden="1">
      <c r="A437" s="62">
        <v>46071.738622685189</v>
      </c>
      <c r="B437" s="63">
        <v>641525</v>
      </c>
      <c r="C437" s="63" t="s">
        <v>239</v>
      </c>
      <c r="D437" s="63"/>
      <c r="E437" s="62">
        <v>46071.765057870369</v>
      </c>
      <c r="F437" s="63" t="s">
        <v>320</v>
      </c>
      <c r="G437" s="63">
        <v>1717220201</v>
      </c>
      <c r="H437" s="63">
        <v>26563652055291</v>
      </c>
      <c r="I437" s="63" t="s">
        <v>2301</v>
      </c>
      <c r="J437" s="63" t="s">
        <v>159</v>
      </c>
      <c r="K437" s="63" t="s">
        <v>64</v>
      </c>
      <c r="L437" s="63"/>
      <c r="M437" s="63" t="s">
        <v>244</v>
      </c>
      <c r="N437" s="63" t="s">
        <v>84</v>
      </c>
      <c r="O437" s="63" t="s">
        <v>68</v>
      </c>
      <c r="P437" s="63" t="s">
        <v>69</v>
      </c>
      <c r="Q437" s="63">
        <v>4</v>
      </c>
      <c r="R437" s="63">
        <v>0</v>
      </c>
      <c r="S437" s="63" t="s">
        <v>70</v>
      </c>
      <c r="T437" s="63">
        <v>32.572000000000003</v>
      </c>
      <c r="U437" s="62">
        <v>46072.291666666664</v>
      </c>
      <c r="V437" s="63" t="s">
        <v>86</v>
      </c>
      <c r="W437" s="63">
        <v>413.28</v>
      </c>
      <c r="X437" s="63">
        <v>4200</v>
      </c>
      <c r="Y437" s="63" t="s">
        <v>2431</v>
      </c>
    </row>
    <row r="438" spans="1:25" hidden="1">
      <c r="A438" s="62">
        <v>46071.738622685189</v>
      </c>
      <c r="B438" s="63">
        <v>641525</v>
      </c>
      <c r="C438" s="63" t="s">
        <v>239</v>
      </c>
      <c r="D438" s="63"/>
      <c r="E438" s="62">
        <v>46071.765057870369</v>
      </c>
      <c r="F438" s="63" t="s">
        <v>320</v>
      </c>
      <c r="G438" s="63">
        <v>1717220201</v>
      </c>
      <c r="H438" s="63">
        <v>26563652055291</v>
      </c>
      <c r="I438" s="63" t="s">
        <v>2301</v>
      </c>
      <c r="J438" s="63" t="s">
        <v>159</v>
      </c>
      <c r="K438" s="63" t="s">
        <v>64</v>
      </c>
      <c r="L438" s="63"/>
      <c r="M438" s="63" t="s">
        <v>244</v>
      </c>
      <c r="N438" s="63" t="s">
        <v>84</v>
      </c>
      <c r="O438" s="63" t="s">
        <v>74</v>
      </c>
      <c r="P438" s="63" t="s">
        <v>75</v>
      </c>
      <c r="Q438" s="63">
        <v>1</v>
      </c>
      <c r="R438" s="63">
        <v>0</v>
      </c>
      <c r="S438" s="63" t="s">
        <v>76</v>
      </c>
      <c r="T438" s="63">
        <v>32.572000000000003</v>
      </c>
      <c r="U438" s="62">
        <v>46072.291666666664</v>
      </c>
      <c r="V438" s="63" t="s">
        <v>86</v>
      </c>
      <c r="W438" s="63">
        <v>413.28</v>
      </c>
      <c r="X438" s="63">
        <v>4200</v>
      </c>
      <c r="Y438" s="63" t="s">
        <v>2431</v>
      </c>
    </row>
    <row r="439" spans="1:25" hidden="1">
      <c r="A439" s="62">
        <v>46071.738622685189</v>
      </c>
      <c r="B439" s="63">
        <v>641525</v>
      </c>
      <c r="C439" s="63" t="s">
        <v>239</v>
      </c>
      <c r="D439" s="63"/>
      <c r="E439" s="62">
        <v>46071.765057870369</v>
      </c>
      <c r="F439" s="63" t="s">
        <v>320</v>
      </c>
      <c r="G439" s="63">
        <v>1717220201</v>
      </c>
      <c r="H439" s="63">
        <v>26563652055291</v>
      </c>
      <c r="I439" s="63" t="s">
        <v>2301</v>
      </c>
      <c r="J439" s="63" t="s">
        <v>159</v>
      </c>
      <c r="K439" s="63" t="s">
        <v>64</v>
      </c>
      <c r="L439" s="63"/>
      <c r="M439" s="63" t="s">
        <v>244</v>
      </c>
      <c r="N439" s="63" t="s">
        <v>84</v>
      </c>
      <c r="O439" s="63" t="s">
        <v>165</v>
      </c>
      <c r="P439" s="63" t="s">
        <v>166</v>
      </c>
      <c r="Q439" s="63">
        <v>1</v>
      </c>
      <c r="R439" s="63">
        <v>0</v>
      </c>
      <c r="S439" s="63" t="s">
        <v>76</v>
      </c>
      <c r="T439" s="63">
        <v>32.572000000000003</v>
      </c>
      <c r="U439" s="62">
        <v>46072.291666666664</v>
      </c>
      <c r="V439" s="63" t="s">
        <v>86</v>
      </c>
      <c r="W439" s="63">
        <v>413.28</v>
      </c>
      <c r="X439" s="63">
        <v>4200</v>
      </c>
      <c r="Y439" s="63" t="s">
        <v>2431</v>
      </c>
    </row>
    <row r="440" spans="1:25" hidden="1">
      <c r="A440" s="62">
        <v>46071.738622685189</v>
      </c>
      <c r="B440" s="63">
        <v>641525</v>
      </c>
      <c r="C440" s="63" t="s">
        <v>239</v>
      </c>
      <c r="D440" s="63"/>
      <c r="E440" s="62">
        <v>46071.774768518517</v>
      </c>
      <c r="F440" s="63" t="s">
        <v>320</v>
      </c>
      <c r="G440" s="63">
        <v>1718410201</v>
      </c>
      <c r="H440" s="63">
        <v>26563652048597</v>
      </c>
      <c r="I440" s="63" t="s">
        <v>251</v>
      </c>
      <c r="J440" s="63" t="s">
        <v>159</v>
      </c>
      <c r="K440" s="63" t="s">
        <v>64</v>
      </c>
      <c r="L440" s="63"/>
      <c r="M440" s="63" t="s">
        <v>252</v>
      </c>
      <c r="N440" s="63" t="s">
        <v>84</v>
      </c>
      <c r="O440" s="63" t="s">
        <v>68</v>
      </c>
      <c r="P440" s="63" t="s">
        <v>69</v>
      </c>
      <c r="Q440" s="63">
        <v>11</v>
      </c>
      <c r="R440" s="63">
        <v>0</v>
      </c>
      <c r="S440" s="63" t="s">
        <v>70</v>
      </c>
      <c r="T440" s="63">
        <v>55.198</v>
      </c>
      <c r="U440" s="62">
        <v>46072.291666666664</v>
      </c>
      <c r="V440" s="63" t="s">
        <v>86</v>
      </c>
      <c r="W440" s="63">
        <v>376.09</v>
      </c>
      <c r="X440" s="63">
        <v>4200</v>
      </c>
      <c r="Y440" s="63" t="s">
        <v>2431</v>
      </c>
    </row>
    <row r="441" spans="1:25" hidden="1">
      <c r="A441" s="62">
        <v>46071.738622685189</v>
      </c>
      <c r="B441" s="63">
        <v>641525</v>
      </c>
      <c r="C441" s="63" t="s">
        <v>239</v>
      </c>
      <c r="D441" s="63"/>
      <c r="E441" s="62">
        <v>46071.776863425926</v>
      </c>
      <c r="F441" s="63" t="s">
        <v>320</v>
      </c>
      <c r="G441" s="63">
        <v>1717810201</v>
      </c>
      <c r="H441" s="63">
        <v>26563652025112</v>
      </c>
      <c r="I441" s="63" t="s">
        <v>241</v>
      </c>
      <c r="J441" s="63" t="s">
        <v>159</v>
      </c>
      <c r="K441" s="63" t="s">
        <v>64</v>
      </c>
      <c r="L441" s="63" t="s">
        <v>242</v>
      </c>
      <c r="M441" s="63" t="s">
        <v>243</v>
      </c>
      <c r="N441" s="63" t="s">
        <v>84</v>
      </c>
      <c r="O441" s="63" t="s">
        <v>68</v>
      </c>
      <c r="P441" s="63" t="s">
        <v>69</v>
      </c>
      <c r="Q441" s="63">
        <v>3</v>
      </c>
      <c r="R441" s="63">
        <v>0</v>
      </c>
      <c r="S441" s="63" t="s">
        <v>70</v>
      </c>
      <c r="T441" s="63">
        <v>25.974</v>
      </c>
      <c r="U441" s="62">
        <v>46072.291666666664</v>
      </c>
      <c r="V441" s="63" t="s">
        <v>86</v>
      </c>
      <c r="W441" s="63">
        <v>1250.72</v>
      </c>
      <c r="X441" s="63">
        <v>4200</v>
      </c>
      <c r="Y441" s="63" t="s">
        <v>2431</v>
      </c>
    </row>
    <row r="442" spans="1:25" hidden="1">
      <c r="A442" s="62">
        <v>46071.738622685189</v>
      </c>
      <c r="B442" s="63">
        <v>641525</v>
      </c>
      <c r="C442" s="63" t="s">
        <v>239</v>
      </c>
      <c r="D442" s="63"/>
      <c r="E442" s="62">
        <v>46071.776863425926</v>
      </c>
      <c r="F442" s="63" t="s">
        <v>320</v>
      </c>
      <c r="G442" s="63">
        <v>1717810201</v>
      </c>
      <c r="H442" s="63">
        <v>26563652025112</v>
      </c>
      <c r="I442" s="63" t="s">
        <v>241</v>
      </c>
      <c r="J442" s="63" t="s">
        <v>159</v>
      </c>
      <c r="K442" s="63" t="s">
        <v>64</v>
      </c>
      <c r="L442" s="63" t="s">
        <v>242</v>
      </c>
      <c r="M442" s="63" t="s">
        <v>243</v>
      </c>
      <c r="N442" s="63" t="s">
        <v>84</v>
      </c>
      <c r="O442" s="63" t="s">
        <v>175</v>
      </c>
      <c r="P442" s="63" t="s">
        <v>176</v>
      </c>
      <c r="Q442" s="63">
        <v>5</v>
      </c>
      <c r="R442" s="63">
        <v>0</v>
      </c>
      <c r="S442" s="63" t="s">
        <v>76</v>
      </c>
      <c r="T442" s="63">
        <v>25.974</v>
      </c>
      <c r="U442" s="62">
        <v>46072.291666666664</v>
      </c>
      <c r="V442" s="63" t="s">
        <v>86</v>
      </c>
      <c r="W442" s="63">
        <v>1250.72</v>
      </c>
      <c r="X442" s="63">
        <v>4200</v>
      </c>
      <c r="Y442" s="63" t="s">
        <v>2431</v>
      </c>
    </row>
    <row r="443" spans="1:25" hidden="1">
      <c r="A443" s="62">
        <v>46071.738622685189</v>
      </c>
      <c r="B443" s="63">
        <v>641525</v>
      </c>
      <c r="C443" s="63" t="s">
        <v>239</v>
      </c>
      <c r="D443" s="63"/>
      <c r="E443" s="62">
        <v>46071.776863425926</v>
      </c>
      <c r="F443" s="63" t="s">
        <v>320</v>
      </c>
      <c r="G443" s="63">
        <v>1717810201</v>
      </c>
      <c r="H443" s="63">
        <v>26563652025112</v>
      </c>
      <c r="I443" s="63" t="s">
        <v>241</v>
      </c>
      <c r="J443" s="63" t="s">
        <v>159</v>
      </c>
      <c r="K443" s="63" t="s">
        <v>64</v>
      </c>
      <c r="L443" s="63" t="s">
        <v>242</v>
      </c>
      <c r="M443" s="63" t="s">
        <v>243</v>
      </c>
      <c r="N443" s="63" t="s">
        <v>84</v>
      </c>
      <c r="O443" s="63" t="s">
        <v>167</v>
      </c>
      <c r="P443" s="63" t="s">
        <v>168</v>
      </c>
      <c r="Q443" s="63">
        <v>6</v>
      </c>
      <c r="R443" s="63">
        <v>0</v>
      </c>
      <c r="S443" s="63" t="s">
        <v>76</v>
      </c>
      <c r="T443" s="63">
        <v>25.974</v>
      </c>
      <c r="U443" s="62">
        <v>46072.291666666664</v>
      </c>
      <c r="V443" s="63" t="s">
        <v>86</v>
      </c>
      <c r="W443" s="63">
        <v>1250.72</v>
      </c>
      <c r="X443" s="63">
        <v>4200</v>
      </c>
      <c r="Y443" s="63" t="s">
        <v>2431</v>
      </c>
    </row>
    <row r="444" spans="1:25" hidden="1">
      <c r="A444" s="62">
        <v>46071.738622685189</v>
      </c>
      <c r="B444" s="63">
        <v>641525</v>
      </c>
      <c r="C444" s="63" t="s">
        <v>239</v>
      </c>
      <c r="D444" s="63"/>
      <c r="E444" s="62">
        <v>46071.787974537037</v>
      </c>
      <c r="F444" s="63" t="s">
        <v>320</v>
      </c>
      <c r="G444" s="63">
        <v>1705890201</v>
      </c>
      <c r="H444" s="63">
        <v>26563652047515</v>
      </c>
      <c r="I444" s="63" t="s">
        <v>245</v>
      </c>
      <c r="J444" s="63" t="s">
        <v>159</v>
      </c>
      <c r="K444" s="63" t="s">
        <v>64</v>
      </c>
      <c r="L444" s="63" t="s">
        <v>246</v>
      </c>
      <c r="M444" s="63" t="s">
        <v>244</v>
      </c>
      <c r="N444" s="63" t="s">
        <v>84</v>
      </c>
      <c r="O444" s="63" t="s">
        <v>68</v>
      </c>
      <c r="P444" s="63" t="s">
        <v>69</v>
      </c>
      <c r="Q444" s="63">
        <v>3</v>
      </c>
      <c r="R444" s="63">
        <v>0</v>
      </c>
      <c r="S444" s="63" t="s">
        <v>70</v>
      </c>
      <c r="T444" s="63">
        <v>30.684000000000001</v>
      </c>
      <c r="U444" s="62">
        <v>46072.291666666664</v>
      </c>
      <c r="V444" s="63" t="s">
        <v>86</v>
      </c>
      <c r="W444" s="63">
        <v>412.58</v>
      </c>
      <c r="X444" s="63">
        <v>4200</v>
      </c>
      <c r="Y444" s="63" t="s">
        <v>2431</v>
      </c>
    </row>
    <row r="445" spans="1:25" hidden="1">
      <c r="A445" s="62">
        <v>46071.738622685189</v>
      </c>
      <c r="B445" s="63">
        <v>641525</v>
      </c>
      <c r="C445" s="63" t="s">
        <v>239</v>
      </c>
      <c r="D445" s="63"/>
      <c r="E445" s="62">
        <v>46071.787974537037</v>
      </c>
      <c r="F445" s="63" t="s">
        <v>320</v>
      </c>
      <c r="G445" s="63">
        <v>1705890201</v>
      </c>
      <c r="H445" s="63">
        <v>26563652047515</v>
      </c>
      <c r="I445" s="63" t="s">
        <v>245</v>
      </c>
      <c r="J445" s="63" t="s">
        <v>159</v>
      </c>
      <c r="K445" s="63" t="s">
        <v>64</v>
      </c>
      <c r="L445" s="63" t="s">
        <v>246</v>
      </c>
      <c r="M445" s="63" t="s">
        <v>244</v>
      </c>
      <c r="N445" s="63" t="s">
        <v>84</v>
      </c>
      <c r="O445" s="63" t="s">
        <v>72</v>
      </c>
      <c r="P445" s="63" t="s">
        <v>73</v>
      </c>
      <c r="Q445" s="63">
        <v>1</v>
      </c>
      <c r="R445" s="63">
        <v>0</v>
      </c>
      <c r="S445" s="63" t="s">
        <v>70</v>
      </c>
      <c r="T445" s="63">
        <v>30.684000000000001</v>
      </c>
      <c r="U445" s="62">
        <v>46072.291666666664</v>
      </c>
      <c r="V445" s="63" t="s">
        <v>86</v>
      </c>
      <c r="W445" s="63">
        <v>412.58</v>
      </c>
      <c r="X445" s="63">
        <v>4200</v>
      </c>
      <c r="Y445" s="63" t="s">
        <v>2431</v>
      </c>
    </row>
    <row r="446" spans="1:25" hidden="1">
      <c r="A446" s="62">
        <v>46071.738622685189</v>
      </c>
      <c r="B446" s="63">
        <v>641525</v>
      </c>
      <c r="C446" s="63" t="s">
        <v>239</v>
      </c>
      <c r="D446" s="63"/>
      <c r="E446" s="62">
        <v>46071.787974537037</v>
      </c>
      <c r="F446" s="63" t="s">
        <v>320</v>
      </c>
      <c r="G446" s="63">
        <v>1705890201</v>
      </c>
      <c r="H446" s="63">
        <v>26563652047515</v>
      </c>
      <c r="I446" s="63" t="s">
        <v>245</v>
      </c>
      <c r="J446" s="63" t="s">
        <v>159</v>
      </c>
      <c r="K446" s="63" t="s">
        <v>64</v>
      </c>
      <c r="L446" s="63" t="s">
        <v>246</v>
      </c>
      <c r="M446" s="63" t="s">
        <v>244</v>
      </c>
      <c r="N446" s="63" t="s">
        <v>84</v>
      </c>
      <c r="O446" s="63" t="s">
        <v>169</v>
      </c>
      <c r="P446" s="63" t="s">
        <v>170</v>
      </c>
      <c r="Q446" s="63">
        <v>1</v>
      </c>
      <c r="R446" s="63">
        <v>0</v>
      </c>
      <c r="S446" s="63" t="s">
        <v>76</v>
      </c>
      <c r="T446" s="63">
        <v>30.684000000000001</v>
      </c>
      <c r="U446" s="62">
        <v>46072.291666666664</v>
      </c>
      <c r="V446" s="63" t="s">
        <v>86</v>
      </c>
      <c r="W446" s="63">
        <v>412.58</v>
      </c>
      <c r="X446" s="63">
        <v>4200</v>
      </c>
      <c r="Y446" s="63" t="s">
        <v>2431</v>
      </c>
    </row>
    <row r="447" spans="1:25" hidden="1">
      <c r="A447" s="62">
        <v>46071.738622685189</v>
      </c>
      <c r="B447" s="63">
        <v>641525</v>
      </c>
      <c r="C447" s="63" t="s">
        <v>239</v>
      </c>
      <c r="D447" s="63"/>
      <c r="E447" s="62">
        <v>46071.788657407407</v>
      </c>
      <c r="F447" s="63" t="s">
        <v>320</v>
      </c>
      <c r="G447" s="63">
        <v>1717930201</v>
      </c>
      <c r="H447" s="63">
        <v>26563652039172</v>
      </c>
      <c r="I447" s="63" t="s">
        <v>2619</v>
      </c>
      <c r="J447" s="63" t="s">
        <v>159</v>
      </c>
      <c r="K447" s="63" t="s">
        <v>64</v>
      </c>
      <c r="L447" s="63" t="s">
        <v>2620</v>
      </c>
      <c r="M447" s="63" t="s">
        <v>248</v>
      </c>
      <c r="N447" s="63" t="s">
        <v>84</v>
      </c>
      <c r="O447" s="63" t="s">
        <v>68</v>
      </c>
      <c r="P447" s="63" t="s">
        <v>69</v>
      </c>
      <c r="Q447" s="63">
        <v>3</v>
      </c>
      <c r="R447" s="63">
        <v>0</v>
      </c>
      <c r="S447" s="63" t="s">
        <v>70</v>
      </c>
      <c r="T447" s="63">
        <v>22.024000000000001</v>
      </c>
      <c r="U447" s="62">
        <v>46072.291666666664</v>
      </c>
      <c r="V447" s="63" t="s">
        <v>86</v>
      </c>
      <c r="W447" s="63">
        <v>368.97</v>
      </c>
      <c r="X447" s="63">
        <v>4200</v>
      </c>
      <c r="Y447" s="63" t="s">
        <v>2431</v>
      </c>
    </row>
    <row r="448" spans="1:25" hidden="1">
      <c r="A448" s="62">
        <v>46071.738622685189</v>
      </c>
      <c r="B448" s="63">
        <v>641525</v>
      </c>
      <c r="C448" s="63" t="s">
        <v>239</v>
      </c>
      <c r="D448" s="63"/>
      <c r="E448" s="62">
        <v>46071.788657407407</v>
      </c>
      <c r="F448" s="63" t="s">
        <v>320</v>
      </c>
      <c r="G448" s="63">
        <v>1717930201</v>
      </c>
      <c r="H448" s="63">
        <v>26563652039172</v>
      </c>
      <c r="I448" s="63" t="s">
        <v>2619</v>
      </c>
      <c r="J448" s="63" t="s">
        <v>159</v>
      </c>
      <c r="K448" s="63" t="s">
        <v>64</v>
      </c>
      <c r="L448" s="63" t="s">
        <v>2620</v>
      </c>
      <c r="M448" s="63" t="s">
        <v>248</v>
      </c>
      <c r="N448" s="63" t="s">
        <v>84</v>
      </c>
      <c r="O448" s="63" t="s">
        <v>161</v>
      </c>
      <c r="P448" s="63" t="s">
        <v>162</v>
      </c>
      <c r="Q448" s="63">
        <v>1</v>
      </c>
      <c r="R448" s="63">
        <v>0</v>
      </c>
      <c r="S448" s="63" t="s">
        <v>76</v>
      </c>
      <c r="T448" s="63">
        <v>22.024000000000001</v>
      </c>
      <c r="U448" s="62">
        <v>46072.291666666664</v>
      </c>
      <c r="V448" s="63" t="s">
        <v>86</v>
      </c>
      <c r="W448" s="63">
        <v>368.97</v>
      </c>
      <c r="X448" s="63">
        <v>4200</v>
      </c>
      <c r="Y448" s="63" t="s">
        <v>2431</v>
      </c>
    </row>
    <row r="449" spans="1:25" hidden="1">
      <c r="A449" s="62">
        <v>46071.738622685189</v>
      </c>
      <c r="B449" s="63">
        <v>641525</v>
      </c>
      <c r="C449" s="63" t="s">
        <v>239</v>
      </c>
      <c r="D449" s="63"/>
      <c r="E449" s="62">
        <v>46071.799085648148</v>
      </c>
      <c r="F449" s="63" t="s">
        <v>320</v>
      </c>
      <c r="G449" s="63">
        <v>1717670201</v>
      </c>
      <c r="H449" s="63">
        <v>26563652040936</v>
      </c>
      <c r="I449" s="63" t="s">
        <v>2621</v>
      </c>
      <c r="J449" s="63" t="s">
        <v>159</v>
      </c>
      <c r="K449" s="63" t="s">
        <v>64</v>
      </c>
      <c r="L449" s="63"/>
      <c r="M449" s="63" t="s">
        <v>244</v>
      </c>
      <c r="N449" s="63" t="s">
        <v>84</v>
      </c>
      <c r="O449" s="63" t="s">
        <v>68</v>
      </c>
      <c r="P449" s="63" t="s">
        <v>69</v>
      </c>
      <c r="Q449" s="63">
        <v>5</v>
      </c>
      <c r="R449" s="63">
        <v>0</v>
      </c>
      <c r="S449" s="63" t="s">
        <v>70</v>
      </c>
      <c r="T449" s="63">
        <v>36.42</v>
      </c>
      <c r="U449" s="62">
        <v>46072.291666666664</v>
      </c>
      <c r="V449" s="63" t="s">
        <v>86</v>
      </c>
      <c r="W449" s="63">
        <v>574.54999999999995</v>
      </c>
      <c r="X449" s="63">
        <v>4200</v>
      </c>
      <c r="Y449" s="63" t="s">
        <v>2431</v>
      </c>
    </row>
    <row r="450" spans="1:25" hidden="1">
      <c r="A450" s="62">
        <v>46071.738622685189</v>
      </c>
      <c r="B450" s="63">
        <v>641525</v>
      </c>
      <c r="C450" s="63" t="s">
        <v>239</v>
      </c>
      <c r="D450" s="63"/>
      <c r="E450" s="62">
        <v>46071.799085648148</v>
      </c>
      <c r="F450" s="63" t="s">
        <v>320</v>
      </c>
      <c r="G450" s="63">
        <v>1717670201</v>
      </c>
      <c r="H450" s="63">
        <v>26563652040936</v>
      </c>
      <c r="I450" s="63" t="s">
        <v>2621</v>
      </c>
      <c r="J450" s="63" t="s">
        <v>159</v>
      </c>
      <c r="K450" s="63" t="s">
        <v>64</v>
      </c>
      <c r="L450" s="63"/>
      <c r="M450" s="63" t="s">
        <v>244</v>
      </c>
      <c r="N450" s="63" t="s">
        <v>84</v>
      </c>
      <c r="O450" s="63" t="s">
        <v>163</v>
      </c>
      <c r="P450" s="63" t="s">
        <v>164</v>
      </c>
      <c r="Q450" s="63">
        <v>1</v>
      </c>
      <c r="R450" s="63">
        <v>0</v>
      </c>
      <c r="S450" s="63" t="s">
        <v>76</v>
      </c>
      <c r="T450" s="63">
        <v>36.42</v>
      </c>
      <c r="U450" s="62">
        <v>46072.291666666664</v>
      </c>
      <c r="V450" s="63" t="s">
        <v>86</v>
      </c>
      <c r="W450" s="63">
        <v>574.54999999999995</v>
      </c>
      <c r="X450" s="63">
        <v>4200</v>
      </c>
      <c r="Y450" s="63" t="s">
        <v>2431</v>
      </c>
    </row>
    <row r="451" spans="1:25" hidden="1">
      <c r="A451" s="62">
        <v>46071.738622685189</v>
      </c>
      <c r="B451" s="63">
        <v>641525</v>
      </c>
      <c r="C451" s="63" t="s">
        <v>239</v>
      </c>
      <c r="D451" s="63"/>
      <c r="E451" s="62">
        <v>46071.799085648148</v>
      </c>
      <c r="F451" s="63" t="s">
        <v>320</v>
      </c>
      <c r="G451" s="63">
        <v>1717670201</v>
      </c>
      <c r="H451" s="63">
        <v>26563652040936</v>
      </c>
      <c r="I451" s="63" t="s">
        <v>2621</v>
      </c>
      <c r="J451" s="63" t="s">
        <v>159</v>
      </c>
      <c r="K451" s="63" t="s">
        <v>64</v>
      </c>
      <c r="L451" s="63"/>
      <c r="M451" s="63" t="s">
        <v>244</v>
      </c>
      <c r="N451" s="63" t="s">
        <v>84</v>
      </c>
      <c r="O451" s="63" t="s">
        <v>173</v>
      </c>
      <c r="P451" s="63" t="s">
        <v>174</v>
      </c>
      <c r="Q451" s="63">
        <v>1</v>
      </c>
      <c r="R451" s="63">
        <v>0</v>
      </c>
      <c r="S451" s="63" t="s">
        <v>76</v>
      </c>
      <c r="T451" s="63">
        <v>36.42</v>
      </c>
      <c r="U451" s="62">
        <v>46072.291666666664</v>
      </c>
      <c r="V451" s="63" t="s">
        <v>86</v>
      </c>
      <c r="W451" s="63">
        <v>574.54999999999995</v>
      </c>
      <c r="X451" s="63">
        <v>4200</v>
      </c>
      <c r="Y451" s="63" t="s">
        <v>2431</v>
      </c>
    </row>
    <row r="452" spans="1:25" hidden="1">
      <c r="A452" s="62">
        <v>46071.738622685189</v>
      </c>
      <c r="B452" s="63">
        <v>641525</v>
      </c>
      <c r="C452" s="63" t="s">
        <v>239</v>
      </c>
      <c r="D452" s="63"/>
      <c r="E452" s="62">
        <v>46071.811585648145</v>
      </c>
      <c r="F452" s="63" t="s">
        <v>320</v>
      </c>
      <c r="G452" s="63">
        <v>1712650201</v>
      </c>
      <c r="H452" s="63">
        <v>26563652026518</v>
      </c>
      <c r="I452" s="63" t="s">
        <v>271</v>
      </c>
      <c r="J452" s="63" t="s">
        <v>159</v>
      </c>
      <c r="K452" s="63" t="s">
        <v>64</v>
      </c>
      <c r="L452" s="63" t="s">
        <v>272</v>
      </c>
      <c r="M452" s="63" t="s">
        <v>273</v>
      </c>
      <c r="N452" s="63" t="s">
        <v>84</v>
      </c>
      <c r="O452" s="63" t="s">
        <v>68</v>
      </c>
      <c r="P452" s="63" t="s">
        <v>69</v>
      </c>
      <c r="Q452" s="63">
        <v>12</v>
      </c>
      <c r="R452" s="63">
        <v>0</v>
      </c>
      <c r="S452" s="63" t="s">
        <v>70</v>
      </c>
      <c r="T452" s="63">
        <v>76.676000000000002</v>
      </c>
      <c r="U452" s="62">
        <v>46072.291666666664</v>
      </c>
      <c r="V452" s="63" t="s">
        <v>86</v>
      </c>
      <c r="W452" s="63">
        <v>1695.28</v>
      </c>
      <c r="X452" s="63">
        <v>4200</v>
      </c>
      <c r="Y452" s="63" t="s">
        <v>2431</v>
      </c>
    </row>
    <row r="453" spans="1:25" hidden="1">
      <c r="A453" s="62">
        <v>46071.738622685189</v>
      </c>
      <c r="B453" s="63">
        <v>641525</v>
      </c>
      <c r="C453" s="63" t="s">
        <v>239</v>
      </c>
      <c r="D453" s="63"/>
      <c r="E453" s="62">
        <v>46071.811585648145</v>
      </c>
      <c r="F453" s="63" t="s">
        <v>320</v>
      </c>
      <c r="G453" s="63">
        <v>1712650201</v>
      </c>
      <c r="H453" s="63">
        <v>26563652026518</v>
      </c>
      <c r="I453" s="63" t="s">
        <v>271</v>
      </c>
      <c r="J453" s="63" t="s">
        <v>159</v>
      </c>
      <c r="K453" s="63" t="s">
        <v>64</v>
      </c>
      <c r="L453" s="63" t="s">
        <v>272</v>
      </c>
      <c r="M453" s="63" t="s">
        <v>273</v>
      </c>
      <c r="N453" s="63" t="s">
        <v>84</v>
      </c>
      <c r="O453" s="63" t="s">
        <v>163</v>
      </c>
      <c r="P453" s="63" t="s">
        <v>164</v>
      </c>
      <c r="Q453" s="63">
        <v>1</v>
      </c>
      <c r="R453" s="63">
        <v>0</v>
      </c>
      <c r="S453" s="63" t="s">
        <v>76</v>
      </c>
      <c r="T453" s="63">
        <v>76.676000000000002</v>
      </c>
      <c r="U453" s="62">
        <v>46072.291666666664</v>
      </c>
      <c r="V453" s="63" t="s">
        <v>86</v>
      </c>
      <c r="W453" s="63">
        <v>1695.28</v>
      </c>
      <c r="X453" s="63">
        <v>4200</v>
      </c>
      <c r="Y453" s="63" t="s">
        <v>2431</v>
      </c>
    </row>
    <row r="454" spans="1:25" hidden="1">
      <c r="A454" s="62">
        <v>46071.738622685189</v>
      </c>
      <c r="B454" s="63">
        <v>641525</v>
      </c>
      <c r="C454" s="63" t="s">
        <v>239</v>
      </c>
      <c r="D454" s="63"/>
      <c r="E454" s="62">
        <v>46071.811585648145</v>
      </c>
      <c r="F454" s="63" t="s">
        <v>320</v>
      </c>
      <c r="G454" s="63">
        <v>1712650201</v>
      </c>
      <c r="H454" s="63">
        <v>26563652026518</v>
      </c>
      <c r="I454" s="63" t="s">
        <v>271</v>
      </c>
      <c r="J454" s="63" t="s">
        <v>159</v>
      </c>
      <c r="K454" s="63" t="s">
        <v>64</v>
      </c>
      <c r="L454" s="63" t="s">
        <v>272</v>
      </c>
      <c r="M454" s="63" t="s">
        <v>273</v>
      </c>
      <c r="N454" s="63" t="s">
        <v>84</v>
      </c>
      <c r="O454" s="63" t="s">
        <v>175</v>
      </c>
      <c r="P454" s="63" t="s">
        <v>176</v>
      </c>
      <c r="Q454" s="63">
        <v>5</v>
      </c>
      <c r="R454" s="63">
        <v>0</v>
      </c>
      <c r="S454" s="63" t="s">
        <v>76</v>
      </c>
      <c r="T454" s="63">
        <v>76.676000000000002</v>
      </c>
      <c r="U454" s="62">
        <v>46072.291666666664</v>
      </c>
      <c r="V454" s="63" t="s">
        <v>86</v>
      </c>
      <c r="W454" s="63">
        <v>1695.28</v>
      </c>
      <c r="X454" s="63">
        <v>4200</v>
      </c>
      <c r="Y454" s="63" t="s">
        <v>2431</v>
      </c>
    </row>
    <row r="455" spans="1:25" hidden="1">
      <c r="A455" s="62">
        <v>46071.738622685189</v>
      </c>
      <c r="B455" s="63">
        <v>641525</v>
      </c>
      <c r="C455" s="63" t="s">
        <v>239</v>
      </c>
      <c r="D455" s="63"/>
      <c r="E455" s="62">
        <v>46071.811585648145</v>
      </c>
      <c r="F455" s="63" t="s">
        <v>320</v>
      </c>
      <c r="G455" s="63">
        <v>1712650201</v>
      </c>
      <c r="H455" s="63">
        <v>26563652026518</v>
      </c>
      <c r="I455" s="63" t="s">
        <v>271</v>
      </c>
      <c r="J455" s="63" t="s">
        <v>159</v>
      </c>
      <c r="K455" s="63" t="s">
        <v>64</v>
      </c>
      <c r="L455" s="63" t="s">
        <v>272</v>
      </c>
      <c r="M455" s="63" t="s">
        <v>273</v>
      </c>
      <c r="N455" s="63" t="s">
        <v>84</v>
      </c>
      <c r="O455" s="63" t="s">
        <v>167</v>
      </c>
      <c r="P455" s="63" t="s">
        <v>168</v>
      </c>
      <c r="Q455" s="63">
        <v>5</v>
      </c>
      <c r="R455" s="63">
        <v>0</v>
      </c>
      <c r="S455" s="63" t="s">
        <v>76</v>
      </c>
      <c r="T455" s="63">
        <v>76.676000000000002</v>
      </c>
      <c r="U455" s="62">
        <v>46072.291666666664</v>
      </c>
      <c r="V455" s="63" t="s">
        <v>86</v>
      </c>
      <c r="W455" s="63">
        <v>1695.28</v>
      </c>
      <c r="X455" s="63">
        <v>4200</v>
      </c>
      <c r="Y455" s="63" t="s">
        <v>2431</v>
      </c>
    </row>
    <row r="456" spans="1:25" hidden="1">
      <c r="A456" s="62">
        <v>46071.738622685189</v>
      </c>
      <c r="B456" s="63">
        <v>641525</v>
      </c>
      <c r="C456" s="63" t="s">
        <v>239</v>
      </c>
      <c r="D456" s="63"/>
      <c r="E456" s="62">
        <v>46071.822696759256</v>
      </c>
      <c r="F456" s="63" t="s">
        <v>320</v>
      </c>
      <c r="G456" s="63">
        <v>1718010201</v>
      </c>
      <c r="H456" s="63">
        <v>26563652070258</v>
      </c>
      <c r="I456" s="63" t="s">
        <v>2295</v>
      </c>
      <c r="J456" s="63" t="s">
        <v>159</v>
      </c>
      <c r="K456" s="63" t="s">
        <v>64</v>
      </c>
      <c r="L456" s="63"/>
      <c r="M456" s="63" t="s">
        <v>248</v>
      </c>
      <c r="N456" s="63" t="s">
        <v>84</v>
      </c>
      <c r="O456" s="63" t="s">
        <v>68</v>
      </c>
      <c r="P456" s="63" t="s">
        <v>69</v>
      </c>
      <c r="Q456" s="63">
        <v>1</v>
      </c>
      <c r="R456" s="63">
        <v>0</v>
      </c>
      <c r="S456" s="63" t="s">
        <v>70</v>
      </c>
      <c r="T456" s="63">
        <v>15.948</v>
      </c>
      <c r="U456" s="62">
        <v>46072.291666666664</v>
      </c>
      <c r="V456" s="63" t="s">
        <v>86</v>
      </c>
      <c r="W456" s="63">
        <v>300.58999999999997</v>
      </c>
      <c r="X456" s="63">
        <v>4200</v>
      </c>
      <c r="Y456" s="63" t="s">
        <v>2431</v>
      </c>
    </row>
    <row r="457" spans="1:25" hidden="1">
      <c r="A457" s="62">
        <v>46071.738622685189</v>
      </c>
      <c r="B457" s="63">
        <v>641525</v>
      </c>
      <c r="C457" s="63" t="s">
        <v>239</v>
      </c>
      <c r="D457" s="63"/>
      <c r="E457" s="62">
        <v>46071.822696759256</v>
      </c>
      <c r="F457" s="63" t="s">
        <v>320</v>
      </c>
      <c r="G457" s="63">
        <v>1718010201</v>
      </c>
      <c r="H457" s="63">
        <v>26563652070258</v>
      </c>
      <c r="I457" s="63" t="s">
        <v>2295</v>
      </c>
      <c r="J457" s="63" t="s">
        <v>159</v>
      </c>
      <c r="K457" s="63" t="s">
        <v>64</v>
      </c>
      <c r="L457" s="63"/>
      <c r="M457" s="63" t="s">
        <v>248</v>
      </c>
      <c r="N457" s="63" t="s">
        <v>84</v>
      </c>
      <c r="O457" s="63" t="s">
        <v>161</v>
      </c>
      <c r="P457" s="63" t="s">
        <v>162</v>
      </c>
      <c r="Q457" s="63">
        <v>1</v>
      </c>
      <c r="R457" s="63">
        <v>0</v>
      </c>
      <c r="S457" s="63" t="s">
        <v>76</v>
      </c>
      <c r="T457" s="63">
        <v>15.948</v>
      </c>
      <c r="U457" s="62">
        <v>46072.291666666664</v>
      </c>
      <c r="V457" s="63" t="s">
        <v>86</v>
      </c>
      <c r="W457" s="63">
        <v>300.58999999999997</v>
      </c>
      <c r="X457" s="63">
        <v>4200</v>
      </c>
      <c r="Y457" s="63" t="s">
        <v>2431</v>
      </c>
    </row>
    <row r="458" spans="1:25" hidden="1">
      <c r="A458" s="62">
        <v>46071.738622685189</v>
      </c>
      <c r="B458" s="63">
        <v>641525</v>
      </c>
      <c r="C458" s="63" t="s">
        <v>239</v>
      </c>
      <c r="D458" s="63"/>
      <c r="E458" s="62">
        <v>46071.833807870367</v>
      </c>
      <c r="F458" s="63" t="s">
        <v>320</v>
      </c>
      <c r="G458" s="63">
        <v>1712070201</v>
      </c>
      <c r="H458" s="63">
        <v>26563652029967</v>
      </c>
      <c r="I458" s="63" t="s">
        <v>2299</v>
      </c>
      <c r="J458" s="63" t="s">
        <v>159</v>
      </c>
      <c r="K458" s="63" t="s">
        <v>64</v>
      </c>
      <c r="L458" s="63" t="s">
        <v>2300</v>
      </c>
      <c r="M458" s="63" t="s">
        <v>248</v>
      </c>
      <c r="N458" s="63" t="s">
        <v>84</v>
      </c>
      <c r="O458" s="63" t="s">
        <v>68</v>
      </c>
      <c r="P458" s="63" t="s">
        <v>69</v>
      </c>
      <c r="Q458" s="63">
        <v>8</v>
      </c>
      <c r="R458" s="63">
        <v>0</v>
      </c>
      <c r="S458" s="63" t="s">
        <v>70</v>
      </c>
      <c r="T458" s="63">
        <v>43.584000000000003</v>
      </c>
      <c r="U458" s="62">
        <v>46072.291666666664</v>
      </c>
      <c r="V458" s="63" t="s">
        <v>86</v>
      </c>
      <c r="W458" s="63">
        <v>509.42</v>
      </c>
      <c r="X458" s="63">
        <v>4200</v>
      </c>
      <c r="Y458" s="63" t="s">
        <v>2431</v>
      </c>
    </row>
    <row r="459" spans="1:25" hidden="1">
      <c r="A459" s="62">
        <v>46071.738622685189</v>
      </c>
      <c r="B459" s="63">
        <v>641525</v>
      </c>
      <c r="C459" s="63" t="s">
        <v>239</v>
      </c>
      <c r="D459" s="63"/>
      <c r="E459" s="62">
        <v>46071.833807870367</v>
      </c>
      <c r="F459" s="63" t="s">
        <v>320</v>
      </c>
      <c r="G459" s="63">
        <v>1712070201</v>
      </c>
      <c r="H459" s="63">
        <v>26563652029967</v>
      </c>
      <c r="I459" s="63" t="s">
        <v>2299</v>
      </c>
      <c r="J459" s="63" t="s">
        <v>159</v>
      </c>
      <c r="K459" s="63" t="s">
        <v>64</v>
      </c>
      <c r="L459" s="63" t="s">
        <v>2300</v>
      </c>
      <c r="M459" s="63" t="s">
        <v>248</v>
      </c>
      <c r="N459" s="63" t="s">
        <v>84</v>
      </c>
      <c r="O459" s="63" t="s">
        <v>171</v>
      </c>
      <c r="P459" s="63" t="s">
        <v>172</v>
      </c>
      <c r="Q459" s="63">
        <v>1</v>
      </c>
      <c r="R459" s="63">
        <v>0</v>
      </c>
      <c r="S459" s="63" t="s">
        <v>76</v>
      </c>
      <c r="T459" s="63">
        <v>43.584000000000003</v>
      </c>
      <c r="U459" s="62">
        <v>46072.291666666664</v>
      </c>
      <c r="V459" s="63" t="s">
        <v>86</v>
      </c>
      <c r="W459" s="63">
        <v>509.42</v>
      </c>
      <c r="X459" s="63">
        <v>4200</v>
      </c>
      <c r="Y459" s="63" t="s">
        <v>2431</v>
      </c>
    </row>
    <row r="460" spans="1:25" hidden="1">
      <c r="A460" s="62">
        <v>46071.738622685189</v>
      </c>
      <c r="B460" s="63">
        <v>641525</v>
      </c>
      <c r="C460" s="63" t="s">
        <v>239</v>
      </c>
      <c r="D460" s="63"/>
      <c r="E460" s="62">
        <v>46071.833807870367</v>
      </c>
      <c r="F460" s="63" t="s">
        <v>320</v>
      </c>
      <c r="G460" s="63">
        <v>1712070201</v>
      </c>
      <c r="H460" s="63">
        <v>26563652029967</v>
      </c>
      <c r="I460" s="63" t="s">
        <v>2299</v>
      </c>
      <c r="J460" s="63" t="s">
        <v>159</v>
      </c>
      <c r="K460" s="63" t="s">
        <v>64</v>
      </c>
      <c r="L460" s="63" t="s">
        <v>2300</v>
      </c>
      <c r="M460" s="63" t="s">
        <v>248</v>
      </c>
      <c r="N460" s="63" t="s">
        <v>84</v>
      </c>
      <c r="O460" s="63" t="s">
        <v>167</v>
      </c>
      <c r="P460" s="63" t="s">
        <v>168</v>
      </c>
      <c r="Q460" s="63">
        <v>1</v>
      </c>
      <c r="R460" s="63">
        <v>0</v>
      </c>
      <c r="S460" s="63" t="s">
        <v>76</v>
      </c>
      <c r="T460" s="63">
        <v>43.584000000000003</v>
      </c>
      <c r="U460" s="62">
        <v>46072.291666666664</v>
      </c>
      <c r="V460" s="63" t="s">
        <v>86</v>
      </c>
      <c r="W460" s="63">
        <v>509.42</v>
      </c>
      <c r="X460" s="63">
        <v>4200</v>
      </c>
      <c r="Y460" s="63" t="s">
        <v>2431</v>
      </c>
    </row>
    <row r="461" spans="1:25" hidden="1">
      <c r="A461" s="62">
        <v>46071.738622685189</v>
      </c>
      <c r="B461" s="63">
        <v>641525</v>
      </c>
      <c r="C461" s="63" t="s">
        <v>239</v>
      </c>
      <c r="D461" s="63"/>
      <c r="E461" s="62">
        <v>46072.772847222222</v>
      </c>
      <c r="F461" s="63" t="s">
        <v>320</v>
      </c>
      <c r="G461" s="63">
        <v>1716790201</v>
      </c>
      <c r="H461" s="63">
        <v>45543915034400</v>
      </c>
      <c r="I461" s="63" t="s">
        <v>2622</v>
      </c>
      <c r="J461" s="63" t="s">
        <v>155</v>
      </c>
      <c r="K461" s="63" t="s">
        <v>64</v>
      </c>
      <c r="L461" s="63" t="s">
        <v>2623</v>
      </c>
      <c r="M461" s="63" t="s">
        <v>2624</v>
      </c>
      <c r="N461" s="63" t="s">
        <v>84</v>
      </c>
      <c r="O461" s="63" t="s">
        <v>68</v>
      </c>
      <c r="P461" s="63" t="s">
        <v>69</v>
      </c>
      <c r="Q461" s="63">
        <v>90</v>
      </c>
      <c r="R461" s="63">
        <v>0</v>
      </c>
      <c r="S461" s="63" t="s">
        <v>70</v>
      </c>
      <c r="T461" s="63">
        <v>461.62</v>
      </c>
      <c r="U461" s="62">
        <v>46072.291666666664</v>
      </c>
      <c r="V461" s="63" t="s">
        <v>86</v>
      </c>
      <c r="W461" s="63">
        <v>2738.3</v>
      </c>
      <c r="X461" s="63">
        <v>4200</v>
      </c>
      <c r="Y461" s="63" t="s">
        <v>2431</v>
      </c>
    </row>
    <row r="462" spans="1:25" hidden="1">
      <c r="A462" s="62">
        <v>46071.738622685189</v>
      </c>
      <c r="B462" s="63">
        <v>641525</v>
      </c>
      <c r="C462" s="63" t="s">
        <v>239</v>
      </c>
      <c r="D462" s="63"/>
      <c r="E462" s="62">
        <v>46072.772847222222</v>
      </c>
      <c r="F462" s="63" t="s">
        <v>320</v>
      </c>
      <c r="G462" s="63">
        <v>1716790201</v>
      </c>
      <c r="H462" s="63">
        <v>45543915034400</v>
      </c>
      <c r="I462" s="63" t="s">
        <v>2622</v>
      </c>
      <c r="J462" s="63" t="s">
        <v>155</v>
      </c>
      <c r="K462" s="63" t="s">
        <v>64</v>
      </c>
      <c r="L462" s="63" t="s">
        <v>2623</v>
      </c>
      <c r="M462" s="63" t="s">
        <v>2624</v>
      </c>
      <c r="N462" s="63" t="s">
        <v>84</v>
      </c>
      <c r="O462" s="63" t="s">
        <v>93</v>
      </c>
      <c r="P462" s="63" t="s">
        <v>94</v>
      </c>
      <c r="Q462" s="63">
        <v>2</v>
      </c>
      <c r="R462" s="63">
        <v>0</v>
      </c>
      <c r="S462" s="63" t="s">
        <v>70</v>
      </c>
      <c r="T462" s="63">
        <v>461.62</v>
      </c>
      <c r="U462" s="62">
        <v>46072.291666666664</v>
      </c>
      <c r="V462" s="63" t="s">
        <v>86</v>
      </c>
      <c r="W462" s="63">
        <v>2738.3</v>
      </c>
      <c r="X462" s="63">
        <v>4200</v>
      </c>
      <c r="Y462" s="63" t="s">
        <v>2431</v>
      </c>
    </row>
    <row r="463" spans="1:25">
      <c r="A463" s="62">
        <v>46071.738622685189</v>
      </c>
      <c r="B463" s="63">
        <v>641525</v>
      </c>
      <c r="C463" s="63" t="s">
        <v>239</v>
      </c>
      <c r="D463" s="63"/>
      <c r="E463" s="62">
        <v>46072.772858796299</v>
      </c>
      <c r="F463" s="63" t="s">
        <v>320</v>
      </c>
      <c r="G463" s="63">
        <v>1720580201</v>
      </c>
      <c r="H463" s="63">
        <v>47508411115301</v>
      </c>
      <c r="I463" s="63" t="s">
        <v>2625</v>
      </c>
      <c r="J463" s="63" t="s">
        <v>181</v>
      </c>
      <c r="K463" s="63" t="s">
        <v>64</v>
      </c>
      <c r="L463" s="63" t="s">
        <v>2626</v>
      </c>
      <c r="M463" s="63" t="s">
        <v>2627</v>
      </c>
      <c r="N463" s="63" t="s">
        <v>84</v>
      </c>
      <c r="O463" s="63" t="s">
        <v>109</v>
      </c>
      <c r="P463" s="63" t="s">
        <v>110</v>
      </c>
      <c r="Q463" s="63">
        <v>80</v>
      </c>
      <c r="R463" s="63">
        <v>0</v>
      </c>
      <c r="S463" s="63" t="s">
        <v>70</v>
      </c>
      <c r="T463" s="63">
        <v>400</v>
      </c>
      <c r="U463" s="62">
        <v>46072.291666666664</v>
      </c>
      <c r="V463" s="63" t="s">
        <v>86</v>
      </c>
      <c r="W463" s="63">
        <v>2885.6</v>
      </c>
      <c r="X463" s="63">
        <v>4200</v>
      </c>
      <c r="Y463" s="63" t="s">
        <v>2431</v>
      </c>
    </row>
    <row r="464" spans="1:25" hidden="1">
      <c r="A464" s="62">
        <v>46071.738622685189</v>
      </c>
      <c r="B464" s="63">
        <v>641525</v>
      </c>
      <c r="C464" s="63" t="s">
        <v>239</v>
      </c>
      <c r="D464" s="63"/>
      <c r="E464" s="62">
        <v>46072.772870370369</v>
      </c>
      <c r="F464" s="63" t="s">
        <v>320</v>
      </c>
      <c r="G464" s="63">
        <v>1725080201</v>
      </c>
      <c r="H464" s="63">
        <v>26563652026518</v>
      </c>
      <c r="I464" s="63" t="s">
        <v>271</v>
      </c>
      <c r="J464" s="63" t="s">
        <v>159</v>
      </c>
      <c r="K464" s="63" t="s">
        <v>64</v>
      </c>
      <c r="L464" s="63" t="s">
        <v>272</v>
      </c>
      <c r="M464" s="63" t="s">
        <v>273</v>
      </c>
      <c r="N464" s="63" t="s">
        <v>84</v>
      </c>
      <c r="O464" s="63" t="s">
        <v>68</v>
      </c>
      <c r="P464" s="63" t="s">
        <v>69</v>
      </c>
      <c r="Q464" s="63">
        <v>3</v>
      </c>
      <c r="R464" s="63">
        <v>0</v>
      </c>
      <c r="S464" s="63" t="s">
        <v>70</v>
      </c>
      <c r="T464" s="63">
        <v>22.024000000000001</v>
      </c>
      <c r="U464" s="62">
        <v>46072.291666666664</v>
      </c>
      <c r="V464" s="63" t="s">
        <v>86</v>
      </c>
      <c r="W464" s="63">
        <v>368.97</v>
      </c>
      <c r="X464" s="63">
        <v>4200</v>
      </c>
      <c r="Y464" s="63" t="s">
        <v>2431</v>
      </c>
    </row>
    <row r="465" spans="1:25" hidden="1">
      <c r="A465" s="62">
        <v>46071.738622685189</v>
      </c>
      <c r="B465" s="63">
        <v>641525</v>
      </c>
      <c r="C465" s="63" t="s">
        <v>239</v>
      </c>
      <c r="D465" s="63"/>
      <c r="E465" s="62">
        <v>46072.772870370369</v>
      </c>
      <c r="F465" s="63" t="s">
        <v>320</v>
      </c>
      <c r="G465" s="63">
        <v>1725080201</v>
      </c>
      <c r="H465" s="63">
        <v>26563652026518</v>
      </c>
      <c r="I465" s="63" t="s">
        <v>271</v>
      </c>
      <c r="J465" s="63" t="s">
        <v>159</v>
      </c>
      <c r="K465" s="63" t="s">
        <v>64</v>
      </c>
      <c r="L465" s="63" t="s">
        <v>272</v>
      </c>
      <c r="M465" s="63" t="s">
        <v>273</v>
      </c>
      <c r="N465" s="63" t="s">
        <v>84</v>
      </c>
      <c r="O465" s="63" t="s">
        <v>161</v>
      </c>
      <c r="P465" s="63" t="s">
        <v>162</v>
      </c>
      <c r="Q465" s="63">
        <v>1</v>
      </c>
      <c r="R465" s="63">
        <v>0</v>
      </c>
      <c r="S465" s="63" t="s">
        <v>76</v>
      </c>
      <c r="T465" s="63">
        <v>22.024000000000001</v>
      </c>
      <c r="U465" s="62">
        <v>46072.291666666664</v>
      </c>
      <c r="V465" s="63" t="s">
        <v>86</v>
      </c>
      <c r="W465" s="63">
        <v>368.97</v>
      </c>
      <c r="X465" s="63">
        <v>4200</v>
      </c>
      <c r="Y465" s="63" t="s">
        <v>2431</v>
      </c>
    </row>
    <row r="466" spans="1:25" hidden="1">
      <c r="A466" s="62">
        <v>46071.738622685189</v>
      </c>
      <c r="B466" s="63">
        <v>641525</v>
      </c>
      <c r="C466" s="63" t="s">
        <v>239</v>
      </c>
      <c r="D466" s="63"/>
      <c r="E466" s="62">
        <v>46072.772893518515</v>
      </c>
      <c r="F466" s="63" t="s">
        <v>320</v>
      </c>
      <c r="G466" s="63">
        <v>1722800201</v>
      </c>
      <c r="H466" s="63">
        <v>71676316002270</v>
      </c>
      <c r="I466" s="63" t="s">
        <v>2292</v>
      </c>
      <c r="J466" s="63" t="s">
        <v>2228</v>
      </c>
      <c r="K466" s="63" t="s">
        <v>64</v>
      </c>
      <c r="L466" s="63" t="s">
        <v>2293</v>
      </c>
      <c r="M466" s="63" t="s">
        <v>2294</v>
      </c>
      <c r="N466" s="63" t="s">
        <v>84</v>
      </c>
      <c r="O466" s="63" t="s">
        <v>68</v>
      </c>
      <c r="P466" s="63" t="s">
        <v>69</v>
      </c>
      <c r="Q466" s="63">
        <v>65</v>
      </c>
      <c r="R466" s="63">
        <v>0</v>
      </c>
      <c r="S466" s="63" t="s">
        <v>70</v>
      </c>
      <c r="T466" s="63">
        <v>408.04500000000002</v>
      </c>
      <c r="U466" s="62">
        <v>46072.291666666664</v>
      </c>
      <c r="V466" s="63" t="s">
        <v>86</v>
      </c>
      <c r="W466" s="63">
        <v>3550.85</v>
      </c>
      <c r="X466" s="63">
        <v>4200</v>
      </c>
      <c r="Y466" s="63" t="s">
        <v>2431</v>
      </c>
    </row>
    <row r="467" spans="1:25" hidden="1">
      <c r="A467" s="62">
        <v>46071.738622685189</v>
      </c>
      <c r="B467" s="63">
        <v>641525</v>
      </c>
      <c r="C467" s="63" t="s">
        <v>239</v>
      </c>
      <c r="D467" s="63"/>
      <c r="E467" s="62">
        <v>46072.772893518515</v>
      </c>
      <c r="F467" s="63" t="s">
        <v>320</v>
      </c>
      <c r="G467" s="63">
        <v>1722800201</v>
      </c>
      <c r="H467" s="63">
        <v>71676316002270</v>
      </c>
      <c r="I467" s="63" t="s">
        <v>2292</v>
      </c>
      <c r="J467" s="63" t="s">
        <v>2228</v>
      </c>
      <c r="K467" s="63" t="s">
        <v>64</v>
      </c>
      <c r="L467" s="63" t="s">
        <v>2293</v>
      </c>
      <c r="M467" s="63" t="s">
        <v>2294</v>
      </c>
      <c r="N467" s="63" t="s">
        <v>84</v>
      </c>
      <c r="O467" s="63" t="s">
        <v>91</v>
      </c>
      <c r="P467" s="63" t="s">
        <v>92</v>
      </c>
      <c r="Q467" s="63">
        <v>5</v>
      </c>
      <c r="R467" s="63">
        <v>0</v>
      </c>
      <c r="S467" s="63" t="s">
        <v>70</v>
      </c>
      <c r="T467" s="63">
        <v>408.04500000000002</v>
      </c>
      <c r="U467" s="62">
        <v>46072.291666666664</v>
      </c>
      <c r="V467" s="63" t="s">
        <v>86</v>
      </c>
      <c r="W467" s="63">
        <v>3550.85</v>
      </c>
      <c r="X467" s="63">
        <v>4200</v>
      </c>
      <c r="Y467" s="63" t="s">
        <v>2431</v>
      </c>
    </row>
    <row r="468" spans="1:25" hidden="1">
      <c r="A468" s="62">
        <v>46071.738622685189</v>
      </c>
      <c r="B468" s="63">
        <v>641525</v>
      </c>
      <c r="C468" s="63" t="s">
        <v>239</v>
      </c>
      <c r="D468" s="63"/>
      <c r="E468" s="62">
        <v>46072.772893518515</v>
      </c>
      <c r="F468" s="63" t="s">
        <v>320</v>
      </c>
      <c r="G468" s="63">
        <v>1722800201</v>
      </c>
      <c r="H468" s="63">
        <v>71676316002270</v>
      </c>
      <c r="I468" s="63" t="s">
        <v>2292</v>
      </c>
      <c r="J468" s="63" t="s">
        <v>2228</v>
      </c>
      <c r="K468" s="63" t="s">
        <v>64</v>
      </c>
      <c r="L468" s="63" t="s">
        <v>2293</v>
      </c>
      <c r="M468" s="63" t="s">
        <v>2294</v>
      </c>
      <c r="N468" s="63" t="s">
        <v>84</v>
      </c>
      <c r="O468" s="63" t="s">
        <v>93</v>
      </c>
      <c r="P468" s="63" t="s">
        <v>94</v>
      </c>
      <c r="Q468" s="63">
        <v>2</v>
      </c>
      <c r="R468" s="63">
        <v>0</v>
      </c>
      <c r="S468" s="63" t="s">
        <v>70</v>
      </c>
      <c r="T468" s="63">
        <v>408.04500000000002</v>
      </c>
      <c r="U468" s="62">
        <v>46072.291666666664</v>
      </c>
      <c r="V468" s="63" t="s">
        <v>86</v>
      </c>
      <c r="W468" s="63">
        <v>3550.85</v>
      </c>
      <c r="X468" s="63">
        <v>4200</v>
      </c>
      <c r="Y468" s="63" t="s">
        <v>2431</v>
      </c>
    </row>
    <row r="469" spans="1:25" hidden="1">
      <c r="A469" s="62">
        <v>46071.738622685189</v>
      </c>
      <c r="B469" s="63">
        <v>641525</v>
      </c>
      <c r="C469" s="63" t="s">
        <v>239</v>
      </c>
      <c r="D469" s="63"/>
      <c r="E469" s="62">
        <v>46072.772893518515</v>
      </c>
      <c r="F469" s="63" t="s">
        <v>320</v>
      </c>
      <c r="G469" s="63">
        <v>1722800201</v>
      </c>
      <c r="H469" s="63">
        <v>71676316002270</v>
      </c>
      <c r="I469" s="63" t="s">
        <v>2292</v>
      </c>
      <c r="J469" s="63" t="s">
        <v>2228</v>
      </c>
      <c r="K469" s="63" t="s">
        <v>64</v>
      </c>
      <c r="L469" s="63" t="s">
        <v>2293</v>
      </c>
      <c r="M469" s="63" t="s">
        <v>2294</v>
      </c>
      <c r="N469" s="63" t="s">
        <v>84</v>
      </c>
      <c r="O469" s="63" t="s">
        <v>72</v>
      </c>
      <c r="P469" s="63" t="s">
        <v>73</v>
      </c>
      <c r="Q469" s="63">
        <v>5</v>
      </c>
      <c r="R469" s="63">
        <v>0</v>
      </c>
      <c r="S469" s="63" t="s">
        <v>70</v>
      </c>
      <c r="T469" s="63">
        <v>408.04500000000002</v>
      </c>
      <c r="U469" s="62">
        <v>46072.291666666664</v>
      </c>
      <c r="V469" s="63" t="s">
        <v>86</v>
      </c>
      <c r="W469" s="63">
        <v>3550.85</v>
      </c>
      <c r="X469" s="63">
        <v>4200</v>
      </c>
      <c r="Y469" s="63" t="s">
        <v>2431</v>
      </c>
    </row>
    <row r="470" spans="1:25" hidden="1">
      <c r="A470" s="62">
        <v>46071.738622685189</v>
      </c>
      <c r="B470" s="63">
        <v>641525</v>
      </c>
      <c r="C470" s="63" t="s">
        <v>239</v>
      </c>
      <c r="D470" s="63"/>
      <c r="E470" s="62">
        <v>46072.772893518515</v>
      </c>
      <c r="F470" s="63" t="s">
        <v>320</v>
      </c>
      <c r="G470" s="63">
        <v>1722800201</v>
      </c>
      <c r="H470" s="63">
        <v>71676316002270</v>
      </c>
      <c r="I470" s="63" t="s">
        <v>2292</v>
      </c>
      <c r="J470" s="63" t="s">
        <v>2228</v>
      </c>
      <c r="K470" s="63" t="s">
        <v>64</v>
      </c>
      <c r="L470" s="63" t="s">
        <v>2293</v>
      </c>
      <c r="M470" s="63" t="s">
        <v>2294</v>
      </c>
      <c r="N470" s="63" t="s">
        <v>84</v>
      </c>
      <c r="O470" s="63" t="s">
        <v>105</v>
      </c>
      <c r="P470" s="63" t="s">
        <v>106</v>
      </c>
      <c r="Q470" s="63">
        <v>5</v>
      </c>
      <c r="R470" s="63">
        <v>0</v>
      </c>
      <c r="S470" s="63" t="s">
        <v>76</v>
      </c>
      <c r="T470" s="63">
        <v>408.04500000000002</v>
      </c>
      <c r="U470" s="62">
        <v>46072.291666666664</v>
      </c>
      <c r="V470" s="63" t="s">
        <v>86</v>
      </c>
      <c r="W470" s="63">
        <v>3550.85</v>
      </c>
      <c r="X470" s="63">
        <v>4200</v>
      </c>
      <c r="Y470" s="63" t="s">
        <v>2431</v>
      </c>
    </row>
    <row r="471" spans="1:25" hidden="1">
      <c r="A471" s="62">
        <v>46071.738622685189</v>
      </c>
      <c r="B471" s="63">
        <v>641525</v>
      </c>
      <c r="C471" s="63" t="s">
        <v>239</v>
      </c>
      <c r="D471" s="63"/>
      <c r="E471" s="62">
        <v>46072.772893518515</v>
      </c>
      <c r="F471" s="63" t="s">
        <v>320</v>
      </c>
      <c r="G471" s="63">
        <v>1722800201</v>
      </c>
      <c r="H471" s="63">
        <v>71676316002270</v>
      </c>
      <c r="I471" s="63" t="s">
        <v>2292</v>
      </c>
      <c r="J471" s="63" t="s">
        <v>2228</v>
      </c>
      <c r="K471" s="63" t="s">
        <v>64</v>
      </c>
      <c r="L471" s="63" t="s">
        <v>2293</v>
      </c>
      <c r="M471" s="63" t="s">
        <v>2294</v>
      </c>
      <c r="N471" s="63" t="s">
        <v>84</v>
      </c>
      <c r="O471" s="63" t="s">
        <v>383</v>
      </c>
      <c r="P471" s="63" t="s">
        <v>384</v>
      </c>
      <c r="Q471" s="63">
        <v>3</v>
      </c>
      <c r="R471" s="63">
        <v>0</v>
      </c>
      <c r="S471" s="63" t="s">
        <v>70</v>
      </c>
      <c r="T471" s="63">
        <v>408.04500000000002</v>
      </c>
      <c r="U471" s="62">
        <v>46072.291666666664</v>
      </c>
      <c r="V471" s="63" t="s">
        <v>86</v>
      </c>
      <c r="W471" s="63">
        <v>3550.85</v>
      </c>
      <c r="X471" s="63">
        <v>4200</v>
      </c>
      <c r="Y471" s="63" t="s">
        <v>2431</v>
      </c>
    </row>
    <row r="472" spans="1:25" hidden="1">
      <c r="A472" s="62">
        <v>46071.738622685189</v>
      </c>
      <c r="B472" s="63">
        <v>641525</v>
      </c>
      <c r="C472" s="63" t="s">
        <v>239</v>
      </c>
      <c r="D472" s="63"/>
      <c r="E472" s="62">
        <v>46072.772893518515</v>
      </c>
      <c r="F472" s="63" t="s">
        <v>320</v>
      </c>
      <c r="G472" s="63">
        <v>1725420201</v>
      </c>
      <c r="H472" s="63">
        <v>26563652045814</v>
      </c>
      <c r="I472" s="63" t="s">
        <v>2303</v>
      </c>
      <c r="J472" s="63" t="s">
        <v>159</v>
      </c>
      <c r="K472" s="63" t="s">
        <v>64</v>
      </c>
      <c r="L472" s="63"/>
      <c r="M472" s="63" t="s">
        <v>2302</v>
      </c>
      <c r="N472" s="63" t="s">
        <v>84</v>
      </c>
      <c r="O472" s="63" t="s">
        <v>68</v>
      </c>
      <c r="P472" s="63" t="s">
        <v>69</v>
      </c>
      <c r="Q472" s="63">
        <v>11</v>
      </c>
      <c r="R472" s="63">
        <v>0</v>
      </c>
      <c r="S472" s="63" t="s">
        <v>70</v>
      </c>
      <c r="T472" s="63">
        <v>55.198</v>
      </c>
      <c r="U472" s="62">
        <v>46072.291666666664</v>
      </c>
      <c r="V472" s="63" t="s">
        <v>86</v>
      </c>
      <c r="W472" s="63">
        <v>376.09</v>
      </c>
      <c r="X472" s="63">
        <v>4200</v>
      </c>
      <c r="Y472" s="63" t="s">
        <v>2431</v>
      </c>
    </row>
    <row r="473" spans="1:25" hidden="1">
      <c r="A473" s="62">
        <v>46071.738622685189</v>
      </c>
      <c r="B473" s="63">
        <v>641525</v>
      </c>
      <c r="C473" s="63" t="s">
        <v>239</v>
      </c>
      <c r="D473" s="63"/>
      <c r="E473" s="62">
        <v>46072.772905092592</v>
      </c>
      <c r="F473" s="63" t="s">
        <v>320</v>
      </c>
      <c r="G473" s="63">
        <v>1725560201</v>
      </c>
      <c r="H473" s="63">
        <v>26563652048910</v>
      </c>
      <c r="I473" s="63" t="s">
        <v>2628</v>
      </c>
      <c r="J473" s="63" t="s">
        <v>159</v>
      </c>
      <c r="K473" s="63" t="s">
        <v>64</v>
      </c>
      <c r="L473" s="63"/>
      <c r="M473" s="63" t="s">
        <v>2629</v>
      </c>
      <c r="N473" s="63" t="s">
        <v>84</v>
      </c>
      <c r="O473" s="63" t="s">
        <v>74</v>
      </c>
      <c r="P473" s="63" t="s">
        <v>75</v>
      </c>
      <c r="Q473" s="63">
        <v>3</v>
      </c>
      <c r="R473" s="63">
        <v>0</v>
      </c>
      <c r="S473" s="63" t="s">
        <v>76</v>
      </c>
      <c r="T473" s="63">
        <v>30</v>
      </c>
      <c r="U473" s="62">
        <v>46072.291666666664</v>
      </c>
      <c r="V473" s="63" t="s">
        <v>86</v>
      </c>
      <c r="W473" s="63">
        <v>524.16</v>
      </c>
      <c r="X473" s="63">
        <v>4200</v>
      </c>
      <c r="Y473" s="63" t="s">
        <v>2431</v>
      </c>
    </row>
    <row r="474" spans="1:25" hidden="1">
      <c r="A474" s="62">
        <v>46071.738622685189</v>
      </c>
      <c r="B474" s="63">
        <v>641525</v>
      </c>
      <c r="C474" s="63" t="s">
        <v>239</v>
      </c>
      <c r="D474" s="63"/>
      <c r="E474" s="62">
        <v>46072.772916666669</v>
      </c>
      <c r="F474" s="63" t="s">
        <v>320</v>
      </c>
      <c r="G474" s="63">
        <v>1723010201</v>
      </c>
      <c r="H474" s="63">
        <v>26563652047949</v>
      </c>
      <c r="I474" s="63" t="s">
        <v>2630</v>
      </c>
      <c r="J474" s="63" t="s">
        <v>159</v>
      </c>
      <c r="K474" s="63" t="s">
        <v>64</v>
      </c>
      <c r="L474" s="63" t="s">
        <v>2631</v>
      </c>
      <c r="M474" s="63" t="s">
        <v>252</v>
      </c>
      <c r="N474" s="63" t="s">
        <v>84</v>
      </c>
      <c r="O474" s="63" t="s">
        <v>68</v>
      </c>
      <c r="P474" s="63" t="s">
        <v>69</v>
      </c>
      <c r="Q474" s="63">
        <v>11</v>
      </c>
      <c r="R474" s="63">
        <v>0</v>
      </c>
      <c r="S474" s="63" t="s">
        <v>70</v>
      </c>
      <c r="T474" s="63">
        <v>55.198</v>
      </c>
      <c r="U474" s="62">
        <v>46072.291666666664</v>
      </c>
      <c r="V474" s="63" t="s">
        <v>86</v>
      </c>
      <c r="W474" s="63">
        <v>376.09</v>
      </c>
      <c r="X474" s="63">
        <v>4200</v>
      </c>
      <c r="Y474" s="63" t="s">
        <v>2431</v>
      </c>
    </row>
    <row r="475" spans="1:25" hidden="1">
      <c r="A475" s="62">
        <v>46071.738622685189</v>
      </c>
      <c r="B475" s="63">
        <v>641525</v>
      </c>
      <c r="C475" s="63" t="s">
        <v>239</v>
      </c>
      <c r="D475" s="63"/>
      <c r="E475" s="62">
        <v>46072.772939814815</v>
      </c>
      <c r="F475" s="63" t="s">
        <v>320</v>
      </c>
      <c r="G475" s="63">
        <v>1723470201</v>
      </c>
      <c r="H475" s="63">
        <v>26563652055291</v>
      </c>
      <c r="I475" s="63" t="s">
        <v>2301</v>
      </c>
      <c r="J475" s="63" t="s">
        <v>159</v>
      </c>
      <c r="K475" s="63" t="s">
        <v>64</v>
      </c>
      <c r="L475" s="63"/>
      <c r="M475" s="63" t="s">
        <v>244</v>
      </c>
      <c r="N475" s="63" t="s">
        <v>84</v>
      </c>
      <c r="O475" s="63" t="s">
        <v>68</v>
      </c>
      <c r="P475" s="63" t="s">
        <v>69</v>
      </c>
      <c r="Q475" s="63">
        <v>5</v>
      </c>
      <c r="R475" s="63">
        <v>0</v>
      </c>
      <c r="S475" s="63" t="s">
        <v>70</v>
      </c>
      <c r="T475" s="63">
        <v>25.09</v>
      </c>
      <c r="U475" s="62">
        <v>46072.291666666664</v>
      </c>
      <c r="V475" s="63" t="s">
        <v>86</v>
      </c>
      <c r="W475" s="63">
        <v>170.95</v>
      </c>
      <c r="X475" s="63">
        <v>4200</v>
      </c>
      <c r="Y475" s="63" t="s">
        <v>2431</v>
      </c>
    </row>
    <row r="476" spans="1:25" hidden="1">
      <c r="A476" s="62">
        <v>46071.738622685189</v>
      </c>
      <c r="B476" s="63">
        <v>641525</v>
      </c>
      <c r="C476" s="63" t="s">
        <v>239</v>
      </c>
      <c r="D476" s="63"/>
      <c r="E476" s="62">
        <v>46072.772962962961</v>
      </c>
      <c r="F476" s="63" t="s">
        <v>320</v>
      </c>
      <c r="G476" s="63">
        <v>1724390201</v>
      </c>
      <c r="H476" s="63">
        <v>26563652051970</v>
      </c>
      <c r="I476" s="63" t="s">
        <v>2632</v>
      </c>
      <c r="J476" s="63" t="s">
        <v>159</v>
      </c>
      <c r="K476" s="63" t="s">
        <v>64</v>
      </c>
      <c r="L476" s="63"/>
      <c r="M476" s="63" t="s">
        <v>2633</v>
      </c>
      <c r="N476" s="63" t="s">
        <v>84</v>
      </c>
      <c r="O476" s="63" t="s">
        <v>68</v>
      </c>
      <c r="P476" s="63" t="s">
        <v>69</v>
      </c>
      <c r="Q476" s="63">
        <v>11</v>
      </c>
      <c r="R476" s="63">
        <v>0</v>
      </c>
      <c r="S476" s="63" t="s">
        <v>70</v>
      </c>
      <c r="T476" s="63">
        <v>55.198</v>
      </c>
      <c r="U476" s="62">
        <v>46072.291666666664</v>
      </c>
      <c r="V476" s="63" t="s">
        <v>86</v>
      </c>
      <c r="W476" s="63">
        <v>376.09</v>
      </c>
      <c r="X476" s="63">
        <v>4200</v>
      </c>
      <c r="Y476" s="63" t="s">
        <v>2431</v>
      </c>
    </row>
    <row r="477" spans="1:25" hidden="1">
      <c r="A477" s="62">
        <v>46071.738622685189</v>
      </c>
      <c r="B477" s="63">
        <v>641525</v>
      </c>
      <c r="C477" s="63" t="s">
        <v>239</v>
      </c>
      <c r="D477" s="63"/>
      <c r="E477" s="62">
        <v>46072.772962962961</v>
      </c>
      <c r="F477" s="63" t="s">
        <v>320</v>
      </c>
      <c r="G477" s="63">
        <v>1724450201</v>
      </c>
      <c r="H477" s="63">
        <v>26563652049569</v>
      </c>
      <c r="I477" s="63" t="s">
        <v>2634</v>
      </c>
      <c r="J477" s="63" t="s">
        <v>159</v>
      </c>
      <c r="K477" s="63" t="s">
        <v>64</v>
      </c>
      <c r="L477" s="63"/>
      <c r="M477" s="63" t="s">
        <v>2635</v>
      </c>
      <c r="N477" s="63" t="s">
        <v>84</v>
      </c>
      <c r="O477" s="63" t="s">
        <v>68</v>
      </c>
      <c r="P477" s="63" t="s">
        <v>69</v>
      </c>
      <c r="Q477" s="63">
        <v>7</v>
      </c>
      <c r="R477" s="63">
        <v>0</v>
      </c>
      <c r="S477" s="63" t="s">
        <v>70</v>
      </c>
      <c r="T477" s="63">
        <v>52.335999999999999</v>
      </c>
      <c r="U477" s="62">
        <v>46072.291666666664</v>
      </c>
      <c r="V477" s="63" t="s">
        <v>86</v>
      </c>
      <c r="W477" s="63">
        <v>591.6</v>
      </c>
      <c r="X477" s="63">
        <v>4200</v>
      </c>
      <c r="Y477" s="63" t="s">
        <v>2431</v>
      </c>
    </row>
    <row r="478" spans="1:25" hidden="1">
      <c r="A478" s="62">
        <v>46071.738622685189</v>
      </c>
      <c r="B478" s="63">
        <v>641525</v>
      </c>
      <c r="C478" s="63" t="s">
        <v>239</v>
      </c>
      <c r="D478" s="63"/>
      <c r="E478" s="62">
        <v>46072.772962962961</v>
      </c>
      <c r="F478" s="63" t="s">
        <v>320</v>
      </c>
      <c r="G478" s="63">
        <v>1724450201</v>
      </c>
      <c r="H478" s="63">
        <v>26563652049569</v>
      </c>
      <c r="I478" s="63" t="s">
        <v>2634</v>
      </c>
      <c r="J478" s="63" t="s">
        <v>159</v>
      </c>
      <c r="K478" s="63" t="s">
        <v>64</v>
      </c>
      <c r="L478" s="63"/>
      <c r="M478" s="63" t="s">
        <v>2635</v>
      </c>
      <c r="N478" s="63" t="s">
        <v>84</v>
      </c>
      <c r="O478" s="63" t="s">
        <v>72</v>
      </c>
      <c r="P478" s="63" t="s">
        <v>73</v>
      </c>
      <c r="Q478" s="63">
        <v>2</v>
      </c>
      <c r="R478" s="63">
        <v>0</v>
      </c>
      <c r="S478" s="63" t="s">
        <v>70</v>
      </c>
      <c r="T478" s="63">
        <v>52.335999999999999</v>
      </c>
      <c r="U478" s="62">
        <v>46072.291666666664</v>
      </c>
      <c r="V478" s="63" t="s">
        <v>86</v>
      </c>
      <c r="W478" s="63">
        <v>591.6</v>
      </c>
      <c r="X478" s="63">
        <v>4200</v>
      </c>
      <c r="Y478" s="63" t="s">
        <v>2431</v>
      </c>
    </row>
    <row r="479" spans="1:25" hidden="1">
      <c r="A479" s="62">
        <v>46071.738622685189</v>
      </c>
      <c r="B479" s="63">
        <v>641525</v>
      </c>
      <c r="C479" s="63" t="s">
        <v>239</v>
      </c>
      <c r="D479" s="63"/>
      <c r="E479" s="62">
        <v>46072.772962962961</v>
      </c>
      <c r="F479" s="63" t="s">
        <v>320</v>
      </c>
      <c r="G479" s="63">
        <v>1724450201</v>
      </c>
      <c r="H479" s="63">
        <v>26563652049569</v>
      </c>
      <c r="I479" s="63" t="s">
        <v>2634</v>
      </c>
      <c r="J479" s="63" t="s">
        <v>159</v>
      </c>
      <c r="K479" s="63" t="s">
        <v>64</v>
      </c>
      <c r="L479" s="63"/>
      <c r="M479" s="63" t="s">
        <v>2635</v>
      </c>
      <c r="N479" s="63" t="s">
        <v>84</v>
      </c>
      <c r="O479" s="63" t="s">
        <v>163</v>
      </c>
      <c r="P479" s="63" t="s">
        <v>164</v>
      </c>
      <c r="Q479" s="63">
        <v>1</v>
      </c>
      <c r="R479" s="63">
        <v>0</v>
      </c>
      <c r="S479" s="63" t="s">
        <v>76</v>
      </c>
      <c r="T479" s="63">
        <v>52.335999999999999</v>
      </c>
      <c r="U479" s="62">
        <v>46072.291666666664</v>
      </c>
      <c r="V479" s="63" t="s">
        <v>86</v>
      </c>
      <c r="W479" s="63">
        <v>591.6</v>
      </c>
      <c r="X479" s="63">
        <v>4200</v>
      </c>
      <c r="Y479" s="63" t="s">
        <v>2431</v>
      </c>
    </row>
    <row r="480" spans="1:25" hidden="1">
      <c r="A480" s="62">
        <v>46071.738622685189</v>
      </c>
      <c r="B480" s="63">
        <v>641525</v>
      </c>
      <c r="C480" s="63" t="s">
        <v>239</v>
      </c>
      <c r="D480" s="63"/>
      <c r="E480" s="62">
        <v>46072.772974537038</v>
      </c>
      <c r="F480" s="63" t="s">
        <v>320</v>
      </c>
      <c r="G480" s="63">
        <v>1724610201</v>
      </c>
      <c r="H480" s="63">
        <v>26563652075136</v>
      </c>
      <c r="I480" s="63" t="s">
        <v>2296</v>
      </c>
      <c r="J480" s="63" t="s">
        <v>159</v>
      </c>
      <c r="K480" s="63" t="s">
        <v>64</v>
      </c>
      <c r="L480" s="63" t="s">
        <v>2297</v>
      </c>
      <c r="M480" s="63" t="s">
        <v>2298</v>
      </c>
      <c r="N480" s="63" t="s">
        <v>84</v>
      </c>
      <c r="O480" s="63" t="s">
        <v>68</v>
      </c>
      <c r="P480" s="63" t="s">
        <v>69</v>
      </c>
      <c r="Q480" s="63">
        <v>11</v>
      </c>
      <c r="R480" s="63">
        <v>0</v>
      </c>
      <c r="S480" s="63" t="s">
        <v>70</v>
      </c>
      <c r="T480" s="63">
        <v>55.198</v>
      </c>
      <c r="U480" s="62">
        <v>46072.291666666664</v>
      </c>
      <c r="V480" s="63" t="s">
        <v>86</v>
      </c>
      <c r="W480" s="63">
        <v>376.09</v>
      </c>
      <c r="X480" s="63">
        <v>4200</v>
      </c>
      <c r="Y480" s="63" t="s">
        <v>2431</v>
      </c>
    </row>
    <row r="481" spans="1:25" hidden="1">
      <c r="A481" s="62">
        <v>46071.738622685189</v>
      </c>
      <c r="B481" s="63">
        <v>641525</v>
      </c>
      <c r="C481" s="63" t="s">
        <v>239</v>
      </c>
      <c r="D481" s="63"/>
      <c r="E481" s="62">
        <v>46072.772974537038</v>
      </c>
      <c r="F481" s="63" t="s">
        <v>320</v>
      </c>
      <c r="G481" s="63">
        <v>1724650201</v>
      </c>
      <c r="H481" s="63">
        <v>26563652071572</v>
      </c>
      <c r="I481" s="63" t="s">
        <v>2316</v>
      </c>
      <c r="J481" s="63" t="s">
        <v>159</v>
      </c>
      <c r="K481" s="63" t="s">
        <v>64</v>
      </c>
      <c r="L481" s="63" t="s">
        <v>2317</v>
      </c>
      <c r="M481" s="63" t="s">
        <v>2318</v>
      </c>
      <c r="N481" s="63" t="s">
        <v>84</v>
      </c>
      <c r="O481" s="63" t="s">
        <v>68</v>
      </c>
      <c r="P481" s="63" t="s">
        <v>69</v>
      </c>
      <c r="Q481" s="63">
        <v>6</v>
      </c>
      <c r="R481" s="63">
        <v>0</v>
      </c>
      <c r="S481" s="63" t="s">
        <v>70</v>
      </c>
      <c r="T481" s="63">
        <v>40.107999999999997</v>
      </c>
      <c r="U481" s="62">
        <v>46072.291666666664</v>
      </c>
      <c r="V481" s="63" t="s">
        <v>86</v>
      </c>
      <c r="W481" s="63">
        <v>379.86</v>
      </c>
      <c r="X481" s="63">
        <v>4200</v>
      </c>
      <c r="Y481" s="63" t="s">
        <v>2431</v>
      </c>
    </row>
    <row r="482" spans="1:25" hidden="1">
      <c r="A482" s="62">
        <v>46071.738622685189</v>
      </c>
      <c r="B482" s="63">
        <v>641525</v>
      </c>
      <c r="C482" s="63" t="s">
        <v>239</v>
      </c>
      <c r="D482" s="63"/>
      <c r="E482" s="62">
        <v>46072.772974537038</v>
      </c>
      <c r="F482" s="63" t="s">
        <v>320</v>
      </c>
      <c r="G482" s="63">
        <v>1724650201</v>
      </c>
      <c r="H482" s="63">
        <v>26563652071572</v>
      </c>
      <c r="I482" s="63" t="s">
        <v>2316</v>
      </c>
      <c r="J482" s="63" t="s">
        <v>159</v>
      </c>
      <c r="K482" s="63" t="s">
        <v>64</v>
      </c>
      <c r="L482" s="63" t="s">
        <v>2317</v>
      </c>
      <c r="M482" s="63" t="s">
        <v>2318</v>
      </c>
      <c r="N482" s="63" t="s">
        <v>84</v>
      </c>
      <c r="O482" s="63" t="s">
        <v>74</v>
      </c>
      <c r="P482" s="63" t="s">
        <v>75</v>
      </c>
      <c r="Q482" s="63">
        <v>1</v>
      </c>
      <c r="R482" s="63">
        <v>0</v>
      </c>
      <c r="S482" s="63" t="s">
        <v>76</v>
      </c>
      <c r="T482" s="63">
        <v>40.107999999999997</v>
      </c>
      <c r="U482" s="62">
        <v>46072.291666666664</v>
      </c>
      <c r="V482" s="63" t="s">
        <v>86</v>
      </c>
      <c r="W482" s="63">
        <v>379.86</v>
      </c>
      <c r="X482" s="63">
        <v>4200</v>
      </c>
      <c r="Y482" s="63" t="s">
        <v>2431</v>
      </c>
    </row>
    <row r="483" spans="1:25" hidden="1">
      <c r="A483" s="62">
        <v>46071.738622685189</v>
      </c>
      <c r="B483" s="63">
        <v>641526</v>
      </c>
      <c r="C483" s="63" t="s">
        <v>2275</v>
      </c>
      <c r="D483" s="63"/>
      <c r="E483" s="62">
        <v>46072.772847222222</v>
      </c>
      <c r="F483" s="63" t="s">
        <v>332</v>
      </c>
      <c r="G483" s="63">
        <v>1715990201</v>
      </c>
      <c r="H483" s="63">
        <v>9000493000568</v>
      </c>
      <c r="I483" s="63" t="s">
        <v>2636</v>
      </c>
      <c r="J483" s="63" t="s">
        <v>2468</v>
      </c>
      <c r="K483" s="63" t="s">
        <v>284</v>
      </c>
      <c r="L483" s="63" t="s">
        <v>2637</v>
      </c>
      <c r="M483" s="63" t="s">
        <v>2284</v>
      </c>
      <c r="N483" s="63" t="s">
        <v>84</v>
      </c>
      <c r="O483" s="63" t="s">
        <v>128</v>
      </c>
      <c r="P483" s="63" t="s">
        <v>129</v>
      </c>
      <c r="Q483" s="63">
        <v>8</v>
      </c>
      <c r="R483" s="63">
        <v>0</v>
      </c>
      <c r="S483" s="63" t="s">
        <v>70</v>
      </c>
      <c r="T483" s="63">
        <v>228.71199999999999</v>
      </c>
      <c r="U483" s="62">
        <v>46072.291666666664</v>
      </c>
      <c r="V483" s="63" t="s">
        <v>86</v>
      </c>
      <c r="W483" s="63">
        <v>2300.04</v>
      </c>
      <c r="X483" s="63">
        <v>3800</v>
      </c>
      <c r="Y483" s="63" t="s">
        <v>2304</v>
      </c>
    </row>
    <row r="484" spans="1:25" hidden="1">
      <c r="A484" s="62">
        <v>46071.738622685189</v>
      </c>
      <c r="B484" s="63">
        <v>641526</v>
      </c>
      <c r="C484" s="63" t="s">
        <v>2275</v>
      </c>
      <c r="D484" s="63"/>
      <c r="E484" s="62">
        <v>46072.772847222222</v>
      </c>
      <c r="F484" s="63" t="s">
        <v>332</v>
      </c>
      <c r="G484" s="63">
        <v>1715990201</v>
      </c>
      <c r="H484" s="63">
        <v>9000493000568</v>
      </c>
      <c r="I484" s="63" t="s">
        <v>2636</v>
      </c>
      <c r="J484" s="63" t="s">
        <v>2468</v>
      </c>
      <c r="K484" s="63" t="s">
        <v>284</v>
      </c>
      <c r="L484" s="63" t="s">
        <v>2637</v>
      </c>
      <c r="M484" s="63" t="s">
        <v>2284</v>
      </c>
      <c r="N484" s="63" t="s">
        <v>84</v>
      </c>
      <c r="O484" s="63" t="s">
        <v>398</v>
      </c>
      <c r="P484" s="63" t="s">
        <v>399</v>
      </c>
      <c r="Q484" s="63">
        <v>8</v>
      </c>
      <c r="R484" s="63">
        <v>0</v>
      </c>
      <c r="S484" s="63" t="s">
        <v>70</v>
      </c>
      <c r="T484" s="63">
        <v>228.71199999999999</v>
      </c>
      <c r="U484" s="62">
        <v>46072.291666666664</v>
      </c>
      <c r="V484" s="63" t="s">
        <v>86</v>
      </c>
      <c r="W484" s="63">
        <v>2300.04</v>
      </c>
      <c r="X484" s="63">
        <v>3800</v>
      </c>
      <c r="Y484" s="63" t="s">
        <v>2304</v>
      </c>
    </row>
    <row r="485" spans="1:25" hidden="1">
      <c r="A485" s="62">
        <v>46071.738622685189</v>
      </c>
      <c r="B485" s="63">
        <v>641526</v>
      </c>
      <c r="C485" s="63" t="s">
        <v>2275</v>
      </c>
      <c r="D485" s="63"/>
      <c r="E485" s="62">
        <v>46072.772847222222</v>
      </c>
      <c r="F485" s="63" t="s">
        <v>332</v>
      </c>
      <c r="G485" s="63">
        <v>1715990201</v>
      </c>
      <c r="H485" s="63">
        <v>9000493000568</v>
      </c>
      <c r="I485" s="63" t="s">
        <v>2636</v>
      </c>
      <c r="J485" s="63" t="s">
        <v>2468</v>
      </c>
      <c r="K485" s="63" t="s">
        <v>284</v>
      </c>
      <c r="L485" s="63" t="s">
        <v>2637</v>
      </c>
      <c r="M485" s="63" t="s">
        <v>2284</v>
      </c>
      <c r="N485" s="63" t="s">
        <v>84</v>
      </c>
      <c r="O485" s="63" t="s">
        <v>280</v>
      </c>
      <c r="P485" s="63" t="s">
        <v>281</v>
      </c>
      <c r="Q485" s="63">
        <v>12</v>
      </c>
      <c r="R485" s="63">
        <v>0</v>
      </c>
      <c r="S485" s="63" t="s">
        <v>70</v>
      </c>
      <c r="T485" s="63">
        <v>228.71199999999999</v>
      </c>
      <c r="U485" s="62">
        <v>46072.291666666664</v>
      </c>
      <c r="V485" s="63" t="s">
        <v>86</v>
      </c>
      <c r="W485" s="63">
        <v>2300.04</v>
      </c>
      <c r="X485" s="63">
        <v>3800</v>
      </c>
      <c r="Y485" s="63" t="s">
        <v>2304</v>
      </c>
    </row>
    <row r="486" spans="1:25" hidden="1">
      <c r="A486" s="62">
        <v>46071.738622685189</v>
      </c>
      <c r="B486" s="63">
        <v>641526</v>
      </c>
      <c r="C486" s="63" t="s">
        <v>2275</v>
      </c>
      <c r="D486" s="63"/>
      <c r="E486" s="62">
        <v>46072.772870370369</v>
      </c>
      <c r="F486" s="63" t="s">
        <v>332</v>
      </c>
      <c r="G486" s="63">
        <v>1720820201</v>
      </c>
      <c r="H486" s="63">
        <v>47508411291290</v>
      </c>
      <c r="I486" s="63" t="s">
        <v>2638</v>
      </c>
      <c r="J486" s="63" t="s">
        <v>182</v>
      </c>
      <c r="K486" s="63" t="s">
        <v>284</v>
      </c>
      <c r="L486" s="63" t="s">
        <v>2639</v>
      </c>
      <c r="M486" s="63" t="s">
        <v>2640</v>
      </c>
      <c r="N486" s="63" t="s">
        <v>84</v>
      </c>
      <c r="O486" s="63" t="s">
        <v>107</v>
      </c>
      <c r="P486" s="63" t="s">
        <v>108</v>
      </c>
      <c r="Q486" s="63">
        <v>1</v>
      </c>
      <c r="R486" s="63">
        <v>0</v>
      </c>
      <c r="S486" s="63" t="s">
        <v>76</v>
      </c>
      <c r="T486" s="63">
        <v>10.63</v>
      </c>
      <c r="U486" s="62">
        <v>46072.291666666664</v>
      </c>
      <c r="V486" s="63" t="s">
        <v>86</v>
      </c>
      <c r="W486" s="63">
        <v>135.35</v>
      </c>
      <c r="X486" s="63">
        <v>3800</v>
      </c>
      <c r="Y486" s="63" t="s">
        <v>2304</v>
      </c>
    </row>
    <row r="487" spans="1:25">
      <c r="A487" s="62">
        <v>46071.738622685189</v>
      </c>
      <c r="B487" s="63">
        <v>641526</v>
      </c>
      <c r="C487" s="63" t="s">
        <v>2275</v>
      </c>
      <c r="D487" s="63"/>
      <c r="E487" s="62">
        <v>46072.772870370369</v>
      </c>
      <c r="F487" s="63" t="s">
        <v>332</v>
      </c>
      <c r="G487" s="63">
        <v>1720830201</v>
      </c>
      <c r="H487" s="63">
        <v>47508411291290</v>
      </c>
      <c r="I487" s="63" t="s">
        <v>2638</v>
      </c>
      <c r="J487" s="63" t="s">
        <v>182</v>
      </c>
      <c r="K487" s="63" t="s">
        <v>284</v>
      </c>
      <c r="L487" s="63" t="s">
        <v>2639</v>
      </c>
      <c r="M487" s="63" t="s">
        <v>2640</v>
      </c>
      <c r="N487" s="63" t="s">
        <v>84</v>
      </c>
      <c r="O487" s="63" t="s">
        <v>109</v>
      </c>
      <c r="P487" s="63" t="s">
        <v>110</v>
      </c>
      <c r="Q487" s="63">
        <v>40</v>
      </c>
      <c r="R487" s="63">
        <v>0</v>
      </c>
      <c r="S487" s="63" t="s">
        <v>70</v>
      </c>
      <c r="T487" s="63">
        <v>200</v>
      </c>
      <c r="U487" s="62">
        <v>46072.291666666664</v>
      </c>
      <c r="V487" s="63" t="s">
        <v>86</v>
      </c>
      <c r="W487" s="63">
        <v>1442.8</v>
      </c>
      <c r="X487" s="63">
        <v>3800</v>
      </c>
      <c r="Y487" s="63" t="s">
        <v>2304</v>
      </c>
    </row>
    <row r="488" spans="1:25" hidden="1">
      <c r="A488" s="62">
        <v>46071.738622685189</v>
      </c>
      <c r="B488" s="63">
        <v>641526</v>
      </c>
      <c r="C488" s="63" t="s">
        <v>2275</v>
      </c>
      <c r="D488" s="63"/>
      <c r="E488" s="62">
        <v>46072.772881944446</v>
      </c>
      <c r="F488" s="63" t="s">
        <v>332</v>
      </c>
      <c r="G488" s="63">
        <v>1725320201</v>
      </c>
      <c r="H488" s="63">
        <v>26563652043790</v>
      </c>
      <c r="I488" s="63" t="s">
        <v>2279</v>
      </c>
      <c r="J488" s="63" t="s">
        <v>159</v>
      </c>
      <c r="K488" s="63" t="s">
        <v>284</v>
      </c>
      <c r="L488" s="63" t="s">
        <v>2280</v>
      </c>
      <c r="M488" s="63" t="s">
        <v>2281</v>
      </c>
      <c r="N488" s="63" t="s">
        <v>84</v>
      </c>
      <c r="O488" s="63" t="s">
        <v>68</v>
      </c>
      <c r="P488" s="63" t="s">
        <v>69</v>
      </c>
      <c r="Q488" s="63">
        <v>6</v>
      </c>
      <c r="R488" s="63">
        <v>0</v>
      </c>
      <c r="S488" s="63" t="s">
        <v>70</v>
      </c>
      <c r="T488" s="63">
        <v>35.107999999999997</v>
      </c>
      <c r="U488" s="62">
        <v>46072.291666666664</v>
      </c>
      <c r="V488" s="63" t="s">
        <v>86</v>
      </c>
      <c r="W488" s="63">
        <v>254.15</v>
      </c>
      <c r="X488" s="63">
        <v>3800</v>
      </c>
      <c r="Y488" s="63" t="s">
        <v>2304</v>
      </c>
    </row>
    <row r="489" spans="1:25" hidden="1">
      <c r="A489" s="62">
        <v>46071.738622685189</v>
      </c>
      <c r="B489" s="63">
        <v>641526</v>
      </c>
      <c r="C489" s="63" t="s">
        <v>2275</v>
      </c>
      <c r="D489" s="63"/>
      <c r="E489" s="62">
        <v>46072.772881944446</v>
      </c>
      <c r="F489" s="63" t="s">
        <v>332</v>
      </c>
      <c r="G489" s="63">
        <v>1725320201</v>
      </c>
      <c r="H489" s="63">
        <v>26563652043790</v>
      </c>
      <c r="I489" s="63" t="s">
        <v>2279</v>
      </c>
      <c r="J489" s="63" t="s">
        <v>159</v>
      </c>
      <c r="K489" s="63" t="s">
        <v>284</v>
      </c>
      <c r="L489" s="63" t="s">
        <v>2280</v>
      </c>
      <c r="M489" s="63" t="s">
        <v>2281</v>
      </c>
      <c r="N489" s="63" t="s">
        <v>84</v>
      </c>
      <c r="O489" s="63" t="s">
        <v>72</v>
      </c>
      <c r="P489" s="63" t="s">
        <v>73</v>
      </c>
      <c r="Q489" s="63">
        <v>1</v>
      </c>
      <c r="R489" s="63">
        <v>0</v>
      </c>
      <c r="S489" s="63" t="s">
        <v>70</v>
      </c>
      <c r="T489" s="63">
        <v>35.107999999999997</v>
      </c>
      <c r="U489" s="62">
        <v>46072.291666666664</v>
      </c>
      <c r="V489" s="63" t="s">
        <v>86</v>
      </c>
      <c r="W489" s="63">
        <v>254.15</v>
      </c>
      <c r="X489" s="63">
        <v>3800</v>
      </c>
      <c r="Y489" s="63" t="s">
        <v>2304</v>
      </c>
    </row>
    <row r="490" spans="1:25" hidden="1">
      <c r="A490" s="62">
        <v>46071.738622685189</v>
      </c>
      <c r="B490" s="63">
        <v>641526</v>
      </c>
      <c r="C490" s="63" t="s">
        <v>2275</v>
      </c>
      <c r="D490" s="63"/>
      <c r="E490" s="62">
        <v>46072.772893518515</v>
      </c>
      <c r="F490" s="63" t="s">
        <v>332</v>
      </c>
      <c r="G490" s="63">
        <v>1722720201</v>
      </c>
      <c r="H490" s="63">
        <v>71676316001622</v>
      </c>
      <c r="I490" s="63" t="s">
        <v>2253</v>
      </c>
      <c r="J490" s="63" t="s">
        <v>2228</v>
      </c>
      <c r="K490" s="63" t="s">
        <v>284</v>
      </c>
      <c r="L490" s="63" t="s">
        <v>2254</v>
      </c>
      <c r="M490" s="63" t="s">
        <v>2255</v>
      </c>
      <c r="N490" s="63" t="s">
        <v>84</v>
      </c>
      <c r="O490" s="63" t="s">
        <v>68</v>
      </c>
      <c r="P490" s="63" t="s">
        <v>69</v>
      </c>
      <c r="Q490" s="63">
        <v>110</v>
      </c>
      <c r="R490" s="63">
        <v>0</v>
      </c>
      <c r="S490" s="63" t="s">
        <v>70</v>
      </c>
      <c r="T490" s="63">
        <v>651.98</v>
      </c>
      <c r="U490" s="62">
        <v>46072.291666666664</v>
      </c>
      <c r="V490" s="63" t="s">
        <v>86</v>
      </c>
      <c r="W490" s="63">
        <v>5526.34</v>
      </c>
      <c r="X490" s="63">
        <v>3800</v>
      </c>
      <c r="Y490" s="63" t="s">
        <v>2304</v>
      </c>
    </row>
    <row r="491" spans="1:25" hidden="1">
      <c r="A491" s="62">
        <v>46071.738622685189</v>
      </c>
      <c r="B491" s="63">
        <v>641526</v>
      </c>
      <c r="C491" s="63" t="s">
        <v>2275</v>
      </c>
      <c r="D491" s="63"/>
      <c r="E491" s="62">
        <v>46072.772893518515</v>
      </c>
      <c r="F491" s="63" t="s">
        <v>332</v>
      </c>
      <c r="G491" s="63">
        <v>1722720201</v>
      </c>
      <c r="H491" s="63">
        <v>71676316001622</v>
      </c>
      <c r="I491" s="63" t="s">
        <v>2253</v>
      </c>
      <c r="J491" s="63" t="s">
        <v>2228</v>
      </c>
      <c r="K491" s="63" t="s">
        <v>284</v>
      </c>
      <c r="L491" s="63" t="s">
        <v>2254</v>
      </c>
      <c r="M491" s="63" t="s">
        <v>2255</v>
      </c>
      <c r="N491" s="63" t="s">
        <v>84</v>
      </c>
      <c r="O491" s="63" t="s">
        <v>91</v>
      </c>
      <c r="P491" s="63" t="s">
        <v>92</v>
      </c>
      <c r="Q491" s="63">
        <v>5</v>
      </c>
      <c r="R491" s="63">
        <v>0</v>
      </c>
      <c r="S491" s="63" t="s">
        <v>70</v>
      </c>
      <c r="T491" s="63">
        <v>651.98</v>
      </c>
      <c r="U491" s="62">
        <v>46072.291666666664</v>
      </c>
      <c r="V491" s="63" t="s">
        <v>86</v>
      </c>
      <c r="W491" s="63">
        <v>5526.34</v>
      </c>
      <c r="X491" s="63">
        <v>3800</v>
      </c>
      <c r="Y491" s="63" t="s">
        <v>2304</v>
      </c>
    </row>
    <row r="492" spans="1:25" hidden="1">
      <c r="A492" s="62">
        <v>46071.738622685189</v>
      </c>
      <c r="B492" s="63">
        <v>641526</v>
      </c>
      <c r="C492" s="63" t="s">
        <v>2275</v>
      </c>
      <c r="D492" s="63"/>
      <c r="E492" s="62">
        <v>46072.772893518515</v>
      </c>
      <c r="F492" s="63" t="s">
        <v>332</v>
      </c>
      <c r="G492" s="63">
        <v>1722720201</v>
      </c>
      <c r="H492" s="63">
        <v>71676316001622</v>
      </c>
      <c r="I492" s="63" t="s">
        <v>2253</v>
      </c>
      <c r="J492" s="63" t="s">
        <v>2228</v>
      </c>
      <c r="K492" s="63" t="s">
        <v>284</v>
      </c>
      <c r="L492" s="63" t="s">
        <v>2254</v>
      </c>
      <c r="M492" s="63" t="s">
        <v>2255</v>
      </c>
      <c r="N492" s="63" t="s">
        <v>84</v>
      </c>
      <c r="O492" s="63" t="s">
        <v>93</v>
      </c>
      <c r="P492" s="63" t="s">
        <v>94</v>
      </c>
      <c r="Q492" s="63">
        <v>5</v>
      </c>
      <c r="R492" s="63">
        <v>0</v>
      </c>
      <c r="S492" s="63" t="s">
        <v>70</v>
      </c>
      <c r="T492" s="63">
        <v>651.98</v>
      </c>
      <c r="U492" s="62">
        <v>46072.291666666664</v>
      </c>
      <c r="V492" s="63" t="s">
        <v>86</v>
      </c>
      <c r="W492" s="63">
        <v>5526.34</v>
      </c>
      <c r="X492" s="63">
        <v>3800</v>
      </c>
      <c r="Y492" s="63" t="s">
        <v>2304</v>
      </c>
    </row>
    <row r="493" spans="1:25" hidden="1">
      <c r="A493" s="62">
        <v>46071.738622685189</v>
      </c>
      <c r="B493" s="63">
        <v>641526</v>
      </c>
      <c r="C493" s="63" t="s">
        <v>2275</v>
      </c>
      <c r="D493" s="63"/>
      <c r="E493" s="62">
        <v>46072.772893518515</v>
      </c>
      <c r="F493" s="63" t="s">
        <v>332</v>
      </c>
      <c r="G493" s="63">
        <v>1722720201</v>
      </c>
      <c r="H493" s="63">
        <v>71676316001622</v>
      </c>
      <c r="I493" s="63" t="s">
        <v>2253</v>
      </c>
      <c r="J493" s="63" t="s">
        <v>2228</v>
      </c>
      <c r="K493" s="63" t="s">
        <v>284</v>
      </c>
      <c r="L493" s="63" t="s">
        <v>2254</v>
      </c>
      <c r="M493" s="63" t="s">
        <v>2255</v>
      </c>
      <c r="N493" s="63" t="s">
        <v>84</v>
      </c>
      <c r="O493" s="63" t="s">
        <v>105</v>
      </c>
      <c r="P493" s="63" t="s">
        <v>106</v>
      </c>
      <c r="Q493" s="63">
        <v>5</v>
      </c>
      <c r="R493" s="63">
        <v>0</v>
      </c>
      <c r="S493" s="63" t="s">
        <v>76</v>
      </c>
      <c r="T493" s="63">
        <v>651.98</v>
      </c>
      <c r="U493" s="62">
        <v>46072.291666666664</v>
      </c>
      <c r="V493" s="63" t="s">
        <v>86</v>
      </c>
      <c r="W493" s="63">
        <v>5526.34</v>
      </c>
      <c r="X493" s="63">
        <v>3800</v>
      </c>
      <c r="Y493" s="63" t="s">
        <v>2304</v>
      </c>
    </row>
    <row r="494" spans="1:25" hidden="1">
      <c r="A494" s="62">
        <v>46071.738622685189</v>
      </c>
      <c r="B494" s="63">
        <v>641526</v>
      </c>
      <c r="C494" s="63" t="s">
        <v>2275</v>
      </c>
      <c r="D494" s="63"/>
      <c r="E494" s="62">
        <v>46072.772893518515</v>
      </c>
      <c r="F494" s="63" t="s">
        <v>332</v>
      </c>
      <c r="G494" s="63">
        <v>1722720201</v>
      </c>
      <c r="H494" s="63">
        <v>71676316001622</v>
      </c>
      <c r="I494" s="63" t="s">
        <v>2253</v>
      </c>
      <c r="J494" s="63" t="s">
        <v>2228</v>
      </c>
      <c r="K494" s="63" t="s">
        <v>284</v>
      </c>
      <c r="L494" s="63" t="s">
        <v>2254</v>
      </c>
      <c r="M494" s="63" t="s">
        <v>2255</v>
      </c>
      <c r="N494" s="63" t="s">
        <v>84</v>
      </c>
      <c r="O494" s="63" t="s">
        <v>383</v>
      </c>
      <c r="P494" s="63" t="s">
        <v>384</v>
      </c>
      <c r="Q494" s="63">
        <v>12</v>
      </c>
      <c r="R494" s="63">
        <v>0</v>
      </c>
      <c r="S494" s="63" t="s">
        <v>70</v>
      </c>
      <c r="T494" s="63">
        <v>651.98</v>
      </c>
      <c r="U494" s="62">
        <v>46072.291666666664</v>
      </c>
      <c r="V494" s="63" t="s">
        <v>86</v>
      </c>
      <c r="W494" s="63">
        <v>5526.34</v>
      </c>
      <c r="X494" s="63">
        <v>3800</v>
      </c>
      <c r="Y494" s="63" t="s">
        <v>2304</v>
      </c>
    </row>
    <row r="495" spans="1:25" hidden="1">
      <c r="A495" s="62">
        <v>46071.738622685189</v>
      </c>
      <c r="B495" s="63">
        <v>641526</v>
      </c>
      <c r="C495" s="63" t="s">
        <v>2275</v>
      </c>
      <c r="D495" s="63"/>
      <c r="E495" s="62">
        <v>46072.772893518515</v>
      </c>
      <c r="F495" s="63" t="s">
        <v>332</v>
      </c>
      <c r="G495" s="63">
        <v>1725360201</v>
      </c>
      <c r="H495" s="63">
        <v>26563652041401</v>
      </c>
      <c r="I495" s="63" t="s">
        <v>2307</v>
      </c>
      <c r="J495" s="63" t="s">
        <v>159</v>
      </c>
      <c r="K495" s="63" t="s">
        <v>284</v>
      </c>
      <c r="L495" s="63"/>
      <c r="M495" s="63" t="s">
        <v>2308</v>
      </c>
      <c r="N495" s="63" t="s">
        <v>84</v>
      </c>
      <c r="O495" s="63" t="s">
        <v>68</v>
      </c>
      <c r="P495" s="63" t="s">
        <v>69</v>
      </c>
      <c r="Q495" s="63">
        <v>5</v>
      </c>
      <c r="R495" s="63">
        <v>0</v>
      </c>
      <c r="S495" s="63" t="s">
        <v>70</v>
      </c>
      <c r="T495" s="63">
        <v>32.299999999999997</v>
      </c>
      <c r="U495" s="62">
        <v>46072.291666666664</v>
      </c>
      <c r="V495" s="63" t="s">
        <v>86</v>
      </c>
      <c r="W495" s="63">
        <v>425.2</v>
      </c>
      <c r="X495" s="63">
        <v>3800</v>
      </c>
      <c r="Y495" s="63" t="s">
        <v>2304</v>
      </c>
    </row>
    <row r="496" spans="1:25" hidden="1">
      <c r="A496" s="62">
        <v>46071.738622685189</v>
      </c>
      <c r="B496" s="63">
        <v>641526</v>
      </c>
      <c r="C496" s="63" t="s">
        <v>2275</v>
      </c>
      <c r="D496" s="63"/>
      <c r="E496" s="62">
        <v>46072.772893518515</v>
      </c>
      <c r="F496" s="63" t="s">
        <v>332</v>
      </c>
      <c r="G496" s="63">
        <v>1725360201</v>
      </c>
      <c r="H496" s="63">
        <v>26563652041401</v>
      </c>
      <c r="I496" s="63" t="s">
        <v>2307</v>
      </c>
      <c r="J496" s="63" t="s">
        <v>159</v>
      </c>
      <c r="K496" s="63" t="s">
        <v>284</v>
      </c>
      <c r="L496" s="63"/>
      <c r="M496" s="63" t="s">
        <v>2308</v>
      </c>
      <c r="N496" s="63" t="s">
        <v>84</v>
      </c>
      <c r="O496" s="63" t="s">
        <v>163</v>
      </c>
      <c r="P496" s="63" t="s">
        <v>164</v>
      </c>
      <c r="Q496" s="63">
        <v>1</v>
      </c>
      <c r="R496" s="63">
        <v>0</v>
      </c>
      <c r="S496" s="63" t="s">
        <v>76</v>
      </c>
      <c r="T496" s="63">
        <v>32.299999999999997</v>
      </c>
      <c r="U496" s="62">
        <v>46072.291666666664</v>
      </c>
      <c r="V496" s="63" t="s">
        <v>86</v>
      </c>
      <c r="W496" s="63">
        <v>425.2</v>
      </c>
      <c r="X496" s="63">
        <v>3800</v>
      </c>
      <c r="Y496" s="63" t="s">
        <v>2304</v>
      </c>
    </row>
    <row r="497" spans="1:25" hidden="1">
      <c r="A497" s="62">
        <v>46071.738622685189</v>
      </c>
      <c r="B497" s="63">
        <v>641526</v>
      </c>
      <c r="C497" s="63" t="s">
        <v>2275</v>
      </c>
      <c r="D497" s="63"/>
      <c r="E497" s="62">
        <v>46072.772905092592</v>
      </c>
      <c r="F497" s="63" t="s">
        <v>332</v>
      </c>
      <c r="G497" s="63">
        <v>1722840201</v>
      </c>
      <c r="H497" s="63">
        <v>71676316002785</v>
      </c>
      <c r="I497" s="63" t="s">
        <v>2641</v>
      </c>
      <c r="J497" s="63" t="s">
        <v>2228</v>
      </c>
      <c r="K497" s="63" t="s">
        <v>284</v>
      </c>
      <c r="L497" s="63" t="s">
        <v>2642</v>
      </c>
      <c r="M497" s="63" t="s">
        <v>335</v>
      </c>
      <c r="N497" s="63" t="s">
        <v>84</v>
      </c>
      <c r="O497" s="63" t="s">
        <v>68</v>
      </c>
      <c r="P497" s="63" t="s">
        <v>69</v>
      </c>
      <c r="Q497" s="63">
        <v>100</v>
      </c>
      <c r="R497" s="63">
        <v>0</v>
      </c>
      <c r="S497" s="63" t="s">
        <v>70</v>
      </c>
      <c r="T497" s="63">
        <v>664.3</v>
      </c>
      <c r="U497" s="62">
        <v>46072.291666666664</v>
      </c>
      <c r="V497" s="63" t="s">
        <v>86</v>
      </c>
      <c r="W497" s="63">
        <v>5530.8</v>
      </c>
      <c r="X497" s="63">
        <v>3800</v>
      </c>
      <c r="Y497" s="63" t="s">
        <v>2304</v>
      </c>
    </row>
    <row r="498" spans="1:25" hidden="1">
      <c r="A498" s="62">
        <v>46071.738622685189</v>
      </c>
      <c r="B498" s="63">
        <v>641526</v>
      </c>
      <c r="C498" s="63" t="s">
        <v>2275</v>
      </c>
      <c r="D498" s="63"/>
      <c r="E498" s="62">
        <v>46072.772905092592</v>
      </c>
      <c r="F498" s="63" t="s">
        <v>332</v>
      </c>
      <c r="G498" s="63">
        <v>1722840201</v>
      </c>
      <c r="H498" s="63">
        <v>71676316002785</v>
      </c>
      <c r="I498" s="63" t="s">
        <v>2641</v>
      </c>
      <c r="J498" s="63" t="s">
        <v>2228</v>
      </c>
      <c r="K498" s="63" t="s">
        <v>284</v>
      </c>
      <c r="L498" s="63" t="s">
        <v>2642</v>
      </c>
      <c r="M498" s="63" t="s">
        <v>335</v>
      </c>
      <c r="N498" s="63" t="s">
        <v>84</v>
      </c>
      <c r="O498" s="63" t="s">
        <v>93</v>
      </c>
      <c r="P498" s="63" t="s">
        <v>94</v>
      </c>
      <c r="Q498" s="63">
        <v>10</v>
      </c>
      <c r="R498" s="63">
        <v>0</v>
      </c>
      <c r="S498" s="63" t="s">
        <v>70</v>
      </c>
      <c r="T498" s="63">
        <v>664.3</v>
      </c>
      <c r="U498" s="62">
        <v>46072.291666666664</v>
      </c>
      <c r="V498" s="63" t="s">
        <v>86</v>
      </c>
      <c r="W498" s="63">
        <v>5530.8</v>
      </c>
      <c r="X498" s="63">
        <v>3800</v>
      </c>
      <c r="Y498" s="63" t="s">
        <v>2304</v>
      </c>
    </row>
    <row r="499" spans="1:25" hidden="1">
      <c r="A499" s="62">
        <v>46071.738622685189</v>
      </c>
      <c r="B499" s="63">
        <v>641526</v>
      </c>
      <c r="C499" s="63" t="s">
        <v>2275</v>
      </c>
      <c r="D499" s="63"/>
      <c r="E499" s="62">
        <v>46072.772905092592</v>
      </c>
      <c r="F499" s="63" t="s">
        <v>332</v>
      </c>
      <c r="G499" s="63">
        <v>1722840201</v>
      </c>
      <c r="H499" s="63">
        <v>71676316002785</v>
      </c>
      <c r="I499" s="63" t="s">
        <v>2641</v>
      </c>
      <c r="J499" s="63" t="s">
        <v>2228</v>
      </c>
      <c r="K499" s="63" t="s">
        <v>284</v>
      </c>
      <c r="L499" s="63" t="s">
        <v>2642</v>
      </c>
      <c r="M499" s="63" t="s">
        <v>335</v>
      </c>
      <c r="N499" s="63" t="s">
        <v>84</v>
      </c>
      <c r="O499" s="63" t="s">
        <v>72</v>
      </c>
      <c r="P499" s="63" t="s">
        <v>73</v>
      </c>
      <c r="Q499" s="63">
        <v>10</v>
      </c>
      <c r="R499" s="63">
        <v>0</v>
      </c>
      <c r="S499" s="63" t="s">
        <v>70</v>
      </c>
      <c r="T499" s="63">
        <v>664.3</v>
      </c>
      <c r="U499" s="62">
        <v>46072.291666666664</v>
      </c>
      <c r="V499" s="63" t="s">
        <v>86</v>
      </c>
      <c r="W499" s="63">
        <v>5530.8</v>
      </c>
      <c r="X499" s="63">
        <v>3800</v>
      </c>
      <c r="Y499" s="63" t="s">
        <v>2304</v>
      </c>
    </row>
    <row r="500" spans="1:25" hidden="1">
      <c r="A500" s="62">
        <v>46071.738622685189</v>
      </c>
      <c r="B500" s="63">
        <v>641526</v>
      </c>
      <c r="C500" s="63" t="s">
        <v>2275</v>
      </c>
      <c r="D500" s="63"/>
      <c r="E500" s="62">
        <v>46072.772905092592</v>
      </c>
      <c r="F500" s="63" t="s">
        <v>332</v>
      </c>
      <c r="G500" s="63">
        <v>1722840201</v>
      </c>
      <c r="H500" s="63">
        <v>71676316002785</v>
      </c>
      <c r="I500" s="63" t="s">
        <v>2641</v>
      </c>
      <c r="J500" s="63" t="s">
        <v>2228</v>
      </c>
      <c r="K500" s="63" t="s">
        <v>284</v>
      </c>
      <c r="L500" s="63" t="s">
        <v>2642</v>
      </c>
      <c r="M500" s="63" t="s">
        <v>335</v>
      </c>
      <c r="N500" s="63" t="s">
        <v>84</v>
      </c>
      <c r="O500" s="63" t="s">
        <v>383</v>
      </c>
      <c r="P500" s="63" t="s">
        <v>384</v>
      </c>
      <c r="Q500" s="63">
        <v>20</v>
      </c>
      <c r="R500" s="63">
        <v>0</v>
      </c>
      <c r="S500" s="63" t="s">
        <v>70</v>
      </c>
      <c r="T500" s="63">
        <v>664.3</v>
      </c>
      <c r="U500" s="62">
        <v>46072.291666666664</v>
      </c>
      <c r="V500" s="63" t="s">
        <v>86</v>
      </c>
      <c r="W500" s="63">
        <v>5530.8</v>
      </c>
      <c r="X500" s="63">
        <v>3800</v>
      </c>
      <c r="Y500" s="63" t="s">
        <v>2304</v>
      </c>
    </row>
    <row r="501" spans="1:25" hidden="1">
      <c r="A501" s="62">
        <v>46071.738622685189</v>
      </c>
      <c r="B501" s="63">
        <v>641526</v>
      </c>
      <c r="C501" s="63" t="s">
        <v>2275</v>
      </c>
      <c r="D501" s="63"/>
      <c r="E501" s="62">
        <v>46072.772905092592</v>
      </c>
      <c r="F501" s="63" t="s">
        <v>332</v>
      </c>
      <c r="G501" s="63">
        <v>1725520201</v>
      </c>
      <c r="H501" s="63">
        <v>26563652050222</v>
      </c>
      <c r="I501" s="63" t="s">
        <v>2643</v>
      </c>
      <c r="J501" s="63" t="s">
        <v>159</v>
      </c>
      <c r="K501" s="63" t="s">
        <v>284</v>
      </c>
      <c r="L501" s="63"/>
      <c r="M501" s="63" t="s">
        <v>285</v>
      </c>
      <c r="N501" s="63" t="s">
        <v>84</v>
      </c>
      <c r="O501" s="63" t="s">
        <v>68</v>
      </c>
      <c r="P501" s="63" t="s">
        <v>69</v>
      </c>
      <c r="Q501" s="63">
        <v>6</v>
      </c>
      <c r="R501" s="63">
        <v>0</v>
      </c>
      <c r="S501" s="63" t="s">
        <v>70</v>
      </c>
      <c r="T501" s="63">
        <v>40.107999999999997</v>
      </c>
      <c r="U501" s="62">
        <v>46072.291666666664</v>
      </c>
      <c r="V501" s="63" t="s">
        <v>86</v>
      </c>
      <c r="W501" s="63">
        <v>379.86</v>
      </c>
      <c r="X501" s="63">
        <v>3800</v>
      </c>
      <c r="Y501" s="63" t="s">
        <v>2304</v>
      </c>
    </row>
    <row r="502" spans="1:25" hidden="1">
      <c r="A502" s="62">
        <v>46071.738622685189</v>
      </c>
      <c r="B502" s="63">
        <v>641526</v>
      </c>
      <c r="C502" s="63" t="s">
        <v>2275</v>
      </c>
      <c r="D502" s="63"/>
      <c r="E502" s="62">
        <v>46072.772905092592</v>
      </c>
      <c r="F502" s="63" t="s">
        <v>332</v>
      </c>
      <c r="G502" s="63">
        <v>1725520201</v>
      </c>
      <c r="H502" s="63">
        <v>26563652050222</v>
      </c>
      <c r="I502" s="63" t="s">
        <v>2643</v>
      </c>
      <c r="J502" s="63" t="s">
        <v>159</v>
      </c>
      <c r="K502" s="63" t="s">
        <v>284</v>
      </c>
      <c r="L502" s="63"/>
      <c r="M502" s="63" t="s">
        <v>285</v>
      </c>
      <c r="N502" s="63" t="s">
        <v>84</v>
      </c>
      <c r="O502" s="63" t="s">
        <v>74</v>
      </c>
      <c r="P502" s="63" t="s">
        <v>75</v>
      </c>
      <c r="Q502" s="63">
        <v>1</v>
      </c>
      <c r="R502" s="63">
        <v>0</v>
      </c>
      <c r="S502" s="63" t="s">
        <v>76</v>
      </c>
      <c r="T502" s="63">
        <v>40.107999999999997</v>
      </c>
      <c r="U502" s="62">
        <v>46072.291666666664</v>
      </c>
      <c r="V502" s="63" t="s">
        <v>86</v>
      </c>
      <c r="W502" s="63">
        <v>379.86</v>
      </c>
      <c r="X502" s="63">
        <v>3800</v>
      </c>
      <c r="Y502" s="63" t="s">
        <v>2304</v>
      </c>
    </row>
    <row r="503" spans="1:25" hidden="1">
      <c r="A503" s="62">
        <v>46071.738622685189</v>
      </c>
      <c r="B503" s="63">
        <v>641526</v>
      </c>
      <c r="C503" s="63" t="s">
        <v>2275</v>
      </c>
      <c r="D503" s="63"/>
      <c r="E503" s="62">
        <v>46072.772951388892</v>
      </c>
      <c r="F503" s="63" t="s">
        <v>332</v>
      </c>
      <c r="G503" s="63">
        <v>1724150201</v>
      </c>
      <c r="H503" s="63">
        <v>26563652047868</v>
      </c>
      <c r="I503" s="63" t="s">
        <v>2282</v>
      </c>
      <c r="J503" s="63" t="s">
        <v>159</v>
      </c>
      <c r="K503" s="63" t="s">
        <v>284</v>
      </c>
      <c r="L503" s="63" t="s">
        <v>2283</v>
      </c>
      <c r="M503" s="63" t="s">
        <v>2277</v>
      </c>
      <c r="N503" s="63" t="s">
        <v>84</v>
      </c>
      <c r="O503" s="63" t="s">
        <v>68</v>
      </c>
      <c r="P503" s="63" t="s">
        <v>69</v>
      </c>
      <c r="Q503" s="63">
        <v>11</v>
      </c>
      <c r="R503" s="63">
        <v>0</v>
      </c>
      <c r="S503" s="63" t="s">
        <v>70</v>
      </c>
      <c r="T503" s="63">
        <v>55.198</v>
      </c>
      <c r="U503" s="62">
        <v>46072.291666666664</v>
      </c>
      <c r="V503" s="63" t="s">
        <v>86</v>
      </c>
      <c r="W503" s="63">
        <v>376.09</v>
      </c>
      <c r="X503" s="63">
        <v>3800</v>
      </c>
      <c r="Y503" s="63" t="s">
        <v>2304</v>
      </c>
    </row>
    <row r="504" spans="1:25" hidden="1">
      <c r="A504" s="62">
        <v>46071.738622685189</v>
      </c>
      <c r="B504" s="63">
        <v>641526</v>
      </c>
      <c r="C504" s="63" t="s">
        <v>2275</v>
      </c>
      <c r="D504" s="63"/>
      <c r="E504" s="62">
        <v>46072.772974537038</v>
      </c>
      <c r="F504" s="63" t="s">
        <v>332</v>
      </c>
      <c r="G504" s="63">
        <v>1718510201</v>
      </c>
      <c r="H504" s="63">
        <v>26563652026941</v>
      </c>
      <c r="I504" s="63" t="s">
        <v>2290</v>
      </c>
      <c r="J504" s="63" t="s">
        <v>159</v>
      </c>
      <c r="K504" s="63" t="s">
        <v>284</v>
      </c>
      <c r="L504" s="63" t="s">
        <v>2291</v>
      </c>
      <c r="M504" s="63" t="s">
        <v>2289</v>
      </c>
      <c r="N504" s="63" t="s">
        <v>84</v>
      </c>
      <c r="O504" s="63" t="s">
        <v>68</v>
      </c>
      <c r="P504" s="63" t="s">
        <v>69</v>
      </c>
      <c r="Q504" s="63">
        <v>2</v>
      </c>
      <c r="R504" s="63">
        <v>0</v>
      </c>
      <c r="S504" s="63" t="s">
        <v>70</v>
      </c>
      <c r="T504" s="63">
        <v>22.245999999999999</v>
      </c>
      <c r="U504" s="62">
        <v>46072.291666666664</v>
      </c>
      <c r="V504" s="63" t="s">
        <v>86</v>
      </c>
      <c r="W504" s="63">
        <v>371.64</v>
      </c>
      <c r="X504" s="63">
        <v>3800</v>
      </c>
      <c r="Y504" s="63" t="s">
        <v>2304</v>
      </c>
    </row>
    <row r="505" spans="1:25" hidden="1">
      <c r="A505" s="62">
        <v>46071.738622685189</v>
      </c>
      <c r="B505" s="63">
        <v>641526</v>
      </c>
      <c r="C505" s="63" t="s">
        <v>2275</v>
      </c>
      <c r="D505" s="63"/>
      <c r="E505" s="62">
        <v>46072.772974537038</v>
      </c>
      <c r="F505" s="63" t="s">
        <v>332</v>
      </c>
      <c r="G505" s="63">
        <v>1718510201</v>
      </c>
      <c r="H505" s="63">
        <v>26563652026941</v>
      </c>
      <c r="I505" s="63" t="s">
        <v>2290</v>
      </c>
      <c r="J505" s="63" t="s">
        <v>159</v>
      </c>
      <c r="K505" s="63" t="s">
        <v>284</v>
      </c>
      <c r="L505" s="63" t="s">
        <v>2291</v>
      </c>
      <c r="M505" s="63" t="s">
        <v>2289</v>
      </c>
      <c r="N505" s="63" t="s">
        <v>84</v>
      </c>
      <c r="O505" s="63" t="s">
        <v>72</v>
      </c>
      <c r="P505" s="63" t="s">
        <v>73</v>
      </c>
      <c r="Q505" s="63">
        <v>1</v>
      </c>
      <c r="R505" s="63">
        <v>0</v>
      </c>
      <c r="S505" s="63" t="s">
        <v>70</v>
      </c>
      <c r="T505" s="63">
        <v>22.245999999999999</v>
      </c>
      <c r="U505" s="62">
        <v>46072.291666666664</v>
      </c>
      <c r="V505" s="63" t="s">
        <v>86</v>
      </c>
      <c r="W505" s="63">
        <v>371.64</v>
      </c>
      <c r="X505" s="63">
        <v>3800</v>
      </c>
      <c r="Y505" s="63" t="s">
        <v>2304</v>
      </c>
    </row>
    <row r="506" spans="1:25" hidden="1">
      <c r="A506" s="62">
        <v>46071.738622685189</v>
      </c>
      <c r="B506" s="63">
        <v>641526</v>
      </c>
      <c r="C506" s="63" t="s">
        <v>2275</v>
      </c>
      <c r="D506" s="63"/>
      <c r="E506" s="62">
        <v>46072.772974537038</v>
      </c>
      <c r="F506" s="63" t="s">
        <v>332</v>
      </c>
      <c r="G506" s="63">
        <v>1718510201</v>
      </c>
      <c r="H506" s="63">
        <v>26563652026941</v>
      </c>
      <c r="I506" s="63" t="s">
        <v>2290</v>
      </c>
      <c r="J506" s="63" t="s">
        <v>159</v>
      </c>
      <c r="K506" s="63" t="s">
        <v>284</v>
      </c>
      <c r="L506" s="63" t="s">
        <v>2291</v>
      </c>
      <c r="M506" s="63" t="s">
        <v>2289</v>
      </c>
      <c r="N506" s="63" t="s">
        <v>84</v>
      </c>
      <c r="O506" s="63" t="s">
        <v>163</v>
      </c>
      <c r="P506" s="63" t="s">
        <v>164</v>
      </c>
      <c r="Q506" s="63">
        <v>1</v>
      </c>
      <c r="R506" s="63">
        <v>0</v>
      </c>
      <c r="S506" s="63" t="s">
        <v>76</v>
      </c>
      <c r="T506" s="63">
        <v>22.245999999999999</v>
      </c>
      <c r="U506" s="62">
        <v>46072.291666666664</v>
      </c>
      <c r="V506" s="63" t="s">
        <v>86</v>
      </c>
      <c r="W506" s="63">
        <v>371.64</v>
      </c>
      <c r="X506" s="63">
        <v>3800</v>
      </c>
      <c r="Y506" s="63" t="s">
        <v>2304</v>
      </c>
    </row>
    <row r="507" spans="1:25" hidden="1">
      <c r="A507" s="62">
        <v>46071.738622685189</v>
      </c>
      <c r="B507" s="63">
        <v>641527</v>
      </c>
      <c r="C507" s="63" t="s">
        <v>2269</v>
      </c>
      <c r="D507" s="63"/>
      <c r="E507" s="62">
        <v>46072.772847222222</v>
      </c>
      <c r="F507" s="63" t="s">
        <v>382</v>
      </c>
      <c r="G507" s="63">
        <v>1716250201</v>
      </c>
      <c r="H507" s="63">
        <v>11317530000346</v>
      </c>
      <c r="I507" s="63" t="s">
        <v>2644</v>
      </c>
      <c r="J507" s="63" t="s">
        <v>2468</v>
      </c>
      <c r="K507" s="63" t="s">
        <v>2645</v>
      </c>
      <c r="L507" s="63" t="s">
        <v>2646</v>
      </c>
      <c r="M507" s="63" t="s">
        <v>2647</v>
      </c>
      <c r="N507" s="63" t="s">
        <v>2270</v>
      </c>
      <c r="O507" s="63" t="s">
        <v>398</v>
      </c>
      <c r="P507" s="63" t="s">
        <v>399</v>
      </c>
      <c r="Q507" s="63">
        <v>4</v>
      </c>
      <c r="R507" s="63">
        <v>0</v>
      </c>
      <c r="S507" s="63" t="s">
        <v>70</v>
      </c>
      <c r="T507" s="63">
        <v>85.04</v>
      </c>
      <c r="U507" s="62">
        <v>46072.291666666664</v>
      </c>
      <c r="V507" s="63" t="s">
        <v>86</v>
      </c>
      <c r="W507" s="63">
        <v>539.28</v>
      </c>
      <c r="X507" s="63">
        <v>3000</v>
      </c>
      <c r="Y507" s="63" t="s">
        <v>2648</v>
      </c>
    </row>
    <row r="508" spans="1:25" hidden="1">
      <c r="A508" s="62">
        <v>46071.738622685189</v>
      </c>
      <c r="B508" s="63">
        <v>641527</v>
      </c>
      <c r="C508" s="63" t="s">
        <v>2269</v>
      </c>
      <c r="D508" s="63"/>
      <c r="E508" s="62">
        <v>46072.772847222222</v>
      </c>
      <c r="F508" s="63" t="s">
        <v>382</v>
      </c>
      <c r="G508" s="63">
        <v>1716250201</v>
      </c>
      <c r="H508" s="63">
        <v>11317530000346</v>
      </c>
      <c r="I508" s="63" t="s">
        <v>2644</v>
      </c>
      <c r="J508" s="63" t="s">
        <v>2468</v>
      </c>
      <c r="K508" s="63" t="s">
        <v>2645</v>
      </c>
      <c r="L508" s="63" t="s">
        <v>2646</v>
      </c>
      <c r="M508" s="63" t="s">
        <v>2647</v>
      </c>
      <c r="N508" s="63" t="s">
        <v>2270</v>
      </c>
      <c r="O508" s="63" t="s">
        <v>280</v>
      </c>
      <c r="P508" s="63" t="s">
        <v>281</v>
      </c>
      <c r="Q508" s="63">
        <v>4</v>
      </c>
      <c r="R508" s="63">
        <v>0</v>
      </c>
      <c r="S508" s="63" t="s">
        <v>70</v>
      </c>
      <c r="T508" s="63">
        <v>85.04</v>
      </c>
      <c r="U508" s="62">
        <v>46072.291666666664</v>
      </c>
      <c r="V508" s="63" t="s">
        <v>86</v>
      </c>
      <c r="W508" s="63">
        <v>539.28</v>
      </c>
      <c r="X508" s="63">
        <v>3000</v>
      </c>
      <c r="Y508" s="63" t="s">
        <v>2648</v>
      </c>
    </row>
    <row r="509" spans="1:25" hidden="1">
      <c r="A509" s="62">
        <v>46071.738622685189</v>
      </c>
      <c r="B509" s="63">
        <v>641527</v>
      </c>
      <c r="C509" s="63" t="s">
        <v>2269</v>
      </c>
      <c r="D509" s="63"/>
      <c r="E509" s="62">
        <v>46072.772858796299</v>
      </c>
      <c r="F509" s="63" t="s">
        <v>382</v>
      </c>
      <c r="G509" s="63">
        <v>1722210201</v>
      </c>
      <c r="H509" s="63">
        <v>62353476002107</v>
      </c>
      <c r="I509" s="63" t="s">
        <v>2649</v>
      </c>
      <c r="J509" s="63" t="s">
        <v>2472</v>
      </c>
      <c r="K509" s="63" t="s">
        <v>2645</v>
      </c>
      <c r="L509" s="63" t="s">
        <v>2650</v>
      </c>
      <c r="M509" s="63" t="s">
        <v>2651</v>
      </c>
      <c r="N509" s="63" t="s">
        <v>2274</v>
      </c>
      <c r="O509" s="63" t="s">
        <v>161</v>
      </c>
      <c r="P509" s="63" t="s">
        <v>162</v>
      </c>
      <c r="Q509" s="63">
        <v>3</v>
      </c>
      <c r="R509" s="63">
        <v>0</v>
      </c>
      <c r="S509" s="63" t="s">
        <v>76</v>
      </c>
      <c r="T509" s="63">
        <v>20.91</v>
      </c>
      <c r="U509" s="62">
        <v>46072.291666666664</v>
      </c>
      <c r="V509" s="63" t="s">
        <v>86</v>
      </c>
      <c r="W509" s="63">
        <v>799.2</v>
      </c>
      <c r="X509" s="63">
        <v>3000</v>
      </c>
      <c r="Y509" s="63" t="s">
        <v>2648</v>
      </c>
    </row>
    <row r="510" spans="1:25" hidden="1">
      <c r="A510" s="62">
        <v>46071.738622685189</v>
      </c>
      <c r="B510" s="63">
        <v>641527</v>
      </c>
      <c r="C510" s="63" t="s">
        <v>2269</v>
      </c>
      <c r="D510" s="63"/>
      <c r="E510" s="62">
        <v>46072.772858796299</v>
      </c>
      <c r="F510" s="63" t="s">
        <v>382</v>
      </c>
      <c r="G510" s="63">
        <v>1722250201</v>
      </c>
      <c r="H510" s="63">
        <v>62353476002107</v>
      </c>
      <c r="I510" s="63" t="s">
        <v>2649</v>
      </c>
      <c r="J510" s="63" t="s">
        <v>2472</v>
      </c>
      <c r="K510" s="63" t="s">
        <v>2645</v>
      </c>
      <c r="L510" s="63" t="s">
        <v>2650</v>
      </c>
      <c r="M510" s="63" t="s">
        <v>2651</v>
      </c>
      <c r="N510" s="63" t="s">
        <v>2274</v>
      </c>
      <c r="O510" s="63" t="s">
        <v>72</v>
      </c>
      <c r="P510" s="63" t="s">
        <v>73</v>
      </c>
      <c r="Q510" s="63">
        <v>4</v>
      </c>
      <c r="R510" s="63">
        <v>0</v>
      </c>
      <c r="S510" s="63" t="s">
        <v>70</v>
      </c>
      <c r="T510" s="63">
        <v>88.84</v>
      </c>
      <c r="U510" s="62">
        <v>46072.291666666664</v>
      </c>
      <c r="V510" s="63" t="s">
        <v>86</v>
      </c>
      <c r="W510" s="63">
        <v>1911.92</v>
      </c>
      <c r="X510" s="63">
        <v>3000</v>
      </c>
      <c r="Y510" s="63" t="s">
        <v>2648</v>
      </c>
    </row>
    <row r="511" spans="1:25" hidden="1">
      <c r="A511" s="62">
        <v>46071.738622685189</v>
      </c>
      <c r="B511" s="63">
        <v>641527</v>
      </c>
      <c r="C511" s="63" t="s">
        <v>2269</v>
      </c>
      <c r="D511" s="63"/>
      <c r="E511" s="62">
        <v>46072.772858796299</v>
      </c>
      <c r="F511" s="63" t="s">
        <v>382</v>
      </c>
      <c r="G511" s="63">
        <v>1722250201</v>
      </c>
      <c r="H511" s="63">
        <v>62353476002107</v>
      </c>
      <c r="I511" s="63" t="s">
        <v>2649</v>
      </c>
      <c r="J511" s="63" t="s">
        <v>2472</v>
      </c>
      <c r="K511" s="63" t="s">
        <v>2645</v>
      </c>
      <c r="L511" s="63" t="s">
        <v>2650</v>
      </c>
      <c r="M511" s="63" t="s">
        <v>2651</v>
      </c>
      <c r="N511" s="63" t="s">
        <v>2274</v>
      </c>
      <c r="O511" s="63" t="s">
        <v>74</v>
      </c>
      <c r="P511" s="63" t="s">
        <v>75</v>
      </c>
      <c r="Q511" s="63">
        <v>4</v>
      </c>
      <c r="R511" s="63">
        <v>0</v>
      </c>
      <c r="S511" s="63" t="s">
        <v>76</v>
      </c>
      <c r="T511" s="63">
        <v>88.84</v>
      </c>
      <c r="U511" s="62">
        <v>46072.291666666664</v>
      </c>
      <c r="V511" s="63" t="s">
        <v>86</v>
      </c>
      <c r="W511" s="63">
        <v>1911.92</v>
      </c>
      <c r="X511" s="63">
        <v>3000</v>
      </c>
      <c r="Y511" s="63" t="s">
        <v>2648</v>
      </c>
    </row>
    <row r="512" spans="1:25" hidden="1">
      <c r="A512" s="62">
        <v>46071.738622685189</v>
      </c>
      <c r="B512" s="63">
        <v>641527</v>
      </c>
      <c r="C512" s="63" t="s">
        <v>2269</v>
      </c>
      <c r="D512" s="63"/>
      <c r="E512" s="62">
        <v>46072.772858796299</v>
      </c>
      <c r="F512" s="63" t="s">
        <v>382</v>
      </c>
      <c r="G512" s="63">
        <v>1722250201</v>
      </c>
      <c r="H512" s="63">
        <v>62353476002107</v>
      </c>
      <c r="I512" s="63" t="s">
        <v>2649</v>
      </c>
      <c r="J512" s="63" t="s">
        <v>2472</v>
      </c>
      <c r="K512" s="63" t="s">
        <v>2645</v>
      </c>
      <c r="L512" s="63" t="s">
        <v>2650</v>
      </c>
      <c r="M512" s="63" t="s">
        <v>2651</v>
      </c>
      <c r="N512" s="63" t="s">
        <v>2274</v>
      </c>
      <c r="O512" s="63" t="s">
        <v>163</v>
      </c>
      <c r="P512" s="63" t="s">
        <v>164</v>
      </c>
      <c r="Q512" s="63">
        <v>4</v>
      </c>
      <c r="R512" s="63">
        <v>0</v>
      </c>
      <c r="S512" s="63" t="s">
        <v>76</v>
      </c>
      <c r="T512" s="63">
        <v>88.84</v>
      </c>
      <c r="U512" s="62">
        <v>46072.291666666664</v>
      </c>
      <c r="V512" s="63" t="s">
        <v>86</v>
      </c>
      <c r="W512" s="63">
        <v>1911.92</v>
      </c>
      <c r="X512" s="63">
        <v>3000</v>
      </c>
      <c r="Y512" s="63" t="s">
        <v>2648</v>
      </c>
    </row>
    <row r="513" spans="1:25" hidden="1">
      <c r="A513" s="62">
        <v>46071.738622685189</v>
      </c>
      <c r="B513" s="63">
        <v>641527</v>
      </c>
      <c r="C513" s="63" t="s">
        <v>2269</v>
      </c>
      <c r="D513" s="63"/>
      <c r="E513" s="62">
        <v>46072.772870370369</v>
      </c>
      <c r="F513" s="63" t="s">
        <v>382</v>
      </c>
      <c r="G513" s="63">
        <v>1722330201</v>
      </c>
      <c r="H513" s="63">
        <v>62353476002107</v>
      </c>
      <c r="I513" s="63" t="s">
        <v>2649</v>
      </c>
      <c r="J513" s="63" t="s">
        <v>2472</v>
      </c>
      <c r="K513" s="63" t="s">
        <v>2645</v>
      </c>
      <c r="L513" s="63" t="s">
        <v>2650</v>
      </c>
      <c r="M513" s="63" t="s">
        <v>2651</v>
      </c>
      <c r="N513" s="63" t="s">
        <v>2274</v>
      </c>
      <c r="O513" s="63" t="s">
        <v>68</v>
      </c>
      <c r="P513" s="63" t="s">
        <v>69</v>
      </c>
      <c r="Q513" s="63">
        <v>30</v>
      </c>
      <c r="R513" s="63">
        <v>0</v>
      </c>
      <c r="S513" s="63" t="s">
        <v>70</v>
      </c>
      <c r="T513" s="63">
        <v>150.54</v>
      </c>
      <c r="U513" s="62">
        <v>46072.291666666664</v>
      </c>
      <c r="V513" s="63" t="s">
        <v>86</v>
      </c>
      <c r="W513" s="63">
        <v>1025.7</v>
      </c>
      <c r="X513" s="63">
        <v>3000</v>
      </c>
      <c r="Y513" s="63" t="s">
        <v>2648</v>
      </c>
    </row>
    <row r="514" spans="1:25" hidden="1">
      <c r="A514" s="62">
        <v>46071.738622685189</v>
      </c>
      <c r="B514" s="63">
        <v>641527</v>
      </c>
      <c r="C514" s="63" t="s">
        <v>2269</v>
      </c>
      <c r="D514" s="63"/>
      <c r="E514" s="62">
        <v>46072.772893518515</v>
      </c>
      <c r="F514" s="63" t="s">
        <v>382</v>
      </c>
      <c r="G514" s="63">
        <v>1722780201</v>
      </c>
      <c r="H514" s="63">
        <v>71676316002009</v>
      </c>
      <c r="I514" s="63" t="s">
        <v>2271</v>
      </c>
      <c r="J514" s="63" t="s">
        <v>2228</v>
      </c>
      <c r="K514" s="63" t="s">
        <v>2645</v>
      </c>
      <c r="L514" s="63" t="s">
        <v>2272</v>
      </c>
      <c r="M514" s="63" t="s">
        <v>2273</v>
      </c>
      <c r="N514" s="63" t="s">
        <v>2274</v>
      </c>
      <c r="O514" s="63" t="s">
        <v>68</v>
      </c>
      <c r="P514" s="63" t="s">
        <v>69</v>
      </c>
      <c r="Q514" s="63">
        <v>110</v>
      </c>
      <c r="R514" s="63">
        <v>0</v>
      </c>
      <c r="S514" s="63" t="s">
        <v>70</v>
      </c>
      <c r="T514" s="63">
        <v>613.23</v>
      </c>
      <c r="U514" s="62">
        <v>46072.291666666664</v>
      </c>
      <c r="V514" s="63" t="s">
        <v>86</v>
      </c>
      <c r="W514" s="63">
        <v>5058.13</v>
      </c>
      <c r="X514" s="63">
        <v>3000</v>
      </c>
      <c r="Y514" s="63" t="s">
        <v>2648</v>
      </c>
    </row>
    <row r="515" spans="1:25" hidden="1">
      <c r="A515" s="62">
        <v>46071.738622685189</v>
      </c>
      <c r="B515" s="63">
        <v>641527</v>
      </c>
      <c r="C515" s="63" t="s">
        <v>2269</v>
      </c>
      <c r="D515" s="63"/>
      <c r="E515" s="62">
        <v>46072.772893518515</v>
      </c>
      <c r="F515" s="63" t="s">
        <v>382</v>
      </c>
      <c r="G515" s="63">
        <v>1722780201</v>
      </c>
      <c r="H515" s="63">
        <v>71676316002009</v>
      </c>
      <c r="I515" s="63" t="s">
        <v>2271</v>
      </c>
      <c r="J515" s="63" t="s">
        <v>2228</v>
      </c>
      <c r="K515" s="63" t="s">
        <v>2645</v>
      </c>
      <c r="L515" s="63" t="s">
        <v>2272</v>
      </c>
      <c r="M515" s="63" t="s">
        <v>2273</v>
      </c>
      <c r="N515" s="63" t="s">
        <v>2274</v>
      </c>
      <c r="O515" s="63" t="s">
        <v>91</v>
      </c>
      <c r="P515" s="63" t="s">
        <v>92</v>
      </c>
      <c r="Q515" s="63">
        <v>2</v>
      </c>
      <c r="R515" s="63">
        <v>0</v>
      </c>
      <c r="S515" s="63" t="s">
        <v>70</v>
      </c>
      <c r="T515" s="63">
        <v>613.23</v>
      </c>
      <c r="U515" s="62">
        <v>46072.291666666664</v>
      </c>
      <c r="V515" s="63" t="s">
        <v>86</v>
      </c>
      <c r="W515" s="63">
        <v>5058.13</v>
      </c>
      <c r="X515" s="63">
        <v>3000</v>
      </c>
      <c r="Y515" s="63" t="s">
        <v>2648</v>
      </c>
    </row>
    <row r="516" spans="1:25" hidden="1">
      <c r="A516" s="62">
        <v>46071.738622685189</v>
      </c>
      <c r="B516" s="63">
        <v>641527</v>
      </c>
      <c r="C516" s="63" t="s">
        <v>2269</v>
      </c>
      <c r="D516" s="63"/>
      <c r="E516" s="62">
        <v>46072.772893518515</v>
      </c>
      <c r="F516" s="63" t="s">
        <v>382</v>
      </c>
      <c r="G516" s="63">
        <v>1722780201</v>
      </c>
      <c r="H516" s="63">
        <v>71676316002009</v>
      </c>
      <c r="I516" s="63" t="s">
        <v>2271</v>
      </c>
      <c r="J516" s="63" t="s">
        <v>2228</v>
      </c>
      <c r="K516" s="63" t="s">
        <v>2645</v>
      </c>
      <c r="L516" s="63" t="s">
        <v>2272</v>
      </c>
      <c r="M516" s="63" t="s">
        <v>2273</v>
      </c>
      <c r="N516" s="63" t="s">
        <v>2274</v>
      </c>
      <c r="O516" s="63" t="s">
        <v>93</v>
      </c>
      <c r="P516" s="63" t="s">
        <v>94</v>
      </c>
      <c r="Q516" s="63">
        <v>3</v>
      </c>
      <c r="R516" s="63">
        <v>0</v>
      </c>
      <c r="S516" s="63" t="s">
        <v>70</v>
      </c>
      <c r="T516" s="63">
        <v>613.23</v>
      </c>
      <c r="U516" s="62">
        <v>46072.291666666664</v>
      </c>
      <c r="V516" s="63" t="s">
        <v>86</v>
      </c>
      <c r="W516" s="63">
        <v>5058.13</v>
      </c>
      <c r="X516" s="63">
        <v>3000</v>
      </c>
      <c r="Y516" s="63" t="s">
        <v>2648</v>
      </c>
    </row>
    <row r="517" spans="1:25" hidden="1">
      <c r="A517" s="62">
        <v>46071.738622685189</v>
      </c>
      <c r="B517" s="63">
        <v>641527</v>
      </c>
      <c r="C517" s="63" t="s">
        <v>2269</v>
      </c>
      <c r="D517" s="63"/>
      <c r="E517" s="62">
        <v>46072.772893518515</v>
      </c>
      <c r="F517" s="63" t="s">
        <v>382</v>
      </c>
      <c r="G517" s="63">
        <v>1722780201</v>
      </c>
      <c r="H517" s="63">
        <v>71676316002009</v>
      </c>
      <c r="I517" s="63" t="s">
        <v>2271</v>
      </c>
      <c r="J517" s="63" t="s">
        <v>2228</v>
      </c>
      <c r="K517" s="63" t="s">
        <v>2645</v>
      </c>
      <c r="L517" s="63" t="s">
        <v>2272</v>
      </c>
      <c r="M517" s="63" t="s">
        <v>2273</v>
      </c>
      <c r="N517" s="63" t="s">
        <v>2274</v>
      </c>
      <c r="O517" s="63" t="s">
        <v>105</v>
      </c>
      <c r="P517" s="63" t="s">
        <v>106</v>
      </c>
      <c r="Q517" s="63">
        <v>2</v>
      </c>
      <c r="R517" s="63">
        <v>0</v>
      </c>
      <c r="S517" s="63" t="s">
        <v>76</v>
      </c>
      <c r="T517" s="63">
        <v>613.23</v>
      </c>
      <c r="U517" s="62">
        <v>46072.291666666664</v>
      </c>
      <c r="V517" s="63" t="s">
        <v>86</v>
      </c>
      <c r="W517" s="63">
        <v>5058.13</v>
      </c>
      <c r="X517" s="63">
        <v>3000</v>
      </c>
      <c r="Y517" s="63" t="s">
        <v>2648</v>
      </c>
    </row>
    <row r="518" spans="1:25" hidden="1">
      <c r="A518" s="62">
        <v>46071.738622685189</v>
      </c>
      <c r="B518" s="63">
        <v>641527</v>
      </c>
      <c r="C518" s="63" t="s">
        <v>2269</v>
      </c>
      <c r="D518" s="63"/>
      <c r="E518" s="62">
        <v>46072.772893518515</v>
      </c>
      <c r="F518" s="63" t="s">
        <v>382</v>
      </c>
      <c r="G518" s="63">
        <v>1722780201</v>
      </c>
      <c r="H518" s="63">
        <v>71676316002009</v>
      </c>
      <c r="I518" s="63" t="s">
        <v>2271</v>
      </c>
      <c r="J518" s="63" t="s">
        <v>2228</v>
      </c>
      <c r="K518" s="63" t="s">
        <v>2645</v>
      </c>
      <c r="L518" s="63" t="s">
        <v>2272</v>
      </c>
      <c r="M518" s="63" t="s">
        <v>2273</v>
      </c>
      <c r="N518" s="63" t="s">
        <v>2274</v>
      </c>
      <c r="O518" s="63" t="s">
        <v>383</v>
      </c>
      <c r="P518" s="63" t="s">
        <v>384</v>
      </c>
      <c r="Q518" s="63">
        <v>10</v>
      </c>
      <c r="R518" s="63">
        <v>0</v>
      </c>
      <c r="S518" s="63" t="s">
        <v>70</v>
      </c>
      <c r="T518" s="63">
        <v>613.23</v>
      </c>
      <c r="U518" s="62">
        <v>46072.291666666664</v>
      </c>
      <c r="V518" s="63" t="s">
        <v>86</v>
      </c>
      <c r="W518" s="63">
        <v>5058.13</v>
      </c>
      <c r="X518" s="63">
        <v>3000</v>
      </c>
      <c r="Y518" s="63" t="s">
        <v>2648</v>
      </c>
    </row>
    <row r="519" spans="1:25" hidden="1">
      <c r="A519" s="62">
        <v>46071.738622685189</v>
      </c>
      <c r="B519" s="63">
        <v>641527</v>
      </c>
      <c r="C519" s="63" t="s">
        <v>2269</v>
      </c>
      <c r="D519" s="63"/>
      <c r="E519" s="62">
        <v>46072.772905092592</v>
      </c>
      <c r="F519" s="63" t="s">
        <v>382</v>
      </c>
      <c r="G519" s="63">
        <v>1722910201</v>
      </c>
      <c r="H519" s="63">
        <v>63960000796</v>
      </c>
      <c r="I519" s="63" t="s">
        <v>2652</v>
      </c>
      <c r="J519" s="63" t="s">
        <v>155</v>
      </c>
      <c r="K519" s="63" t="s">
        <v>2645</v>
      </c>
      <c r="L519" s="63" t="s">
        <v>2310</v>
      </c>
      <c r="M519" s="63" t="s">
        <v>96</v>
      </c>
      <c r="N519" s="63" t="s">
        <v>301</v>
      </c>
      <c r="O519" s="63" t="s">
        <v>68</v>
      </c>
      <c r="P519" s="63" t="s">
        <v>69</v>
      </c>
      <c r="Q519" s="63">
        <v>100</v>
      </c>
      <c r="R519" s="63">
        <v>0</v>
      </c>
      <c r="S519" s="63" t="s">
        <v>70</v>
      </c>
      <c r="T519" s="63">
        <v>501.8</v>
      </c>
      <c r="U519" s="62">
        <v>46072.291666666664</v>
      </c>
      <c r="V519" s="63" t="s">
        <v>86</v>
      </c>
      <c r="W519" s="63">
        <v>3574</v>
      </c>
      <c r="X519" s="63">
        <v>3000</v>
      </c>
      <c r="Y519" s="63" t="s">
        <v>2648</v>
      </c>
    </row>
    <row r="520" spans="1:25" hidden="1">
      <c r="A520" s="62">
        <v>46071.738622685189</v>
      </c>
      <c r="B520" s="63">
        <v>641527</v>
      </c>
      <c r="C520" s="63" t="s">
        <v>2269</v>
      </c>
      <c r="D520" s="63"/>
      <c r="E520" s="62">
        <v>46072.772939814815</v>
      </c>
      <c r="F520" s="63" t="s">
        <v>382</v>
      </c>
      <c r="G520" s="63">
        <v>1725980201</v>
      </c>
      <c r="H520" s="63">
        <v>26563652018760</v>
      </c>
      <c r="I520" s="63" t="s">
        <v>2314</v>
      </c>
      <c r="J520" s="63" t="s">
        <v>159</v>
      </c>
      <c r="K520" s="63" t="s">
        <v>2645</v>
      </c>
      <c r="L520" s="63"/>
      <c r="M520" s="63" t="s">
        <v>2315</v>
      </c>
      <c r="N520" s="63" t="s">
        <v>301</v>
      </c>
      <c r="O520" s="63" t="s">
        <v>68</v>
      </c>
      <c r="P520" s="63" t="s">
        <v>69</v>
      </c>
      <c r="Q520" s="63">
        <v>4</v>
      </c>
      <c r="R520" s="63">
        <v>0</v>
      </c>
      <c r="S520" s="63" t="s">
        <v>70</v>
      </c>
      <c r="T520" s="63">
        <v>31.472000000000001</v>
      </c>
      <c r="U520" s="62">
        <v>46072.291666666664</v>
      </c>
      <c r="V520" s="63" t="s">
        <v>86</v>
      </c>
      <c r="W520" s="63">
        <v>317.77</v>
      </c>
      <c r="X520" s="63">
        <v>3000</v>
      </c>
      <c r="Y520" s="63" t="s">
        <v>2648</v>
      </c>
    </row>
    <row r="521" spans="1:25" hidden="1">
      <c r="A521" s="62">
        <v>46071.738622685189</v>
      </c>
      <c r="B521" s="63">
        <v>641527</v>
      </c>
      <c r="C521" s="63" t="s">
        <v>2269</v>
      </c>
      <c r="D521" s="63"/>
      <c r="E521" s="62">
        <v>46072.772939814815</v>
      </c>
      <c r="F521" s="63" t="s">
        <v>382</v>
      </c>
      <c r="G521" s="63">
        <v>1725980201</v>
      </c>
      <c r="H521" s="63">
        <v>26563652018760</v>
      </c>
      <c r="I521" s="63" t="s">
        <v>2314</v>
      </c>
      <c r="J521" s="63" t="s">
        <v>159</v>
      </c>
      <c r="K521" s="63" t="s">
        <v>2645</v>
      </c>
      <c r="L521" s="63"/>
      <c r="M521" s="63" t="s">
        <v>2315</v>
      </c>
      <c r="N521" s="63" t="s">
        <v>301</v>
      </c>
      <c r="O521" s="63" t="s">
        <v>72</v>
      </c>
      <c r="P521" s="63" t="s">
        <v>73</v>
      </c>
      <c r="Q521" s="63">
        <v>1</v>
      </c>
      <c r="R521" s="63">
        <v>0</v>
      </c>
      <c r="S521" s="63" t="s">
        <v>70</v>
      </c>
      <c r="T521" s="63">
        <v>31.472000000000001</v>
      </c>
      <c r="U521" s="62">
        <v>46072.291666666664</v>
      </c>
      <c r="V521" s="63" t="s">
        <v>86</v>
      </c>
      <c r="W521" s="63">
        <v>317.77</v>
      </c>
      <c r="X521" s="63">
        <v>3000</v>
      </c>
      <c r="Y521" s="63" t="s">
        <v>2648</v>
      </c>
    </row>
    <row r="522" spans="1:25" hidden="1">
      <c r="A522" s="62">
        <v>46071.738622685189</v>
      </c>
      <c r="B522" s="63">
        <v>641527</v>
      </c>
      <c r="C522" s="63" t="s">
        <v>2269</v>
      </c>
      <c r="D522" s="63"/>
      <c r="E522" s="62">
        <v>46072.772939814815</v>
      </c>
      <c r="F522" s="63" t="s">
        <v>382</v>
      </c>
      <c r="G522" s="63">
        <v>1725980201</v>
      </c>
      <c r="H522" s="63">
        <v>26563652018760</v>
      </c>
      <c r="I522" s="63" t="s">
        <v>2314</v>
      </c>
      <c r="J522" s="63" t="s">
        <v>159</v>
      </c>
      <c r="K522" s="63" t="s">
        <v>2645</v>
      </c>
      <c r="L522" s="63"/>
      <c r="M522" s="63" t="s">
        <v>2315</v>
      </c>
      <c r="N522" s="63" t="s">
        <v>301</v>
      </c>
      <c r="O522" s="63" t="s">
        <v>189</v>
      </c>
      <c r="P522" s="63" t="s">
        <v>190</v>
      </c>
      <c r="Q522" s="63">
        <v>1</v>
      </c>
      <c r="R522" s="63">
        <v>0</v>
      </c>
      <c r="S522" s="63" t="s">
        <v>76</v>
      </c>
      <c r="T522" s="63">
        <v>31.472000000000001</v>
      </c>
      <c r="U522" s="62">
        <v>46072.291666666664</v>
      </c>
      <c r="V522" s="63" t="s">
        <v>86</v>
      </c>
      <c r="W522" s="63">
        <v>317.77</v>
      </c>
      <c r="X522" s="63">
        <v>3000</v>
      </c>
      <c r="Y522" s="63" t="s">
        <v>2648</v>
      </c>
    </row>
    <row r="523" spans="1:25" hidden="1">
      <c r="A523" s="62">
        <v>46071.738622685189</v>
      </c>
      <c r="B523" s="63">
        <v>641527</v>
      </c>
      <c r="C523" s="63" t="s">
        <v>2269</v>
      </c>
      <c r="D523" s="63"/>
      <c r="E523" s="62">
        <v>46072.772939814815</v>
      </c>
      <c r="F523" s="63" t="s">
        <v>382</v>
      </c>
      <c r="G523" s="63">
        <v>1725980201</v>
      </c>
      <c r="H523" s="63">
        <v>26563652018760</v>
      </c>
      <c r="I523" s="63" t="s">
        <v>2314</v>
      </c>
      <c r="J523" s="63" t="s">
        <v>159</v>
      </c>
      <c r="K523" s="63" t="s">
        <v>2645</v>
      </c>
      <c r="L523" s="63"/>
      <c r="M523" s="63" t="s">
        <v>2315</v>
      </c>
      <c r="N523" s="63" t="s">
        <v>301</v>
      </c>
      <c r="O523" s="63" t="s">
        <v>79</v>
      </c>
      <c r="P523" s="63" t="s">
        <v>80</v>
      </c>
      <c r="Q523" s="63">
        <v>1</v>
      </c>
      <c r="R523" s="63">
        <v>0</v>
      </c>
      <c r="S523" s="63" t="s">
        <v>76</v>
      </c>
      <c r="T523" s="63">
        <v>31.472000000000001</v>
      </c>
      <c r="U523" s="62">
        <v>46072.291666666664</v>
      </c>
      <c r="V523" s="63" t="s">
        <v>86</v>
      </c>
      <c r="W523" s="63">
        <v>317.77</v>
      </c>
      <c r="X523" s="63">
        <v>3000</v>
      </c>
      <c r="Y523" s="63" t="s">
        <v>2648</v>
      </c>
    </row>
    <row r="524" spans="1:25" hidden="1">
      <c r="A524" s="62">
        <v>46071.738622685189</v>
      </c>
      <c r="B524" s="63">
        <v>641527</v>
      </c>
      <c r="C524" s="63" t="s">
        <v>2269</v>
      </c>
      <c r="D524" s="63"/>
      <c r="E524" s="62">
        <v>46072.772962962961</v>
      </c>
      <c r="F524" s="63" t="s">
        <v>382</v>
      </c>
      <c r="G524" s="63">
        <v>1726330201</v>
      </c>
      <c r="H524" s="63">
        <v>26563652026275</v>
      </c>
      <c r="I524" s="63" t="s">
        <v>2312</v>
      </c>
      <c r="J524" s="63" t="s">
        <v>159</v>
      </c>
      <c r="K524" s="63" t="s">
        <v>2645</v>
      </c>
      <c r="L524" s="63" t="s">
        <v>2313</v>
      </c>
      <c r="M524" s="63" t="s">
        <v>160</v>
      </c>
      <c r="N524" s="63" t="s">
        <v>301</v>
      </c>
      <c r="O524" s="63" t="s">
        <v>68</v>
      </c>
      <c r="P524" s="63" t="s">
        <v>69</v>
      </c>
      <c r="Q524" s="63">
        <v>6</v>
      </c>
      <c r="R524" s="63">
        <v>0</v>
      </c>
      <c r="S524" s="63" t="s">
        <v>70</v>
      </c>
      <c r="T524" s="63">
        <v>40.738</v>
      </c>
      <c r="U524" s="62">
        <v>46072.291666666664</v>
      </c>
      <c r="V524" s="63" t="s">
        <v>86</v>
      </c>
      <c r="W524" s="63">
        <v>466.14</v>
      </c>
      <c r="X524" s="63">
        <v>3000</v>
      </c>
      <c r="Y524" s="63" t="s">
        <v>2648</v>
      </c>
    </row>
    <row r="525" spans="1:25" hidden="1">
      <c r="A525" s="62">
        <v>46071.738622685189</v>
      </c>
      <c r="B525" s="63">
        <v>641527</v>
      </c>
      <c r="C525" s="63" t="s">
        <v>2269</v>
      </c>
      <c r="D525" s="63"/>
      <c r="E525" s="62">
        <v>46072.772962962961</v>
      </c>
      <c r="F525" s="63" t="s">
        <v>382</v>
      </c>
      <c r="G525" s="63">
        <v>1726330201</v>
      </c>
      <c r="H525" s="63">
        <v>26563652026275</v>
      </c>
      <c r="I525" s="63" t="s">
        <v>2312</v>
      </c>
      <c r="J525" s="63" t="s">
        <v>159</v>
      </c>
      <c r="K525" s="63" t="s">
        <v>2645</v>
      </c>
      <c r="L525" s="63" t="s">
        <v>2313</v>
      </c>
      <c r="M525" s="63" t="s">
        <v>160</v>
      </c>
      <c r="N525" s="63" t="s">
        <v>301</v>
      </c>
      <c r="O525" s="63" t="s">
        <v>169</v>
      </c>
      <c r="P525" s="63" t="s">
        <v>170</v>
      </c>
      <c r="Q525" s="63">
        <v>1</v>
      </c>
      <c r="R525" s="63">
        <v>0</v>
      </c>
      <c r="S525" s="63" t="s">
        <v>76</v>
      </c>
      <c r="T525" s="63">
        <v>40.738</v>
      </c>
      <c r="U525" s="62">
        <v>46072.291666666664</v>
      </c>
      <c r="V525" s="63" t="s">
        <v>86</v>
      </c>
      <c r="W525" s="63">
        <v>466.14</v>
      </c>
      <c r="X525" s="63">
        <v>3000</v>
      </c>
      <c r="Y525" s="63" t="s">
        <v>2648</v>
      </c>
    </row>
    <row r="526" spans="1:25" hidden="1">
      <c r="A526" s="62">
        <v>46071.738622685189</v>
      </c>
      <c r="B526" s="63">
        <v>641527</v>
      </c>
      <c r="C526" s="63" t="s">
        <v>2269</v>
      </c>
      <c r="D526" s="63"/>
      <c r="E526" s="62">
        <v>46072.772962962961</v>
      </c>
      <c r="F526" s="63" t="s">
        <v>382</v>
      </c>
      <c r="G526" s="63">
        <v>1726410201</v>
      </c>
      <c r="H526" s="63">
        <v>26563652031350</v>
      </c>
      <c r="I526" s="63" t="s">
        <v>2319</v>
      </c>
      <c r="J526" s="63" t="s">
        <v>159</v>
      </c>
      <c r="K526" s="63" t="s">
        <v>2645</v>
      </c>
      <c r="L526" s="63" t="s">
        <v>2320</v>
      </c>
      <c r="M526" s="63" t="s">
        <v>2321</v>
      </c>
      <c r="N526" s="63" t="s">
        <v>301</v>
      </c>
      <c r="O526" s="63" t="s">
        <v>68</v>
      </c>
      <c r="P526" s="63" t="s">
        <v>69</v>
      </c>
      <c r="Q526" s="63">
        <v>5</v>
      </c>
      <c r="R526" s="63">
        <v>0</v>
      </c>
      <c r="S526" s="63" t="s">
        <v>70</v>
      </c>
      <c r="T526" s="63">
        <v>37.299999999999997</v>
      </c>
      <c r="U526" s="62">
        <v>46072.291666666664</v>
      </c>
      <c r="V526" s="63" t="s">
        <v>86</v>
      </c>
      <c r="W526" s="63">
        <v>474.21</v>
      </c>
      <c r="X526" s="63">
        <v>3000</v>
      </c>
      <c r="Y526" s="63" t="s">
        <v>2648</v>
      </c>
    </row>
    <row r="527" spans="1:25" hidden="1">
      <c r="A527" s="62">
        <v>46071.738622685189</v>
      </c>
      <c r="B527" s="63">
        <v>641527</v>
      </c>
      <c r="C527" s="63" t="s">
        <v>2269</v>
      </c>
      <c r="D527" s="63"/>
      <c r="E527" s="62">
        <v>46072.772962962961</v>
      </c>
      <c r="F527" s="63" t="s">
        <v>382</v>
      </c>
      <c r="G527" s="63">
        <v>1726410201</v>
      </c>
      <c r="H527" s="63">
        <v>26563652031350</v>
      </c>
      <c r="I527" s="63" t="s">
        <v>2319</v>
      </c>
      <c r="J527" s="63" t="s">
        <v>159</v>
      </c>
      <c r="K527" s="63" t="s">
        <v>2645</v>
      </c>
      <c r="L527" s="63" t="s">
        <v>2320</v>
      </c>
      <c r="M527" s="63" t="s">
        <v>2321</v>
      </c>
      <c r="N527" s="63" t="s">
        <v>301</v>
      </c>
      <c r="O527" s="63" t="s">
        <v>72</v>
      </c>
      <c r="P527" s="63" t="s">
        <v>73</v>
      </c>
      <c r="Q527" s="63">
        <v>1</v>
      </c>
      <c r="R527" s="63">
        <v>0</v>
      </c>
      <c r="S527" s="63" t="s">
        <v>70</v>
      </c>
      <c r="T527" s="63">
        <v>37.299999999999997</v>
      </c>
      <c r="U527" s="62">
        <v>46072.291666666664</v>
      </c>
      <c r="V527" s="63" t="s">
        <v>86</v>
      </c>
      <c r="W527" s="63">
        <v>474.21</v>
      </c>
      <c r="X527" s="63">
        <v>3000</v>
      </c>
      <c r="Y527" s="63" t="s">
        <v>2648</v>
      </c>
    </row>
    <row r="528" spans="1:25" hidden="1">
      <c r="A528" s="62">
        <v>46071.738622685189</v>
      </c>
      <c r="B528" s="63">
        <v>641527</v>
      </c>
      <c r="C528" s="63" t="s">
        <v>2269</v>
      </c>
      <c r="D528" s="63"/>
      <c r="E528" s="62">
        <v>46072.772962962961</v>
      </c>
      <c r="F528" s="63" t="s">
        <v>382</v>
      </c>
      <c r="G528" s="63">
        <v>1726410201</v>
      </c>
      <c r="H528" s="63">
        <v>26563652031350</v>
      </c>
      <c r="I528" s="63" t="s">
        <v>2319</v>
      </c>
      <c r="J528" s="63" t="s">
        <v>159</v>
      </c>
      <c r="K528" s="63" t="s">
        <v>2645</v>
      </c>
      <c r="L528" s="63" t="s">
        <v>2320</v>
      </c>
      <c r="M528" s="63" t="s">
        <v>2321</v>
      </c>
      <c r="N528" s="63" t="s">
        <v>301</v>
      </c>
      <c r="O528" s="63" t="s">
        <v>163</v>
      </c>
      <c r="P528" s="63" t="s">
        <v>164</v>
      </c>
      <c r="Q528" s="63">
        <v>1</v>
      </c>
      <c r="R528" s="63">
        <v>0</v>
      </c>
      <c r="S528" s="63" t="s">
        <v>76</v>
      </c>
      <c r="T528" s="63">
        <v>37.299999999999997</v>
      </c>
      <c r="U528" s="62">
        <v>46072.291666666664</v>
      </c>
      <c r="V528" s="63" t="s">
        <v>86</v>
      </c>
      <c r="W528" s="63">
        <v>474.21</v>
      </c>
      <c r="X528" s="63">
        <v>3000</v>
      </c>
      <c r="Y528" s="63" t="s">
        <v>2648</v>
      </c>
    </row>
    <row r="529" spans="1:25" hidden="1">
      <c r="A529" s="62">
        <v>46071.738622685189</v>
      </c>
      <c r="B529" s="63">
        <v>641527</v>
      </c>
      <c r="C529" s="63" t="s">
        <v>2269</v>
      </c>
      <c r="D529" s="63"/>
      <c r="E529" s="62">
        <v>46072.772974537038</v>
      </c>
      <c r="F529" s="63" t="s">
        <v>382</v>
      </c>
      <c r="G529" s="63">
        <v>1726590201</v>
      </c>
      <c r="H529" s="63">
        <v>26563652013610</v>
      </c>
      <c r="I529" s="63" t="s">
        <v>2311</v>
      </c>
      <c r="J529" s="63" t="s">
        <v>159</v>
      </c>
      <c r="K529" s="63" t="s">
        <v>2645</v>
      </c>
      <c r="L529" s="63"/>
      <c r="M529" s="63" t="s">
        <v>160</v>
      </c>
      <c r="N529" s="63" t="s">
        <v>301</v>
      </c>
      <c r="O529" s="63" t="s">
        <v>68</v>
      </c>
      <c r="P529" s="63" t="s">
        <v>69</v>
      </c>
      <c r="Q529" s="63">
        <v>4</v>
      </c>
      <c r="R529" s="63">
        <v>0</v>
      </c>
      <c r="S529" s="63" t="s">
        <v>70</v>
      </c>
      <c r="T529" s="63">
        <v>30.702000000000002</v>
      </c>
      <c r="U529" s="62">
        <v>46072.291666666664</v>
      </c>
      <c r="V529" s="63" t="s">
        <v>86</v>
      </c>
      <c r="W529" s="63">
        <v>397.76</v>
      </c>
      <c r="X529" s="63">
        <v>3000</v>
      </c>
      <c r="Y529" s="63" t="s">
        <v>2648</v>
      </c>
    </row>
    <row r="530" spans="1:25" hidden="1">
      <c r="A530" s="62">
        <v>46071.738622685189</v>
      </c>
      <c r="B530" s="63">
        <v>641527</v>
      </c>
      <c r="C530" s="63" t="s">
        <v>2269</v>
      </c>
      <c r="D530" s="63"/>
      <c r="E530" s="62">
        <v>46072.772974537038</v>
      </c>
      <c r="F530" s="63" t="s">
        <v>382</v>
      </c>
      <c r="G530" s="63">
        <v>1726590201</v>
      </c>
      <c r="H530" s="63">
        <v>26563652013610</v>
      </c>
      <c r="I530" s="63" t="s">
        <v>2311</v>
      </c>
      <c r="J530" s="63" t="s">
        <v>159</v>
      </c>
      <c r="K530" s="63" t="s">
        <v>2645</v>
      </c>
      <c r="L530" s="63"/>
      <c r="M530" s="63" t="s">
        <v>160</v>
      </c>
      <c r="N530" s="63" t="s">
        <v>301</v>
      </c>
      <c r="O530" s="63" t="s">
        <v>169</v>
      </c>
      <c r="P530" s="63" t="s">
        <v>170</v>
      </c>
      <c r="Q530" s="63">
        <v>1</v>
      </c>
      <c r="R530" s="63">
        <v>0</v>
      </c>
      <c r="S530" s="63" t="s">
        <v>76</v>
      </c>
      <c r="T530" s="63">
        <v>30.702000000000002</v>
      </c>
      <c r="U530" s="62">
        <v>46072.291666666664</v>
      </c>
      <c r="V530" s="63" t="s">
        <v>86</v>
      </c>
      <c r="W530" s="63">
        <v>397.76</v>
      </c>
      <c r="X530" s="63">
        <v>3000</v>
      </c>
      <c r="Y530" s="63" t="s">
        <v>2648</v>
      </c>
    </row>
    <row r="531" spans="1:25" hidden="1">
      <c r="A531" s="62">
        <v>46071.738622685189</v>
      </c>
      <c r="B531" s="63">
        <v>641528</v>
      </c>
      <c r="C531" s="63" t="s">
        <v>81</v>
      </c>
      <c r="D531" s="63"/>
      <c r="E531" s="62">
        <v>46071.474652777775</v>
      </c>
      <c r="F531" s="63" t="s">
        <v>283</v>
      </c>
      <c r="G531" s="63">
        <v>1717990201</v>
      </c>
      <c r="H531" s="63">
        <v>26563652065505</v>
      </c>
      <c r="I531" s="63" t="s">
        <v>2325</v>
      </c>
      <c r="J531" s="63" t="s">
        <v>159</v>
      </c>
      <c r="K531" s="63" t="s">
        <v>284</v>
      </c>
      <c r="L531" s="63" t="s">
        <v>2326</v>
      </c>
      <c r="M531" s="63" t="s">
        <v>2322</v>
      </c>
      <c r="N531" s="63" t="s">
        <v>84</v>
      </c>
      <c r="O531" s="63" t="s">
        <v>68</v>
      </c>
      <c r="P531" s="63" t="s">
        <v>69</v>
      </c>
      <c r="Q531" s="63">
        <v>8</v>
      </c>
      <c r="R531" s="63">
        <v>11</v>
      </c>
      <c r="S531" s="63" t="s">
        <v>70</v>
      </c>
      <c r="T531" s="63">
        <v>65.774000000000001</v>
      </c>
      <c r="U531" s="62">
        <v>46072.291666666664</v>
      </c>
      <c r="V531" s="63" t="s">
        <v>86</v>
      </c>
      <c r="W531" s="63">
        <v>758.25</v>
      </c>
      <c r="X531" s="63">
        <v>3800</v>
      </c>
      <c r="Y531" s="63" t="s">
        <v>2276</v>
      </c>
    </row>
    <row r="532" spans="1:25" hidden="1">
      <c r="A532" s="62">
        <v>46071.738622685189</v>
      </c>
      <c r="B532" s="63">
        <v>641528</v>
      </c>
      <c r="C532" s="63" t="s">
        <v>81</v>
      </c>
      <c r="D532" s="63"/>
      <c r="E532" s="62">
        <v>46071.474652777775</v>
      </c>
      <c r="F532" s="63" t="s">
        <v>283</v>
      </c>
      <c r="G532" s="63">
        <v>1717990201</v>
      </c>
      <c r="H532" s="63">
        <v>26563652065505</v>
      </c>
      <c r="I532" s="63" t="s">
        <v>2325</v>
      </c>
      <c r="J532" s="63" t="s">
        <v>159</v>
      </c>
      <c r="K532" s="63" t="s">
        <v>284</v>
      </c>
      <c r="L532" s="63" t="s">
        <v>2326</v>
      </c>
      <c r="M532" s="63" t="s">
        <v>2322</v>
      </c>
      <c r="N532" s="63" t="s">
        <v>84</v>
      </c>
      <c r="O532" s="63" t="s">
        <v>72</v>
      </c>
      <c r="P532" s="63" t="s">
        <v>73</v>
      </c>
      <c r="Q532" s="63">
        <v>1</v>
      </c>
      <c r="R532" s="63">
        <v>11</v>
      </c>
      <c r="S532" s="63" t="s">
        <v>70</v>
      </c>
      <c r="T532" s="63">
        <v>65.774000000000001</v>
      </c>
      <c r="U532" s="62">
        <v>46072.291666666664</v>
      </c>
      <c r="V532" s="63" t="s">
        <v>86</v>
      </c>
      <c r="W532" s="63">
        <v>758.25</v>
      </c>
      <c r="X532" s="63">
        <v>3800</v>
      </c>
      <c r="Y532" s="63" t="s">
        <v>2276</v>
      </c>
    </row>
    <row r="533" spans="1:25" hidden="1">
      <c r="A533" s="62">
        <v>46071.738622685189</v>
      </c>
      <c r="B533" s="63">
        <v>641528</v>
      </c>
      <c r="C533" s="63" t="s">
        <v>81</v>
      </c>
      <c r="D533" s="63"/>
      <c r="E533" s="62">
        <v>46071.474652777775</v>
      </c>
      <c r="F533" s="63" t="s">
        <v>283</v>
      </c>
      <c r="G533" s="63">
        <v>1717990201</v>
      </c>
      <c r="H533" s="63">
        <v>26563652065505</v>
      </c>
      <c r="I533" s="63" t="s">
        <v>2325</v>
      </c>
      <c r="J533" s="63" t="s">
        <v>159</v>
      </c>
      <c r="K533" s="63" t="s">
        <v>284</v>
      </c>
      <c r="L533" s="63" t="s">
        <v>2326</v>
      </c>
      <c r="M533" s="63" t="s">
        <v>2322</v>
      </c>
      <c r="N533" s="63" t="s">
        <v>84</v>
      </c>
      <c r="O533" s="63" t="s">
        <v>74</v>
      </c>
      <c r="P533" s="63" t="s">
        <v>75</v>
      </c>
      <c r="Q533" s="63">
        <v>1</v>
      </c>
      <c r="R533" s="63">
        <v>11</v>
      </c>
      <c r="S533" s="63" t="s">
        <v>76</v>
      </c>
      <c r="T533" s="63">
        <v>65.774000000000001</v>
      </c>
      <c r="U533" s="62">
        <v>46072.291666666664</v>
      </c>
      <c r="V533" s="63" t="s">
        <v>86</v>
      </c>
      <c r="W533" s="63">
        <v>758.25</v>
      </c>
      <c r="X533" s="63">
        <v>3800</v>
      </c>
      <c r="Y533" s="63" t="s">
        <v>2276</v>
      </c>
    </row>
    <row r="534" spans="1:25" hidden="1">
      <c r="A534" s="62">
        <v>46071.738622685189</v>
      </c>
      <c r="B534" s="63">
        <v>641528</v>
      </c>
      <c r="C534" s="63" t="s">
        <v>81</v>
      </c>
      <c r="D534" s="63"/>
      <c r="E534" s="62">
        <v>46071.474652777775</v>
      </c>
      <c r="F534" s="63" t="s">
        <v>283</v>
      </c>
      <c r="G534" s="63">
        <v>1717990201</v>
      </c>
      <c r="H534" s="63">
        <v>26563652065505</v>
      </c>
      <c r="I534" s="63" t="s">
        <v>2325</v>
      </c>
      <c r="J534" s="63" t="s">
        <v>159</v>
      </c>
      <c r="K534" s="63" t="s">
        <v>284</v>
      </c>
      <c r="L534" s="63" t="s">
        <v>2326</v>
      </c>
      <c r="M534" s="63" t="s">
        <v>2322</v>
      </c>
      <c r="N534" s="63" t="s">
        <v>84</v>
      </c>
      <c r="O534" s="63" t="s">
        <v>169</v>
      </c>
      <c r="P534" s="63" t="s">
        <v>170</v>
      </c>
      <c r="Q534" s="63">
        <v>1</v>
      </c>
      <c r="R534" s="63">
        <v>11</v>
      </c>
      <c r="S534" s="63" t="s">
        <v>76</v>
      </c>
      <c r="T534" s="63">
        <v>65.774000000000001</v>
      </c>
      <c r="U534" s="62">
        <v>46072.291666666664</v>
      </c>
      <c r="V534" s="63" t="s">
        <v>86</v>
      </c>
      <c r="W534" s="63">
        <v>758.25</v>
      </c>
      <c r="X534" s="63">
        <v>3800</v>
      </c>
      <c r="Y534" s="63" t="s">
        <v>2276</v>
      </c>
    </row>
    <row r="535" spans="1:25" hidden="1">
      <c r="A535" s="62">
        <v>46071.738622685189</v>
      </c>
      <c r="B535" s="63">
        <v>641528</v>
      </c>
      <c r="C535" s="63" t="s">
        <v>81</v>
      </c>
      <c r="D535" s="63"/>
      <c r="E535" s="62">
        <v>46072.772870370369</v>
      </c>
      <c r="F535" s="63" t="s">
        <v>283</v>
      </c>
      <c r="G535" s="63">
        <v>1724960201</v>
      </c>
      <c r="H535" s="63">
        <v>26563652023764</v>
      </c>
      <c r="I535" s="63" t="s">
        <v>2333</v>
      </c>
      <c r="J535" s="63" t="s">
        <v>159</v>
      </c>
      <c r="K535" s="63" t="s">
        <v>284</v>
      </c>
      <c r="L535" s="63" t="s">
        <v>2334</v>
      </c>
      <c r="M535" s="63" t="s">
        <v>2335</v>
      </c>
      <c r="N535" s="63" t="s">
        <v>84</v>
      </c>
      <c r="O535" s="63" t="s">
        <v>68</v>
      </c>
      <c r="P535" s="63" t="s">
        <v>69</v>
      </c>
      <c r="Q535" s="63">
        <v>2</v>
      </c>
      <c r="R535" s="63">
        <v>0</v>
      </c>
      <c r="S535" s="63" t="s">
        <v>70</v>
      </c>
      <c r="T535" s="63">
        <v>10.036</v>
      </c>
      <c r="U535" s="62">
        <v>46072.291666666664</v>
      </c>
      <c r="V535" s="63" t="s">
        <v>86</v>
      </c>
      <c r="W535" s="63">
        <v>68.38</v>
      </c>
      <c r="X535" s="63">
        <v>3800</v>
      </c>
      <c r="Y535" s="63" t="s">
        <v>2276</v>
      </c>
    </row>
    <row r="536" spans="1:25" hidden="1">
      <c r="A536" s="62">
        <v>46071.738622685189</v>
      </c>
      <c r="B536" s="63">
        <v>641528</v>
      </c>
      <c r="C536" s="63" t="s">
        <v>81</v>
      </c>
      <c r="D536" s="63"/>
      <c r="E536" s="62">
        <v>46072.772893518515</v>
      </c>
      <c r="F536" s="63" t="s">
        <v>283</v>
      </c>
      <c r="G536" s="63">
        <v>1722590201</v>
      </c>
      <c r="H536" s="63">
        <v>71676316000499</v>
      </c>
      <c r="I536" s="63" t="s">
        <v>2338</v>
      </c>
      <c r="J536" s="63" t="s">
        <v>2228</v>
      </c>
      <c r="K536" s="63" t="s">
        <v>284</v>
      </c>
      <c r="L536" s="63" t="s">
        <v>2339</v>
      </c>
      <c r="M536" s="63" t="s">
        <v>286</v>
      </c>
      <c r="N536" s="63" t="s">
        <v>84</v>
      </c>
      <c r="O536" s="63" t="s">
        <v>68</v>
      </c>
      <c r="P536" s="63" t="s">
        <v>69</v>
      </c>
      <c r="Q536" s="63">
        <v>100</v>
      </c>
      <c r="R536" s="63">
        <v>0</v>
      </c>
      <c r="S536" s="63" t="s">
        <v>70</v>
      </c>
      <c r="T536" s="63">
        <v>620.54999999999995</v>
      </c>
      <c r="U536" s="62">
        <v>46072.291666666664</v>
      </c>
      <c r="V536" s="63" t="s">
        <v>86</v>
      </c>
      <c r="W536" s="63">
        <v>5332.6</v>
      </c>
      <c r="X536" s="63">
        <v>3800</v>
      </c>
      <c r="Y536" s="63" t="s">
        <v>2276</v>
      </c>
    </row>
    <row r="537" spans="1:25" hidden="1">
      <c r="A537" s="62">
        <v>46071.738622685189</v>
      </c>
      <c r="B537" s="63">
        <v>641528</v>
      </c>
      <c r="C537" s="63" t="s">
        <v>81</v>
      </c>
      <c r="D537" s="63"/>
      <c r="E537" s="62">
        <v>46072.772893518515</v>
      </c>
      <c r="F537" s="63" t="s">
        <v>283</v>
      </c>
      <c r="G537" s="63">
        <v>1722590201</v>
      </c>
      <c r="H537" s="63">
        <v>71676316000499</v>
      </c>
      <c r="I537" s="63" t="s">
        <v>2338</v>
      </c>
      <c r="J537" s="63" t="s">
        <v>2228</v>
      </c>
      <c r="K537" s="63" t="s">
        <v>284</v>
      </c>
      <c r="L537" s="63" t="s">
        <v>2339</v>
      </c>
      <c r="M537" s="63" t="s">
        <v>286</v>
      </c>
      <c r="N537" s="63" t="s">
        <v>84</v>
      </c>
      <c r="O537" s="63" t="s">
        <v>93</v>
      </c>
      <c r="P537" s="63" t="s">
        <v>94</v>
      </c>
      <c r="Q537" s="63">
        <v>5</v>
      </c>
      <c r="R537" s="63">
        <v>0</v>
      </c>
      <c r="S537" s="63" t="s">
        <v>70</v>
      </c>
      <c r="T537" s="63">
        <v>620.54999999999995</v>
      </c>
      <c r="U537" s="62">
        <v>46072.291666666664</v>
      </c>
      <c r="V537" s="63" t="s">
        <v>86</v>
      </c>
      <c r="W537" s="63">
        <v>5332.6</v>
      </c>
      <c r="X537" s="63">
        <v>3800</v>
      </c>
      <c r="Y537" s="63" t="s">
        <v>2276</v>
      </c>
    </row>
    <row r="538" spans="1:25" hidden="1">
      <c r="A538" s="62">
        <v>46071.738622685189</v>
      </c>
      <c r="B538" s="63">
        <v>641528</v>
      </c>
      <c r="C538" s="63" t="s">
        <v>81</v>
      </c>
      <c r="D538" s="63"/>
      <c r="E538" s="62">
        <v>46072.772893518515</v>
      </c>
      <c r="F538" s="63" t="s">
        <v>283</v>
      </c>
      <c r="G538" s="63">
        <v>1722590201</v>
      </c>
      <c r="H538" s="63">
        <v>71676316000499</v>
      </c>
      <c r="I538" s="63" t="s">
        <v>2338</v>
      </c>
      <c r="J538" s="63" t="s">
        <v>2228</v>
      </c>
      <c r="K538" s="63" t="s">
        <v>284</v>
      </c>
      <c r="L538" s="63" t="s">
        <v>2339</v>
      </c>
      <c r="M538" s="63" t="s">
        <v>286</v>
      </c>
      <c r="N538" s="63" t="s">
        <v>84</v>
      </c>
      <c r="O538" s="63" t="s">
        <v>72</v>
      </c>
      <c r="P538" s="63" t="s">
        <v>73</v>
      </c>
      <c r="Q538" s="63">
        <v>10</v>
      </c>
      <c r="R538" s="63">
        <v>0</v>
      </c>
      <c r="S538" s="63" t="s">
        <v>70</v>
      </c>
      <c r="T538" s="63">
        <v>620.54999999999995</v>
      </c>
      <c r="U538" s="62">
        <v>46072.291666666664</v>
      </c>
      <c r="V538" s="63" t="s">
        <v>86</v>
      </c>
      <c r="W538" s="63">
        <v>5332.6</v>
      </c>
      <c r="X538" s="63">
        <v>3800</v>
      </c>
      <c r="Y538" s="63" t="s">
        <v>2276</v>
      </c>
    </row>
    <row r="539" spans="1:25" hidden="1">
      <c r="A539" s="62">
        <v>46071.738622685189</v>
      </c>
      <c r="B539" s="63">
        <v>641528</v>
      </c>
      <c r="C539" s="63" t="s">
        <v>81</v>
      </c>
      <c r="D539" s="63"/>
      <c r="E539" s="62">
        <v>46072.772893518515</v>
      </c>
      <c r="F539" s="63" t="s">
        <v>283</v>
      </c>
      <c r="G539" s="63">
        <v>1722590201</v>
      </c>
      <c r="H539" s="63">
        <v>71676316000499</v>
      </c>
      <c r="I539" s="63" t="s">
        <v>2338</v>
      </c>
      <c r="J539" s="63" t="s">
        <v>2228</v>
      </c>
      <c r="K539" s="63" t="s">
        <v>284</v>
      </c>
      <c r="L539" s="63" t="s">
        <v>2339</v>
      </c>
      <c r="M539" s="63" t="s">
        <v>286</v>
      </c>
      <c r="N539" s="63" t="s">
        <v>84</v>
      </c>
      <c r="O539" s="63" t="s">
        <v>105</v>
      </c>
      <c r="P539" s="63" t="s">
        <v>106</v>
      </c>
      <c r="Q539" s="63">
        <v>5</v>
      </c>
      <c r="R539" s="63">
        <v>0</v>
      </c>
      <c r="S539" s="63" t="s">
        <v>76</v>
      </c>
      <c r="T539" s="63">
        <v>620.54999999999995</v>
      </c>
      <c r="U539" s="62">
        <v>46072.291666666664</v>
      </c>
      <c r="V539" s="63" t="s">
        <v>86</v>
      </c>
      <c r="W539" s="63">
        <v>5332.6</v>
      </c>
      <c r="X539" s="63">
        <v>3800</v>
      </c>
      <c r="Y539" s="63" t="s">
        <v>2276</v>
      </c>
    </row>
    <row r="540" spans="1:25" hidden="1">
      <c r="A540" s="62">
        <v>46071.738622685189</v>
      </c>
      <c r="B540" s="63">
        <v>641528</v>
      </c>
      <c r="C540" s="63" t="s">
        <v>81</v>
      </c>
      <c r="D540" s="63"/>
      <c r="E540" s="62">
        <v>46072.772893518515</v>
      </c>
      <c r="F540" s="63" t="s">
        <v>283</v>
      </c>
      <c r="G540" s="63">
        <v>1722590201</v>
      </c>
      <c r="H540" s="63">
        <v>71676316000499</v>
      </c>
      <c r="I540" s="63" t="s">
        <v>2338</v>
      </c>
      <c r="J540" s="63" t="s">
        <v>2228</v>
      </c>
      <c r="K540" s="63" t="s">
        <v>284</v>
      </c>
      <c r="L540" s="63" t="s">
        <v>2339</v>
      </c>
      <c r="M540" s="63" t="s">
        <v>286</v>
      </c>
      <c r="N540" s="63" t="s">
        <v>84</v>
      </c>
      <c r="O540" s="63" t="s">
        <v>383</v>
      </c>
      <c r="P540" s="63" t="s">
        <v>384</v>
      </c>
      <c r="Q540" s="63">
        <v>10</v>
      </c>
      <c r="R540" s="63">
        <v>0</v>
      </c>
      <c r="S540" s="63" t="s">
        <v>70</v>
      </c>
      <c r="T540" s="63">
        <v>620.54999999999995</v>
      </c>
      <c r="U540" s="62">
        <v>46072.291666666664</v>
      </c>
      <c r="V540" s="63" t="s">
        <v>86</v>
      </c>
      <c r="W540" s="63">
        <v>5332.6</v>
      </c>
      <c r="X540" s="63">
        <v>3800</v>
      </c>
      <c r="Y540" s="63" t="s">
        <v>2276</v>
      </c>
    </row>
    <row r="541" spans="1:25" hidden="1">
      <c r="A541" s="62">
        <v>46071.738622685189</v>
      </c>
      <c r="B541" s="63">
        <v>641528</v>
      </c>
      <c r="C541" s="63" t="s">
        <v>81</v>
      </c>
      <c r="D541" s="63"/>
      <c r="E541" s="62">
        <v>46072.772905092592</v>
      </c>
      <c r="F541" s="63" t="s">
        <v>283</v>
      </c>
      <c r="G541" s="63">
        <v>1722850201</v>
      </c>
      <c r="H541" s="63">
        <v>71676316002866</v>
      </c>
      <c r="I541" s="63" t="s">
        <v>2340</v>
      </c>
      <c r="J541" s="63" t="s">
        <v>2228</v>
      </c>
      <c r="K541" s="63" t="s">
        <v>284</v>
      </c>
      <c r="L541" s="63" t="s">
        <v>2341</v>
      </c>
      <c r="M541" s="63" t="s">
        <v>2342</v>
      </c>
      <c r="N541" s="63" t="s">
        <v>84</v>
      </c>
      <c r="O541" s="63" t="s">
        <v>68</v>
      </c>
      <c r="P541" s="63" t="s">
        <v>69</v>
      </c>
      <c r="Q541" s="63">
        <v>50</v>
      </c>
      <c r="R541" s="63">
        <v>0</v>
      </c>
      <c r="S541" s="63" t="s">
        <v>70</v>
      </c>
      <c r="T541" s="63">
        <v>315.89999999999998</v>
      </c>
      <c r="U541" s="62">
        <v>46072.291666666664</v>
      </c>
      <c r="V541" s="63" t="s">
        <v>86</v>
      </c>
      <c r="W541" s="63">
        <v>2600.66</v>
      </c>
      <c r="X541" s="63">
        <v>3800</v>
      </c>
      <c r="Y541" s="63" t="s">
        <v>2276</v>
      </c>
    </row>
    <row r="542" spans="1:25" hidden="1">
      <c r="A542" s="62">
        <v>46071.738622685189</v>
      </c>
      <c r="B542" s="63">
        <v>641528</v>
      </c>
      <c r="C542" s="63" t="s">
        <v>81</v>
      </c>
      <c r="D542" s="63"/>
      <c r="E542" s="62">
        <v>46072.772905092592</v>
      </c>
      <c r="F542" s="63" t="s">
        <v>283</v>
      </c>
      <c r="G542" s="63">
        <v>1722850201</v>
      </c>
      <c r="H542" s="63">
        <v>71676316002866</v>
      </c>
      <c r="I542" s="63" t="s">
        <v>2340</v>
      </c>
      <c r="J542" s="63" t="s">
        <v>2228</v>
      </c>
      <c r="K542" s="63" t="s">
        <v>284</v>
      </c>
      <c r="L542" s="63" t="s">
        <v>2341</v>
      </c>
      <c r="M542" s="63" t="s">
        <v>2342</v>
      </c>
      <c r="N542" s="63" t="s">
        <v>84</v>
      </c>
      <c r="O542" s="63" t="s">
        <v>91</v>
      </c>
      <c r="P542" s="63" t="s">
        <v>92</v>
      </c>
      <c r="Q542" s="63">
        <v>2</v>
      </c>
      <c r="R542" s="63">
        <v>0</v>
      </c>
      <c r="S542" s="63" t="s">
        <v>70</v>
      </c>
      <c r="T542" s="63">
        <v>315.89999999999998</v>
      </c>
      <c r="U542" s="62">
        <v>46072.291666666664</v>
      </c>
      <c r="V542" s="63" t="s">
        <v>86</v>
      </c>
      <c r="W542" s="63">
        <v>2600.66</v>
      </c>
      <c r="X542" s="63">
        <v>3800</v>
      </c>
      <c r="Y542" s="63" t="s">
        <v>2276</v>
      </c>
    </row>
    <row r="543" spans="1:25" hidden="1">
      <c r="A543" s="62">
        <v>46071.738622685189</v>
      </c>
      <c r="B543" s="63">
        <v>641528</v>
      </c>
      <c r="C543" s="63" t="s">
        <v>81</v>
      </c>
      <c r="D543" s="63"/>
      <c r="E543" s="62">
        <v>46072.772905092592</v>
      </c>
      <c r="F543" s="63" t="s">
        <v>283</v>
      </c>
      <c r="G543" s="63">
        <v>1722850201</v>
      </c>
      <c r="H543" s="63">
        <v>71676316002866</v>
      </c>
      <c r="I543" s="63" t="s">
        <v>2340</v>
      </c>
      <c r="J543" s="63" t="s">
        <v>2228</v>
      </c>
      <c r="K543" s="63" t="s">
        <v>284</v>
      </c>
      <c r="L543" s="63" t="s">
        <v>2341</v>
      </c>
      <c r="M543" s="63" t="s">
        <v>2342</v>
      </c>
      <c r="N543" s="63" t="s">
        <v>84</v>
      </c>
      <c r="O543" s="63" t="s">
        <v>93</v>
      </c>
      <c r="P543" s="63" t="s">
        <v>94</v>
      </c>
      <c r="Q543" s="63">
        <v>3</v>
      </c>
      <c r="R543" s="63">
        <v>0</v>
      </c>
      <c r="S543" s="63" t="s">
        <v>70</v>
      </c>
      <c r="T543" s="63">
        <v>315.89999999999998</v>
      </c>
      <c r="U543" s="62">
        <v>46072.291666666664</v>
      </c>
      <c r="V543" s="63" t="s">
        <v>86</v>
      </c>
      <c r="W543" s="63">
        <v>2600.66</v>
      </c>
      <c r="X543" s="63">
        <v>3800</v>
      </c>
      <c r="Y543" s="63" t="s">
        <v>2276</v>
      </c>
    </row>
    <row r="544" spans="1:25" hidden="1">
      <c r="A544" s="62">
        <v>46071.738622685189</v>
      </c>
      <c r="B544" s="63">
        <v>641528</v>
      </c>
      <c r="C544" s="63" t="s">
        <v>81</v>
      </c>
      <c r="D544" s="63"/>
      <c r="E544" s="62">
        <v>46072.772905092592</v>
      </c>
      <c r="F544" s="63" t="s">
        <v>283</v>
      </c>
      <c r="G544" s="63">
        <v>1722850201</v>
      </c>
      <c r="H544" s="63">
        <v>71676316002866</v>
      </c>
      <c r="I544" s="63" t="s">
        <v>2340</v>
      </c>
      <c r="J544" s="63" t="s">
        <v>2228</v>
      </c>
      <c r="K544" s="63" t="s">
        <v>284</v>
      </c>
      <c r="L544" s="63" t="s">
        <v>2341</v>
      </c>
      <c r="M544" s="63" t="s">
        <v>2342</v>
      </c>
      <c r="N544" s="63" t="s">
        <v>84</v>
      </c>
      <c r="O544" s="63" t="s">
        <v>72</v>
      </c>
      <c r="P544" s="63" t="s">
        <v>73</v>
      </c>
      <c r="Q544" s="63">
        <v>3</v>
      </c>
      <c r="R544" s="63">
        <v>0</v>
      </c>
      <c r="S544" s="63" t="s">
        <v>70</v>
      </c>
      <c r="T544" s="63">
        <v>315.89999999999998</v>
      </c>
      <c r="U544" s="62">
        <v>46072.291666666664</v>
      </c>
      <c r="V544" s="63" t="s">
        <v>86</v>
      </c>
      <c r="W544" s="63">
        <v>2600.66</v>
      </c>
      <c r="X544" s="63">
        <v>3800</v>
      </c>
      <c r="Y544" s="63" t="s">
        <v>2276</v>
      </c>
    </row>
    <row r="545" spans="1:25" hidden="1">
      <c r="A545" s="62">
        <v>46071.738622685189</v>
      </c>
      <c r="B545" s="63">
        <v>641528</v>
      </c>
      <c r="C545" s="63" t="s">
        <v>81</v>
      </c>
      <c r="D545" s="63"/>
      <c r="E545" s="62">
        <v>46072.772905092592</v>
      </c>
      <c r="F545" s="63" t="s">
        <v>283</v>
      </c>
      <c r="G545" s="63">
        <v>1722850201</v>
      </c>
      <c r="H545" s="63">
        <v>71676316002866</v>
      </c>
      <c r="I545" s="63" t="s">
        <v>2340</v>
      </c>
      <c r="J545" s="63" t="s">
        <v>2228</v>
      </c>
      <c r="K545" s="63" t="s">
        <v>284</v>
      </c>
      <c r="L545" s="63" t="s">
        <v>2341</v>
      </c>
      <c r="M545" s="63" t="s">
        <v>2342</v>
      </c>
      <c r="N545" s="63" t="s">
        <v>84</v>
      </c>
      <c r="O545" s="63" t="s">
        <v>383</v>
      </c>
      <c r="P545" s="63" t="s">
        <v>384</v>
      </c>
      <c r="Q545" s="63">
        <v>8</v>
      </c>
      <c r="R545" s="63">
        <v>0</v>
      </c>
      <c r="S545" s="63" t="s">
        <v>70</v>
      </c>
      <c r="T545" s="63">
        <v>315.89999999999998</v>
      </c>
      <c r="U545" s="62">
        <v>46072.291666666664</v>
      </c>
      <c r="V545" s="63" t="s">
        <v>86</v>
      </c>
      <c r="W545" s="63">
        <v>2600.66</v>
      </c>
      <c r="X545" s="63">
        <v>3800</v>
      </c>
      <c r="Y545" s="63" t="s">
        <v>2276</v>
      </c>
    </row>
    <row r="546" spans="1:25" hidden="1">
      <c r="A546" s="62">
        <v>46071.738622685189</v>
      </c>
      <c r="B546" s="63">
        <v>641528</v>
      </c>
      <c r="C546" s="63" t="s">
        <v>81</v>
      </c>
      <c r="D546" s="63"/>
      <c r="E546" s="62">
        <v>46072.772939814815</v>
      </c>
      <c r="F546" s="63" t="s">
        <v>283</v>
      </c>
      <c r="G546" s="63">
        <v>1723550201</v>
      </c>
      <c r="H546" s="63">
        <v>26563652011081</v>
      </c>
      <c r="I546" s="63" t="s">
        <v>2336</v>
      </c>
      <c r="J546" s="63" t="s">
        <v>159</v>
      </c>
      <c r="K546" s="63" t="s">
        <v>284</v>
      </c>
      <c r="L546" s="63" t="s">
        <v>2337</v>
      </c>
      <c r="M546" s="63" t="s">
        <v>2322</v>
      </c>
      <c r="N546" s="63" t="s">
        <v>84</v>
      </c>
      <c r="O546" s="63" t="s">
        <v>68</v>
      </c>
      <c r="P546" s="63" t="s">
        <v>69</v>
      </c>
      <c r="Q546" s="63">
        <v>6</v>
      </c>
      <c r="R546" s="63">
        <v>0</v>
      </c>
      <c r="S546" s="63" t="s">
        <v>70</v>
      </c>
      <c r="T546" s="63">
        <v>47.607999999999997</v>
      </c>
      <c r="U546" s="62">
        <v>46072.291666666664</v>
      </c>
      <c r="V546" s="63" t="s">
        <v>86</v>
      </c>
      <c r="W546" s="63">
        <v>530.66999999999996</v>
      </c>
      <c r="X546" s="63">
        <v>3800</v>
      </c>
      <c r="Y546" s="63" t="s">
        <v>2276</v>
      </c>
    </row>
    <row r="547" spans="1:25" hidden="1">
      <c r="A547" s="62">
        <v>46071.738622685189</v>
      </c>
      <c r="B547" s="63">
        <v>641528</v>
      </c>
      <c r="C547" s="63" t="s">
        <v>81</v>
      </c>
      <c r="D547" s="63"/>
      <c r="E547" s="62">
        <v>46072.772939814815</v>
      </c>
      <c r="F547" s="63" t="s">
        <v>283</v>
      </c>
      <c r="G547" s="63">
        <v>1723550201</v>
      </c>
      <c r="H547" s="63">
        <v>26563652011081</v>
      </c>
      <c r="I547" s="63" t="s">
        <v>2336</v>
      </c>
      <c r="J547" s="63" t="s">
        <v>159</v>
      </c>
      <c r="K547" s="63" t="s">
        <v>284</v>
      </c>
      <c r="L547" s="63" t="s">
        <v>2337</v>
      </c>
      <c r="M547" s="63" t="s">
        <v>2322</v>
      </c>
      <c r="N547" s="63" t="s">
        <v>84</v>
      </c>
      <c r="O547" s="63" t="s">
        <v>72</v>
      </c>
      <c r="P547" s="63" t="s">
        <v>73</v>
      </c>
      <c r="Q547" s="63">
        <v>1</v>
      </c>
      <c r="R547" s="63">
        <v>0</v>
      </c>
      <c r="S547" s="63" t="s">
        <v>70</v>
      </c>
      <c r="T547" s="63">
        <v>47.607999999999997</v>
      </c>
      <c r="U547" s="62">
        <v>46072.291666666664</v>
      </c>
      <c r="V547" s="63" t="s">
        <v>86</v>
      </c>
      <c r="W547" s="63">
        <v>530.66999999999996</v>
      </c>
      <c r="X547" s="63">
        <v>3800</v>
      </c>
      <c r="Y547" s="63" t="s">
        <v>2276</v>
      </c>
    </row>
    <row r="548" spans="1:25" hidden="1">
      <c r="A548" s="62">
        <v>46071.738622685189</v>
      </c>
      <c r="B548" s="63">
        <v>641528</v>
      </c>
      <c r="C548" s="63" t="s">
        <v>81</v>
      </c>
      <c r="D548" s="63"/>
      <c r="E548" s="62">
        <v>46072.772939814815</v>
      </c>
      <c r="F548" s="63" t="s">
        <v>283</v>
      </c>
      <c r="G548" s="63">
        <v>1723550201</v>
      </c>
      <c r="H548" s="63">
        <v>26563652011081</v>
      </c>
      <c r="I548" s="63" t="s">
        <v>2336</v>
      </c>
      <c r="J548" s="63" t="s">
        <v>159</v>
      </c>
      <c r="K548" s="63" t="s">
        <v>284</v>
      </c>
      <c r="L548" s="63" t="s">
        <v>2337</v>
      </c>
      <c r="M548" s="63" t="s">
        <v>2322</v>
      </c>
      <c r="N548" s="63" t="s">
        <v>84</v>
      </c>
      <c r="O548" s="63" t="s">
        <v>74</v>
      </c>
      <c r="P548" s="63" t="s">
        <v>75</v>
      </c>
      <c r="Q548" s="63">
        <v>1</v>
      </c>
      <c r="R548" s="63">
        <v>0</v>
      </c>
      <c r="S548" s="63" t="s">
        <v>76</v>
      </c>
      <c r="T548" s="63">
        <v>47.607999999999997</v>
      </c>
      <c r="U548" s="62">
        <v>46072.291666666664</v>
      </c>
      <c r="V548" s="63" t="s">
        <v>86</v>
      </c>
      <c r="W548" s="63">
        <v>530.66999999999996</v>
      </c>
      <c r="X548" s="63">
        <v>3800</v>
      </c>
      <c r="Y548" s="63" t="s">
        <v>2276</v>
      </c>
    </row>
    <row r="549" spans="1:25" hidden="1">
      <c r="A549" s="62">
        <v>46071.738622685189</v>
      </c>
      <c r="B549" s="63">
        <v>641528</v>
      </c>
      <c r="C549" s="63" t="s">
        <v>81</v>
      </c>
      <c r="D549" s="63"/>
      <c r="E549" s="62">
        <v>46072.772939814815</v>
      </c>
      <c r="F549" s="63" t="s">
        <v>283</v>
      </c>
      <c r="G549" s="63">
        <v>1723550201</v>
      </c>
      <c r="H549" s="63">
        <v>26563652011081</v>
      </c>
      <c r="I549" s="63" t="s">
        <v>2336</v>
      </c>
      <c r="J549" s="63" t="s">
        <v>159</v>
      </c>
      <c r="K549" s="63" t="s">
        <v>284</v>
      </c>
      <c r="L549" s="63" t="s">
        <v>2337</v>
      </c>
      <c r="M549" s="63" t="s">
        <v>2322</v>
      </c>
      <c r="N549" s="63" t="s">
        <v>84</v>
      </c>
      <c r="O549" s="63" t="s">
        <v>165</v>
      </c>
      <c r="P549" s="63" t="s">
        <v>166</v>
      </c>
      <c r="Q549" s="63">
        <v>1</v>
      </c>
      <c r="R549" s="63">
        <v>0</v>
      </c>
      <c r="S549" s="63" t="s">
        <v>76</v>
      </c>
      <c r="T549" s="63">
        <v>47.607999999999997</v>
      </c>
      <c r="U549" s="62">
        <v>46072.291666666664</v>
      </c>
      <c r="V549" s="63" t="s">
        <v>86</v>
      </c>
      <c r="W549" s="63">
        <v>530.66999999999996</v>
      </c>
      <c r="X549" s="63">
        <v>3800</v>
      </c>
      <c r="Y549" s="63" t="s">
        <v>2276</v>
      </c>
    </row>
    <row r="550" spans="1:25" hidden="1">
      <c r="A550" s="62">
        <v>46071.738622685189</v>
      </c>
      <c r="B550" s="63">
        <v>641528</v>
      </c>
      <c r="C550" s="63" t="s">
        <v>81</v>
      </c>
      <c r="D550" s="63"/>
      <c r="E550" s="62">
        <v>46072.772951388892</v>
      </c>
      <c r="F550" s="63" t="s">
        <v>283</v>
      </c>
      <c r="G550" s="63">
        <v>1723990201</v>
      </c>
      <c r="H550" s="63">
        <v>26563652018922</v>
      </c>
      <c r="I550" s="63" t="s">
        <v>2343</v>
      </c>
      <c r="J550" s="63" t="s">
        <v>159</v>
      </c>
      <c r="K550" s="63" t="s">
        <v>284</v>
      </c>
      <c r="L550" s="63" t="s">
        <v>2344</v>
      </c>
      <c r="M550" s="63" t="s">
        <v>2345</v>
      </c>
      <c r="N550" s="63" t="s">
        <v>84</v>
      </c>
      <c r="O550" s="63" t="s">
        <v>68</v>
      </c>
      <c r="P550" s="63" t="s">
        <v>69</v>
      </c>
      <c r="Q550" s="63">
        <v>5</v>
      </c>
      <c r="R550" s="63">
        <v>0</v>
      </c>
      <c r="S550" s="63" t="s">
        <v>70</v>
      </c>
      <c r="T550" s="63">
        <v>30.09</v>
      </c>
      <c r="U550" s="62">
        <v>46072.291666666664</v>
      </c>
      <c r="V550" s="63" t="s">
        <v>86</v>
      </c>
      <c r="W550" s="63">
        <v>219.96</v>
      </c>
      <c r="X550" s="63">
        <v>3800</v>
      </c>
      <c r="Y550" s="63" t="s">
        <v>2276</v>
      </c>
    </row>
    <row r="551" spans="1:25" hidden="1">
      <c r="A551" s="62">
        <v>46071.738622685189</v>
      </c>
      <c r="B551" s="63">
        <v>641528</v>
      </c>
      <c r="C551" s="63" t="s">
        <v>81</v>
      </c>
      <c r="D551" s="63"/>
      <c r="E551" s="62">
        <v>46072.772951388892</v>
      </c>
      <c r="F551" s="63" t="s">
        <v>283</v>
      </c>
      <c r="G551" s="63">
        <v>1723990201</v>
      </c>
      <c r="H551" s="63">
        <v>26563652018922</v>
      </c>
      <c r="I551" s="63" t="s">
        <v>2343</v>
      </c>
      <c r="J551" s="63" t="s">
        <v>159</v>
      </c>
      <c r="K551" s="63" t="s">
        <v>284</v>
      </c>
      <c r="L551" s="63" t="s">
        <v>2344</v>
      </c>
      <c r="M551" s="63" t="s">
        <v>2345</v>
      </c>
      <c r="N551" s="63" t="s">
        <v>84</v>
      </c>
      <c r="O551" s="63" t="s">
        <v>72</v>
      </c>
      <c r="P551" s="63" t="s">
        <v>73</v>
      </c>
      <c r="Q551" s="63">
        <v>1</v>
      </c>
      <c r="R551" s="63">
        <v>0</v>
      </c>
      <c r="S551" s="63" t="s">
        <v>70</v>
      </c>
      <c r="T551" s="63">
        <v>30.09</v>
      </c>
      <c r="U551" s="62">
        <v>46072.291666666664</v>
      </c>
      <c r="V551" s="63" t="s">
        <v>86</v>
      </c>
      <c r="W551" s="63">
        <v>219.96</v>
      </c>
      <c r="X551" s="63">
        <v>3800</v>
      </c>
      <c r="Y551" s="63" t="s">
        <v>2276</v>
      </c>
    </row>
    <row r="552" spans="1:25" hidden="1">
      <c r="A552" s="62">
        <v>46071.738622685189</v>
      </c>
      <c r="B552" s="63">
        <v>641528</v>
      </c>
      <c r="C552" s="63" t="s">
        <v>81</v>
      </c>
      <c r="D552" s="63"/>
      <c r="E552" s="62">
        <v>46072.772962962961</v>
      </c>
      <c r="F552" s="63" t="s">
        <v>283</v>
      </c>
      <c r="G552" s="63">
        <v>1724530201</v>
      </c>
      <c r="H552" s="63">
        <v>26563652082507</v>
      </c>
      <c r="I552" s="63" t="s">
        <v>2323</v>
      </c>
      <c r="J552" s="63" t="s">
        <v>159</v>
      </c>
      <c r="K552" s="63" t="s">
        <v>284</v>
      </c>
      <c r="L552" s="63" t="s">
        <v>2324</v>
      </c>
      <c r="M552" s="63" t="s">
        <v>2322</v>
      </c>
      <c r="N552" s="63" t="s">
        <v>84</v>
      </c>
      <c r="O552" s="63" t="s">
        <v>68</v>
      </c>
      <c r="P552" s="63" t="s">
        <v>69</v>
      </c>
      <c r="Q552" s="63">
        <v>10</v>
      </c>
      <c r="R552" s="63">
        <v>0</v>
      </c>
      <c r="S552" s="63" t="s">
        <v>70</v>
      </c>
      <c r="T552" s="63">
        <v>72.150000000000006</v>
      </c>
      <c r="U552" s="62">
        <v>46072.291666666664</v>
      </c>
      <c r="V552" s="63" t="s">
        <v>86</v>
      </c>
      <c r="W552" s="63">
        <v>832.03</v>
      </c>
      <c r="X552" s="63">
        <v>3800</v>
      </c>
      <c r="Y552" s="63" t="s">
        <v>2276</v>
      </c>
    </row>
    <row r="553" spans="1:25" hidden="1">
      <c r="A553" s="62">
        <v>46071.738622685189</v>
      </c>
      <c r="B553" s="63">
        <v>641528</v>
      </c>
      <c r="C553" s="63" t="s">
        <v>81</v>
      </c>
      <c r="D553" s="63"/>
      <c r="E553" s="62">
        <v>46072.772962962961</v>
      </c>
      <c r="F553" s="63" t="s">
        <v>283</v>
      </c>
      <c r="G553" s="63">
        <v>1724530201</v>
      </c>
      <c r="H553" s="63">
        <v>26563652082507</v>
      </c>
      <c r="I553" s="63" t="s">
        <v>2323</v>
      </c>
      <c r="J553" s="63" t="s">
        <v>159</v>
      </c>
      <c r="K553" s="63" t="s">
        <v>284</v>
      </c>
      <c r="L553" s="63" t="s">
        <v>2324</v>
      </c>
      <c r="M553" s="63" t="s">
        <v>2322</v>
      </c>
      <c r="N553" s="63" t="s">
        <v>84</v>
      </c>
      <c r="O553" s="63" t="s">
        <v>72</v>
      </c>
      <c r="P553" s="63" t="s">
        <v>73</v>
      </c>
      <c r="Q553" s="63">
        <v>1</v>
      </c>
      <c r="R553" s="63">
        <v>0</v>
      </c>
      <c r="S553" s="63" t="s">
        <v>70</v>
      </c>
      <c r="T553" s="63">
        <v>72.150000000000006</v>
      </c>
      <c r="U553" s="62">
        <v>46072.291666666664</v>
      </c>
      <c r="V553" s="63" t="s">
        <v>86</v>
      </c>
      <c r="W553" s="63">
        <v>832.03</v>
      </c>
      <c r="X553" s="63">
        <v>3800</v>
      </c>
      <c r="Y553" s="63" t="s">
        <v>2276</v>
      </c>
    </row>
    <row r="554" spans="1:25" hidden="1">
      <c r="A554" s="62">
        <v>46071.738622685189</v>
      </c>
      <c r="B554" s="63">
        <v>641528</v>
      </c>
      <c r="C554" s="63" t="s">
        <v>81</v>
      </c>
      <c r="D554" s="63"/>
      <c r="E554" s="62">
        <v>46072.772962962961</v>
      </c>
      <c r="F554" s="63" t="s">
        <v>283</v>
      </c>
      <c r="G554" s="63">
        <v>1724530201</v>
      </c>
      <c r="H554" s="63">
        <v>26563652082507</v>
      </c>
      <c r="I554" s="63" t="s">
        <v>2323</v>
      </c>
      <c r="J554" s="63" t="s">
        <v>159</v>
      </c>
      <c r="K554" s="63" t="s">
        <v>284</v>
      </c>
      <c r="L554" s="63" t="s">
        <v>2324</v>
      </c>
      <c r="M554" s="63" t="s">
        <v>2322</v>
      </c>
      <c r="N554" s="63" t="s">
        <v>84</v>
      </c>
      <c r="O554" s="63" t="s">
        <v>74</v>
      </c>
      <c r="P554" s="63" t="s">
        <v>75</v>
      </c>
      <c r="Q554" s="63">
        <v>1</v>
      </c>
      <c r="R554" s="63">
        <v>0</v>
      </c>
      <c r="S554" s="63" t="s">
        <v>76</v>
      </c>
      <c r="T554" s="63">
        <v>72.150000000000006</v>
      </c>
      <c r="U554" s="62">
        <v>46072.291666666664</v>
      </c>
      <c r="V554" s="63" t="s">
        <v>86</v>
      </c>
      <c r="W554" s="63">
        <v>832.03</v>
      </c>
      <c r="X554" s="63">
        <v>3800</v>
      </c>
      <c r="Y554" s="63" t="s">
        <v>2276</v>
      </c>
    </row>
    <row r="555" spans="1:25" hidden="1">
      <c r="A555" s="62">
        <v>46071.738622685189</v>
      </c>
      <c r="B555" s="63">
        <v>641528</v>
      </c>
      <c r="C555" s="63" t="s">
        <v>81</v>
      </c>
      <c r="D555" s="63"/>
      <c r="E555" s="62">
        <v>46072.772962962961</v>
      </c>
      <c r="F555" s="63" t="s">
        <v>283</v>
      </c>
      <c r="G555" s="63">
        <v>1724530201</v>
      </c>
      <c r="H555" s="63">
        <v>26563652082507</v>
      </c>
      <c r="I555" s="63" t="s">
        <v>2323</v>
      </c>
      <c r="J555" s="63" t="s">
        <v>159</v>
      </c>
      <c r="K555" s="63" t="s">
        <v>284</v>
      </c>
      <c r="L555" s="63" t="s">
        <v>2324</v>
      </c>
      <c r="M555" s="63" t="s">
        <v>2322</v>
      </c>
      <c r="N555" s="63" t="s">
        <v>84</v>
      </c>
      <c r="O555" s="63" t="s">
        <v>161</v>
      </c>
      <c r="P555" s="63" t="s">
        <v>162</v>
      </c>
      <c r="Q555" s="63">
        <v>1</v>
      </c>
      <c r="R555" s="63">
        <v>0</v>
      </c>
      <c r="S555" s="63" t="s">
        <v>76</v>
      </c>
      <c r="T555" s="63">
        <v>72.150000000000006</v>
      </c>
      <c r="U555" s="62">
        <v>46072.291666666664</v>
      </c>
      <c r="V555" s="63" t="s">
        <v>86</v>
      </c>
      <c r="W555" s="63">
        <v>832.03</v>
      </c>
      <c r="X555" s="63">
        <v>3800</v>
      </c>
      <c r="Y555" s="63" t="s">
        <v>2276</v>
      </c>
    </row>
    <row r="556" spans="1:25" hidden="1">
      <c r="A556" s="62">
        <v>46071.738622685189</v>
      </c>
      <c r="B556" s="63">
        <v>641528</v>
      </c>
      <c r="C556" s="63" t="s">
        <v>81</v>
      </c>
      <c r="D556" s="63"/>
      <c r="E556" s="62">
        <v>46072.772974537038</v>
      </c>
      <c r="F556" s="63" t="s">
        <v>283</v>
      </c>
      <c r="G556" s="63">
        <v>1716820201</v>
      </c>
      <c r="H556" s="63">
        <v>45543915102502</v>
      </c>
      <c r="I556" s="63" t="s">
        <v>2653</v>
      </c>
      <c r="J556" s="63" t="s">
        <v>155</v>
      </c>
      <c r="K556" s="63" t="s">
        <v>284</v>
      </c>
      <c r="L556" s="63" t="s">
        <v>2654</v>
      </c>
      <c r="M556" s="63" t="s">
        <v>286</v>
      </c>
      <c r="N556" s="63" t="s">
        <v>84</v>
      </c>
      <c r="O556" s="63" t="s">
        <v>68</v>
      </c>
      <c r="P556" s="63" t="s">
        <v>69</v>
      </c>
      <c r="Q556" s="63">
        <v>180</v>
      </c>
      <c r="R556" s="63">
        <v>0</v>
      </c>
      <c r="S556" s="63" t="s">
        <v>70</v>
      </c>
      <c r="T556" s="63">
        <v>1053.24</v>
      </c>
      <c r="U556" s="62">
        <v>46072.291666666664</v>
      </c>
      <c r="V556" s="63" t="s">
        <v>86</v>
      </c>
      <c r="W556" s="63">
        <v>8103</v>
      </c>
      <c r="X556" s="63">
        <v>3800</v>
      </c>
      <c r="Y556" s="63" t="s">
        <v>2276</v>
      </c>
    </row>
    <row r="557" spans="1:25" hidden="1">
      <c r="A557" s="62">
        <v>46071.738622685189</v>
      </c>
      <c r="B557" s="63">
        <v>641528</v>
      </c>
      <c r="C557" s="63" t="s">
        <v>81</v>
      </c>
      <c r="D557" s="63"/>
      <c r="E557" s="62">
        <v>46072.772974537038</v>
      </c>
      <c r="F557" s="63" t="s">
        <v>283</v>
      </c>
      <c r="G557" s="63">
        <v>1716820201</v>
      </c>
      <c r="H557" s="63">
        <v>45543915102502</v>
      </c>
      <c r="I557" s="63" t="s">
        <v>2653</v>
      </c>
      <c r="J557" s="63" t="s">
        <v>155</v>
      </c>
      <c r="K557" s="63" t="s">
        <v>284</v>
      </c>
      <c r="L557" s="63" t="s">
        <v>2654</v>
      </c>
      <c r="M557" s="63" t="s">
        <v>286</v>
      </c>
      <c r="N557" s="63" t="s">
        <v>84</v>
      </c>
      <c r="O557" s="63" t="s">
        <v>74</v>
      </c>
      <c r="P557" s="63" t="s">
        <v>75</v>
      </c>
      <c r="Q557" s="63">
        <v>15</v>
      </c>
      <c r="R557" s="63">
        <v>0</v>
      </c>
      <c r="S557" s="63" t="s">
        <v>76</v>
      </c>
      <c r="T557" s="63">
        <v>1053.24</v>
      </c>
      <c r="U557" s="62">
        <v>46072.291666666664</v>
      </c>
      <c r="V557" s="63" t="s">
        <v>86</v>
      </c>
      <c r="W557" s="63">
        <v>8103</v>
      </c>
      <c r="X557" s="63">
        <v>3800</v>
      </c>
      <c r="Y557" s="63" t="s">
        <v>2276</v>
      </c>
    </row>
    <row r="558" spans="1:25" hidden="1">
      <c r="A558" s="62">
        <v>46071.738622685189</v>
      </c>
      <c r="B558" s="63">
        <v>641529</v>
      </c>
      <c r="C558" s="63" t="s">
        <v>372</v>
      </c>
      <c r="D558" s="63"/>
      <c r="E558" s="62">
        <v>46072.772847222222</v>
      </c>
      <c r="F558" s="63" t="s">
        <v>385</v>
      </c>
      <c r="G558" s="63">
        <v>1716110201</v>
      </c>
      <c r="H558" s="63">
        <v>9000493001530</v>
      </c>
      <c r="I558" s="63" t="s">
        <v>2655</v>
      </c>
      <c r="J558" s="63" t="s">
        <v>2468</v>
      </c>
      <c r="K558" s="63" t="s">
        <v>64</v>
      </c>
      <c r="L558" s="63" t="s">
        <v>2656</v>
      </c>
      <c r="M558" s="63" t="s">
        <v>2657</v>
      </c>
      <c r="N558" s="63" t="s">
        <v>84</v>
      </c>
      <c r="O558" s="63" t="s">
        <v>396</v>
      </c>
      <c r="P558" s="63" t="s">
        <v>397</v>
      </c>
      <c r="Q558" s="63">
        <v>16</v>
      </c>
      <c r="R558" s="63">
        <v>0</v>
      </c>
      <c r="S558" s="63" t="s">
        <v>70</v>
      </c>
      <c r="T558" s="63">
        <v>327.62400000000002</v>
      </c>
      <c r="U558" s="62">
        <v>46072.291666666664</v>
      </c>
      <c r="V558" s="63" t="s">
        <v>86</v>
      </c>
      <c r="W558" s="63">
        <v>6852.96</v>
      </c>
      <c r="X558" s="63">
        <v>4200</v>
      </c>
      <c r="Y558" s="63" t="s">
        <v>2309</v>
      </c>
    </row>
    <row r="559" spans="1:25" hidden="1">
      <c r="A559" s="62">
        <v>46071.738622685189</v>
      </c>
      <c r="B559" s="63">
        <v>641529</v>
      </c>
      <c r="C559" s="63" t="s">
        <v>372</v>
      </c>
      <c r="D559" s="63"/>
      <c r="E559" s="62">
        <v>46072.772847222222</v>
      </c>
      <c r="F559" s="63" t="s">
        <v>385</v>
      </c>
      <c r="G559" s="63">
        <v>1716110201</v>
      </c>
      <c r="H559" s="63">
        <v>9000493001530</v>
      </c>
      <c r="I559" s="63" t="s">
        <v>2655</v>
      </c>
      <c r="J559" s="63" t="s">
        <v>2468</v>
      </c>
      <c r="K559" s="63" t="s">
        <v>64</v>
      </c>
      <c r="L559" s="63" t="s">
        <v>2656</v>
      </c>
      <c r="M559" s="63" t="s">
        <v>2657</v>
      </c>
      <c r="N559" s="63" t="s">
        <v>84</v>
      </c>
      <c r="O559" s="63" t="s">
        <v>128</v>
      </c>
      <c r="P559" s="63" t="s">
        <v>129</v>
      </c>
      <c r="Q559" s="63">
        <v>20</v>
      </c>
      <c r="R559" s="63">
        <v>0</v>
      </c>
      <c r="S559" s="63" t="s">
        <v>70</v>
      </c>
      <c r="T559" s="63">
        <v>327.62400000000002</v>
      </c>
      <c r="U559" s="62">
        <v>46072.291666666664</v>
      </c>
      <c r="V559" s="63" t="s">
        <v>86</v>
      </c>
      <c r="W559" s="63">
        <v>6852.96</v>
      </c>
      <c r="X559" s="63">
        <v>4200</v>
      </c>
      <c r="Y559" s="63" t="s">
        <v>2309</v>
      </c>
    </row>
    <row r="560" spans="1:25" hidden="1">
      <c r="A560" s="62">
        <v>46071.738622685189</v>
      </c>
      <c r="B560" s="63">
        <v>641529</v>
      </c>
      <c r="C560" s="63" t="s">
        <v>372</v>
      </c>
      <c r="D560" s="63"/>
      <c r="E560" s="62">
        <v>46072.772847222222</v>
      </c>
      <c r="F560" s="63" t="s">
        <v>385</v>
      </c>
      <c r="G560" s="63">
        <v>1716110201</v>
      </c>
      <c r="H560" s="63">
        <v>9000493001530</v>
      </c>
      <c r="I560" s="63" t="s">
        <v>2655</v>
      </c>
      <c r="J560" s="63" t="s">
        <v>2468</v>
      </c>
      <c r="K560" s="63" t="s">
        <v>64</v>
      </c>
      <c r="L560" s="63" t="s">
        <v>2656</v>
      </c>
      <c r="M560" s="63" t="s">
        <v>2657</v>
      </c>
      <c r="N560" s="63" t="s">
        <v>84</v>
      </c>
      <c r="O560" s="63" t="s">
        <v>398</v>
      </c>
      <c r="P560" s="63" t="s">
        <v>399</v>
      </c>
      <c r="Q560" s="63">
        <v>10</v>
      </c>
      <c r="R560" s="63">
        <v>0</v>
      </c>
      <c r="S560" s="63" t="s">
        <v>70</v>
      </c>
      <c r="T560" s="63">
        <v>327.62400000000002</v>
      </c>
      <c r="U560" s="62">
        <v>46072.291666666664</v>
      </c>
      <c r="V560" s="63" t="s">
        <v>86</v>
      </c>
      <c r="W560" s="63">
        <v>6852.96</v>
      </c>
      <c r="X560" s="63">
        <v>4200</v>
      </c>
      <c r="Y560" s="63" t="s">
        <v>2309</v>
      </c>
    </row>
    <row r="561" spans="1:25" hidden="1">
      <c r="A561" s="62">
        <v>46071.738622685189</v>
      </c>
      <c r="B561" s="63">
        <v>641529</v>
      </c>
      <c r="C561" s="63" t="s">
        <v>372</v>
      </c>
      <c r="D561" s="63"/>
      <c r="E561" s="62">
        <v>46072.772847222222</v>
      </c>
      <c r="F561" s="63" t="s">
        <v>385</v>
      </c>
      <c r="G561" s="63">
        <v>1716110201</v>
      </c>
      <c r="H561" s="63">
        <v>9000493001530</v>
      </c>
      <c r="I561" s="63" t="s">
        <v>2655</v>
      </c>
      <c r="J561" s="63" t="s">
        <v>2468</v>
      </c>
      <c r="K561" s="63" t="s">
        <v>64</v>
      </c>
      <c r="L561" s="63" t="s">
        <v>2656</v>
      </c>
      <c r="M561" s="63" t="s">
        <v>2657</v>
      </c>
      <c r="N561" s="63" t="s">
        <v>84</v>
      </c>
      <c r="O561" s="63" t="s">
        <v>280</v>
      </c>
      <c r="P561" s="63" t="s">
        <v>281</v>
      </c>
      <c r="Q561" s="63">
        <v>14</v>
      </c>
      <c r="R561" s="63">
        <v>0</v>
      </c>
      <c r="S561" s="63" t="s">
        <v>70</v>
      </c>
      <c r="T561" s="63">
        <v>327.62400000000002</v>
      </c>
      <c r="U561" s="62">
        <v>46072.291666666664</v>
      </c>
      <c r="V561" s="63" t="s">
        <v>86</v>
      </c>
      <c r="W561" s="63">
        <v>6852.96</v>
      </c>
      <c r="X561" s="63">
        <v>4200</v>
      </c>
      <c r="Y561" s="63" t="s">
        <v>2309</v>
      </c>
    </row>
    <row r="562" spans="1:25" hidden="1">
      <c r="A562" s="62">
        <v>46071.738622685189</v>
      </c>
      <c r="B562" s="63">
        <v>641529</v>
      </c>
      <c r="C562" s="63" t="s">
        <v>372</v>
      </c>
      <c r="D562" s="63"/>
      <c r="E562" s="62">
        <v>46072.772847222222</v>
      </c>
      <c r="F562" s="63" t="s">
        <v>385</v>
      </c>
      <c r="G562" s="63">
        <v>1716170201</v>
      </c>
      <c r="H562" s="63">
        <v>9000493001963</v>
      </c>
      <c r="I562" s="63" t="s">
        <v>2658</v>
      </c>
      <c r="J562" s="63" t="s">
        <v>2468</v>
      </c>
      <c r="K562" s="63" t="s">
        <v>64</v>
      </c>
      <c r="L562" s="63" t="s">
        <v>2659</v>
      </c>
      <c r="M562" s="63" t="s">
        <v>2660</v>
      </c>
      <c r="N562" s="63" t="s">
        <v>84</v>
      </c>
      <c r="O562" s="63" t="s">
        <v>398</v>
      </c>
      <c r="P562" s="63" t="s">
        <v>399</v>
      </c>
      <c r="Q562" s="63">
        <v>4</v>
      </c>
      <c r="R562" s="63">
        <v>0</v>
      </c>
      <c r="S562" s="63" t="s">
        <v>70</v>
      </c>
      <c r="T562" s="63">
        <v>127.56</v>
      </c>
      <c r="U562" s="62">
        <v>46072.291666666664</v>
      </c>
      <c r="V562" s="63" t="s">
        <v>86</v>
      </c>
      <c r="W562" s="63">
        <v>808.92</v>
      </c>
      <c r="X562" s="63">
        <v>4200</v>
      </c>
      <c r="Y562" s="63" t="s">
        <v>2309</v>
      </c>
    </row>
    <row r="563" spans="1:25" hidden="1">
      <c r="A563" s="62">
        <v>46071.738622685189</v>
      </c>
      <c r="B563" s="63">
        <v>641529</v>
      </c>
      <c r="C563" s="63" t="s">
        <v>372</v>
      </c>
      <c r="D563" s="63"/>
      <c r="E563" s="62">
        <v>46072.772847222222</v>
      </c>
      <c r="F563" s="63" t="s">
        <v>385</v>
      </c>
      <c r="G563" s="63">
        <v>1716170201</v>
      </c>
      <c r="H563" s="63">
        <v>9000493001963</v>
      </c>
      <c r="I563" s="63" t="s">
        <v>2658</v>
      </c>
      <c r="J563" s="63" t="s">
        <v>2468</v>
      </c>
      <c r="K563" s="63" t="s">
        <v>64</v>
      </c>
      <c r="L563" s="63" t="s">
        <v>2659</v>
      </c>
      <c r="M563" s="63" t="s">
        <v>2660</v>
      </c>
      <c r="N563" s="63" t="s">
        <v>84</v>
      </c>
      <c r="O563" s="63" t="s">
        <v>280</v>
      </c>
      <c r="P563" s="63" t="s">
        <v>281</v>
      </c>
      <c r="Q563" s="63">
        <v>8</v>
      </c>
      <c r="R563" s="63">
        <v>0</v>
      </c>
      <c r="S563" s="63" t="s">
        <v>70</v>
      </c>
      <c r="T563" s="63">
        <v>127.56</v>
      </c>
      <c r="U563" s="62">
        <v>46072.291666666664</v>
      </c>
      <c r="V563" s="63" t="s">
        <v>86</v>
      </c>
      <c r="W563" s="63">
        <v>808.92</v>
      </c>
      <c r="X563" s="63">
        <v>4200</v>
      </c>
      <c r="Y563" s="63" t="s">
        <v>2309</v>
      </c>
    </row>
    <row r="564" spans="1:25" hidden="1">
      <c r="A564" s="62">
        <v>46071.738622685189</v>
      </c>
      <c r="B564" s="63">
        <v>641529</v>
      </c>
      <c r="C564" s="63" t="s">
        <v>372</v>
      </c>
      <c r="D564" s="63"/>
      <c r="E564" s="62">
        <v>46072.772881944446</v>
      </c>
      <c r="F564" s="63" t="s">
        <v>385</v>
      </c>
      <c r="G564" s="63">
        <v>1722450201</v>
      </c>
      <c r="H564" s="63">
        <v>3205493000356</v>
      </c>
      <c r="I564" s="63" t="s">
        <v>2661</v>
      </c>
      <c r="J564" s="63" t="s">
        <v>2481</v>
      </c>
      <c r="K564" s="63" t="s">
        <v>64</v>
      </c>
      <c r="L564" s="63" t="s">
        <v>2662</v>
      </c>
      <c r="M564" s="63" t="s">
        <v>374</v>
      </c>
      <c r="N564" s="63" t="s">
        <v>84</v>
      </c>
      <c r="O564" s="63" t="s">
        <v>115</v>
      </c>
      <c r="P564" s="63" t="s">
        <v>116</v>
      </c>
      <c r="Q564" s="63">
        <v>1</v>
      </c>
      <c r="R564" s="63">
        <v>0</v>
      </c>
      <c r="S564" s="63" t="s">
        <v>76</v>
      </c>
      <c r="T564" s="63">
        <v>12.12</v>
      </c>
      <c r="U564" s="62">
        <v>46072.291666666664</v>
      </c>
      <c r="V564" s="63" t="s">
        <v>86</v>
      </c>
      <c r="W564" s="63">
        <v>269.52</v>
      </c>
      <c r="X564" s="63">
        <v>4200</v>
      </c>
      <c r="Y564" s="63" t="s">
        <v>2309</v>
      </c>
    </row>
    <row r="565" spans="1:25" hidden="1">
      <c r="A565" s="62">
        <v>46071.738622685189</v>
      </c>
      <c r="B565" s="63">
        <v>641529</v>
      </c>
      <c r="C565" s="63" t="s">
        <v>372</v>
      </c>
      <c r="D565" s="63"/>
      <c r="E565" s="62">
        <v>46072.772881944446</v>
      </c>
      <c r="F565" s="63" t="s">
        <v>385</v>
      </c>
      <c r="G565" s="63">
        <v>1722450201</v>
      </c>
      <c r="H565" s="63">
        <v>3205493000356</v>
      </c>
      <c r="I565" s="63" t="s">
        <v>2661</v>
      </c>
      <c r="J565" s="63" t="s">
        <v>2481</v>
      </c>
      <c r="K565" s="63" t="s">
        <v>64</v>
      </c>
      <c r="L565" s="63" t="s">
        <v>2662</v>
      </c>
      <c r="M565" s="63" t="s">
        <v>374</v>
      </c>
      <c r="N565" s="63" t="s">
        <v>84</v>
      </c>
      <c r="O565" s="63" t="s">
        <v>125</v>
      </c>
      <c r="P565" s="63" t="s">
        <v>126</v>
      </c>
      <c r="Q565" s="63">
        <v>1</v>
      </c>
      <c r="R565" s="63">
        <v>0</v>
      </c>
      <c r="S565" s="63" t="s">
        <v>76</v>
      </c>
      <c r="T565" s="63">
        <v>12.12</v>
      </c>
      <c r="U565" s="62">
        <v>46072.291666666664</v>
      </c>
      <c r="V565" s="63" t="s">
        <v>86</v>
      </c>
      <c r="W565" s="63">
        <v>269.52</v>
      </c>
      <c r="X565" s="63">
        <v>4200</v>
      </c>
      <c r="Y565" s="63" t="s">
        <v>2309</v>
      </c>
    </row>
    <row r="566" spans="1:25" hidden="1">
      <c r="A566" s="62">
        <v>46071.738622685189</v>
      </c>
      <c r="B566" s="63">
        <v>641529</v>
      </c>
      <c r="C566" s="63" t="s">
        <v>372</v>
      </c>
      <c r="D566" s="63"/>
      <c r="E566" s="62">
        <v>46072.772881944446</v>
      </c>
      <c r="F566" s="63" t="s">
        <v>385</v>
      </c>
      <c r="G566" s="63">
        <v>1722450201</v>
      </c>
      <c r="H566" s="63">
        <v>3205493000356</v>
      </c>
      <c r="I566" s="63" t="s">
        <v>2661</v>
      </c>
      <c r="J566" s="63" t="s">
        <v>2481</v>
      </c>
      <c r="K566" s="63" t="s">
        <v>64</v>
      </c>
      <c r="L566" s="63" t="s">
        <v>2662</v>
      </c>
      <c r="M566" s="63" t="s">
        <v>374</v>
      </c>
      <c r="N566" s="63" t="s">
        <v>84</v>
      </c>
      <c r="O566" s="63" t="s">
        <v>119</v>
      </c>
      <c r="P566" s="63" t="s">
        <v>120</v>
      </c>
      <c r="Q566" s="63">
        <v>1</v>
      </c>
      <c r="R566" s="63">
        <v>0</v>
      </c>
      <c r="S566" s="63" t="s">
        <v>76</v>
      </c>
      <c r="T566" s="63">
        <v>12.12</v>
      </c>
      <c r="U566" s="62">
        <v>46072.291666666664</v>
      </c>
      <c r="V566" s="63" t="s">
        <v>86</v>
      </c>
      <c r="W566" s="63">
        <v>269.52</v>
      </c>
      <c r="X566" s="63">
        <v>4200</v>
      </c>
      <c r="Y566" s="63" t="s">
        <v>2309</v>
      </c>
    </row>
    <row r="567" spans="1:25" hidden="1">
      <c r="A567" s="62">
        <v>46071.738622685189</v>
      </c>
      <c r="B567" s="63">
        <v>641529</v>
      </c>
      <c r="C567" s="63" t="s">
        <v>372</v>
      </c>
      <c r="D567" s="63"/>
      <c r="E567" s="62">
        <v>46072.772881944446</v>
      </c>
      <c r="F567" s="63" t="s">
        <v>385</v>
      </c>
      <c r="G567" s="63">
        <v>1722460201</v>
      </c>
      <c r="H567" s="63">
        <v>3205493000437</v>
      </c>
      <c r="I567" s="63" t="s">
        <v>2663</v>
      </c>
      <c r="J567" s="63" t="s">
        <v>2481</v>
      </c>
      <c r="K567" s="63" t="s">
        <v>64</v>
      </c>
      <c r="L567" s="63" t="s">
        <v>2664</v>
      </c>
      <c r="M567" s="63" t="s">
        <v>377</v>
      </c>
      <c r="N567" s="63" t="s">
        <v>84</v>
      </c>
      <c r="O567" s="63" t="s">
        <v>113</v>
      </c>
      <c r="P567" s="63" t="s">
        <v>114</v>
      </c>
      <c r="Q567" s="63">
        <v>1</v>
      </c>
      <c r="R567" s="63">
        <v>0</v>
      </c>
      <c r="S567" s="63" t="s">
        <v>76</v>
      </c>
      <c r="T567" s="63">
        <v>32.56</v>
      </c>
      <c r="U567" s="62">
        <v>46072.291666666664</v>
      </c>
      <c r="V567" s="63" t="s">
        <v>86</v>
      </c>
      <c r="W567" s="63">
        <v>718.72</v>
      </c>
      <c r="X567" s="63">
        <v>4200</v>
      </c>
      <c r="Y567" s="63" t="s">
        <v>2309</v>
      </c>
    </row>
    <row r="568" spans="1:25" hidden="1">
      <c r="A568" s="62">
        <v>46071.738622685189</v>
      </c>
      <c r="B568" s="63">
        <v>641529</v>
      </c>
      <c r="C568" s="63" t="s">
        <v>372</v>
      </c>
      <c r="D568" s="63"/>
      <c r="E568" s="62">
        <v>46072.772881944446</v>
      </c>
      <c r="F568" s="63" t="s">
        <v>385</v>
      </c>
      <c r="G568" s="63">
        <v>1722460201</v>
      </c>
      <c r="H568" s="63">
        <v>3205493000437</v>
      </c>
      <c r="I568" s="63" t="s">
        <v>2663</v>
      </c>
      <c r="J568" s="63" t="s">
        <v>2481</v>
      </c>
      <c r="K568" s="63" t="s">
        <v>64</v>
      </c>
      <c r="L568" s="63" t="s">
        <v>2664</v>
      </c>
      <c r="M568" s="63" t="s">
        <v>377</v>
      </c>
      <c r="N568" s="63" t="s">
        <v>84</v>
      </c>
      <c r="O568" s="63" t="s">
        <v>115</v>
      </c>
      <c r="P568" s="63" t="s">
        <v>116</v>
      </c>
      <c r="Q568" s="63">
        <v>1</v>
      </c>
      <c r="R568" s="63">
        <v>0</v>
      </c>
      <c r="S568" s="63" t="s">
        <v>76</v>
      </c>
      <c r="T568" s="63">
        <v>32.56</v>
      </c>
      <c r="U568" s="62">
        <v>46072.291666666664</v>
      </c>
      <c r="V568" s="63" t="s">
        <v>86</v>
      </c>
      <c r="W568" s="63">
        <v>718.72</v>
      </c>
      <c r="X568" s="63">
        <v>4200</v>
      </c>
      <c r="Y568" s="63" t="s">
        <v>2309</v>
      </c>
    </row>
    <row r="569" spans="1:25" hidden="1">
      <c r="A569" s="62">
        <v>46071.738622685189</v>
      </c>
      <c r="B569" s="63">
        <v>641529</v>
      </c>
      <c r="C569" s="63" t="s">
        <v>372</v>
      </c>
      <c r="D569" s="63"/>
      <c r="E569" s="62">
        <v>46072.772881944446</v>
      </c>
      <c r="F569" s="63" t="s">
        <v>385</v>
      </c>
      <c r="G569" s="63">
        <v>1722460201</v>
      </c>
      <c r="H569" s="63">
        <v>3205493000437</v>
      </c>
      <c r="I569" s="63" t="s">
        <v>2663</v>
      </c>
      <c r="J569" s="63" t="s">
        <v>2481</v>
      </c>
      <c r="K569" s="63" t="s">
        <v>64</v>
      </c>
      <c r="L569" s="63" t="s">
        <v>2664</v>
      </c>
      <c r="M569" s="63" t="s">
        <v>377</v>
      </c>
      <c r="N569" s="63" t="s">
        <v>84</v>
      </c>
      <c r="O569" s="63" t="s">
        <v>125</v>
      </c>
      <c r="P569" s="63" t="s">
        <v>126</v>
      </c>
      <c r="Q569" s="63">
        <v>1</v>
      </c>
      <c r="R569" s="63">
        <v>0</v>
      </c>
      <c r="S569" s="63" t="s">
        <v>76</v>
      </c>
      <c r="T569" s="63">
        <v>32.56</v>
      </c>
      <c r="U569" s="62">
        <v>46072.291666666664</v>
      </c>
      <c r="V569" s="63" t="s">
        <v>86</v>
      </c>
      <c r="W569" s="63">
        <v>718.72</v>
      </c>
      <c r="X569" s="63">
        <v>4200</v>
      </c>
      <c r="Y569" s="63" t="s">
        <v>2309</v>
      </c>
    </row>
    <row r="570" spans="1:25" hidden="1">
      <c r="A570" s="62">
        <v>46071.738622685189</v>
      </c>
      <c r="B570" s="63">
        <v>641529</v>
      </c>
      <c r="C570" s="63" t="s">
        <v>372</v>
      </c>
      <c r="D570" s="63"/>
      <c r="E570" s="62">
        <v>46072.772881944446</v>
      </c>
      <c r="F570" s="63" t="s">
        <v>385</v>
      </c>
      <c r="G570" s="63">
        <v>1722460201</v>
      </c>
      <c r="H570" s="63">
        <v>3205493000437</v>
      </c>
      <c r="I570" s="63" t="s">
        <v>2663</v>
      </c>
      <c r="J570" s="63" t="s">
        <v>2481</v>
      </c>
      <c r="K570" s="63" t="s">
        <v>64</v>
      </c>
      <c r="L570" s="63" t="s">
        <v>2664</v>
      </c>
      <c r="M570" s="63" t="s">
        <v>377</v>
      </c>
      <c r="N570" s="63" t="s">
        <v>84</v>
      </c>
      <c r="O570" s="63" t="s">
        <v>119</v>
      </c>
      <c r="P570" s="63" t="s">
        <v>120</v>
      </c>
      <c r="Q570" s="63">
        <v>1</v>
      </c>
      <c r="R570" s="63">
        <v>0</v>
      </c>
      <c r="S570" s="63" t="s">
        <v>76</v>
      </c>
      <c r="T570" s="63">
        <v>32.56</v>
      </c>
      <c r="U570" s="62">
        <v>46072.291666666664</v>
      </c>
      <c r="V570" s="63" t="s">
        <v>86</v>
      </c>
      <c r="W570" s="63">
        <v>718.72</v>
      </c>
      <c r="X570" s="63">
        <v>4200</v>
      </c>
      <c r="Y570" s="63" t="s">
        <v>2309</v>
      </c>
    </row>
    <row r="571" spans="1:25" hidden="1">
      <c r="A571" s="62">
        <v>46071.738622685189</v>
      </c>
      <c r="B571" s="63">
        <v>641529</v>
      </c>
      <c r="C571" s="63" t="s">
        <v>372</v>
      </c>
      <c r="D571" s="63"/>
      <c r="E571" s="62">
        <v>46072.772881944446</v>
      </c>
      <c r="F571" s="63" t="s">
        <v>385</v>
      </c>
      <c r="G571" s="63">
        <v>1722470201</v>
      </c>
      <c r="H571" s="63">
        <v>3205493000518</v>
      </c>
      <c r="I571" s="63" t="s">
        <v>2665</v>
      </c>
      <c r="J571" s="63" t="s">
        <v>2481</v>
      </c>
      <c r="K571" s="63" t="s">
        <v>64</v>
      </c>
      <c r="L571" s="63" t="s">
        <v>2666</v>
      </c>
      <c r="M571" s="63" t="s">
        <v>2667</v>
      </c>
      <c r="N571" s="63" t="s">
        <v>84</v>
      </c>
      <c r="O571" s="63" t="s">
        <v>113</v>
      </c>
      <c r="P571" s="63" t="s">
        <v>114</v>
      </c>
      <c r="Q571" s="63">
        <v>1</v>
      </c>
      <c r="R571" s="63">
        <v>0</v>
      </c>
      <c r="S571" s="63" t="s">
        <v>76</v>
      </c>
      <c r="T571" s="63">
        <v>25.64</v>
      </c>
      <c r="U571" s="62">
        <v>46072.291666666664</v>
      </c>
      <c r="V571" s="63" t="s">
        <v>86</v>
      </c>
      <c r="W571" s="63">
        <v>614.16999999999996</v>
      </c>
      <c r="X571" s="63">
        <v>4200</v>
      </c>
      <c r="Y571" s="63" t="s">
        <v>2309</v>
      </c>
    </row>
    <row r="572" spans="1:25" hidden="1">
      <c r="A572" s="62">
        <v>46071.738622685189</v>
      </c>
      <c r="B572" s="63">
        <v>641529</v>
      </c>
      <c r="C572" s="63" t="s">
        <v>372</v>
      </c>
      <c r="D572" s="63"/>
      <c r="E572" s="62">
        <v>46072.772881944446</v>
      </c>
      <c r="F572" s="63" t="s">
        <v>385</v>
      </c>
      <c r="G572" s="63">
        <v>1722470201</v>
      </c>
      <c r="H572" s="63">
        <v>3205493000518</v>
      </c>
      <c r="I572" s="63" t="s">
        <v>2665</v>
      </c>
      <c r="J572" s="63" t="s">
        <v>2481</v>
      </c>
      <c r="K572" s="63" t="s">
        <v>64</v>
      </c>
      <c r="L572" s="63" t="s">
        <v>2666</v>
      </c>
      <c r="M572" s="63" t="s">
        <v>2667</v>
      </c>
      <c r="N572" s="63" t="s">
        <v>84</v>
      </c>
      <c r="O572" s="63" t="s">
        <v>117</v>
      </c>
      <c r="P572" s="63" t="s">
        <v>118</v>
      </c>
      <c r="Q572" s="63">
        <v>1</v>
      </c>
      <c r="R572" s="63">
        <v>0</v>
      </c>
      <c r="S572" s="63" t="s">
        <v>76</v>
      </c>
      <c r="T572" s="63">
        <v>25.64</v>
      </c>
      <c r="U572" s="62">
        <v>46072.291666666664</v>
      </c>
      <c r="V572" s="63" t="s">
        <v>86</v>
      </c>
      <c r="W572" s="63">
        <v>614.16999999999996</v>
      </c>
      <c r="X572" s="63">
        <v>4200</v>
      </c>
      <c r="Y572" s="63" t="s">
        <v>2309</v>
      </c>
    </row>
    <row r="573" spans="1:25" hidden="1">
      <c r="A573" s="62">
        <v>46071.738622685189</v>
      </c>
      <c r="B573" s="63">
        <v>641529</v>
      </c>
      <c r="C573" s="63" t="s">
        <v>372</v>
      </c>
      <c r="D573" s="63"/>
      <c r="E573" s="62">
        <v>46072.772881944446</v>
      </c>
      <c r="F573" s="63" t="s">
        <v>385</v>
      </c>
      <c r="G573" s="63">
        <v>1722470201</v>
      </c>
      <c r="H573" s="63">
        <v>3205493000518</v>
      </c>
      <c r="I573" s="63" t="s">
        <v>2665</v>
      </c>
      <c r="J573" s="63" t="s">
        <v>2481</v>
      </c>
      <c r="K573" s="63" t="s">
        <v>64</v>
      </c>
      <c r="L573" s="63" t="s">
        <v>2666</v>
      </c>
      <c r="M573" s="63" t="s">
        <v>2667</v>
      </c>
      <c r="N573" s="63" t="s">
        <v>84</v>
      </c>
      <c r="O573" s="63" t="s">
        <v>125</v>
      </c>
      <c r="P573" s="63" t="s">
        <v>126</v>
      </c>
      <c r="Q573" s="63">
        <v>1</v>
      </c>
      <c r="R573" s="63">
        <v>0</v>
      </c>
      <c r="S573" s="63" t="s">
        <v>76</v>
      </c>
      <c r="T573" s="63">
        <v>25.64</v>
      </c>
      <c r="U573" s="62">
        <v>46072.291666666664</v>
      </c>
      <c r="V573" s="63" t="s">
        <v>86</v>
      </c>
      <c r="W573" s="63">
        <v>614.16999999999996</v>
      </c>
      <c r="X573" s="63">
        <v>4200</v>
      </c>
      <c r="Y573" s="63" t="s">
        <v>2309</v>
      </c>
    </row>
    <row r="574" spans="1:25" hidden="1">
      <c r="A574" s="62">
        <v>46071.738622685189</v>
      </c>
      <c r="B574" s="63">
        <v>641529</v>
      </c>
      <c r="C574" s="63" t="s">
        <v>372</v>
      </c>
      <c r="D574" s="63"/>
      <c r="E574" s="62">
        <v>46072.772881944446</v>
      </c>
      <c r="F574" s="63" t="s">
        <v>385</v>
      </c>
      <c r="G574" s="63">
        <v>1722470201</v>
      </c>
      <c r="H574" s="63">
        <v>3205493000518</v>
      </c>
      <c r="I574" s="63" t="s">
        <v>2665</v>
      </c>
      <c r="J574" s="63" t="s">
        <v>2481</v>
      </c>
      <c r="K574" s="63" t="s">
        <v>64</v>
      </c>
      <c r="L574" s="63" t="s">
        <v>2666</v>
      </c>
      <c r="M574" s="63" t="s">
        <v>2667</v>
      </c>
      <c r="N574" s="63" t="s">
        <v>84</v>
      </c>
      <c r="O574" s="63" t="s">
        <v>119</v>
      </c>
      <c r="P574" s="63" t="s">
        <v>120</v>
      </c>
      <c r="Q574" s="63">
        <v>2</v>
      </c>
      <c r="R574" s="63">
        <v>0</v>
      </c>
      <c r="S574" s="63" t="s">
        <v>76</v>
      </c>
      <c r="T574" s="63">
        <v>25.64</v>
      </c>
      <c r="U574" s="62">
        <v>46072.291666666664</v>
      </c>
      <c r="V574" s="63" t="s">
        <v>86</v>
      </c>
      <c r="W574" s="63">
        <v>614.16999999999996</v>
      </c>
      <c r="X574" s="63">
        <v>4200</v>
      </c>
      <c r="Y574" s="63" t="s">
        <v>2309</v>
      </c>
    </row>
    <row r="575" spans="1:25" hidden="1">
      <c r="A575" s="62">
        <v>46071.738622685189</v>
      </c>
      <c r="B575" s="63">
        <v>641529</v>
      </c>
      <c r="C575" s="63" t="s">
        <v>372</v>
      </c>
      <c r="D575" s="63"/>
      <c r="E575" s="62">
        <v>46072.772881944446</v>
      </c>
      <c r="F575" s="63" t="s">
        <v>385</v>
      </c>
      <c r="G575" s="63">
        <v>1722470201</v>
      </c>
      <c r="H575" s="63">
        <v>3205493000518</v>
      </c>
      <c r="I575" s="63" t="s">
        <v>2665</v>
      </c>
      <c r="J575" s="63" t="s">
        <v>2481</v>
      </c>
      <c r="K575" s="63" t="s">
        <v>64</v>
      </c>
      <c r="L575" s="63" t="s">
        <v>2666</v>
      </c>
      <c r="M575" s="63" t="s">
        <v>2667</v>
      </c>
      <c r="N575" s="63" t="s">
        <v>84</v>
      </c>
      <c r="O575" s="63" t="s">
        <v>87</v>
      </c>
      <c r="P575" s="63" t="s">
        <v>88</v>
      </c>
      <c r="Q575" s="63">
        <v>1</v>
      </c>
      <c r="R575" s="63">
        <v>0</v>
      </c>
      <c r="S575" s="63" t="s">
        <v>76</v>
      </c>
      <c r="T575" s="63">
        <v>25.64</v>
      </c>
      <c r="U575" s="62">
        <v>46072.291666666664</v>
      </c>
      <c r="V575" s="63" t="s">
        <v>86</v>
      </c>
      <c r="W575" s="63">
        <v>614.16999999999996</v>
      </c>
      <c r="X575" s="63">
        <v>4200</v>
      </c>
      <c r="Y575" s="63" t="s">
        <v>2309</v>
      </c>
    </row>
    <row r="576" spans="1:25" hidden="1">
      <c r="A576" s="62">
        <v>46071.738622685189</v>
      </c>
      <c r="B576" s="63">
        <v>641529</v>
      </c>
      <c r="C576" s="63" t="s">
        <v>372</v>
      </c>
      <c r="D576" s="63"/>
      <c r="E576" s="62">
        <v>46072.772881944446</v>
      </c>
      <c r="F576" s="63" t="s">
        <v>385</v>
      </c>
      <c r="G576" s="63">
        <v>1722510201</v>
      </c>
      <c r="H576" s="63">
        <v>3205493000356</v>
      </c>
      <c r="I576" s="63" t="s">
        <v>2661</v>
      </c>
      <c r="J576" s="63" t="s">
        <v>2481</v>
      </c>
      <c r="K576" s="63" t="s">
        <v>64</v>
      </c>
      <c r="L576" s="63" t="s">
        <v>2662</v>
      </c>
      <c r="M576" s="63" t="s">
        <v>374</v>
      </c>
      <c r="N576" s="63" t="s">
        <v>84</v>
      </c>
      <c r="O576" s="63" t="s">
        <v>378</v>
      </c>
      <c r="P576" s="63" t="s">
        <v>379</v>
      </c>
      <c r="Q576" s="63">
        <v>1</v>
      </c>
      <c r="R576" s="63">
        <v>0</v>
      </c>
      <c r="S576" s="63" t="s">
        <v>76</v>
      </c>
      <c r="T576" s="63">
        <v>22</v>
      </c>
      <c r="U576" s="62">
        <v>46072.291666666664</v>
      </c>
      <c r="V576" s="63" t="s">
        <v>86</v>
      </c>
      <c r="W576" s="63">
        <v>715.8</v>
      </c>
      <c r="X576" s="63">
        <v>4200</v>
      </c>
      <c r="Y576" s="63" t="s">
        <v>2309</v>
      </c>
    </row>
    <row r="577" spans="1:25" hidden="1">
      <c r="A577" s="62">
        <v>46071.738622685189</v>
      </c>
      <c r="B577" s="63">
        <v>641529</v>
      </c>
      <c r="C577" s="63" t="s">
        <v>372</v>
      </c>
      <c r="D577" s="63"/>
      <c r="E577" s="62">
        <v>46072.772881944446</v>
      </c>
      <c r="F577" s="63" t="s">
        <v>385</v>
      </c>
      <c r="G577" s="63">
        <v>1722510201</v>
      </c>
      <c r="H577" s="63">
        <v>3205493000356</v>
      </c>
      <c r="I577" s="63" t="s">
        <v>2661</v>
      </c>
      <c r="J577" s="63" t="s">
        <v>2481</v>
      </c>
      <c r="K577" s="63" t="s">
        <v>64</v>
      </c>
      <c r="L577" s="63" t="s">
        <v>2662</v>
      </c>
      <c r="M577" s="63" t="s">
        <v>374</v>
      </c>
      <c r="N577" s="63" t="s">
        <v>84</v>
      </c>
      <c r="O577" s="63" t="s">
        <v>427</v>
      </c>
      <c r="P577" s="63" t="s">
        <v>428</v>
      </c>
      <c r="Q577" s="63">
        <v>1</v>
      </c>
      <c r="R577" s="63">
        <v>0</v>
      </c>
      <c r="S577" s="63" t="s">
        <v>76</v>
      </c>
      <c r="T577" s="63">
        <v>22</v>
      </c>
      <c r="U577" s="62">
        <v>46072.291666666664</v>
      </c>
      <c r="V577" s="63" t="s">
        <v>86</v>
      </c>
      <c r="W577" s="63">
        <v>715.8</v>
      </c>
      <c r="X577" s="63">
        <v>4200</v>
      </c>
      <c r="Y577" s="63" t="s">
        <v>2309</v>
      </c>
    </row>
    <row r="578" spans="1:25" hidden="1">
      <c r="A578" s="62">
        <v>46071.738622685189</v>
      </c>
      <c r="B578" s="63">
        <v>641529</v>
      </c>
      <c r="C578" s="63" t="s">
        <v>372</v>
      </c>
      <c r="D578" s="63"/>
      <c r="E578" s="62">
        <v>46072.772881944446</v>
      </c>
      <c r="F578" s="63" t="s">
        <v>385</v>
      </c>
      <c r="G578" s="63">
        <v>1722520201</v>
      </c>
      <c r="H578" s="63">
        <v>3205493000437</v>
      </c>
      <c r="I578" s="63" t="s">
        <v>2663</v>
      </c>
      <c r="J578" s="63" t="s">
        <v>2481</v>
      </c>
      <c r="K578" s="63" t="s">
        <v>64</v>
      </c>
      <c r="L578" s="63" t="s">
        <v>2664</v>
      </c>
      <c r="M578" s="63" t="s">
        <v>377</v>
      </c>
      <c r="N578" s="63" t="s">
        <v>84</v>
      </c>
      <c r="O578" s="63" t="s">
        <v>68</v>
      </c>
      <c r="P578" s="63" t="s">
        <v>69</v>
      </c>
      <c r="Q578" s="63">
        <v>140</v>
      </c>
      <c r="R578" s="63">
        <v>0</v>
      </c>
      <c r="S578" s="63" t="s">
        <v>70</v>
      </c>
      <c r="T578" s="63">
        <v>751.52</v>
      </c>
      <c r="U578" s="62">
        <v>46072.291666666664</v>
      </c>
      <c r="V578" s="63" t="s">
        <v>86</v>
      </c>
      <c r="W578" s="63">
        <v>5868.18</v>
      </c>
      <c r="X578" s="63">
        <v>4200</v>
      </c>
      <c r="Y578" s="63" t="s">
        <v>2309</v>
      </c>
    </row>
    <row r="579" spans="1:25" hidden="1">
      <c r="A579" s="62">
        <v>46071.738622685189</v>
      </c>
      <c r="B579" s="63">
        <v>641529</v>
      </c>
      <c r="C579" s="63" t="s">
        <v>372</v>
      </c>
      <c r="D579" s="63"/>
      <c r="E579" s="62">
        <v>46072.772881944446</v>
      </c>
      <c r="F579" s="63" t="s">
        <v>385</v>
      </c>
      <c r="G579" s="63">
        <v>1722520201</v>
      </c>
      <c r="H579" s="63">
        <v>3205493000437</v>
      </c>
      <c r="I579" s="63" t="s">
        <v>2663</v>
      </c>
      <c r="J579" s="63" t="s">
        <v>2481</v>
      </c>
      <c r="K579" s="63" t="s">
        <v>64</v>
      </c>
      <c r="L579" s="63" t="s">
        <v>2664</v>
      </c>
      <c r="M579" s="63" t="s">
        <v>377</v>
      </c>
      <c r="N579" s="63" t="s">
        <v>84</v>
      </c>
      <c r="O579" s="63" t="s">
        <v>141</v>
      </c>
      <c r="P579" s="63" t="s">
        <v>142</v>
      </c>
      <c r="Q579" s="63">
        <v>2</v>
      </c>
      <c r="R579" s="63">
        <v>0</v>
      </c>
      <c r="S579" s="63" t="s">
        <v>70</v>
      </c>
      <c r="T579" s="63">
        <v>751.52</v>
      </c>
      <c r="U579" s="62">
        <v>46072.291666666664</v>
      </c>
      <c r="V579" s="63" t="s">
        <v>86</v>
      </c>
      <c r="W579" s="63">
        <v>5868.18</v>
      </c>
      <c r="X579" s="63">
        <v>4200</v>
      </c>
      <c r="Y579" s="63" t="s">
        <v>2309</v>
      </c>
    </row>
    <row r="580" spans="1:25" hidden="1">
      <c r="A580" s="62">
        <v>46071.738622685189</v>
      </c>
      <c r="B580" s="63">
        <v>641529</v>
      </c>
      <c r="C580" s="63" t="s">
        <v>372</v>
      </c>
      <c r="D580" s="63"/>
      <c r="E580" s="62">
        <v>46072.772881944446</v>
      </c>
      <c r="F580" s="63" t="s">
        <v>385</v>
      </c>
      <c r="G580" s="63">
        <v>1722520201</v>
      </c>
      <c r="H580" s="63">
        <v>3205493000437</v>
      </c>
      <c r="I580" s="63" t="s">
        <v>2663</v>
      </c>
      <c r="J580" s="63" t="s">
        <v>2481</v>
      </c>
      <c r="K580" s="63" t="s">
        <v>64</v>
      </c>
      <c r="L580" s="63" t="s">
        <v>2664</v>
      </c>
      <c r="M580" s="63" t="s">
        <v>377</v>
      </c>
      <c r="N580" s="63" t="s">
        <v>84</v>
      </c>
      <c r="O580" s="63" t="s">
        <v>405</v>
      </c>
      <c r="P580" s="63" t="s">
        <v>2668</v>
      </c>
      <c r="Q580" s="63">
        <v>1</v>
      </c>
      <c r="R580" s="63">
        <v>0</v>
      </c>
      <c r="S580" s="63" t="s">
        <v>76</v>
      </c>
      <c r="T580" s="63">
        <v>751.52</v>
      </c>
      <c r="U580" s="62">
        <v>46072.291666666664</v>
      </c>
      <c r="V580" s="63" t="s">
        <v>86</v>
      </c>
      <c r="W580" s="63">
        <v>5868.18</v>
      </c>
      <c r="X580" s="63">
        <v>4200</v>
      </c>
      <c r="Y580" s="63" t="s">
        <v>2309</v>
      </c>
    </row>
    <row r="581" spans="1:25" hidden="1">
      <c r="A581" s="62">
        <v>46071.738622685189</v>
      </c>
      <c r="B581" s="63">
        <v>641529</v>
      </c>
      <c r="C581" s="63" t="s">
        <v>372</v>
      </c>
      <c r="D581" s="63"/>
      <c r="E581" s="62">
        <v>46072.772881944446</v>
      </c>
      <c r="F581" s="63" t="s">
        <v>385</v>
      </c>
      <c r="G581" s="63">
        <v>1722520201</v>
      </c>
      <c r="H581" s="63">
        <v>3205493000437</v>
      </c>
      <c r="I581" s="63" t="s">
        <v>2663</v>
      </c>
      <c r="J581" s="63" t="s">
        <v>2481</v>
      </c>
      <c r="K581" s="63" t="s">
        <v>64</v>
      </c>
      <c r="L581" s="63" t="s">
        <v>2664</v>
      </c>
      <c r="M581" s="63" t="s">
        <v>377</v>
      </c>
      <c r="N581" s="63" t="s">
        <v>84</v>
      </c>
      <c r="O581" s="63" t="s">
        <v>378</v>
      </c>
      <c r="P581" s="63" t="s">
        <v>379</v>
      </c>
      <c r="Q581" s="63">
        <v>1</v>
      </c>
      <c r="R581" s="63">
        <v>0</v>
      </c>
      <c r="S581" s="63" t="s">
        <v>76</v>
      </c>
      <c r="T581" s="63">
        <v>751.52</v>
      </c>
      <c r="U581" s="62">
        <v>46072.291666666664</v>
      </c>
      <c r="V581" s="63" t="s">
        <v>86</v>
      </c>
      <c r="W581" s="63">
        <v>5868.18</v>
      </c>
      <c r="X581" s="63">
        <v>4200</v>
      </c>
      <c r="Y581" s="63" t="s">
        <v>2309</v>
      </c>
    </row>
    <row r="582" spans="1:25" hidden="1">
      <c r="A582" s="62">
        <v>46071.738622685189</v>
      </c>
      <c r="B582" s="63">
        <v>641529</v>
      </c>
      <c r="C582" s="63" t="s">
        <v>372</v>
      </c>
      <c r="D582" s="63"/>
      <c r="E582" s="62">
        <v>46072.772881944446</v>
      </c>
      <c r="F582" s="63" t="s">
        <v>385</v>
      </c>
      <c r="G582" s="63">
        <v>1722520201</v>
      </c>
      <c r="H582" s="63">
        <v>3205493000437</v>
      </c>
      <c r="I582" s="63" t="s">
        <v>2663</v>
      </c>
      <c r="J582" s="63" t="s">
        <v>2481</v>
      </c>
      <c r="K582" s="63" t="s">
        <v>64</v>
      </c>
      <c r="L582" s="63" t="s">
        <v>2664</v>
      </c>
      <c r="M582" s="63" t="s">
        <v>377</v>
      </c>
      <c r="N582" s="63" t="s">
        <v>84</v>
      </c>
      <c r="O582" s="63" t="s">
        <v>425</v>
      </c>
      <c r="P582" s="63" t="s">
        <v>426</v>
      </c>
      <c r="Q582" s="63">
        <v>1</v>
      </c>
      <c r="R582" s="63">
        <v>0</v>
      </c>
      <c r="S582" s="63" t="s">
        <v>76</v>
      </c>
      <c r="T582" s="63">
        <v>751.52</v>
      </c>
      <c r="U582" s="62">
        <v>46072.291666666664</v>
      </c>
      <c r="V582" s="63" t="s">
        <v>86</v>
      </c>
      <c r="W582" s="63">
        <v>5868.18</v>
      </c>
      <c r="X582" s="63">
        <v>4200</v>
      </c>
      <c r="Y582" s="63" t="s">
        <v>2309</v>
      </c>
    </row>
    <row r="583" spans="1:25" hidden="1">
      <c r="A583" s="62">
        <v>46071.738622685189</v>
      </c>
      <c r="B583" s="63">
        <v>641529</v>
      </c>
      <c r="C583" s="63" t="s">
        <v>372</v>
      </c>
      <c r="D583" s="63"/>
      <c r="E583" s="62">
        <v>46072.772881944446</v>
      </c>
      <c r="F583" s="63" t="s">
        <v>385</v>
      </c>
      <c r="G583" s="63">
        <v>1722520201</v>
      </c>
      <c r="H583" s="63">
        <v>3205493000437</v>
      </c>
      <c r="I583" s="63" t="s">
        <v>2663</v>
      </c>
      <c r="J583" s="63" t="s">
        <v>2481</v>
      </c>
      <c r="K583" s="63" t="s">
        <v>64</v>
      </c>
      <c r="L583" s="63" t="s">
        <v>2664</v>
      </c>
      <c r="M583" s="63" t="s">
        <v>377</v>
      </c>
      <c r="N583" s="63" t="s">
        <v>84</v>
      </c>
      <c r="O583" s="63" t="s">
        <v>427</v>
      </c>
      <c r="P583" s="63" t="s">
        <v>428</v>
      </c>
      <c r="Q583" s="63">
        <v>1</v>
      </c>
      <c r="R583" s="63">
        <v>0</v>
      </c>
      <c r="S583" s="63" t="s">
        <v>76</v>
      </c>
      <c r="T583" s="63">
        <v>751.52</v>
      </c>
      <c r="U583" s="62">
        <v>46072.291666666664</v>
      </c>
      <c r="V583" s="63" t="s">
        <v>86</v>
      </c>
      <c r="W583" s="63">
        <v>5868.18</v>
      </c>
      <c r="X583" s="63">
        <v>4200</v>
      </c>
      <c r="Y583" s="63" t="s">
        <v>2309</v>
      </c>
    </row>
    <row r="584" spans="1:25" hidden="1">
      <c r="A584" s="62">
        <v>46071.738622685189</v>
      </c>
      <c r="B584" s="63">
        <v>641529</v>
      </c>
      <c r="C584" s="63" t="s">
        <v>372</v>
      </c>
      <c r="D584" s="63"/>
      <c r="E584" s="62">
        <v>46072.772881944446</v>
      </c>
      <c r="F584" s="63" t="s">
        <v>385</v>
      </c>
      <c r="G584" s="63">
        <v>1722530201</v>
      </c>
      <c r="H584" s="63">
        <v>3205493000518</v>
      </c>
      <c r="I584" s="63" t="s">
        <v>2665</v>
      </c>
      <c r="J584" s="63" t="s">
        <v>2481</v>
      </c>
      <c r="K584" s="63" t="s">
        <v>64</v>
      </c>
      <c r="L584" s="63" t="s">
        <v>2666</v>
      </c>
      <c r="M584" s="63" t="s">
        <v>2667</v>
      </c>
      <c r="N584" s="63" t="s">
        <v>84</v>
      </c>
      <c r="O584" s="63" t="s">
        <v>68</v>
      </c>
      <c r="P584" s="63" t="s">
        <v>69</v>
      </c>
      <c r="Q584" s="63">
        <v>140</v>
      </c>
      <c r="R584" s="63">
        <v>0</v>
      </c>
      <c r="S584" s="63" t="s">
        <v>70</v>
      </c>
      <c r="T584" s="63">
        <v>804.41</v>
      </c>
      <c r="U584" s="62">
        <v>46072.291666666664</v>
      </c>
      <c r="V584" s="63" t="s">
        <v>86</v>
      </c>
      <c r="W584" s="63">
        <v>5415.58</v>
      </c>
      <c r="X584" s="63">
        <v>4200</v>
      </c>
      <c r="Y584" s="63" t="s">
        <v>2309</v>
      </c>
    </row>
    <row r="585" spans="1:25" hidden="1">
      <c r="A585" s="62">
        <v>46071.738622685189</v>
      </c>
      <c r="B585" s="63">
        <v>641529</v>
      </c>
      <c r="C585" s="63" t="s">
        <v>372</v>
      </c>
      <c r="D585" s="63"/>
      <c r="E585" s="62">
        <v>46072.772881944446</v>
      </c>
      <c r="F585" s="63" t="s">
        <v>385</v>
      </c>
      <c r="G585" s="63">
        <v>1722530201</v>
      </c>
      <c r="H585" s="63">
        <v>3205493000518</v>
      </c>
      <c r="I585" s="63" t="s">
        <v>2665</v>
      </c>
      <c r="J585" s="63" t="s">
        <v>2481</v>
      </c>
      <c r="K585" s="63" t="s">
        <v>64</v>
      </c>
      <c r="L585" s="63" t="s">
        <v>2666</v>
      </c>
      <c r="M585" s="63" t="s">
        <v>2667</v>
      </c>
      <c r="N585" s="63" t="s">
        <v>84</v>
      </c>
      <c r="O585" s="63" t="s">
        <v>91</v>
      </c>
      <c r="P585" s="63" t="s">
        <v>92</v>
      </c>
      <c r="Q585" s="63">
        <v>12</v>
      </c>
      <c r="R585" s="63">
        <v>0</v>
      </c>
      <c r="S585" s="63" t="s">
        <v>70</v>
      </c>
      <c r="T585" s="63">
        <v>804.41</v>
      </c>
      <c r="U585" s="62">
        <v>46072.291666666664</v>
      </c>
      <c r="V585" s="63" t="s">
        <v>86</v>
      </c>
      <c r="W585" s="63">
        <v>5415.58</v>
      </c>
      <c r="X585" s="63">
        <v>4200</v>
      </c>
      <c r="Y585" s="63" t="s">
        <v>2309</v>
      </c>
    </row>
    <row r="586" spans="1:25" hidden="1">
      <c r="A586" s="62">
        <v>46071.738622685189</v>
      </c>
      <c r="B586" s="63">
        <v>641529</v>
      </c>
      <c r="C586" s="63" t="s">
        <v>372</v>
      </c>
      <c r="D586" s="63"/>
      <c r="E586" s="62">
        <v>46072.772881944446</v>
      </c>
      <c r="F586" s="63" t="s">
        <v>385</v>
      </c>
      <c r="G586" s="63">
        <v>1722530201</v>
      </c>
      <c r="H586" s="63">
        <v>3205493000518</v>
      </c>
      <c r="I586" s="63" t="s">
        <v>2665</v>
      </c>
      <c r="J586" s="63" t="s">
        <v>2481</v>
      </c>
      <c r="K586" s="63" t="s">
        <v>64</v>
      </c>
      <c r="L586" s="63" t="s">
        <v>2666</v>
      </c>
      <c r="M586" s="63" t="s">
        <v>2667</v>
      </c>
      <c r="N586" s="63" t="s">
        <v>84</v>
      </c>
      <c r="O586" s="63" t="s">
        <v>141</v>
      </c>
      <c r="P586" s="63" t="s">
        <v>142</v>
      </c>
      <c r="Q586" s="63">
        <v>2</v>
      </c>
      <c r="R586" s="63">
        <v>0</v>
      </c>
      <c r="S586" s="63" t="s">
        <v>70</v>
      </c>
      <c r="T586" s="63">
        <v>804.41</v>
      </c>
      <c r="U586" s="62">
        <v>46072.291666666664</v>
      </c>
      <c r="V586" s="63" t="s">
        <v>86</v>
      </c>
      <c r="W586" s="63">
        <v>5415.58</v>
      </c>
      <c r="X586" s="63">
        <v>4200</v>
      </c>
      <c r="Y586" s="63" t="s">
        <v>2309</v>
      </c>
    </row>
    <row r="587" spans="1:25" hidden="1">
      <c r="A587" s="62">
        <v>46071.738622685189</v>
      </c>
      <c r="B587" s="63">
        <v>641529</v>
      </c>
      <c r="C587" s="63" t="s">
        <v>372</v>
      </c>
      <c r="D587" s="63"/>
      <c r="E587" s="62">
        <v>46072.772881944446</v>
      </c>
      <c r="F587" s="63" t="s">
        <v>385</v>
      </c>
      <c r="G587" s="63">
        <v>1722530201</v>
      </c>
      <c r="H587" s="63">
        <v>3205493000518</v>
      </c>
      <c r="I587" s="63" t="s">
        <v>2665</v>
      </c>
      <c r="J587" s="63" t="s">
        <v>2481</v>
      </c>
      <c r="K587" s="63" t="s">
        <v>64</v>
      </c>
      <c r="L587" s="63" t="s">
        <v>2666</v>
      </c>
      <c r="M587" s="63" t="s">
        <v>2667</v>
      </c>
      <c r="N587" s="63" t="s">
        <v>84</v>
      </c>
      <c r="O587" s="63" t="s">
        <v>107</v>
      </c>
      <c r="P587" s="63" t="s">
        <v>108</v>
      </c>
      <c r="Q587" s="63">
        <v>3</v>
      </c>
      <c r="R587" s="63">
        <v>0</v>
      </c>
      <c r="S587" s="63" t="s">
        <v>76</v>
      </c>
      <c r="T587" s="63">
        <v>804.41</v>
      </c>
      <c r="U587" s="62">
        <v>46072.291666666664</v>
      </c>
      <c r="V587" s="63" t="s">
        <v>86</v>
      </c>
      <c r="W587" s="63">
        <v>5415.58</v>
      </c>
      <c r="X587" s="63">
        <v>4200</v>
      </c>
      <c r="Y587" s="63" t="s">
        <v>2309</v>
      </c>
    </row>
    <row r="588" spans="1:25" hidden="1">
      <c r="A588" s="62">
        <v>46071.738622685189</v>
      </c>
      <c r="B588" s="63">
        <v>641529</v>
      </c>
      <c r="C588" s="63" t="s">
        <v>372</v>
      </c>
      <c r="D588" s="63"/>
      <c r="E588" s="62">
        <v>46072.772893518515</v>
      </c>
      <c r="F588" s="63" t="s">
        <v>385</v>
      </c>
      <c r="G588" s="63">
        <v>1721070201</v>
      </c>
      <c r="H588" s="63">
        <v>45827425003556</v>
      </c>
      <c r="I588" s="63" t="s">
        <v>2669</v>
      </c>
      <c r="J588" s="63" t="s">
        <v>2520</v>
      </c>
      <c r="K588" s="63" t="s">
        <v>64</v>
      </c>
      <c r="L588" s="63" t="s">
        <v>2670</v>
      </c>
      <c r="M588" s="63" t="s">
        <v>2671</v>
      </c>
      <c r="N588" s="63" t="s">
        <v>84</v>
      </c>
      <c r="O588" s="63" t="s">
        <v>93</v>
      </c>
      <c r="P588" s="63" t="s">
        <v>94</v>
      </c>
      <c r="Q588" s="63">
        <v>8</v>
      </c>
      <c r="R588" s="63">
        <v>0</v>
      </c>
      <c r="S588" s="63" t="s">
        <v>70</v>
      </c>
      <c r="T588" s="63">
        <v>120</v>
      </c>
      <c r="U588" s="62">
        <v>46072.291666666664</v>
      </c>
      <c r="V588" s="63" t="s">
        <v>86</v>
      </c>
      <c r="W588" s="63">
        <v>1699.94</v>
      </c>
      <c r="X588" s="63">
        <v>4200</v>
      </c>
      <c r="Y588" s="63" t="s">
        <v>2309</v>
      </c>
    </row>
    <row r="589" spans="1:25" hidden="1">
      <c r="A589" s="62">
        <v>46071.738622685189</v>
      </c>
      <c r="B589" s="63">
        <v>641529</v>
      </c>
      <c r="C589" s="63" t="s">
        <v>372</v>
      </c>
      <c r="D589" s="63"/>
      <c r="E589" s="62">
        <v>46072.772893518515</v>
      </c>
      <c r="F589" s="63" t="s">
        <v>385</v>
      </c>
      <c r="G589" s="63">
        <v>1721070201</v>
      </c>
      <c r="H589" s="63">
        <v>45827425003556</v>
      </c>
      <c r="I589" s="63" t="s">
        <v>2669</v>
      </c>
      <c r="J589" s="63" t="s">
        <v>2520</v>
      </c>
      <c r="K589" s="63" t="s">
        <v>64</v>
      </c>
      <c r="L589" s="63" t="s">
        <v>2670</v>
      </c>
      <c r="M589" s="63" t="s">
        <v>2671</v>
      </c>
      <c r="N589" s="63" t="s">
        <v>84</v>
      </c>
      <c r="O589" s="63" t="s">
        <v>72</v>
      </c>
      <c r="P589" s="63" t="s">
        <v>73</v>
      </c>
      <c r="Q589" s="63">
        <v>8</v>
      </c>
      <c r="R589" s="63">
        <v>0</v>
      </c>
      <c r="S589" s="63" t="s">
        <v>70</v>
      </c>
      <c r="T589" s="63">
        <v>120</v>
      </c>
      <c r="U589" s="62">
        <v>46072.291666666664</v>
      </c>
      <c r="V589" s="63" t="s">
        <v>86</v>
      </c>
      <c r="W589" s="63">
        <v>1699.94</v>
      </c>
      <c r="X589" s="63">
        <v>4200</v>
      </c>
      <c r="Y589" s="63" t="s">
        <v>2309</v>
      </c>
    </row>
    <row r="590" spans="1:25" hidden="1">
      <c r="A590" s="62">
        <v>46071.738622685189</v>
      </c>
      <c r="B590" s="63">
        <v>641529</v>
      </c>
      <c r="C590" s="63" t="s">
        <v>372</v>
      </c>
      <c r="D590" s="63"/>
      <c r="E590" s="62">
        <v>46072.772893518515</v>
      </c>
      <c r="F590" s="63" t="s">
        <v>385</v>
      </c>
      <c r="G590" s="63">
        <v>1721070201</v>
      </c>
      <c r="H590" s="63">
        <v>45827425003556</v>
      </c>
      <c r="I590" s="63" t="s">
        <v>2669</v>
      </c>
      <c r="J590" s="63" t="s">
        <v>2520</v>
      </c>
      <c r="K590" s="63" t="s">
        <v>64</v>
      </c>
      <c r="L590" s="63" t="s">
        <v>2670</v>
      </c>
      <c r="M590" s="63" t="s">
        <v>2671</v>
      </c>
      <c r="N590" s="63" t="s">
        <v>84</v>
      </c>
      <c r="O590" s="63" t="s">
        <v>74</v>
      </c>
      <c r="P590" s="63" t="s">
        <v>75</v>
      </c>
      <c r="Q590" s="63">
        <v>4</v>
      </c>
      <c r="R590" s="63">
        <v>0</v>
      </c>
      <c r="S590" s="63" t="s">
        <v>76</v>
      </c>
      <c r="T590" s="63">
        <v>120</v>
      </c>
      <c r="U590" s="62">
        <v>46072.291666666664</v>
      </c>
      <c r="V590" s="63" t="s">
        <v>86</v>
      </c>
      <c r="W590" s="63">
        <v>1699.94</v>
      </c>
      <c r="X590" s="63">
        <v>4200</v>
      </c>
      <c r="Y590" s="63" t="s">
        <v>2309</v>
      </c>
    </row>
    <row r="591" spans="1:25" hidden="1">
      <c r="A591" s="62">
        <v>46071.738622685189</v>
      </c>
      <c r="B591" s="63">
        <v>641529</v>
      </c>
      <c r="C591" s="63" t="s">
        <v>372</v>
      </c>
      <c r="D591" s="63"/>
      <c r="E591" s="62">
        <v>46072.772905092592</v>
      </c>
      <c r="F591" s="63" t="s">
        <v>385</v>
      </c>
      <c r="G591" s="63">
        <v>1725440201</v>
      </c>
      <c r="H591" s="63">
        <v>26563652063391</v>
      </c>
      <c r="I591" s="63" t="s">
        <v>2672</v>
      </c>
      <c r="J591" s="63" t="s">
        <v>159</v>
      </c>
      <c r="K591" s="63" t="s">
        <v>64</v>
      </c>
      <c r="L591" s="63" t="s">
        <v>2673</v>
      </c>
      <c r="M591" s="63" t="s">
        <v>376</v>
      </c>
      <c r="N591" s="63" t="s">
        <v>84</v>
      </c>
      <c r="O591" s="63" t="s">
        <v>68</v>
      </c>
      <c r="P591" s="63" t="s">
        <v>69</v>
      </c>
      <c r="Q591" s="63">
        <v>8</v>
      </c>
      <c r="R591" s="63">
        <v>0</v>
      </c>
      <c r="S591" s="63" t="s">
        <v>70</v>
      </c>
      <c r="T591" s="63">
        <v>47.353999999999999</v>
      </c>
      <c r="U591" s="62">
        <v>46072.291666666664</v>
      </c>
      <c r="V591" s="63" t="s">
        <v>86</v>
      </c>
      <c r="W591" s="63">
        <v>527.77</v>
      </c>
      <c r="X591" s="63">
        <v>4200</v>
      </c>
      <c r="Y591" s="63" t="s">
        <v>2309</v>
      </c>
    </row>
    <row r="592" spans="1:25" hidden="1">
      <c r="A592" s="62">
        <v>46071.738622685189</v>
      </c>
      <c r="B592" s="63">
        <v>641529</v>
      </c>
      <c r="C592" s="63" t="s">
        <v>372</v>
      </c>
      <c r="D592" s="63"/>
      <c r="E592" s="62">
        <v>46072.772905092592</v>
      </c>
      <c r="F592" s="63" t="s">
        <v>385</v>
      </c>
      <c r="G592" s="63">
        <v>1725440201</v>
      </c>
      <c r="H592" s="63">
        <v>26563652063391</v>
      </c>
      <c r="I592" s="63" t="s">
        <v>2672</v>
      </c>
      <c r="J592" s="63" t="s">
        <v>159</v>
      </c>
      <c r="K592" s="63" t="s">
        <v>64</v>
      </c>
      <c r="L592" s="63" t="s">
        <v>2673</v>
      </c>
      <c r="M592" s="63" t="s">
        <v>376</v>
      </c>
      <c r="N592" s="63" t="s">
        <v>84</v>
      </c>
      <c r="O592" s="63" t="s">
        <v>163</v>
      </c>
      <c r="P592" s="63" t="s">
        <v>164</v>
      </c>
      <c r="Q592" s="63">
        <v>1</v>
      </c>
      <c r="R592" s="63">
        <v>0</v>
      </c>
      <c r="S592" s="63" t="s">
        <v>76</v>
      </c>
      <c r="T592" s="63">
        <v>47.353999999999999</v>
      </c>
      <c r="U592" s="62">
        <v>46072.291666666664</v>
      </c>
      <c r="V592" s="63" t="s">
        <v>86</v>
      </c>
      <c r="W592" s="63">
        <v>527.77</v>
      </c>
      <c r="X592" s="63">
        <v>4200</v>
      </c>
      <c r="Y592" s="63" t="s">
        <v>2309</v>
      </c>
    </row>
    <row r="593" spans="1:25" hidden="1">
      <c r="A593" s="62">
        <v>46071.738622685189</v>
      </c>
      <c r="B593" s="63">
        <v>641529</v>
      </c>
      <c r="C593" s="63" t="s">
        <v>372</v>
      </c>
      <c r="D593" s="63"/>
      <c r="E593" s="62">
        <v>46072.772916666669</v>
      </c>
      <c r="F593" s="63" t="s">
        <v>385</v>
      </c>
      <c r="G593" s="63">
        <v>1725680201</v>
      </c>
      <c r="H593" s="63">
        <v>26563652057405</v>
      </c>
      <c r="I593" s="63" t="s">
        <v>2674</v>
      </c>
      <c r="J593" s="63" t="s">
        <v>159</v>
      </c>
      <c r="K593" s="63" t="s">
        <v>64</v>
      </c>
      <c r="L593" s="63" t="s">
        <v>2675</v>
      </c>
      <c r="M593" s="63" t="s">
        <v>254</v>
      </c>
      <c r="N593" s="63" t="s">
        <v>84</v>
      </c>
      <c r="O593" s="63" t="s">
        <v>68</v>
      </c>
      <c r="P593" s="63" t="s">
        <v>69</v>
      </c>
      <c r="Q593" s="63">
        <v>8</v>
      </c>
      <c r="R593" s="63">
        <v>0</v>
      </c>
      <c r="S593" s="63" t="s">
        <v>70</v>
      </c>
      <c r="T593" s="63">
        <v>50.954000000000001</v>
      </c>
      <c r="U593" s="62">
        <v>46072.291666666664</v>
      </c>
      <c r="V593" s="63" t="s">
        <v>86</v>
      </c>
      <c r="W593" s="63">
        <v>623.27</v>
      </c>
      <c r="X593" s="63">
        <v>4200</v>
      </c>
      <c r="Y593" s="63" t="s">
        <v>2309</v>
      </c>
    </row>
    <row r="594" spans="1:25" hidden="1">
      <c r="A594" s="62">
        <v>46071.738622685189</v>
      </c>
      <c r="B594" s="63">
        <v>641529</v>
      </c>
      <c r="C594" s="63" t="s">
        <v>372</v>
      </c>
      <c r="D594" s="63"/>
      <c r="E594" s="62">
        <v>46072.772916666669</v>
      </c>
      <c r="F594" s="63" t="s">
        <v>385</v>
      </c>
      <c r="G594" s="63">
        <v>1725680201</v>
      </c>
      <c r="H594" s="63">
        <v>26563652057405</v>
      </c>
      <c r="I594" s="63" t="s">
        <v>2674</v>
      </c>
      <c r="J594" s="63" t="s">
        <v>159</v>
      </c>
      <c r="K594" s="63" t="s">
        <v>64</v>
      </c>
      <c r="L594" s="63" t="s">
        <v>2675</v>
      </c>
      <c r="M594" s="63" t="s">
        <v>254</v>
      </c>
      <c r="N594" s="63" t="s">
        <v>84</v>
      </c>
      <c r="O594" s="63" t="s">
        <v>169</v>
      </c>
      <c r="P594" s="63" t="s">
        <v>170</v>
      </c>
      <c r="Q594" s="63">
        <v>1</v>
      </c>
      <c r="R594" s="63">
        <v>0</v>
      </c>
      <c r="S594" s="63" t="s">
        <v>76</v>
      </c>
      <c r="T594" s="63">
        <v>50.954000000000001</v>
      </c>
      <c r="U594" s="62">
        <v>46072.291666666664</v>
      </c>
      <c r="V594" s="63" t="s">
        <v>86</v>
      </c>
      <c r="W594" s="63">
        <v>623.27</v>
      </c>
      <c r="X594" s="63">
        <v>4200</v>
      </c>
      <c r="Y594" s="63" t="s">
        <v>2309</v>
      </c>
    </row>
    <row r="595" spans="1:25" hidden="1">
      <c r="A595" s="62">
        <v>46071.738622685189</v>
      </c>
      <c r="B595" s="63">
        <v>641529</v>
      </c>
      <c r="C595" s="63" t="s">
        <v>372</v>
      </c>
      <c r="D595" s="63"/>
      <c r="E595" s="62">
        <v>46072.772916666669</v>
      </c>
      <c r="F595" s="63" t="s">
        <v>385</v>
      </c>
      <c r="G595" s="63">
        <v>1725680201</v>
      </c>
      <c r="H595" s="63">
        <v>26563652057405</v>
      </c>
      <c r="I595" s="63" t="s">
        <v>2674</v>
      </c>
      <c r="J595" s="63" t="s">
        <v>159</v>
      </c>
      <c r="K595" s="63" t="s">
        <v>64</v>
      </c>
      <c r="L595" s="63" t="s">
        <v>2675</v>
      </c>
      <c r="M595" s="63" t="s">
        <v>254</v>
      </c>
      <c r="N595" s="63" t="s">
        <v>84</v>
      </c>
      <c r="O595" s="63" t="s">
        <v>175</v>
      </c>
      <c r="P595" s="63" t="s">
        <v>176</v>
      </c>
      <c r="Q595" s="63">
        <v>1</v>
      </c>
      <c r="R595" s="63">
        <v>0</v>
      </c>
      <c r="S595" s="63" t="s">
        <v>76</v>
      </c>
      <c r="T595" s="63">
        <v>50.954000000000001</v>
      </c>
      <c r="U595" s="62">
        <v>46072.291666666664</v>
      </c>
      <c r="V595" s="63" t="s">
        <v>86</v>
      </c>
      <c r="W595" s="63">
        <v>623.27</v>
      </c>
      <c r="X595" s="63">
        <v>4200</v>
      </c>
      <c r="Y595" s="63" t="s">
        <v>2309</v>
      </c>
    </row>
    <row r="596" spans="1:25" hidden="1">
      <c r="A596" s="62">
        <v>46071.738622685189</v>
      </c>
      <c r="B596" s="63">
        <v>641529</v>
      </c>
      <c r="C596" s="63" t="s">
        <v>372</v>
      </c>
      <c r="D596" s="63"/>
      <c r="E596" s="62">
        <v>46072.772928240738</v>
      </c>
      <c r="F596" s="63" t="s">
        <v>385</v>
      </c>
      <c r="G596" s="63">
        <v>1721110201</v>
      </c>
      <c r="H596" s="63">
        <v>45827425003556</v>
      </c>
      <c r="I596" s="63" t="s">
        <v>2669</v>
      </c>
      <c r="J596" s="63" t="s">
        <v>2520</v>
      </c>
      <c r="K596" s="63" t="s">
        <v>64</v>
      </c>
      <c r="L596" s="63" t="s">
        <v>2670</v>
      </c>
      <c r="M596" s="63" t="s">
        <v>2671</v>
      </c>
      <c r="N596" s="63" t="s">
        <v>84</v>
      </c>
      <c r="O596" s="63" t="s">
        <v>93</v>
      </c>
      <c r="P596" s="63" t="s">
        <v>94</v>
      </c>
      <c r="Q596" s="63">
        <v>10</v>
      </c>
      <c r="R596" s="63">
        <v>0</v>
      </c>
      <c r="S596" s="63" t="s">
        <v>70</v>
      </c>
      <c r="T596" s="63">
        <v>120</v>
      </c>
      <c r="U596" s="62">
        <v>46072.291666666664</v>
      </c>
      <c r="V596" s="63" t="s">
        <v>86</v>
      </c>
      <c r="W596" s="63">
        <v>1481.68</v>
      </c>
      <c r="X596" s="63">
        <v>4200</v>
      </c>
      <c r="Y596" s="63" t="s">
        <v>2309</v>
      </c>
    </row>
    <row r="597" spans="1:25" hidden="1">
      <c r="A597" s="62">
        <v>46071.738622685189</v>
      </c>
      <c r="B597" s="63">
        <v>641529</v>
      </c>
      <c r="C597" s="63" t="s">
        <v>372</v>
      </c>
      <c r="D597" s="63"/>
      <c r="E597" s="62">
        <v>46072.772928240738</v>
      </c>
      <c r="F597" s="63" t="s">
        <v>385</v>
      </c>
      <c r="G597" s="63">
        <v>1721110201</v>
      </c>
      <c r="H597" s="63">
        <v>45827425003556</v>
      </c>
      <c r="I597" s="63" t="s">
        <v>2669</v>
      </c>
      <c r="J597" s="63" t="s">
        <v>2520</v>
      </c>
      <c r="K597" s="63" t="s">
        <v>64</v>
      </c>
      <c r="L597" s="63" t="s">
        <v>2670</v>
      </c>
      <c r="M597" s="63" t="s">
        <v>2671</v>
      </c>
      <c r="N597" s="63" t="s">
        <v>84</v>
      </c>
      <c r="O597" s="63" t="s">
        <v>72</v>
      </c>
      <c r="P597" s="63" t="s">
        <v>73</v>
      </c>
      <c r="Q597" s="63">
        <v>10</v>
      </c>
      <c r="R597" s="63">
        <v>0</v>
      </c>
      <c r="S597" s="63" t="s">
        <v>70</v>
      </c>
      <c r="T597" s="63">
        <v>120</v>
      </c>
      <c r="U597" s="62">
        <v>46072.291666666664</v>
      </c>
      <c r="V597" s="63" t="s">
        <v>86</v>
      </c>
      <c r="W597" s="63">
        <v>1481.68</v>
      </c>
      <c r="X597" s="63">
        <v>4200</v>
      </c>
      <c r="Y597" s="63" t="s">
        <v>2309</v>
      </c>
    </row>
    <row r="598" spans="1:25" hidden="1">
      <c r="A598" s="62">
        <v>46071.738622685189</v>
      </c>
      <c r="B598" s="63">
        <v>641529</v>
      </c>
      <c r="C598" s="63" t="s">
        <v>372</v>
      </c>
      <c r="D598" s="63"/>
      <c r="E598" s="62">
        <v>46072.772928240738</v>
      </c>
      <c r="F598" s="63" t="s">
        <v>385</v>
      </c>
      <c r="G598" s="63">
        <v>1721110201</v>
      </c>
      <c r="H598" s="63">
        <v>45827425003556</v>
      </c>
      <c r="I598" s="63" t="s">
        <v>2669</v>
      </c>
      <c r="J598" s="63" t="s">
        <v>2520</v>
      </c>
      <c r="K598" s="63" t="s">
        <v>64</v>
      </c>
      <c r="L598" s="63" t="s">
        <v>2670</v>
      </c>
      <c r="M598" s="63" t="s">
        <v>2671</v>
      </c>
      <c r="N598" s="63" t="s">
        <v>84</v>
      </c>
      <c r="O598" s="63" t="s">
        <v>74</v>
      </c>
      <c r="P598" s="63" t="s">
        <v>75</v>
      </c>
      <c r="Q598" s="63">
        <v>2</v>
      </c>
      <c r="R598" s="63">
        <v>0</v>
      </c>
      <c r="S598" s="63" t="s">
        <v>76</v>
      </c>
      <c r="T598" s="63">
        <v>120</v>
      </c>
      <c r="U598" s="62">
        <v>46072.291666666664</v>
      </c>
      <c r="V598" s="63" t="s">
        <v>86</v>
      </c>
      <c r="W598" s="63">
        <v>1481.68</v>
      </c>
      <c r="X598" s="63">
        <v>4200</v>
      </c>
      <c r="Y598" s="63" t="s">
        <v>2309</v>
      </c>
    </row>
    <row r="599" spans="1:25" hidden="1">
      <c r="A599" s="62">
        <v>46071.738622685189</v>
      </c>
      <c r="B599" s="63">
        <v>641529</v>
      </c>
      <c r="C599" s="63" t="s">
        <v>372</v>
      </c>
      <c r="D599" s="63"/>
      <c r="E599" s="62">
        <v>46072.772928240738</v>
      </c>
      <c r="F599" s="63" t="s">
        <v>385</v>
      </c>
      <c r="G599" s="63">
        <v>1723110201</v>
      </c>
      <c r="H599" s="63">
        <v>26563652034375</v>
      </c>
      <c r="I599" s="63" t="s">
        <v>2418</v>
      </c>
      <c r="J599" s="63" t="s">
        <v>159</v>
      </c>
      <c r="K599" s="63" t="s">
        <v>64</v>
      </c>
      <c r="L599" s="63"/>
      <c r="M599" s="63" t="s">
        <v>2419</v>
      </c>
      <c r="N599" s="63" t="s">
        <v>84</v>
      </c>
      <c r="O599" s="63" t="s">
        <v>68</v>
      </c>
      <c r="P599" s="63" t="s">
        <v>69</v>
      </c>
      <c r="Q599" s="63">
        <v>13</v>
      </c>
      <c r="R599" s="63">
        <v>0</v>
      </c>
      <c r="S599" s="63" t="s">
        <v>70</v>
      </c>
      <c r="T599" s="63">
        <v>65.233999999999995</v>
      </c>
      <c r="U599" s="62">
        <v>46072.291666666664</v>
      </c>
      <c r="V599" s="63" t="s">
        <v>86</v>
      </c>
      <c r="W599" s="63">
        <v>444.47</v>
      </c>
      <c r="X599" s="63">
        <v>4200</v>
      </c>
      <c r="Y599" s="63" t="s">
        <v>2309</v>
      </c>
    </row>
    <row r="600" spans="1:25" hidden="1">
      <c r="A600" s="62">
        <v>46071.738622685189</v>
      </c>
      <c r="B600" s="63">
        <v>641529</v>
      </c>
      <c r="C600" s="63" t="s">
        <v>372</v>
      </c>
      <c r="D600" s="63"/>
      <c r="E600" s="62">
        <v>46072.772962962961</v>
      </c>
      <c r="F600" s="63" t="s">
        <v>385</v>
      </c>
      <c r="G600" s="63">
        <v>1724510201</v>
      </c>
      <c r="H600" s="63">
        <v>26563652050141</v>
      </c>
      <c r="I600" s="63" t="s">
        <v>2267</v>
      </c>
      <c r="J600" s="63" t="s">
        <v>159</v>
      </c>
      <c r="K600" s="63" t="s">
        <v>64</v>
      </c>
      <c r="L600" s="63"/>
      <c r="M600" s="63" t="s">
        <v>2268</v>
      </c>
      <c r="N600" s="63" t="s">
        <v>84</v>
      </c>
      <c r="O600" s="63" t="s">
        <v>68</v>
      </c>
      <c r="P600" s="63" t="s">
        <v>69</v>
      </c>
      <c r="Q600" s="63">
        <v>5</v>
      </c>
      <c r="R600" s="63">
        <v>0</v>
      </c>
      <c r="S600" s="63" t="s">
        <v>70</v>
      </c>
      <c r="T600" s="63">
        <v>25.09</v>
      </c>
      <c r="U600" s="62">
        <v>46072.291666666664</v>
      </c>
      <c r="V600" s="63" t="s">
        <v>86</v>
      </c>
      <c r="W600" s="63">
        <v>170.95</v>
      </c>
      <c r="X600" s="63">
        <v>4200</v>
      </c>
      <c r="Y600" s="63" t="s">
        <v>2309</v>
      </c>
    </row>
    <row r="601" spans="1:25" hidden="1">
      <c r="A601" s="62">
        <v>46071.738622685189</v>
      </c>
      <c r="B601" s="63">
        <v>641529</v>
      </c>
      <c r="C601" s="63" t="s">
        <v>372</v>
      </c>
      <c r="D601" s="63"/>
      <c r="E601" s="62">
        <v>46072.772962962961</v>
      </c>
      <c r="F601" s="63" t="s">
        <v>385</v>
      </c>
      <c r="G601" s="63">
        <v>1724550201</v>
      </c>
      <c r="H601" s="63">
        <v>26563652032089</v>
      </c>
      <c r="I601" s="63" t="s">
        <v>2676</v>
      </c>
      <c r="J601" s="63" t="s">
        <v>159</v>
      </c>
      <c r="K601" s="63" t="s">
        <v>64</v>
      </c>
      <c r="L601" s="63" t="s">
        <v>2677</v>
      </c>
      <c r="M601" s="63" t="s">
        <v>254</v>
      </c>
      <c r="N601" s="63" t="s">
        <v>84</v>
      </c>
      <c r="O601" s="63" t="s">
        <v>68</v>
      </c>
      <c r="P601" s="63" t="s">
        <v>69</v>
      </c>
      <c r="Q601" s="63">
        <v>3</v>
      </c>
      <c r="R601" s="63">
        <v>0</v>
      </c>
      <c r="S601" s="63" t="s">
        <v>70</v>
      </c>
      <c r="T601" s="63">
        <v>16.884</v>
      </c>
      <c r="U601" s="62">
        <v>46072.291666666664</v>
      </c>
      <c r="V601" s="63" t="s">
        <v>86</v>
      </c>
      <c r="W601" s="63">
        <v>369.32</v>
      </c>
      <c r="X601" s="63">
        <v>4200</v>
      </c>
      <c r="Y601" s="63" t="s">
        <v>2309</v>
      </c>
    </row>
    <row r="602" spans="1:25" hidden="1">
      <c r="A602" s="62">
        <v>46071.738622685189</v>
      </c>
      <c r="B602" s="63">
        <v>641529</v>
      </c>
      <c r="C602" s="63" t="s">
        <v>372</v>
      </c>
      <c r="D602" s="63"/>
      <c r="E602" s="62">
        <v>46072.772962962961</v>
      </c>
      <c r="F602" s="63" t="s">
        <v>385</v>
      </c>
      <c r="G602" s="63">
        <v>1724550201</v>
      </c>
      <c r="H602" s="63">
        <v>26563652032089</v>
      </c>
      <c r="I602" s="63" t="s">
        <v>2676</v>
      </c>
      <c r="J602" s="63" t="s">
        <v>159</v>
      </c>
      <c r="K602" s="63" t="s">
        <v>64</v>
      </c>
      <c r="L602" s="63" t="s">
        <v>2677</v>
      </c>
      <c r="M602" s="63" t="s">
        <v>254</v>
      </c>
      <c r="N602" s="63" t="s">
        <v>84</v>
      </c>
      <c r="O602" s="63" t="s">
        <v>173</v>
      </c>
      <c r="P602" s="63" t="s">
        <v>174</v>
      </c>
      <c r="Q602" s="63">
        <v>1</v>
      </c>
      <c r="R602" s="63">
        <v>0</v>
      </c>
      <c r="S602" s="63" t="s">
        <v>76</v>
      </c>
      <c r="T602" s="63">
        <v>16.884</v>
      </c>
      <c r="U602" s="62">
        <v>46072.291666666664</v>
      </c>
      <c r="V602" s="63" t="s">
        <v>86</v>
      </c>
      <c r="W602" s="63">
        <v>369.32</v>
      </c>
      <c r="X602" s="63">
        <v>4200</v>
      </c>
      <c r="Y602" s="63" t="s">
        <v>2309</v>
      </c>
    </row>
    <row r="603" spans="1:25" hidden="1">
      <c r="A603" s="62">
        <v>46071.738622685189</v>
      </c>
      <c r="B603" s="63">
        <v>641529</v>
      </c>
      <c r="C603" s="63" t="s">
        <v>372</v>
      </c>
      <c r="D603" s="63"/>
      <c r="E603" s="62">
        <v>46072.772962962961</v>
      </c>
      <c r="F603" s="63" t="s">
        <v>385</v>
      </c>
      <c r="G603" s="63">
        <v>1724550201</v>
      </c>
      <c r="H603" s="63">
        <v>26563652032089</v>
      </c>
      <c r="I603" s="63" t="s">
        <v>2676</v>
      </c>
      <c r="J603" s="63" t="s">
        <v>159</v>
      </c>
      <c r="K603" s="63" t="s">
        <v>64</v>
      </c>
      <c r="L603" s="63" t="s">
        <v>2677</v>
      </c>
      <c r="M603" s="63" t="s">
        <v>254</v>
      </c>
      <c r="N603" s="63" t="s">
        <v>84</v>
      </c>
      <c r="O603" s="63" t="s">
        <v>167</v>
      </c>
      <c r="P603" s="63" t="s">
        <v>168</v>
      </c>
      <c r="Q603" s="63">
        <v>1</v>
      </c>
      <c r="R603" s="63">
        <v>0</v>
      </c>
      <c r="S603" s="63" t="s">
        <v>76</v>
      </c>
      <c r="T603" s="63">
        <v>16.884</v>
      </c>
      <c r="U603" s="62">
        <v>46072.291666666664</v>
      </c>
      <c r="V603" s="63" t="s">
        <v>86</v>
      </c>
      <c r="W603" s="63">
        <v>369.32</v>
      </c>
      <c r="X603" s="63">
        <v>4200</v>
      </c>
      <c r="Y603" s="63" t="s">
        <v>2309</v>
      </c>
    </row>
    <row r="604" spans="1:25" hidden="1">
      <c r="A604" s="62">
        <v>46071.738622685189</v>
      </c>
      <c r="B604" s="63">
        <v>641530</v>
      </c>
      <c r="C604" s="63" t="s">
        <v>2678</v>
      </c>
      <c r="D604" s="63"/>
      <c r="E604" s="62">
        <v>46072.772835648146</v>
      </c>
      <c r="F604" s="63" t="s">
        <v>180</v>
      </c>
      <c r="G604" s="63">
        <v>1715760201</v>
      </c>
      <c r="H604" s="63">
        <v>47508411030730</v>
      </c>
      <c r="I604" s="63" t="s">
        <v>2679</v>
      </c>
      <c r="J604" s="63" t="s">
        <v>181</v>
      </c>
      <c r="K604" s="63" t="s">
        <v>64</v>
      </c>
      <c r="L604" s="63" t="s">
        <v>2680</v>
      </c>
      <c r="M604" s="63" t="s">
        <v>2681</v>
      </c>
      <c r="N604" s="63" t="s">
        <v>84</v>
      </c>
      <c r="O604" s="63" t="s">
        <v>93</v>
      </c>
      <c r="P604" s="63" t="s">
        <v>94</v>
      </c>
      <c r="Q604" s="63">
        <v>10</v>
      </c>
      <c r="R604" s="63">
        <v>0</v>
      </c>
      <c r="S604" s="63" t="s">
        <v>70</v>
      </c>
      <c r="T604" s="63">
        <v>50</v>
      </c>
      <c r="U604" s="62">
        <v>46072.291666666664</v>
      </c>
      <c r="V604" s="63" t="s">
        <v>86</v>
      </c>
      <c r="W604" s="63">
        <v>396.2</v>
      </c>
      <c r="X604" s="63">
        <v>4200</v>
      </c>
      <c r="Y604" s="63" t="s">
        <v>458</v>
      </c>
    </row>
    <row r="605" spans="1:25" hidden="1">
      <c r="A605" s="62">
        <v>46071.738622685189</v>
      </c>
      <c r="B605" s="63">
        <v>641530</v>
      </c>
      <c r="C605" s="63" t="s">
        <v>2678</v>
      </c>
      <c r="D605" s="63"/>
      <c r="E605" s="62">
        <v>46072.772835648146</v>
      </c>
      <c r="F605" s="63" t="s">
        <v>180</v>
      </c>
      <c r="G605" s="63">
        <v>1715770201</v>
      </c>
      <c r="H605" s="63">
        <v>47508411288583</v>
      </c>
      <c r="I605" s="63" t="s">
        <v>2682</v>
      </c>
      <c r="J605" s="63" t="s">
        <v>181</v>
      </c>
      <c r="K605" s="63" t="s">
        <v>64</v>
      </c>
      <c r="L605" s="63" t="s">
        <v>2683</v>
      </c>
      <c r="M605" s="63" t="s">
        <v>2684</v>
      </c>
      <c r="N605" s="63" t="s">
        <v>84</v>
      </c>
      <c r="O605" s="63" t="s">
        <v>93</v>
      </c>
      <c r="P605" s="63" t="s">
        <v>94</v>
      </c>
      <c r="Q605" s="63">
        <v>5</v>
      </c>
      <c r="R605" s="63">
        <v>0</v>
      </c>
      <c r="S605" s="63" t="s">
        <v>70</v>
      </c>
      <c r="T605" s="63">
        <v>25</v>
      </c>
      <c r="U605" s="62">
        <v>46072.291666666664</v>
      </c>
      <c r="V605" s="63" t="s">
        <v>86</v>
      </c>
      <c r="W605" s="63">
        <v>198.1</v>
      </c>
      <c r="X605" s="63">
        <v>4200</v>
      </c>
      <c r="Y605" s="63" t="s">
        <v>458</v>
      </c>
    </row>
    <row r="606" spans="1:25" hidden="1">
      <c r="A606" s="62">
        <v>46071.738622685189</v>
      </c>
      <c r="B606" s="63">
        <v>641530</v>
      </c>
      <c r="C606" s="63" t="s">
        <v>2678</v>
      </c>
      <c r="D606" s="63"/>
      <c r="E606" s="62">
        <v>46072.772847222222</v>
      </c>
      <c r="F606" s="63" t="s">
        <v>180</v>
      </c>
      <c r="G606" s="63">
        <v>1716030201</v>
      </c>
      <c r="H606" s="63">
        <v>9000493000649</v>
      </c>
      <c r="I606" s="63" t="s">
        <v>2685</v>
      </c>
      <c r="J606" s="63" t="s">
        <v>2468</v>
      </c>
      <c r="K606" s="63" t="s">
        <v>64</v>
      </c>
      <c r="L606" s="63" t="s">
        <v>2686</v>
      </c>
      <c r="M606" s="63" t="s">
        <v>2687</v>
      </c>
      <c r="N606" s="63" t="s">
        <v>84</v>
      </c>
      <c r="O606" s="63" t="s">
        <v>396</v>
      </c>
      <c r="P606" s="63" t="s">
        <v>397</v>
      </c>
      <c r="Q606" s="63">
        <v>4</v>
      </c>
      <c r="R606" s="63">
        <v>0</v>
      </c>
      <c r="S606" s="63" t="s">
        <v>70</v>
      </c>
      <c r="T606" s="63">
        <v>135.61600000000001</v>
      </c>
      <c r="U606" s="62">
        <v>46072.291666666664</v>
      </c>
      <c r="V606" s="63" t="s">
        <v>86</v>
      </c>
      <c r="W606" s="63">
        <v>1284.8399999999999</v>
      </c>
      <c r="X606" s="63">
        <v>4200</v>
      </c>
      <c r="Y606" s="63" t="s">
        <v>458</v>
      </c>
    </row>
    <row r="607" spans="1:25" hidden="1">
      <c r="A607" s="62">
        <v>46071.738622685189</v>
      </c>
      <c r="B607" s="63">
        <v>641530</v>
      </c>
      <c r="C607" s="63" t="s">
        <v>2678</v>
      </c>
      <c r="D607" s="63"/>
      <c r="E607" s="62">
        <v>46072.772847222222</v>
      </c>
      <c r="F607" s="63" t="s">
        <v>180</v>
      </c>
      <c r="G607" s="63">
        <v>1716030201</v>
      </c>
      <c r="H607" s="63">
        <v>9000493000649</v>
      </c>
      <c r="I607" s="63" t="s">
        <v>2685</v>
      </c>
      <c r="J607" s="63" t="s">
        <v>2468</v>
      </c>
      <c r="K607" s="63" t="s">
        <v>64</v>
      </c>
      <c r="L607" s="63" t="s">
        <v>2686</v>
      </c>
      <c r="M607" s="63" t="s">
        <v>2687</v>
      </c>
      <c r="N607" s="63" t="s">
        <v>84</v>
      </c>
      <c r="O607" s="63" t="s">
        <v>398</v>
      </c>
      <c r="P607" s="63" t="s">
        <v>399</v>
      </c>
      <c r="Q607" s="63">
        <v>6</v>
      </c>
      <c r="R607" s="63">
        <v>0</v>
      </c>
      <c r="S607" s="63" t="s">
        <v>70</v>
      </c>
      <c r="T607" s="63">
        <v>135.61600000000001</v>
      </c>
      <c r="U607" s="62">
        <v>46072.291666666664</v>
      </c>
      <c r="V607" s="63" t="s">
        <v>86</v>
      </c>
      <c r="W607" s="63">
        <v>1284.8399999999999</v>
      </c>
      <c r="X607" s="63">
        <v>4200</v>
      </c>
      <c r="Y607" s="63" t="s">
        <v>458</v>
      </c>
    </row>
    <row r="608" spans="1:25" hidden="1">
      <c r="A608" s="62">
        <v>46071.738622685189</v>
      </c>
      <c r="B608" s="63">
        <v>641530</v>
      </c>
      <c r="C608" s="63" t="s">
        <v>2678</v>
      </c>
      <c r="D608" s="63"/>
      <c r="E608" s="62">
        <v>46072.772847222222</v>
      </c>
      <c r="F608" s="63" t="s">
        <v>180</v>
      </c>
      <c r="G608" s="63">
        <v>1716030201</v>
      </c>
      <c r="H608" s="63">
        <v>9000493000649</v>
      </c>
      <c r="I608" s="63" t="s">
        <v>2685</v>
      </c>
      <c r="J608" s="63" t="s">
        <v>2468</v>
      </c>
      <c r="K608" s="63" t="s">
        <v>64</v>
      </c>
      <c r="L608" s="63" t="s">
        <v>2686</v>
      </c>
      <c r="M608" s="63" t="s">
        <v>2687</v>
      </c>
      <c r="N608" s="63" t="s">
        <v>84</v>
      </c>
      <c r="O608" s="63" t="s">
        <v>280</v>
      </c>
      <c r="P608" s="63" t="s">
        <v>281</v>
      </c>
      <c r="Q608" s="63">
        <v>6</v>
      </c>
      <c r="R608" s="63">
        <v>0</v>
      </c>
      <c r="S608" s="63" t="s">
        <v>70</v>
      </c>
      <c r="T608" s="63">
        <v>135.61600000000001</v>
      </c>
      <c r="U608" s="62">
        <v>46072.291666666664</v>
      </c>
      <c r="V608" s="63" t="s">
        <v>86</v>
      </c>
      <c r="W608" s="63">
        <v>1284.8399999999999</v>
      </c>
      <c r="X608" s="63">
        <v>4200</v>
      </c>
      <c r="Y608" s="63" t="s">
        <v>458</v>
      </c>
    </row>
    <row r="609" spans="1:25" hidden="1">
      <c r="A609" s="62">
        <v>46071.738622685189</v>
      </c>
      <c r="B609" s="63">
        <v>641530</v>
      </c>
      <c r="C609" s="63" t="s">
        <v>2678</v>
      </c>
      <c r="D609" s="63"/>
      <c r="E609" s="62">
        <v>46072.772847222222</v>
      </c>
      <c r="F609" s="63" t="s">
        <v>180</v>
      </c>
      <c r="G609" s="63">
        <v>1720490201</v>
      </c>
      <c r="H609" s="63">
        <v>47508411030730</v>
      </c>
      <c r="I609" s="63" t="s">
        <v>2679</v>
      </c>
      <c r="J609" s="63" t="s">
        <v>181</v>
      </c>
      <c r="K609" s="63" t="s">
        <v>64</v>
      </c>
      <c r="L609" s="63" t="s">
        <v>2680</v>
      </c>
      <c r="M609" s="63" t="s">
        <v>2681</v>
      </c>
      <c r="N609" s="63" t="s">
        <v>84</v>
      </c>
      <c r="O609" s="63" t="s">
        <v>91</v>
      </c>
      <c r="P609" s="63" t="s">
        <v>92</v>
      </c>
      <c r="Q609" s="63">
        <v>5</v>
      </c>
      <c r="R609" s="63">
        <v>0</v>
      </c>
      <c r="S609" s="63" t="s">
        <v>70</v>
      </c>
      <c r="T609" s="63">
        <v>75</v>
      </c>
      <c r="U609" s="62">
        <v>46072.291666666664</v>
      </c>
      <c r="V609" s="63" t="s">
        <v>86</v>
      </c>
      <c r="W609" s="63">
        <v>594.29999999999995</v>
      </c>
      <c r="X609" s="63">
        <v>4200</v>
      </c>
      <c r="Y609" s="63" t="s">
        <v>458</v>
      </c>
    </row>
    <row r="610" spans="1:25" hidden="1">
      <c r="A610" s="62">
        <v>46071.738622685189</v>
      </c>
      <c r="B610" s="63">
        <v>641530</v>
      </c>
      <c r="C610" s="63" t="s">
        <v>2678</v>
      </c>
      <c r="D610" s="63"/>
      <c r="E610" s="62">
        <v>46072.772847222222</v>
      </c>
      <c r="F610" s="63" t="s">
        <v>180</v>
      </c>
      <c r="G610" s="63">
        <v>1720490201</v>
      </c>
      <c r="H610" s="63">
        <v>47508411030730</v>
      </c>
      <c r="I610" s="63" t="s">
        <v>2679</v>
      </c>
      <c r="J610" s="63" t="s">
        <v>181</v>
      </c>
      <c r="K610" s="63" t="s">
        <v>64</v>
      </c>
      <c r="L610" s="63" t="s">
        <v>2680</v>
      </c>
      <c r="M610" s="63" t="s">
        <v>2681</v>
      </c>
      <c r="N610" s="63" t="s">
        <v>84</v>
      </c>
      <c r="O610" s="63" t="s">
        <v>93</v>
      </c>
      <c r="P610" s="63" t="s">
        <v>94</v>
      </c>
      <c r="Q610" s="63">
        <v>10</v>
      </c>
      <c r="R610" s="63">
        <v>0</v>
      </c>
      <c r="S610" s="63" t="s">
        <v>70</v>
      </c>
      <c r="T610" s="63">
        <v>75</v>
      </c>
      <c r="U610" s="62">
        <v>46072.291666666664</v>
      </c>
      <c r="V610" s="63" t="s">
        <v>86</v>
      </c>
      <c r="W610" s="63">
        <v>594.29999999999995</v>
      </c>
      <c r="X610" s="63">
        <v>4200</v>
      </c>
      <c r="Y610" s="63" t="s">
        <v>458</v>
      </c>
    </row>
    <row r="611" spans="1:25">
      <c r="A611" s="62">
        <v>46071.738622685189</v>
      </c>
      <c r="B611" s="63">
        <v>641530</v>
      </c>
      <c r="C611" s="63" t="s">
        <v>2678</v>
      </c>
      <c r="D611" s="63"/>
      <c r="E611" s="62">
        <v>46072.772847222222</v>
      </c>
      <c r="F611" s="63" t="s">
        <v>180</v>
      </c>
      <c r="G611" s="63">
        <v>1720500201</v>
      </c>
      <c r="H611" s="63">
        <v>47508411030730</v>
      </c>
      <c r="I611" s="63" t="s">
        <v>2679</v>
      </c>
      <c r="J611" s="63" t="s">
        <v>181</v>
      </c>
      <c r="K611" s="63" t="s">
        <v>64</v>
      </c>
      <c r="L611" s="63" t="s">
        <v>2680</v>
      </c>
      <c r="M611" s="63" t="s">
        <v>2681</v>
      </c>
      <c r="N611" s="63" t="s">
        <v>84</v>
      </c>
      <c r="O611" s="63" t="s">
        <v>109</v>
      </c>
      <c r="P611" s="63" t="s">
        <v>110</v>
      </c>
      <c r="Q611" s="63">
        <v>80</v>
      </c>
      <c r="R611" s="63">
        <v>0</v>
      </c>
      <c r="S611" s="63" t="s">
        <v>70</v>
      </c>
      <c r="T611" s="63">
        <v>400</v>
      </c>
      <c r="U611" s="62">
        <v>46072.291666666664</v>
      </c>
      <c r="V611" s="63" t="s">
        <v>86</v>
      </c>
      <c r="W611" s="63">
        <v>2885.6</v>
      </c>
      <c r="X611" s="63">
        <v>4200</v>
      </c>
      <c r="Y611" s="63" t="s">
        <v>458</v>
      </c>
    </row>
    <row r="612" spans="1:25" hidden="1">
      <c r="A612" s="62">
        <v>46071.738622685189</v>
      </c>
      <c r="B612" s="63">
        <v>641530</v>
      </c>
      <c r="C612" s="63" t="s">
        <v>2678</v>
      </c>
      <c r="D612" s="63"/>
      <c r="E612" s="62">
        <v>46072.772893518515</v>
      </c>
      <c r="F612" s="63" t="s">
        <v>180</v>
      </c>
      <c r="G612" s="63">
        <v>1722600201</v>
      </c>
      <c r="H612" s="63">
        <v>71676316000812</v>
      </c>
      <c r="I612" s="63" t="s">
        <v>2373</v>
      </c>
      <c r="J612" s="63" t="s">
        <v>2228</v>
      </c>
      <c r="K612" s="63" t="s">
        <v>64</v>
      </c>
      <c r="L612" s="63" t="s">
        <v>2374</v>
      </c>
      <c r="M612" s="63" t="s">
        <v>2375</v>
      </c>
      <c r="N612" s="63" t="s">
        <v>84</v>
      </c>
      <c r="O612" s="63" t="s">
        <v>68</v>
      </c>
      <c r="P612" s="63" t="s">
        <v>69</v>
      </c>
      <c r="Q612" s="63">
        <v>130</v>
      </c>
      <c r="R612" s="63">
        <v>0</v>
      </c>
      <c r="S612" s="63" t="s">
        <v>70</v>
      </c>
      <c r="T612" s="63">
        <v>802.34</v>
      </c>
      <c r="U612" s="62">
        <v>46072.291666666664</v>
      </c>
      <c r="V612" s="63" t="s">
        <v>86</v>
      </c>
      <c r="W612" s="63">
        <v>6553</v>
      </c>
      <c r="X612" s="63">
        <v>4200</v>
      </c>
      <c r="Y612" s="63" t="s">
        <v>458</v>
      </c>
    </row>
    <row r="613" spans="1:25" hidden="1">
      <c r="A613" s="62">
        <v>46071.738622685189</v>
      </c>
      <c r="B613" s="63">
        <v>641530</v>
      </c>
      <c r="C613" s="63" t="s">
        <v>2678</v>
      </c>
      <c r="D613" s="63"/>
      <c r="E613" s="62">
        <v>46072.772893518515</v>
      </c>
      <c r="F613" s="63" t="s">
        <v>180</v>
      </c>
      <c r="G613" s="63">
        <v>1722600201</v>
      </c>
      <c r="H613" s="63">
        <v>71676316000812</v>
      </c>
      <c r="I613" s="63" t="s">
        <v>2373</v>
      </c>
      <c r="J613" s="63" t="s">
        <v>2228</v>
      </c>
      <c r="K613" s="63" t="s">
        <v>64</v>
      </c>
      <c r="L613" s="63" t="s">
        <v>2374</v>
      </c>
      <c r="M613" s="63" t="s">
        <v>2375</v>
      </c>
      <c r="N613" s="63" t="s">
        <v>84</v>
      </c>
      <c r="O613" s="63" t="s">
        <v>91</v>
      </c>
      <c r="P613" s="63" t="s">
        <v>92</v>
      </c>
      <c r="Q613" s="63">
        <v>10</v>
      </c>
      <c r="R613" s="63">
        <v>0</v>
      </c>
      <c r="S613" s="63" t="s">
        <v>70</v>
      </c>
      <c r="T613" s="63">
        <v>802.34</v>
      </c>
      <c r="U613" s="62">
        <v>46072.291666666664</v>
      </c>
      <c r="V613" s="63" t="s">
        <v>86</v>
      </c>
      <c r="W613" s="63">
        <v>6553</v>
      </c>
      <c r="X613" s="63">
        <v>4200</v>
      </c>
      <c r="Y613" s="63" t="s">
        <v>458</v>
      </c>
    </row>
    <row r="614" spans="1:25" hidden="1">
      <c r="A614" s="62">
        <v>46071.738622685189</v>
      </c>
      <c r="B614" s="63">
        <v>641530</v>
      </c>
      <c r="C614" s="63" t="s">
        <v>2678</v>
      </c>
      <c r="D614" s="63"/>
      <c r="E614" s="62">
        <v>46072.772893518515</v>
      </c>
      <c r="F614" s="63" t="s">
        <v>180</v>
      </c>
      <c r="G614" s="63">
        <v>1722600201</v>
      </c>
      <c r="H614" s="63">
        <v>71676316000812</v>
      </c>
      <c r="I614" s="63" t="s">
        <v>2373</v>
      </c>
      <c r="J614" s="63" t="s">
        <v>2228</v>
      </c>
      <c r="K614" s="63" t="s">
        <v>64</v>
      </c>
      <c r="L614" s="63" t="s">
        <v>2374</v>
      </c>
      <c r="M614" s="63" t="s">
        <v>2375</v>
      </c>
      <c r="N614" s="63" t="s">
        <v>84</v>
      </c>
      <c r="O614" s="63" t="s">
        <v>93</v>
      </c>
      <c r="P614" s="63" t="s">
        <v>94</v>
      </c>
      <c r="Q614" s="63">
        <v>10</v>
      </c>
      <c r="R614" s="63">
        <v>0</v>
      </c>
      <c r="S614" s="63" t="s">
        <v>70</v>
      </c>
      <c r="T614" s="63">
        <v>802.34</v>
      </c>
      <c r="U614" s="62">
        <v>46072.291666666664</v>
      </c>
      <c r="V614" s="63" t="s">
        <v>86</v>
      </c>
      <c r="W614" s="63">
        <v>6553</v>
      </c>
      <c r="X614" s="63">
        <v>4200</v>
      </c>
      <c r="Y614" s="63" t="s">
        <v>458</v>
      </c>
    </row>
    <row r="615" spans="1:25" hidden="1">
      <c r="A615" s="62">
        <v>46071.738622685189</v>
      </c>
      <c r="B615" s="63">
        <v>641530</v>
      </c>
      <c r="C615" s="63" t="s">
        <v>2678</v>
      </c>
      <c r="D615" s="63"/>
      <c r="E615" s="62">
        <v>46072.772893518515</v>
      </c>
      <c r="F615" s="63" t="s">
        <v>180</v>
      </c>
      <c r="G615" s="63">
        <v>1722600201</v>
      </c>
      <c r="H615" s="63">
        <v>71676316000812</v>
      </c>
      <c r="I615" s="63" t="s">
        <v>2373</v>
      </c>
      <c r="J615" s="63" t="s">
        <v>2228</v>
      </c>
      <c r="K615" s="63" t="s">
        <v>64</v>
      </c>
      <c r="L615" s="63" t="s">
        <v>2374</v>
      </c>
      <c r="M615" s="63" t="s">
        <v>2375</v>
      </c>
      <c r="N615" s="63" t="s">
        <v>84</v>
      </c>
      <c r="O615" s="63" t="s">
        <v>72</v>
      </c>
      <c r="P615" s="63" t="s">
        <v>73</v>
      </c>
      <c r="Q615" s="63">
        <v>10</v>
      </c>
      <c r="R615" s="63">
        <v>0</v>
      </c>
      <c r="S615" s="63" t="s">
        <v>70</v>
      </c>
      <c r="T615" s="63">
        <v>802.34</v>
      </c>
      <c r="U615" s="62">
        <v>46072.291666666664</v>
      </c>
      <c r="V615" s="63" t="s">
        <v>86</v>
      </c>
      <c r="W615" s="63">
        <v>6553</v>
      </c>
      <c r="X615" s="63">
        <v>4200</v>
      </c>
      <c r="Y615" s="63" t="s">
        <v>458</v>
      </c>
    </row>
    <row r="616" spans="1:25" hidden="1">
      <c r="A616" s="62">
        <v>46071.738622685189</v>
      </c>
      <c r="B616" s="63">
        <v>641530</v>
      </c>
      <c r="C616" s="63" t="s">
        <v>2678</v>
      </c>
      <c r="D616" s="63"/>
      <c r="E616" s="62">
        <v>46072.772905092592</v>
      </c>
      <c r="F616" s="63" t="s">
        <v>180</v>
      </c>
      <c r="G616" s="63">
        <v>1725480201</v>
      </c>
      <c r="H616" s="63">
        <v>26563652023683</v>
      </c>
      <c r="I616" s="63" t="s">
        <v>2688</v>
      </c>
      <c r="J616" s="63" t="s">
        <v>159</v>
      </c>
      <c r="K616" s="63" t="s">
        <v>64</v>
      </c>
      <c r="L616" s="63"/>
      <c r="M616" s="63" t="s">
        <v>2232</v>
      </c>
      <c r="N616" s="63" t="s">
        <v>84</v>
      </c>
      <c r="O616" s="63" t="s">
        <v>68</v>
      </c>
      <c r="P616" s="63" t="s">
        <v>69</v>
      </c>
      <c r="Q616" s="63">
        <v>3</v>
      </c>
      <c r="R616" s="63">
        <v>0</v>
      </c>
      <c r="S616" s="63" t="s">
        <v>70</v>
      </c>
      <c r="T616" s="63">
        <v>40.054000000000002</v>
      </c>
      <c r="U616" s="62">
        <v>46072.291666666664</v>
      </c>
      <c r="V616" s="63" t="s">
        <v>86</v>
      </c>
      <c r="W616" s="63">
        <v>424.32</v>
      </c>
      <c r="X616" s="63">
        <v>4200</v>
      </c>
      <c r="Y616" s="63" t="s">
        <v>458</v>
      </c>
    </row>
    <row r="617" spans="1:25" hidden="1">
      <c r="A617" s="62">
        <v>46071.738622685189</v>
      </c>
      <c r="B617" s="63">
        <v>641530</v>
      </c>
      <c r="C617" s="63" t="s">
        <v>2678</v>
      </c>
      <c r="D617" s="63"/>
      <c r="E617" s="62">
        <v>46072.772905092592</v>
      </c>
      <c r="F617" s="63" t="s">
        <v>180</v>
      </c>
      <c r="G617" s="63">
        <v>1725480201</v>
      </c>
      <c r="H617" s="63">
        <v>26563652023683</v>
      </c>
      <c r="I617" s="63" t="s">
        <v>2688</v>
      </c>
      <c r="J617" s="63" t="s">
        <v>159</v>
      </c>
      <c r="K617" s="63" t="s">
        <v>64</v>
      </c>
      <c r="L617" s="63"/>
      <c r="M617" s="63" t="s">
        <v>2232</v>
      </c>
      <c r="N617" s="63" t="s">
        <v>84</v>
      </c>
      <c r="O617" s="63" t="s">
        <v>72</v>
      </c>
      <c r="P617" s="63" t="s">
        <v>73</v>
      </c>
      <c r="Q617" s="63">
        <v>3</v>
      </c>
      <c r="R617" s="63">
        <v>0</v>
      </c>
      <c r="S617" s="63" t="s">
        <v>70</v>
      </c>
      <c r="T617" s="63">
        <v>40.054000000000002</v>
      </c>
      <c r="U617" s="62">
        <v>46072.291666666664</v>
      </c>
      <c r="V617" s="63" t="s">
        <v>86</v>
      </c>
      <c r="W617" s="63">
        <v>424.32</v>
      </c>
      <c r="X617" s="63">
        <v>4200</v>
      </c>
      <c r="Y617" s="63" t="s">
        <v>458</v>
      </c>
    </row>
    <row r="618" spans="1:25" hidden="1">
      <c r="A618" s="62">
        <v>46071.738622685189</v>
      </c>
      <c r="B618" s="63">
        <v>641530</v>
      </c>
      <c r="C618" s="63" t="s">
        <v>2678</v>
      </c>
      <c r="D618" s="63"/>
      <c r="E618" s="62">
        <v>46072.772905092592</v>
      </c>
      <c r="F618" s="63" t="s">
        <v>180</v>
      </c>
      <c r="G618" s="63">
        <v>1725480201</v>
      </c>
      <c r="H618" s="63">
        <v>26563652023683</v>
      </c>
      <c r="I618" s="63" t="s">
        <v>2688</v>
      </c>
      <c r="J618" s="63" t="s">
        <v>159</v>
      </c>
      <c r="K618" s="63" t="s">
        <v>64</v>
      </c>
      <c r="L618" s="63"/>
      <c r="M618" s="63" t="s">
        <v>2232</v>
      </c>
      <c r="N618" s="63" t="s">
        <v>84</v>
      </c>
      <c r="O618" s="63" t="s">
        <v>74</v>
      </c>
      <c r="P618" s="63" t="s">
        <v>75</v>
      </c>
      <c r="Q618" s="63">
        <v>1</v>
      </c>
      <c r="R618" s="63">
        <v>0</v>
      </c>
      <c r="S618" s="63" t="s">
        <v>76</v>
      </c>
      <c r="T618" s="63">
        <v>40.054000000000002</v>
      </c>
      <c r="U618" s="62">
        <v>46072.291666666664</v>
      </c>
      <c r="V618" s="63" t="s">
        <v>86</v>
      </c>
      <c r="W618" s="63">
        <v>424.32</v>
      </c>
      <c r="X618" s="63">
        <v>4200</v>
      </c>
      <c r="Y618" s="63" t="s">
        <v>458</v>
      </c>
    </row>
    <row r="619" spans="1:25" hidden="1">
      <c r="A619" s="62">
        <v>46071.738622685189</v>
      </c>
      <c r="B619" s="63">
        <v>641530</v>
      </c>
      <c r="C619" s="63" t="s">
        <v>2678</v>
      </c>
      <c r="D619" s="63"/>
      <c r="E619" s="62">
        <v>46072.772916666669</v>
      </c>
      <c r="F619" s="63" t="s">
        <v>180</v>
      </c>
      <c r="G619" s="63">
        <v>1723050201</v>
      </c>
      <c r="H619" s="63">
        <v>26563652022105</v>
      </c>
      <c r="I619" s="63" t="s">
        <v>307</v>
      </c>
      <c r="J619" s="63" t="s">
        <v>159</v>
      </c>
      <c r="K619" s="63" t="s">
        <v>64</v>
      </c>
      <c r="L619" s="63" t="s">
        <v>308</v>
      </c>
      <c r="M619" s="63" t="s">
        <v>309</v>
      </c>
      <c r="N619" s="63" t="s">
        <v>84</v>
      </c>
      <c r="O619" s="63" t="s">
        <v>68</v>
      </c>
      <c r="P619" s="63" t="s">
        <v>69</v>
      </c>
      <c r="Q619" s="63">
        <v>9</v>
      </c>
      <c r="R619" s="63">
        <v>0</v>
      </c>
      <c r="S619" s="63" t="s">
        <v>70</v>
      </c>
      <c r="T619" s="63">
        <v>55.161999999999999</v>
      </c>
      <c r="U619" s="62">
        <v>46072.291666666664</v>
      </c>
      <c r="V619" s="63" t="s">
        <v>86</v>
      </c>
      <c r="W619" s="63">
        <v>482.43</v>
      </c>
      <c r="X619" s="63">
        <v>4200</v>
      </c>
      <c r="Y619" s="63" t="s">
        <v>458</v>
      </c>
    </row>
    <row r="620" spans="1:25" hidden="1">
      <c r="A620" s="62">
        <v>46071.738622685189</v>
      </c>
      <c r="B620" s="63">
        <v>641530</v>
      </c>
      <c r="C620" s="63" t="s">
        <v>2678</v>
      </c>
      <c r="D620" s="63"/>
      <c r="E620" s="62">
        <v>46072.772916666669</v>
      </c>
      <c r="F620" s="63" t="s">
        <v>180</v>
      </c>
      <c r="G620" s="63">
        <v>1723050201</v>
      </c>
      <c r="H620" s="63">
        <v>26563652022105</v>
      </c>
      <c r="I620" s="63" t="s">
        <v>307</v>
      </c>
      <c r="J620" s="63" t="s">
        <v>159</v>
      </c>
      <c r="K620" s="63" t="s">
        <v>64</v>
      </c>
      <c r="L620" s="63" t="s">
        <v>308</v>
      </c>
      <c r="M620" s="63" t="s">
        <v>309</v>
      </c>
      <c r="N620" s="63" t="s">
        <v>84</v>
      </c>
      <c r="O620" s="63" t="s">
        <v>74</v>
      </c>
      <c r="P620" s="63" t="s">
        <v>75</v>
      </c>
      <c r="Q620" s="63">
        <v>1</v>
      </c>
      <c r="R620" s="63">
        <v>0</v>
      </c>
      <c r="S620" s="63" t="s">
        <v>76</v>
      </c>
      <c r="T620" s="63">
        <v>55.161999999999999</v>
      </c>
      <c r="U620" s="62">
        <v>46072.291666666664</v>
      </c>
      <c r="V620" s="63" t="s">
        <v>86</v>
      </c>
      <c r="W620" s="63">
        <v>482.43</v>
      </c>
      <c r="X620" s="63">
        <v>4200</v>
      </c>
      <c r="Y620" s="63" t="s">
        <v>458</v>
      </c>
    </row>
    <row r="621" spans="1:25" hidden="1">
      <c r="A621" s="62">
        <v>46071.738622685189</v>
      </c>
      <c r="B621" s="63">
        <v>641530</v>
      </c>
      <c r="C621" s="63" t="s">
        <v>2678</v>
      </c>
      <c r="D621" s="63"/>
      <c r="E621" s="62">
        <v>46072.772928240738</v>
      </c>
      <c r="F621" s="63" t="s">
        <v>180</v>
      </c>
      <c r="G621" s="63">
        <v>1723170201</v>
      </c>
      <c r="H621" s="63">
        <v>26563652006592</v>
      </c>
      <c r="I621" s="63" t="s">
        <v>305</v>
      </c>
      <c r="J621" s="63" t="s">
        <v>159</v>
      </c>
      <c r="K621" s="63" t="s">
        <v>64</v>
      </c>
      <c r="L621" s="63" t="s">
        <v>306</v>
      </c>
      <c r="M621" s="63" t="s">
        <v>303</v>
      </c>
      <c r="N621" s="63" t="s">
        <v>84</v>
      </c>
      <c r="O621" s="63" t="s">
        <v>68</v>
      </c>
      <c r="P621" s="63" t="s">
        <v>69</v>
      </c>
      <c r="Q621" s="63">
        <v>3</v>
      </c>
      <c r="R621" s="63">
        <v>0</v>
      </c>
      <c r="S621" s="63" t="s">
        <v>70</v>
      </c>
      <c r="T621" s="63">
        <v>22.263999999999999</v>
      </c>
      <c r="U621" s="62">
        <v>46072.291666666664</v>
      </c>
      <c r="V621" s="63" t="s">
        <v>86</v>
      </c>
      <c r="W621" s="63">
        <v>356.82</v>
      </c>
      <c r="X621" s="63">
        <v>4200</v>
      </c>
      <c r="Y621" s="63" t="s">
        <v>458</v>
      </c>
    </row>
    <row r="622" spans="1:25" hidden="1">
      <c r="A622" s="62">
        <v>46071.738622685189</v>
      </c>
      <c r="B622" s="63">
        <v>641530</v>
      </c>
      <c r="C622" s="63" t="s">
        <v>2678</v>
      </c>
      <c r="D622" s="63"/>
      <c r="E622" s="62">
        <v>46072.772928240738</v>
      </c>
      <c r="F622" s="63" t="s">
        <v>180</v>
      </c>
      <c r="G622" s="63">
        <v>1723170201</v>
      </c>
      <c r="H622" s="63">
        <v>26563652006592</v>
      </c>
      <c r="I622" s="63" t="s">
        <v>305</v>
      </c>
      <c r="J622" s="63" t="s">
        <v>159</v>
      </c>
      <c r="K622" s="63" t="s">
        <v>64</v>
      </c>
      <c r="L622" s="63" t="s">
        <v>306</v>
      </c>
      <c r="M622" s="63" t="s">
        <v>303</v>
      </c>
      <c r="N622" s="63" t="s">
        <v>84</v>
      </c>
      <c r="O622" s="63" t="s">
        <v>163</v>
      </c>
      <c r="P622" s="63" t="s">
        <v>164</v>
      </c>
      <c r="Q622" s="63">
        <v>1</v>
      </c>
      <c r="R622" s="63">
        <v>0</v>
      </c>
      <c r="S622" s="63" t="s">
        <v>76</v>
      </c>
      <c r="T622" s="63">
        <v>22.263999999999999</v>
      </c>
      <c r="U622" s="62">
        <v>46072.291666666664</v>
      </c>
      <c r="V622" s="63" t="s">
        <v>86</v>
      </c>
      <c r="W622" s="63">
        <v>356.82</v>
      </c>
      <c r="X622" s="63">
        <v>4200</v>
      </c>
      <c r="Y622" s="63" t="s">
        <v>458</v>
      </c>
    </row>
    <row r="623" spans="1:25" hidden="1">
      <c r="A623" s="62">
        <v>46071.738622685189</v>
      </c>
      <c r="B623" s="63">
        <v>641530</v>
      </c>
      <c r="C623" s="63" t="s">
        <v>2678</v>
      </c>
      <c r="D623" s="63"/>
      <c r="E623" s="62">
        <v>46072.772928240738</v>
      </c>
      <c r="F623" s="63" t="s">
        <v>180</v>
      </c>
      <c r="G623" s="63">
        <v>1723210201</v>
      </c>
      <c r="H623" s="63">
        <v>26563652015745</v>
      </c>
      <c r="I623" s="63" t="s">
        <v>2689</v>
      </c>
      <c r="J623" s="63" t="s">
        <v>159</v>
      </c>
      <c r="K623" s="63" t="s">
        <v>64</v>
      </c>
      <c r="L623" s="63" t="s">
        <v>2690</v>
      </c>
      <c r="M623" s="63" t="s">
        <v>2691</v>
      </c>
      <c r="N623" s="63" t="s">
        <v>84</v>
      </c>
      <c r="O623" s="63" t="s">
        <v>68</v>
      </c>
      <c r="P623" s="63" t="s">
        <v>69</v>
      </c>
      <c r="Q623" s="63">
        <v>3</v>
      </c>
      <c r="R623" s="63">
        <v>0</v>
      </c>
      <c r="S623" s="63" t="s">
        <v>70</v>
      </c>
      <c r="T623" s="63">
        <v>30.684000000000001</v>
      </c>
      <c r="U623" s="62">
        <v>46072.291666666664</v>
      </c>
      <c r="V623" s="63" t="s">
        <v>86</v>
      </c>
      <c r="W623" s="63">
        <v>412.58</v>
      </c>
      <c r="X623" s="63">
        <v>4200</v>
      </c>
      <c r="Y623" s="63" t="s">
        <v>458</v>
      </c>
    </row>
    <row r="624" spans="1:25" hidden="1">
      <c r="A624" s="62">
        <v>46071.738622685189</v>
      </c>
      <c r="B624" s="63">
        <v>641530</v>
      </c>
      <c r="C624" s="63" t="s">
        <v>2678</v>
      </c>
      <c r="D624" s="63"/>
      <c r="E624" s="62">
        <v>46072.772928240738</v>
      </c>
      <c r="F624" s="63" t="s">
        <v>180</v>
      </c>
      <c r="G624" s="63">
        <v>1723210201</v>
      </c>
      <c r="H624" s="63">
        <v>26563652015745</v>
      </c>
      <c r="I624" s="63" t="s">
        <v>2689</v>
      </c>
      <c r="J624" s="63" t="s">
        <v>159</v>
      </c>
      <c r="K624" s="63" t="s">
        <v>64</v>
      </c>
      <c r="L624" s="63" t="s">
        <v>2690</v>
      </c>
      <c r="M624" s="63" t="s">
        <v>2691</v>
      </c>
      <c r="N624" s="63" t="s">
        <v>84</v>
      </c>
      <c r="O624" s="63" t="s">
        <v>72</v>
      </c>
      <c r="P624" s="63" t="s">
        <v>73</v>
      </c>
      <c r="Q624" s="63">
        <v>1</v>
      </c>
      <c r="R624" s="63">
        <v>0</v>
      </c>
      <c r="S624" s="63" t="s">
        <v>70</v>
      </c>
      <c r="T624" s="63">
        <v>30.684000000000001</v>
      </c>
      <c r="U624" s="62">
        <v>46072.291666666664</v>
      </c>
      <c r="V624" s="63" t="s">
        <v>86</v>
      </c>
      <c r="W624" s="63">
        <v>412.58</v>
      </c>
      <c r="X624" s="63">
        <v>4200</v>
      </c>
      <c r="Y624" s="63" t="s">
        <v>458</v>
      </c>
    </row>
    <row r="625" spans="1:25" hidden="1">
      <c r="A625" s="62">
        <v>46071.738622685189</v>
      </c>
      <c r="B625" s="63">
        <v>641530</v>
      </c>
      <c r="C625" s="63" t="s">
        <v>2678</v>
      </c>
      <c r="D625" s="63"/>
      <c r="E625" s="62">
        <v>46072.772928240738</v>
      </c>
      <c r="F625" s="63" t="s">
        <v>180</v>
      </c>
      <c r="G625" s="63">
        <v>1723210201</v>
      </c>
      <c r="H625" s="63">
        <v>26563652015745</v>
      </c>
      <c r="I625" s="63" t="s">
        <v>2689</v>
      </c>
      <c r="J625" s="63" t="s">
        <v>159</v>
      </c>
      <c r="K625" s="63" t="s">
        <v>64</v>
      </c>
      <c r="L625" s="63" t="s">
        <v>2690</v>
      </c>
      <c r="M625" s="63" t="s">
        <v>2691</v>
      </c>
      <c r="N625" s="63" t="s">
        <v>84</v>
      </c>
      <c r="O625" s="63" t="s">
        <v>169</v>
      </c>
      <c r="P625" s="63" t="s">
        <v>170</v>
      </c>
      <c r="Q625" s="63">
        <v>1</v>
      </c>
      <c r="R625" s="63">
        <v>0</v>
      </c>
      <c r="S625" s="63" t="s">
        <v>76</v>
      </c>
      <c r="T625" s="63">
        <v>30.684000000000001</v>
      </c>
      <c r="U625" s="62">
        <v>46072.291666666664</v>
      </c>
      <c r="V625" s="63" t="s">
        <v>86</v>
      </c>
      <c r="W625" s="63">
        <v>412.58</v>
      </c>
      <c r="X625" s="63">
        <v>4200</v>
      </c>
      <c r="Y625" s="63" t="s">
        <v>458</v>
      </c>
    </row>
    <row r="626" spans="1:25" hidden="1">
      <c r="A626" s="62">
        <v>46071.738622685189</v>
      </c>
      <c r="B626" s="63">
        <v>641530</v>
      </c>
      <c r="C626" s="63" t="s">
        <v>2678</v>
      </c>
      <c r="D626" s="63"/>
      <c r="E626" s="62">
        <v>46072.772939814815</v>
      </c>
      <c r="F626" s="63" t="s">
        <v>180</v>
      </c>
      <c r="G626" s="63">
        <v>1723590201</v>
      </c>
      <c r="H626" s="63">
        <v>26563652018094</v>
      </c>
      <c r="I626" s="63" t="s">
        <v>2380</v>
      </c>
      <c r="J626" s="63" t="s">
        <v>159</v>
      </c>
      <c r="K626" s="63" t="s">
        <v>64</v>
      </c>
      <c r="L626" s="63" t="s">
        <v>2381</v>
      </c>
      <c r="M626" s="63" t="s">
        <v>318</v>
      </c>
      <c r="N626" s="63" t="s">
        <v>84</v>
      </c>
      <c r="O626" s="63" t="s">
        <v>68</v>
      </c>
      <c r="P626" s="63" t="s">
        <v>69</v>
      </c>
      <c r="Q626" s="63">
        <v>9</v>
      </c>
      <c r="R626" s="63">
        <v>0</v>
      </c>
      <c r="S626" s="63" t="s">
        <v>70</v>
      </c>
      <c r="T626" s="63">
        <v>55.161999999999999</v>
      </c>
      <c r="U626" s="62">
        <v>46072.291666666664</v>
      </c>
      <c r="V626" s="63" t="s">
        <v>86</v>
      </c>
      <c r="W626" s="63">
        <v>482.43</v>
      </c>
      <c r="X626" s="63">
        <v>4200</v>
      </c>
      <c r="Y626" s="63" t="s">
        <v>458</v>
      </c>
    </row>
    <row r="627" spans="1:25" hidden="1">
      <c r="A627" s="62">
        <v>46071.738622685189</v>
      </c>
      <c r="B627" s="63">
        <v>641530</v>
      </c>
      <c r="C627" s="63" t="s">
        <v>2678</v>
      </c>
      <c r="D627" s="63"/>
      <c r="E627" s="62">
        <v>46072.772939814815</v>
      </c>
      <c r="F627" s="63" t="s">
        <v>180</v>
      </c>
      <c r="G627" s="63">
        <v>1723590201</v>
      </c>
      <c r="H627" s="63">
        <v>26563652018094</v>
      </c>
      <c r="I627" s="63" t="s">
        <v>2380</v>
      </c>
      <c r="J627" s="63" t="s">
        <v>159</v>
      </c>
      <c r="K627" s="63" t="s">
        <v>64</v>
      </c>
      <c r="L627" s="63" t="s">
        <v>2381</v>
      </c>
      <c r="M627" s="63" t="s">
        <v>318</v>
      </c>
      <c r="N627" s="63" t="s">
        <v>84</v>
      </c>
      <c r="O627" s="63" t="s">
        <v>74</v>
      </c>
      <c r="P627" s="63" t="s">
        <v>75</v>
      </c>
      <c r="Q627" s="63">
        <v>1</v>
      </c>
      <c r="R627" s="63">
        <v>0</v>
      </c>
      <c r="S627" s="63" t="s">
        <v>76</v>
      </c>
      <c r="T627" s="63">
        <v>55.161999999999999</v>
      </c>
      <c r="U627" s="62">
        <v>46072.291666666664</v>
      </c>
      <c r="V627" s="63" t="s">
        <v>86</v>
      </c>
      <c r="W627" s="63">
        <v>482.43</v>
      </c>
      <c r="X627" s="63">
        <v>4200</v>
      </c>
      <c r="Y627" s="63" t="s">
        <v>458</v>
      </c>
    </row>
    <row r="628" spans="1:25" hidden="1">
      <c r="A628" s="62">
        <v>46071.738622685189</v>
      </c>
      <c r="B628" s="63">
        <v>641530</v>
      </c>
      <c r="C628" s="63" t="s">
        <v>2678</v>
      </c>
      <c r="D628" s="63"/>
      <c r="E628" s="62">
        <v>46072.772951388892</v>
      </c>
      <c r="F628" s="63" t="s">
        <v>180</v>
      </c>
      <c r="G628" s="63">
        <v>1723890201</v>
      </c>
      <c r="H628" s="63">
        <v>26563652058479</v>
      </c>
      <c r="I628" s="63" t="s">
        <v>2692</v>
      </c>
      <c r="J628" s="63" t="s">
        <v>159</v>
      </c>
      <c r="K628" s="63" t="s">
        <v>64</v>
      </c>
      <c r="L628" s="63"/>
      <c r="M628" s="63" t="s">
        <v>2693</v>
      </c>
      <c r="N628" s="63" t="s">
        <v>84</v>
      </c>
      <c r="O628" s="63" t="s">
        <v>68</v>
      </c>
      <c r="P628" s="63" t="s">
        <v>69</v>
      </c>
      <c r="Q628" s="63">
        <v>11</v>
      </c>
      <c r="R628" s="63">
        <v>0</v>
      </c>
      <c r="S628" s="63" t="s">
        <v>70</v>
      </c>
      <c r="T628" s="63">
        <v>55.198</v>
      </c>
      <c r="U628" s="62">
        <v>46072.291666666664</v>
      </c>
      <c r="V628" s="63" t="s">
        <v>86</v>
      </c>
      <c r="W628" s="63">
        <v>376.09</v>
      </c>
      <c r="X628" s="63">
        <v>4200</v>
      </c>
      <c r="Y628" s="63" t="s">
        <v>458</v>
      </c>
    </row>
    <row r="629" spans="1:25" hidden="1">
      <c r="A629" s="62">
        <v>46071.738622685189</v>
      </c>
      <c r="B629" s="63">
        <v>641530</v>
      </c>
      <c r="C629" s="63" t="s">
        <v>2678</v>
      </c>
      <c r="D629" s="63"/>
      <c r="E629" s="62">
        <v>46072.772962962961</v>
      </c>
      <c r="F629" s="63" t="s">
        <v>180</v>
      </c>
      <c r="G629" s="63">
        <v>1724270201</v>
      </c>
      <c r="H629" s="63">
        <v>26563652037552</v>
      </c>
      <c r="I629" s="63" t="s">
        <v>314</v>
      </c>
      <c r="J629" s="63" t="s">
        <v>159</v>
      </c>
      <c r="K629" s="63" t="s">
        <v>64</v>
      </c>
      <c r="L629" s="63"/>
      <c r="M629" s="63" t="s">
        <v>315</v>
      </c>
      <c r="N629" s="63" t="s">
        <v>84</v>
      </c>
      <c r="O629" s="63" t="s">
        <v>68</v>
      </c>
      <c r="P629" s="63" t="s">
        <v>69</v>
      </c>
      <c r="Q629" s="63">
        <v>6</v>
      </c>
      <c r="R629" s="63">
        <v>0</v>
      </c>
      <c r="S629" s="63" t="s">
        <v>70</v>
      </c>
      <c r="T629" s="63">
        <v>40.107999999999997</v>
      </c>
      <c r="U629" s="62">
        <v>46072.291666666664</v>
      </c>
      <c r="V629" s="63" t="s">
        <v>86</v>
      </c>
      <c r="W629" s="63">
        <v>379.86</v>
      </c>
      <c r="X629" s="63">
        <v>4200</v>
      </c>
      <c r="Y629" s="63" t="s">
        <v>458</v>
      </c>
    </row>
    <row r="630" spans="1:25" hidden="1">
      <c r="A630" s="62">
        <v>46071.738622685189</v>
      </c>
      <c r="B630" s="63">
        <v>641530</v>
      </c>
      <c r="C630" s="63" t="s">
        <v>2678</v>
      </c>
      <c r="D630" s="63"/>
      <c r="E630" s="62">
        <v>46072.772962962961</v>
      </c>
      <c r="F630" s="63" t="s">
        <v>180</v>
      </c>
      <c r="G630" s="63">
        <v>1724270201</v>
      </c>
      <c r="H630" s="63">
        <v>26563652037552</v>
      </c>
      <c r="I630" s="63" t="s">
        <v>314</v>
      </c>
      <c r="J630" s="63" t="s">
        <v>159</v>
      </c>
      <c r="K630" s="63" t="s">
        <v>64</v>
      </c>
      <c r="L630" s="63"/>
      <c r="M630" s="63" t="s">
        <v>315</v>
      </c>
      <c r="N630" s="63" t="s">
        <v>84</v>
      </c>
      <c r="O630" s="63" t="s">
        <v>74</v>
      </c>
      <c r="P630" s="63" t="s">
        <v>75</v>
      </c>
      <c r="Q630" s="63">
        <v>1</v>
      </c>
      <c r="R630" s="63">
        <v>0</v>
      </c>
      <c r="S630" s="63" t="s">
        <v>76</v>
      </c>
      <c r="T630" s="63">
        <v>40.107999999999997</v>
      </c>
      <c r="U630" s="62">
        <v>46072.291666666664</v>
      </c>
      <c r="V630" s="63" t="s">
        <v>86</v>
      </c>
      <c r="W630" s="63">
        <v>379.86</v>
      </c>
      <c r="X630" s="63">
        <v>4200</v>
      </c>
      <c r="Y630" s="63" t="s">
        <v>458</v>
      </c>
    </row>
    <row r="631" spans="1:25" hidden="1">
      <c r="A631" s="62">
        <v>46071.738622685189</v>
      </c>
      <c r="B631" s="63">
        <v>641530</v>
      </c>
      <c r="C631" s="63" t="s">
        <v>2678</v>
      </c>
      <c r="D631" s="63"/>
      <c r="E631" s="62">
        <v>46072.772962962961</v>
      </c>
      <c r="F631" s="63" t="s">
        <v>180</v>
      </c>
      <c r="G631" s="63">
        <v>1724330201</v>
      </c>
      <c r="H631" s="63">
        <v>26563652034294</v>
      </c>
      <c r="I631" s="63" t="s">
        <v>311</v>
      </c>
      <c r="J631" s="63" t="s">
        <v>159</v>
      </c>
      <c r="K631" s="63" t="s">
        <v>64</v>
      </c>
      <c r="L631" s="63" t="s">
        <v>312</v>
      </c>
      <c r="M631" s="63" t="s">
        <v>313</v>
      </c>
      <c r="N631" s="63" t="s">
        <v>84</v>
      </c>
      <c r="O631" s="63" t="s">
        <v>68</v>
      </c>
      <c r="P631" s="63" t="s">
        <v>69</v>
      </c>
      <c r="Q631" s="63">
        <v>8</v>
      </c>
      <c r="R631" s="63">
        <v>0</v>
      </c>
      <c r="S631" s="63" t="s">
        <v>70</v>
      </c>
      <c r="T631" s="63">
        <v>55.143999999999998</v>
      </c>
      <c r="U631" s="62">
        <v>46072.291666666664</v>
      </c>
      <c r="V631" s="63" t="s">
        <v>86</v>
      </c>
      <c r="W631" s="63">
        <v>497.25</v>
      </c>
      <c r="X631" s="63">
        <v>4200</v>
      </c>
      <c r="Y631" s="63" t="s">
        <v>458</v>
      </c>
    </row>
    <row r="632" spans="1:25" hidden="1">
      <c r="A632" s="62">
        <v>46071.738622685189</v>
      </c>
      <c r="B632" s="63">
        <v>641530</v>
      </c>
      <c r="C632" s="63" t="s">
        <v>2678</v>
      </c>
      <c r="D632" s="63"/>
      <c r="E632" s="62">
        <v>46072.772962962961</v>
      </c>
      <c r="F632" s="63" t="s">
        <v>180</v>
      </c>
      <c r="G632" s="63">
        <v>1724330201</v>
      </c>
      <c r="H632" s="63">
        <v>26563652034294</v>
      </c>
      <c r="I632" s="63" t="s">
        <v>311</v>
      </c>
      <c r="J632" s="63" t="s">
        <v>159</v>
      </c>
      <c r="K632" s="63" t="s">
        <v>64</v>
      </c>
      <c r="L632" s="63" t="s">
        <v>312</v>
      </c>
      <c r="M632" s="63" t="s">
        <v>313</v>
      </c>
      <c r="N632" s="63" t="s">
        <v>84</v>
      </c>
      <c r="O632" s="63" t="s">
        <v>72</v>
      </c>
      <c r="P632" s="63" t="s">
        <v>73</v>
      </c>
      <c r="Q632" s="63">
        <v>1</v>
      </c>
      <c r="R632" s="63">
        <v>0</v>
      </c>
      <c r="S632" s="63" t="s">
        <v>70</v>
      </c>
      <c r="T632" s="63">
        <v>55.143999999999998</v>
      </c>
      <c r="U632" s="62">
        <v>46072.291666666664</v>
      </c>
      <c r="V632" s="63" t="s">
        <v>86</v>
      </c>
      <c r="W632" s="63">
        <v>497.25</v>
      </c>
      <c r="X632" s="63">
        <v>4200</v>
      </c>
      <c r="Y632" s="63" t="s">
        <v>458</v>
      </c>
    </row>
    <row r="633" spans="1:25" hidden="1">
      <c r="A633" s="62">
        <v>46071.738622685189</v>
      </c>
      <c r="B633" s="63">
        <v>641530</v>
      </c>
      <c r="C633" s="63" t="s">
        <v>2678</v>
      </c>
      <c r="D633" s="63"/>
      <c r="E633" s="62">
        <v>46072.772962962961</v>
      </c>
      <c r="F633" s="63" t="s">
        <v>180</v>
      </c>
      <c r="G633" s="63">
        <v>1724330201</v>
      </c>
      <c r="H633" s="63">
        <v>26563652034294</v>
      </c>
      <c r="I633" s="63" t="s">
        <v>311</v>
      </c>
      <c r="J633" s="63" t="s">
        <v>159</v>
      </c>
      <c r="K633" s="63" t="s">
        <v>64</v>
      </c>
      <c r="L633" s="63" t="s">
        <v>312</v>
      </c>
      <c r="M633" s="63" t="s">
        <v>313</v>
      </c>
      <c r="N633" s="63" t="s">
        <v>84</v>
      </c>
      <c r="O633" s="63" t="s">
        <v>74</v>
      </c>
      <c r="P633" s="63" t="s">
        <v>75</v>
      </c>
      <c r="Q633" s="63">
        <v>1</v>
      </c>
      <c r="R633" s="63">
        <v>0</v>
      </c>
      <c r="S633" s="63" t="s">
        <v>76</v>
      </c>
      <c r="T633" s="63">
        <v>55.143999999999998</v>
      </c>
      <c r="U633" s="62">
        <v>46072.291666666664</v>
      </c>
      <c r="V633" s="63" t="s">
        <v>86</v>
      </c>
      <c r="W633" s="63">
        <v>497.25</v>
      </c>
      <c r="X633" s="63">
        <v>4200</v>
      </c>
      <c r="Y633" s="63" t="s">
        <v>458</v>
      </c>
    </row>
    <row r="634" spans="1:25" hidden="1">
      <c r="A634" s="62">
        <v>46071.738622685189</v>
      </c>
      <c r="B634" s="63">
        <v>641530</v>
      </c>
      <c r="C634" s="63" t="s">
        <v>2678</v>
      </c>
      <c r="D634" s="63"/>
      <c r="E634" s="62">
        <v>46072.772962962961</v>
      </c>
      <c r="F634" s="63" t="s">
        <v>180</v>
      </c>
      <c r="G634" s="63">
        <v>1724470201</v>
      </c>
      <c r="H634" s="63">
        <v>26563652054309</v>
      </c>
      <c r="I634" s="63" t="s">
        <v>316</v>
      </c>
      <c r="J634" s="63" t="s">
        <v>159</v>
      </c>
      <c r="K634" s="63" t="s">
        <v>64</v>
      </c>
      <c r="L634" s="63" t="s">
        <v>317</v>
      </c>
      <c r="M634" s="63" t="s">
        <v>318</v>
      </c>
      <c r="N634" s="63" t="s">
        <v>84</v>
      </c>
      <c r="O634" s="63" t="s">
        <v>68</v>
      </c>
      <c r="P634" s="63" t="s">
        <v>69</v>
      </c>
      <c r="Q634" s="63">
        <v>6</v>
      </c>
      <c r="R634" s="63">
        <v>0</v>
      </c>
      <c r="S634" s="63" t="s">
        <v>70</v>
      </c>
      <c r="T634" s="63">
        <v>35.107999999999997</v>
      </c>
      <c r="U634" s="62">
        <v>46072.291666666664</v>
      </c>
      <c r="V634" s="63" t="s">
        <v>86</v>
      </c>
      <c r="W634" s="63">
        <v>254.15</v>
      </c>
      <c r="X634" s="63">
        <v>4200</v>
      </c>
      <c r="Y634" s="63" t="s">
        <v>458</v>
      </c>
    </row>
    <row r="635" spans="1:25" hidden="1">
      <c r="A635" s="62">
        <v>46071.738622685189</v>
      </c>
      <c r="B635" s="63">
        <v>641530</v>
      </c>
      <c r="C635" s="63" t="s">
        <v>2678</v>
      </c>
      <c r="D635" s="63"/>
      <c r="E635" s="62">
        <v>46072.772962962961</v>
      </c>
      <c r="F635" s="63" t="s">
        <v>180</v>
      </c>
      <c r="G635" s="63">
        <v>1724470201</v>
      </c>
      <c r="H635" s="63">
        <v>26563652054309</v>
      </c>
      <c r="I635" s="63" t="s">
        <v>316</v>
      </c>
      <c r="J635" s="63" t="s">
        <v>159</v>
      </c>
      <c r="K635" s="63" t="s">
        <v>64</v>
      </c>
      <c r="L635" s="63" t="s">
        <v>317</v>
      </c>
      <c r="M635" s="63" t="s">
        <v>318</v>
      </c>
      <c r="N635" s="63" t="s">
        <v>84</v>
      </c>
      <c r="O635" s="63" t="s">
        <v>72</v>
      </c>
      <c r="P635" s="63" t="s">
        <v>73</v>
      </c>
      <c r="Q635" s="63">
        <v>1</v>
      </c>
      <c r="R635" s="63">
        <v>0</v>
      </c>
      <c r="S635" s="63" t="s">
        <v>70</v>
      </c>
      <c r="T635" s="63">
        <v>35.107999999999997</v>
      </c>
      <c r="U635" s="62">
        <v>46072.291666666664</v>
      </c>
      <c r="V635" s="63" t="s">
        <v>86</v>
      </c>
      <c r="W635" s="63">
        <v>254.15</v>
      </c>
      <c r="X635" s="63">
        <v>4200</v>
      </c>
      <c r="Y635" s="63" t="s">
        <v>458</v>
      </c>
    </row>
    <row r="636" spans="1:25" hidden="1">
      <c r="A636" s="62">
        <v>46071.738622685189</v>
      </c>
      <c r="B636" s="63">
        <v>641530</v>
      </c>
      <c r="C636" s="63" t="s">
        <v>2678</v>
      </c>
      <c r="D636" s="63"/>
      <c r="E636" s="62">
        <v>46072.772974537038</v>
      </c>
      <c r="F636" s="63" t="s">
        <v>180</v>
      </c>
      <c r="G636" s="63">
        <v>1716810201</v>
      </c>
      <c r="H636" s="63">
        <v>45543915000424</v>
      </c>
      <c r="I636" s="63" t="s">
        <v>2694</v>
      </c>
      <c r="J636" s="63" t="s">
        <v>155</v>
      </c>
      <c r="K636" s="63" t="s">
        <v>64</v>
      </c>
      <c r="L636" s="63" t="s">
        <v>2695</v>
      </c>
      <c r="M636" s="63" t="s">
        <v>2696</v>
      </c>
      <c r="N636" s="63" t="s">
        <v>84</v>
      </c>
      <c r="O636" s="63" t="s">
        <v>68</v>
      </c>
      <c r="P636" s="63" t="s">
        <v>69</v>
      </c>
      <c r="Q636" s="63">
        <v>140</v>
      </c>
      <c r="R636" s="63">
        <v>0</v>
      </c>
      <c r="S636" s="63" t="s">
        <v>70</v>
      </c>
      <c r="T636" s="63">
        <v>752.52</v>
      </c>
      <c r="U636" s="62">
        <v>46072.291666666664</v>
      </c>
      <c r="V636" s="63" t="s">
        <v>86</v>
      </c>
      <c r="W636" s="63">
        <v>5081</v>
      </c>
      <c r="X636" s="63">
        <v>4200</v>
      </c>
      <c r="Y636" s="63" t="s">
        <v>458</v>
      </c>
    </row>
    <row r="637" spans="1:25" hidden="1">
      <c r="A637" s="62">
        <v>46071.738622685189</v>
      </c>
      <c r="B637" s="63">
        <v>641530</v>
      </c>
      <c r="C637" s="63" t="s">
        <v>2678</v>
      </c>
      <c r="D637" s="63"/>
      <c r="E637" s="62">
        <v>46072.772974537038</v>
      </c>
      <c r="F637" s="63" t="s">
        <v>180</v>
      </c>
      <c r="G637" s="63">
        <v>1716810201</v>
      </c>
      <c r="H637" s="63">
        <v>45543915000424</v>
      </c>
      <c r="I637" s="63" t="s">
        <v>2694</v>
      </c>
      <c r="J637" s="63" t="s">
        <v>155</v>
      </c>
      <c r="K637" s="63" t="s">
        <v>64</v>
      </c>
      <c r="L637" s="63" t="s">
        <v>2695</v>
      </c>
      <c r="M637" s="63" t="s">
        <v>2696</v>
      </c>
      <c r="N637" s="63" t="s">
        <v>84</v>
      </c>
      <c r="O637" s="63" t="s">
        <v>74</v>
      </c>
      <c r="P637" s="63" t="s">
        <v>75</v>
      </c>
      <c r="Q637" s="63">
        <v>5</v>
      </c>
      <c r="R637" s="63">
        <v>0</v>
      </c>
      <c r="S637" s="63" t="s">
        <v>76</v>
      </c>
      <c r="T637" s="63">
        <v>752.52</v>
      </c>
      <c r="U637" s="62">
        <v>46072.291666666664</v>
      </c>
      <c r="V637" s="63" t="s">
        <v>86</v>
      </c>
      <c r="W637" s="63">
        <v>5081</v>
      </c>
      <c r="X637" s="63">
        <v>4200</v>
      </c>
      <c r="Y637" s="63" t="s">
        <v>458</v>
      </c>
    </row>
    <row r="638" spans="1:25" hidden="1">
      <c r="A638" s="62">
        <v>46071.738634259258</v>
      </c>
      <c r="B638" s="63">
        <v>641531</v>
      </c>
      <c r="C638" s="63" t="s">
        <v>2697</v>
      </c>
      <c r="D638" s="63"/>
      <c r="E638" s="62">
        <v>46072.772881944446</v>
      </c>
      <c r="F638" s="63" t="s">
        <v>237</v>
      </c>
      <c r="G638" s="63">
        <v>1721010201</v>
      </c>
      <c r="H638" s="63">
        <v>45827425002231</v>
      </c>
      <c r="I638" s="63" t="s">
        <v>2698</v>
      </c>
      <c r="J638" s="63" t="s">
        <v>2520</v>
      </c>
      <c r="K638" s="63" t="s">
        <v>238</v>
      </c>
      <c r="L638" s="63" t="s">
        <v>2699</v>
      </c>
      <c r="M638" s="63" t="s">
        <v>2700</v>
      </c>
      <c r="N638" s="63" t="s">
        <v>67</v>
      </c>
      <c r="O638" s="63" t="s">
        <v>93</v>
      </c>
      <c r="P638" s="63" t="s">
        <v>94</v>
      </c>
      <c r="Q638" s="63">
        <v>10</v>
      </c>
      <c r="R638" s="63">
        <v>0</v>
      </c>
      <c r="S638" s="63" t="s">
        <v>70</v>
      </c>
      <c r="T638" s="63">
        <v>70</v>
      </c>
      <c r="U638" s="62">
        <v>46072.291666666664</v>
      </c>
      <c r="V638" s="63" t="s">
        <v>86</v>
      </c>
      <c r="W638" s="63">
        <v>518.14</v>
      </c>
      <c r="X638" s="63">
        <v>700</v>
      </c>
      <c r="Y638" s="63" t="s">
        <v>2385</v>
      </c>
    </row>
    <row r="639" spans="1:25" hidden="1">
      <c r="A639" s="62">
        <v>46071.738634259258</v>
      </c>
      <c r="B639" s="63">
        <v>641531</v>
      </c>
      <c r="C639" s="63" t="s">
        <v>2697</v>
      </c>
      <c r="D639" s="63"/>
      <c r="E639" s="62">
        <v>46072.772881944446</v>
      </c>
      <c r="F639" s="63" t="s">
        <v>237</v>
      </c>
      <c r="G639" s="63">
        <v>1721010201</v>
      </c>
      <c r="H639" s="63">
        <v>45827425002231</v>
      </c>
      <c r="I639" s="63" t="s">
        <v>2698</v>
      </c>
      <c r="J639" s="63" t="s">
        <v>2520</v>
      </c>
      <c r="K639" s="63" t="s">
        <v>238</v>
      </c>
      <c r="L639" s="63" t="s">
        <v>2699</v>
      </c>
      <c r="M639" s="63" t="s">
        <v>2700</v>
      </c>
      <c r="N639" s="63" t="s">
        <v>67</v>
      </c>
      <c r="O639" s="63" t="s">
        <v>72</v>
      </c>
      <c r="P639" s="63" t="s">
        <v>73</v>
      </c>
      <c r="Q639" s="63">
        <v>4</v>
      </c>
      <c r="R639" s="63">
        <v>0</v>
      </c>
      <c r="S639" s="63" t="s">
        <v>70</v>
      </c>
      <c r="T639" s="63">
        <v>70</v>
      </c>
      <c r="U639" s="62">
        <v>46072.291666666664</v>
      </c>
      <c r="V639" s="63" t="s">
        <v>86</v>
      </c>
      <c r="W639" s="63">
        <v>518.14</v>
      </c>
      <c r="X639" s="63">
        <v>700</v>
      </c>
      <c r="Y639" s="63" t="s">
        <v>2385</v>
      </c>
    </row>
    <row r="640" spans="1:25" ht="30" hidden="1">
      <c r="A640" s="62">
        <v>46071.738634259258</v>
      </c>
      <c r="B640" s="63">
        <v>641531</v>
      </c>
      <c r="C640" s="63" t="s">
        <v>2697</v>
      </c>
      <c r="D640" s="63"/>
      <c r="E640" s="62">
        <v>46072.772881944446</v>
      </c>
      <c r="F640" s="63" t="s">
        <v>237</v>
      </c>
      <c r="G640" s="63">
        <v>1722420201</v>
      </c>
      <c r="H640" s="63">
        <v>47508411184702</v>
      </c>
      <c r="I640" s="63" t="s">
        <v>2701</v>
      </c>
      <c r="J640" s="63" t="s">
        <v>181</v>
      </c>
      <c r="K640" s="63" t="s">
        <v>238</v>
      </c>
      <c r="L640" s="63" t="s">
        <v>2702</v>
      </c>
      <c r="M640" s="63" t="s">
        <v>2703</v>
      </c>
      <c r="N640" s="63" t="s">
        <v>67</v>
      </c>
      <c r="O640" s="63" t="s">
        <v>107</v>
      </c>
      <c r="P640" s="63" t="s">
        <v>108</v>
      </c>
      <c r="Q640" s="63">
        <v>4</v>
      </c>
      <c r="R640" s="63">
        <v>0</v>
      </c>
      <c r="S640" s="63" t="s">
        <v>76</v>
      </c>
      <c r="T640" s="63">
        <v>42.52</v>
      </c>
      <c r="U640" s="62">
        <v>46072.291666666664</v>
      </c>
      <c r="V640" s="63" t="s">
        <v>86</v>
      </c>
      <c r="W640" s="63">
        <v>316</v>
      </c>
      <c r="X640" s="63">
        <v>700</v>
      </c>
      <c r="Y640" s="63" t="s">
        <v>2385</v>
      </c>
    </row>
    <row r="641" spans="1:25" ht="30">
      <c r="A641" s="62">
        <v>46071.738634259258</v>
      </c>
      <c r="B641" s="63">
        <v>641531</v>
      </c>
      <c r="C641" s="63" t="s">
        <v>2697</v>
      </c>
      <c r="D641" s="63"/>
      <c r="E641" s="62">
        <v>46072.772881944446</v>
      </c>
      <c r="F641" s="63" t="s">
        <v>237</v>
      </c>
      <c r="G641" s="63">
        <v>1722540201</v>
      </c>
      <c r="H641" s="63">
        <v>47508411184702</v>
      </c>
      <c r="I641" s="63" t="s">
        <v>2701</v>
      </c>
      <c r="J641" s="63" t="s">
        <v>181</v>
      </c>
      <c r="K641" s="63" t="s">
        <v>238</v>
      </c>
      <c r="L641" s="63" t="s">
        <v>2702</v>
      </c>
      <c r="M641" s="63" t="s">
        <v>2703</v>
      </c>
      <c r="N641" s="63" t="s">
        <v>67</v>
      </c>
      <c r="O641" s="63" t="s">
        <v>109</v>
      </c>
      <c r="P641" s="63" t="s">
        <v>110</v>
      </c>
      <c r="Q641" s="63">
        <v>15</v>
      </c>
      <c r="R641" s="63">
        <v>0</v>
      </c>
      <c r="S641" s="63" t="s">
        <v>70</v>
      </c>
      <c r="T641" s="63">
        <v>75</v>
      </c>
      <c r="U641" s="62">
        <v>46072.291666666664</v>
      </c>
      <c r="V641" s="63" t="s">
        <v>86</v>
      </c>
      <c r="W641" s="63">
        <v>541.04999999999995</v>
      </c>
      <c r="X641" s="63">
        <v>700</v>
      </c>
      <c r="Y641" s="63" t="s">
        <v>2385</v>
      </c>
    </row>
    <row r="642" spans="1:25" hidden="1">
      <c r="A642" s="62">
        <v>46071.738634259258</v>
      </c>
      <c r="B642" s="63">
        <v>641531</v>
      </c>
      <c r="C642" s="63" t="s">
        <v>2697</v>
      </c>
      <c r="D642" s="63"/>
      <c r="E642" s="62">
        <v>46072.772893518515</v>
      </c>
      <c r="F642" s="63" t="s">
        <v>237</v>
      </c>
      <c r="G642" s="63">
        <v>1721000201</v>
      </c>
      <c r="H642" s="63">
        <v>45827425000611</v>
      </c>
      <c r="I642" s="63" t="s">
        <v>2704</v>
      </c>
      <c r="J642" s="63" t="s">
        <v>2520</v>
      </c>
      <c r="K642" s="63" t="s">
        <v>238</v>
      </c>
      <c r="L642" s="63" t="s">
        <v>2705</v>
      </c>
      <c r="M642" s="63" t="s">
        <v>2706</v>
      </c>
      <c r="N642" s="63" t="s">
        <v>67</v>
      </c>
      <c r="O642" s="63" t="s">
        <v>74</v>
      </c>
      <c r="P642" s="63" t="s">
        <v>75</v>
      </c>
      <c r="Q642" s="63">
        <v>1</v>
      </c>
      <c r="R642" s="63">
        <v>0</v>
      </c>
      <c r="S642" s="63" t="s">
        <v>76</v>
      </c>
      <c r="T642" s="63">
        <v>10</v>
      </c>
      <c r="U642" s="62">
        <v>46072.291666666664</v>
      </c>
      <c r="V642" s="63" t="s">
        <v>86</v>
      </c>
      <c r="W642" s="63">
        <v>370.74</v>
      </c>
      <c r="X642" s="63">
        <v>700</v>
      </c>
      <c r="Y642" s="63" t="s">
        <v>2385</v>
      </c>
    </row>
    <row r="643" spans="1:25" hidden="1">
      <c r="A643" s="62">
        <v>46071.738634259258</v>
      </c>
      <c r="B643" s="63">
        <v>641531</v>
      </c>
      <c r="C643" s="63" t="s">
        <v>2697</v>
      </c>
      <c r="D643" s="63"/>
      <c r="E643" s="62">
        <v>46072.772893518515</v>
      </c>
      <c r="F643" s="63" t="s">
        <v>237</v>
      </c>
      <c r="G643" s="63">
        <v>1721040201</v>
      </c>
      <c r="H643" s="63">
        <v>45827425000611</v>
      </c>
      <c r="I643" s="63" t="s">
        <v>2704</v>
      </c>
      <c r="J643" s="63" t="s">
        <v>2520</v>
      </c>
      <c r="K643" s="63" t="s">
        <v>238</v>
      </c>
      <c r="L643" s="63" t="s">
        <v>2705</v>
      </c>
      <c r="M643" s="63" t="s">
        <v>2706</v>
      </c>
      <c r="N643" s="63" t="s">
        <v>67</v>
      </c>
      <c r="O643" s="63" t="s">
        <v>74</v>
      </c>
      <c r="P643" s="63" t="s">
        <v>75</v>
      </c>
      <c r="Q643" s="63">
        <v>2</v>
      </c>
      <c r="R643" s="63">
        <v>0</v>
      </c>
      <c r="S643" s="63" t="s">
        <v>76</v>
      </c>
      <c r="T643" s="63">
        <v>20</v>
      </c>
      <c r="U643" s="62">
        <v>46072.291666666664</v>
      </c>
      <c r="V643" s="63" t="s">
        <v>86</v>
      </c>
      <c r="W643" s="63">
        <v>553.89</v>
      </c>
      <c r="X643" s="63">
        <v>700</v>
      </c>
      <c r="Y643" s="63" t="s">
        <v>2385</v>
      </c>
    </row>
    <row r="644" spans="1:25" hidden="1">
      <c r="A644" s="62">
        <v>46071.738634259258</v>
      </c>
      <c r="B644" s="63">
        <v>641531</v>
      </c>
      <c r="C644" s="63" t="s">
        <v>2697</v>
      </c>
      <c r="D644" s="63"/>
      <c r="E644" s="62">
        <v>46072.772893518515</v>
      </c>
      <c r="F644" s="63" t="s">
        <v>237</v>
      </c>
      <c r="G644" s="63">
        <v>1721060201</v>
      </c>
      <c r="H644" s="63">
        <v>45827425000379</v>
      </c>
      <c r="I644" s="63" t="s">
        <v>2707</v>
      </c>
      <c r="J644" s="63" t="s">
        <v>2520</v>
      </c>
      <c r="K644" s="63" t="s">
        <v>238</v>
      </c>
      <c r="L644" s="63" t="s">
        <v>2708</v>
      </c>
      <c r="M644" s="63" t="s">
        <v>2709</v>
      </c>
      <c r="N644" s="63" t="s">
        <v>67</v>
      </c>
      <c r="O644" s="63" t="s">
        <v>93</v>
      </c>
      <c r="P644" s="63" t="s">
        <v>94</v>
      </c>
      <c r="Q644" s="63">
        <v>6</v>
      </c>
      <c r="R644" s="63">
        <v>0</v>
      </c>
      <c r="S644" s="63" t="s">
        <v>70</v>
      </c>
      <c r="T644" s="63">
        <v>95</v>
      </c>
      <c r="U644" s="62">
        <v>46072.291666666664</v>
      </c>
      <c r="V644" s="63" t="s">
        <v>86</v>
      </c>
      <c r="W644" s="63">
        <v>1139.71</v>
      </c>
      <c r="X644" s="63">
        <v>700</v>
      </c>
      <c r="Y644" s="63" t="s">
        <v>2385</v>
      </c>
    </row>
    <row r="645" spans="1:25" hidden="1">
      <c r="A645" s="62">
        <v>46071.738634259258</v>
      </c>
      <c r="B645" s="63">
        <v>641531</v>
      </c>
      <c r="C645" s="63" t="s">
        <v>2697</v>
      </c>
      <c r="D645" s="63"/>
      <c r="E645" s="62">
        <v>46072.772893518515</v>
      </c>
      <c r="F645" s="63" t="s">
        <v>237</v>
      </c>
      <c r="G645" s="63">
        <v>1721060201</v>
      </c>
      <c r="H645" s="63">
        <v>45827425000379</v>
      </c>
      <c r="I645" s="63" t="s">
        <v>2707</v>
      </c>
      <c r="J645" s="63" t="s">
        <v>2520</v>
      </c>
      <c r="K645" s="63" t="s">
        <v>238</v>
      </c>
      <c r="L645" s="63" t="s">
        <v>2708</v>
      </c>
      <c r="M645" s="63" t="s">
        <v>2709</v>
      </c>
      <c r="N645" s="63" t="s">
        <v>67</v>
      </c>
      <c r="O645" s="63" t="s">
        <v>72</v>
      </c>
      <c r="P645" s="63" t="s">
        <v>73</v>
      </c>
      <c r="Q645" s="63">
        <v>5</v>
      </c>
      <c r="R645" s="63">
        <v>0</v>
      </c>
      <c r="S645" s="63" t="s">
        <v>70</v>
      </c>
      <c r="T645" s="63">
        <v>95</v>
      </c>
      <c r="U645" s="62">
        <v>46072.291666666664</v>
      </c>
      <c r="V645" s="63" t="s">
        <v>86</v>
      </c>
      <c r="W645" s="63">
        <v>1139.71</v>
      </c>
      <c r="X645" s="63">
        <v>700</v>
      </c>
      <c r="Y645" s="63" t="s">
        <v>2385</v>
      </c>
    </row>
    <row r="646" spans="1:25" hidden="1">
      <c r="A646" s="62">
        <v>46071.738634259258</v>
      </c>
      <c r="B646" s="63">
        <v>641531</v>
      </c>
      <c r="C646" s="63" t="s">
        <v>2697</v>
      </c>
      <c r="D646" s="63"/>
      <c r="E646" s="62">
        <v>46072.772893518515</v>
      </c>
      <c r="F646" s="63" t="s">
        <v>237</v>
      </c>
      <c r="G646" s="63">
        <v>1721060201</v>
      </c>
      <c r="H646" s="63">
        <v>45827425000379</v>
      </c>
      <c r="I646" s="63" t="s">
        <v>2707</v>
      </c>
      <c r="J646" s="63" t="s">
        <v>2520</v>
      </c>
      <c r="K646" s="63" t="s">
        <v>238</v>
      </c>
      <c r="L646" s="63" t="s">
        <v>2708</v>
      </c>
      <c r="M646" s="63" t="s">
        <v>2709</v>
      </c>
      <c r="N646" s="63" t="s">
        <v>67</v>
      </c>
      <c r="O646" s="63" t="s">
        <v>74</v>
      </c>
      <c r="P646" s="63" t="s">
        <v>75</v>
      </c>
      <c r="Q646" s="63">
        <v>4</v>
      </c>
      <c r="R646" s="63">
        <v>0</v>
      </c>
      <c r="S646" s="63" t="s">
        <v>76</v>
      </c>
      <c r="T646" s="63">
        <v>95</v>
      </c>
      <c r="U646" s="62">
        <v>46072.291666666664</v>
      </c>
      <c r="V646" s="63" t="s">
        <v>86</v>
      </c>
      <c r="W646" s="63">
        <v>1139.71</v>
      </c>
      <c r="X646" s="63">
        <v>700</v>
      </c>
      <c r="Y646" s="63" t="s">
        <v>2385</v>
      </c>
    </row>
    <row r="647" spans="1:25" hidden="1">
      <c r="A647" s="62">
        <v>46071.738634259258</v>
      </c>
      <c r="B647" s="63">
        <v>641531</v>
      </c>
      <c r="C647" s="63" t="s">
        <v>2697</v>
      </c>
      <c r="D647" s="63"/>
      <c r="E647" s="62">
        <v>46072.772928240738</v>
      </c>
      <c r="F647" s="63" t="s">
        <v>237</v>
      </c>
      <c r="G647" s="63">
        <v>1721100201</v>
      </c>
      <c r="H647" s="63">
        <v>45827425000611</v>
      </c>
      <c r="I647" s="63" t="s">
        <v>2704</v>
      </c>
      <c r="J647" s="63" t="s">
        <v>2520</v>
      </c>
      <c r="K647" s="63" t="s">
        <v>238</v>
      </c>
      <c r="L647" s="63" t="s">
        <v>2705</v>
      </c>
      <c r="M647" s="63" t="s">
        <v>2706</v>
      </c>
      <c r="N647" s="63" t="s">
        <v>67</v>
      </c>
      <c r="O647" s="63" t="s">
        <v>74</v>
      </c>
      <c r="P647" s="63" t="s">
        <v>75</v>
      </c>
      <c r="Q647" s="63">
        <v>2</v>
      </c>
      <c r="R647" s="63">
        <v>0</v>
      </c>
      <c r="S647" s="63" t="s">
        <v>76</v>
      </c>
      <c r="T647" s="63">
        <v>20</v>
      </c>
      <c r="U647" s="62">
        <v>46072.291666666664</v>
      </c>
      <c r="V647" s="63" t="s">
        <v>86</v>
      </c>
      <c r="W647" s="63">
        <v>553.89</v>
      </c>
      <c r="X647" s="63">
        <v>700</v>
      </c>
      <c r="Y647" s="63" t="s">
        <v>2385</v>
      </c>
    </row>
    <row r="648" spans="1:25" hidden="1">
      <c r="A648" s="62">
        <v>46071.738634259258</v>
      </c>
      <c r="B648" s="63">
        <v>641531</v>
      </c>
      <c r="C648" s="63" t="s">
        <v>2697</v>
      </c>
      <c r="D648" s="63"/>
      <c r="E648" s="62">
        <v>46072.772939814815</v>
      </c>
      <c r="F648" s="63" t="s">
        <v>237</v>
      </c>
      <c r="G648" s="63">
        <v>1721120201</v>
      </c>
      <c r="H648" s="63">
        <v>45827425001693</v>
      </c>
      <c r="I648" s="63" t="s">
        <v>2710</v>
      </c>
      <c r="J648" s="63" t="s">
        <v>2520</v>
      </c>
      <c r="K648" s="63" t="s">
        <v>238</v>
      </c>
      <c r="L648" s="63" t="s">
        <v>2711</v>
      </c>
      <c r="M648" s="63" t="s">
        <v>2712</v>
      </c>
      <c r="N648" s="63" t="s">
        <v>67</v>
      </c>
      <c r="O648" s="63" t="s">
        <v>93</v>
      </c>
      <c r="P648" s="63" t="s">
        <v>94</v>
      </c>
      <c r="Q648" s="63">
        <v>3</v>
      </c>
      <c r="R648" s="63">
        <v>0</v>
      </c>
      <c r="S648" s="63" t="s">
        <v>70</v>
      </c>
      <c r="T648" s="63">
        <v>55</v>
      </c>
      <c r="U648" s="62">
        <v>46072.291666666664</v>
      </c>
      <c r="V648" s="63" t="s">
        <v>86</v>
      </c>
      <c r="W648" s="63">
        <v>843.63</v>
      </c>
      <c r="X648" s="63">
        <v>700</v>
      </c>
      <c r="Y648" s="63" t="s">
        <v>2385</v>
      </c>
    </row>
    <row r="649" spans="1:25" hidden="1">
      <c r="A649" s="62">
        <v>46071.738634259258</v>
      </c>
      <c r="B649" s="63">
        <v>641531</v>
      </c>
      <c r="C649" s="63" t="s">
        <v>2697</v>
      </c>
      <c r="D649" s="63"/>
      <c r="E649" s="62">
        <v>46072.772939814815</v>
      </c>
      <c r="F649" s="63" t="s">
        <v>237</v>
      </c>
      <c r="G649" s="63">
        <v>1721120201</v>
      </c>
      <c r="H649" s="63">
        <v>45827425001693</v>
      </c>
      <c r="I649" s="63" t="s">
        <v>2710</v>
      </c>
      <c r="J649" s="63" t="s">
        <v>2520</v>
      </c>
      <c r="K649" s="63" t="s">
        <v>238</v>
      </c>
      <c r="L649" s="63" t="s">
        <v>2711</v>
      </c>
      <c r="M649" s="63" t="s">
        <v>2712</v>
      </c>
      <c r="N649" s="63" t="s">
        <v>67</v>
      </c>
      <c r="O649" s="63" t="s">
        <v>74</v>
      </c>
      <c r="P649" s="63" t="s">
        <v>75</v>
      </c>
      <c r="Q649" s="63">
        <v>4</v>
      </c>
      <c r="R649" s="63">
        <v>0</v>
      </c>
      <c r="S649" s="63" t="s">
        <v>76</v>
      </c>
      <c r="T649" s="63">
        <v>55</v>
      </c>
      <c r="U649" s="62">
        <v>46072.291666666664</v>
      </c>
      <c r="V649" s="63" t="s">
        <v>86</v>
      </c>
      <c r="W649" s="63">
        <v>843.63</v>
      </c>
      <c r="X649" s="63">
        <v>700</v>
      </c>
      <c r="Y649" s="63" t="s">
        <v>2385</v>
      </c>
    </row>
    <row r="650" spans="1:25" hidden="1">
      <c r="A650" s="62">
        <v>46071.738634259258</v>
      </c>
      <c r="B650" s="63">
        <v>641531</v>
      </c>
      <c r="C650" s="63" t="s">
        <v>2697</v>
      </c>
      <c r="D650" s="63"/>
      <c r="E650" s="62">
        <v>46072.772939814815</v>
      </c>
      <c r="F650" s="63" t="s">
        <v>237</v>
      </c>
      <c r="G650" s="63">
        <v>1721140201</v>
      </c>
      <c r="H650" s="63">
        <v>45827425001260</v>
      </c>
      <c r="I650" s="63" t="s">
        <v>2713</v>
      </c>
      <c r="J650" s="63" t="s">
        <v>2520</v>
      </c>
      <c r="K650" s="63" t="s">
        <v>238</v>
      </c>
      <c r="L650" s="63" t="s">
        <v>2714</v>
      </c>
      <c r="M650" s="63" t="s">
        <v>2715</v>
      </c>
      <c r="N650" s="63" t="s">
        <v>67</v>
      </c>
      <c r="O650" s="63" t="s">
        <v>93</v>
      </c>
      <c r="P650" s="63" t="s">
        <v>94</v>
      </c>
      <c r="Q650" s="63">
        <v>6</v>
      </c>
      <c r="R650" s="63">
        <v>0</v>
      </c>
      <c r="S650" s="63" t="s">
        <v>70</v>
      </c>
      <c r="T650" s="63">
        <v>60</v>
      </c>
      <c r="U650" s="62">
        <v>46072.291666666664</v>
      </c>
      <c r="V650" s="63" t="s">
        <v>86</v>
      </c>
      <c r="W650" s="63">
        <v>444.12</v>
      </c>
      <c r="X650" s="63">
        <v>700</v>
      </c>
      <c r="Y650" s="63" t="s">
        <v>2385</v>
      </c>
    </row>
    <row r="651" spans="1:25" hidden="1">
      <c r="A651" s="62">
        <v>46071.738634259258</v>
      </c>
      <c r="B651" s="63">
        <v>641531</v>
      </c>
      <c r="C651" s="63" t="s">
        <v>2697</v>
      </c>
      <c r="D651" s="63"/>
      <c r="E651" s="62">
        <v>46072.772939814815</v>
      </c>
      <c r="F651" s="63" t="s">
        <v>237</v>
      </c>
      <c r="G651" s="63">
        <v>1721140201</v>
      </c>
      <c r="H651" s="63">
        <v>45827425001260</v>
      </c>
      <c r="I651" s="63" t="s">
        <v>2713</v>
      </c>
      <c r="J651" s="63" t="s">
        <v>2520</v>
      </c>
      <c r="K651" s="63" t="s">
        <v>238</v>
      </c>
      <c r="L651" s="63" t="s">
        <v>2714</v>
      </c>
      <c r="M651" s="63" t="s">
        <v>2715</v>
      </c>
      <c r="N651" s="63" t="s">
        <v>67</v>
      </c>
      <c r="O651" s="63" t="s">
        <v>72</v>
      </c>
      <c r="P651" s="63" t="s">
        <v>73</v>
      </c>
      <c r="Q651" s="63">
        <v>6</v>
      </c>
      <c r="R651" s="63">
        <v>0</v>
      </c>
      <c r="S651" s="63" t="s">
        <v>70</v>
      </c>
      <c r="T651" s="63">
        <v>60</v>
      </c>
      <c r="U651" s="62">
        <v>46072.291666666664</v>
      </c>
      <c r="V651" s="63" t="s">
        <v>86</v>
      </c>
      <c r="W651" s="63">
        <v>444.12</v>
      </c>
      <c r="X651" s="63">
        <v>700</v>
      </c>
      <c r="Y651" s="63" t="s">
        <v>2385</v>
      </c>
    </row>
    <row r="652" spans="1:25" hidden="1">
      <c r="A652" s="62">
        <v>46071.738634259258</v>
      </c>
      <c r="B652" s="63">
        <v>641532</v>
      </c>
      <c r="C652" s="63" t="s">
        <v>2367</v>
      </c>
      <c r="D652" s="63"/>
      <c r="E652" s="62">
        <v>46072.772835648146</v>
      </c>
      <c r="F652" s="63" t="s">
        <v>323</v>
      </c>
      <c r="G652" s="63">
        <v>1716700201</v>
      </c>
      <c r="H652" s="63">
        <v>47508411092840</v>
      </c>
      <c r="I652" s="63" t="s">
        <v>2716</v>
      </c>
      <c r="J652" s="63" t="s">
        <v>181</v>
      </c>
      <c r="K652" s="63" t="s">
        <v>324</v>
      </c>
      <c r="L652" s="63" t="s">
        <v>2717</v>
      </c>
      <c r="M652" s="63" t="s">
        <v>2718</v>
      </c>
      <c r="N652" s="63" t="s">
        <v>84</v>
      </c>
      <c r="O652" s="63" t="s">
        <v>87</v>
      </c>
      <c r="P652" s="63" t="s">
        <v>88</v>
      </c>
      <c r="Q652" s="63">
        <v>1</v>
      </c>
      <c r="R652" s="63">
        <v>0</v>
      </c>
      <c r="S652" s="63" t="s">
        <v>76</v>
      </c>
      <c r="T652" s="63">
        <v>15.28</v>
      </c>
      <c r="U652" s="62">
        <v>46072.291666666664</v>
      </c>
      <c r="V652" s="63" t="s">
        <v>86</v>
      </c>
      <c r="W652" s="63">
        <v>372</v>
      </c>
      <c r="X652" s="63">
        <v>3000</v>
      </c>
      <c r="Y652" s="63" t="s">
        <v>2371</v>
      </c>
    </row>
    <row r="653" spans="1:25" hidden="1">
      <c r="A653" s="62">
        <v>46071.738634259258</v>
      </c>
      <c r="B653" s="63">
        <v>641532</v>
      </c>
      <c r="C653" s="63" t="s">
        <v>2367</v>
      </c>
      <c r="D653" s="63"/>
      <c r="E653" s="62">
        <v>46072.772835648146</v>
      </c>
      <c r="F653" s="63" t="s">
        <v>323</v>
      </c>
      <c r="G653" s="63">
        <v>1716700201</v>
      </c>
      <c r="H653" s="63">
        <v>47508411092840</v>
      </c>
      <c r="I653" s="63" t="s">
        <v>2716</v>
      </c>
      <c r="J653" s="63" t="s">
        <v>181</v>
      </c>
      <c r="K653" s="63" t="s">
        <v>324</v>
      </c>
      <c r="L653" s="63" t="s">
        <v>2717</v>
      </c>
      <c r="M653" s="63" t="s">
        <v>2718</v>
      </c>
      <c r="N653" s="63" t="s">
        <v>84</v>
      </c>
      <c r="O653" s="63" t="s">
        <v>77</v>
      </c>
      <c r="P653" s="63" t="s">
        <v>78</v>
      </c>
      <c r="Q653" s="63">
        <v>1</v>
      </c>
      <c r="R653" s="63">
        <v>0</v>
      </c>
      <c r="S653" s="63" t="s">
        <v>76</v>
      </c>
      <c r="T653" s="63">
        <v>15.28</v>
      </c>
      <c r="U653" s="62">
        <v>46072.291666666664</v>
      </c>
      <c r="V653" s="63" t="s">
        <v>86</v>
      </c>
      <c r="W653" s="63">
        <v>372</v>
      </c>
      <c r="X653" s="63">
        <v>3000</v>
      </c>
      <c r="Y653" s="63" t="s">
        <v>2371</v>
      </c>
    </row>
    <row r="654" spans="1:25" hidden="1">
      <c r="A654" s="62">
        <v>46071.738634259258</v>
      </c>
      <c r="B654" s="63">
        <v>641532</v>
      </c>
      <c r="C654" s="63" t="s">
        <v>2367</v>
      </c>
      <c r="D654" s="63"/>
      <c r="E654" s="62">
        <v>46072.772835648146</v>
      </c>
      <c r="F654" s="63" t="s">
        <v>323</v>
      </c>
      <c r="G654" s="63">
        <v>1716700201</v>
      </c>
      <c r="H654" s="63">
        <v>47508411092840</v>
      </c>
      <c r="I654" s="63" t="s">
        <v>2716</v>
      </c>
      <c r="J654" s="63" t="s">
        <v>181</v>
      </c>
      <c r="K654" s="63" t="s">
        <v>324</v>
      </c>
      <c r="L654" s="63" t="s">
        <v>2717</v>
      </c>
      <c r="M654" s="63" t="s">
        <v>2718</v>
      </c>
      <c r="N654" s="63" t="s">
        <v>84</v>
      </c>
      <c r="O654" s="63" t="s">
        <v>183</v>
      </c>
      <c r="P654" s="63" t="s">
        <v>184</v>
      </c>
      <c r="Q654" s="63">
        <v>1</v>
      </c>
      <c r="R654" s="63">
        <v>0</v>
      </c>
      <c r="S654" s="63" t="s">
        <v>76</v>
      </c>
      <c r="T654" s="63">
        <v>15.28</v>
      </c>
      <c r="U654" s="62">
        <v>46072.291666666664</v>
      </c>
      <c r="V654" s="63" t="s">
        <v>86</v>
      </c>
      <c r="W654" s="63">
        <v>372</v>
      </c>
      <c r="X654" s="63">
        <v>3000</v>
      </c>
      <c r="Y654" s="63" t="s">
        <v>2371</v>
      </c>
    </row>
    <row r="655" spans="1:25" hidden="1">
      <c r="A655" s="62">
        <v>46071.738634259258</v>
      </c>
      <c r="B655" s="63">
        <v>641532</v>
      </c>
      <c r="C655" s="63" t="s">
        <v>2367</v>
      </c>
      <c r="D655" s="63"/>
      <c r="E655" s="62">
        <v>46072.772847222222</v>
      </c>
      <c r="F655" s="63" t="s">
        <v>323</v>
      </c>
      <c r="G655" s="63">
        <v>1716050201</v>
      </c>
      <c r="H655" s="63">
        <v>9000493000800</v>
      </c>
      <c r="I655" s="63" t="s">
        <v>2719</v>
      </c>
      <c r="J655" s="63" t="s">
        <v>2468</v>
      </c>
      <c r="K655" s="63" t="s">
        <v>324</v>
      </c>
      <c r="L655" s="63" t="s">
        <v>2720</v>
      </c>
      <c r="M655" s="63" t="s">
        <v>2721</v>
      </c>
      <c r="N655" s="63" t="s">
        <v>84</v>
      </c>
      <c r="O655" s="63" t="s">
        <v>396</v>
      </c>
      <c r="P655" s="63" t="s">
        <v>397</v>
      </c>
      <c r="Q655" s="63">
        <v>4</v>
      </c>
      <c r="R655" s="63">
        <v>0</v>
      </c>
      <c r="S655" s="63" t="s">
        <v>70</v>
      </c>
      <c r="T655" s="63">
        <v>101.152</v>
      </c>
      <c r="U655" s="62">
        <v>46072.291666666664</v>
      </c>
      <c r="V655" s="63" t="s">
        <v>86</v>
      </c>
      <c r="W655" s="63">
        <v>1491.12</v>
      </c>
      <c r="X655" s="63">
        <v>3000</v>
      </c>
      <c r="Y655" s="63" t="s">
        <v>2371</v>
      </c>
    </row>
    <row r="656" spans="1:25" hidden="1">
      <c r="A656" s="62">
        <v>46071.738634259258</v>
      </c>
      <c r="B656" s="63">
        <v>641532</v>
      </c>
      <c r="C656" s="63" t="s">
        <v>2367</v>
      </c>
      <c r="D656" s="63"/>
      <c r="E656" s="62">
        <v>46072.772847222222</v>
      </c>
      <c r="F656" s="63" t="s">
        <v>323</v>
      </c>
      <c r="G656" s="63">
        <v>1716050201</v>
      </c>
      <c r="H656" s="63">
        <v>9000493000800</v>
      </c>
      <c r="I656" s="63" t="s">
        <v>2719</v>
      </c>
      <c r="J656" s="63" t="s">
        <v>2468</v>
      </c>
      <c r="K656" s="63" t="s">
        <v>324</v>
      </c>
      <c r="L656" s="63" t="s">
        <v>2720</v>
      </c>
      <c r="M656" s="63" t="s">
        <v>2721</v>
      </c>
      <c r="N656" s="63" t="s">
        <v>84</v>
      </c>
      <c r="O656" s="63" t="s">
        <v>128</v>
      </c>
      <c r="P656" s="63" t="s">
        <v>129</v>
      </c>
      <c r="Q656" s="63">
        <v>4</v>
      </c>
      <c r="R656" s="63">
        <v>0</v>
      </c>
      <c r="S656" s="63" t="s">
        <v>70</v>
      </c>
      <c r="T656" s="63">
        <v>101.152</v>
      </c>
      <c r="U656" s="62">
        <v>46072.291666666664</v>
      </c>
      <c r="V656" s="63" t="s">
        <v>86</v>
      </c>
      <c r="W656" s="63">
        <v>1491.12</v>
      </c>
      <c r="X656" s="63">
        <v>3000</v>
      </c>
      <c r="Y656" s="63" t="s">
        <v>2371</v>
      </c>
    </row>
    <row r="657" spans="1:25" hidden="1">
      <c r="A657" s="62">
        <v>46071.738634259258</v>
      </c>
      <c r="B657" s="63">
        <v>641532</v>
      </c>
      <c r="C657" s="63" t="s">
        <v>2367</v>
      </c>
      <c r="D657" s="63"/>
      <c r="E657" s="62">
        <v>46072.772847222222</v>
      </c>
      <c r="F657" s="63" t="s">
        <v>323</v>
      </c>
      <c r="G657" s="63">
        <v>1716050201</v>
      </c>
      <c r="H657" s="63">
        <v>9000493000800</v>
      </c>
      <c r="I657" s="63" t="s">
        <v>2719</v>
      </c>
      <c r="J657" s="63" t="s">
        <v>2468</v>
      </c>
      <c r="K657" s="63" t="s">
        <v>324</v>
      </c>
      <c r="L657" s="63" t="s">
        <v>2720</v>
      </c>
      <c r="M657" s="63" t="s">
        <v>2721</v>
      </c>
      <c r="N657" s="63" t="s">
        <v>84</v>
      </c>
      <c r="O657" s="63" t="s">
        <v>398</v>
      </c>
      <c r="P657" s="63" t="s">
        <v>399</v>
      </c>
      <c r="Q657" s="63">
        <v>4</v>
      </c>
      <c r="R657" s="63">
        <v>0</v>
      </c>
      <c r="S657" s="63" t="s">
        <v>70</v>
      </c>
      <c r="T657" s="63">
        <v>101.152</v>
      </c>
      <c r="U657" s="62">
        <v>46072.291666666664</v>
      </c>
      <c r="V657" s="63" t="s">
        <v>86</v>
      </c>
      <c r="W657" s="63">
        <v>1491.12</v>
      </c>
      <c r="X657" s="63">
        <v>3000</v>
      </c>
      <c r="Y657" s="63" t="s">
        <v>2371</v>
      </c>
    </row>
    <row r="658" spans="1:25" hidden="1">
      <c r="A658" s="62">
        <v>46071.738634259258</v>
      </c>
      <c r="B658" s="63">
        <v>641532</v>
      </c>
      <c r="C658" s="63" t="s">
        <v>2367</v>
      </c>
      <c r="D658" s="63"/>
      <c r="E658" s="62">
        <v>46072.772847222222</v>
      </c>
      <c r="F658" s="63" t="s">
        <v>323</v>
      </c>
      <c r="G658" s="63">
        <v>1716050201</v>
      </c>
      <c r="H658" s="63">
        <v>9000493000800</v>
      </c>
      <c r="I658" s="63" t="s">
        <v>2719</v>
      </c>
      <c r="J658" s="63" t="s">
        <v>2468</v>
      </c>
      <c r="K658" s="63" t="s">
        <v>324</v>
      </c>
      <c r="L658" s="63" t="s">
        <v>2720</v>
      </c>
      <c r="M658" s="63" t="s">
        <v>2721</v>
      </c>
      <c r="N658" s="63" t="s">
        <v>84</v>
      </c>
      <c r="O658" s="63" t="s">
        <v>280</v>
      </c>
      <c r="P658" s="63" t="s">
        <v>281</v>
      </c>
      <c r="Q658" s="63">
        <v>4</v>
      </c>
      <c r="R658" s="63">
        <v>0</v>
      </c>
      <c r="S658" s="63" t="s">
        <v>70</v>
      </c>
      <c r="T658" s="63">
        <v>101.152</v>
      </c>
      <c r="U658" s="62">
        <v>46072.291666666664</v>
      </c>
      <c r="V658" s="63" t="s">
        <v>86</v>
      </c>
      <c r="W658" s="63">
        <v>1491.12</v>
      </c>
      <c r="X658" s="63">
        <v>3000</v>
      </c>
      <c r="Y658" s="63" t="s">
        <v>2371</v>
      </c>
    </row>
    <row r="659" spans="1:25" hidden="1">
      <c r="A659" s="62">
        <v>46071.738634259258</v>
      </c>
      <c r="B659" s="63">
        <v>641532</v>
      </c>
      <c r="C659" s="63" t="s">
        <v>2367</v>
      </c>
      <c r="D659" s="63"/>
      <c r="E659" s="62">
        <v>46072.772858796299</v>
      </c>
      <c r="F659" s="63" t="s">
        <v>323</v>
      </c>
      <c r="G659" s="63">
        <v>1720700201</v>
      </c>
      <c r="H659" s="63">
        <v>47508411109751</v>
      </c>
      <c r="I659" s="63" t="s">
        <v>2368</v>
      </c>
      <c r="J659" s="63" t="s">
        <v>274</v>
      </c>
      <c r="K659" s="63" t="s">
        <v>324</v>
      </c>
      <c r="L659" s="63" t="s">
        <v>2369</v>
      </c>
      <c r="M659" s="63" t="s">
        <v>2370</v>
      </c>
      <c r="N659" s="63" t="s">
        <v>84</v>
      </c>
      <c r="O659" s="63" t="s">
        <v>68</v>
      </c>
      <c r="P659" s="63" t="s">
        <v>69</v>
      </c>
      <c r="Q659" s="63">
        <v>100</v>
      </c>
      <c r="R659" s="63">
        <v>0</v>
      </c>
      <c r="S659" s="63" t="s">
        <v>70</v>
      </c>
      <c r="T659" s="63">
        <v>526.79999999999995</v>
      </c>
      <c r="U659" s="62">
        <v>46072.291666666664</v>
      </c>
      <c r="V659" s="63" t="s">
        <v>86</v>
      </c>
      <c r="W659" s="63">
        <v>3805.1</v>
      </c>
      <c r="X659" s="63">
        <v>3000</v>
      </c>
      <c r="Y659" s="63" t="s">
        <v>2371</v>
      </c>
    </row>
    <row r="660" spans="1:25" hidden="1">
      <c r="A660" s="62">
        <v>46071.738634259258</v>
      </c>
      <c r="B660" s="63">
        <v>641532</v>
      </c>
      <c r="C660" s="63" t="s">
        <v>2367</v>
      </c>
      <c r="D660" s="63"/>
      <c r="E660" s="62">
        <v>46072.772858796299</v>
      </c>
      <c r="F660" s="63" t="s">
        <v>323</v>
      </c>
      <c r="G660" s="63">
        <v>1720700201</v>
      </c>
      <c r="H660" s="63">
        <v>47508411109751</v>
      </c>
      <c r="I660" s="63" t="s">
        <v>2368</v>
      </c>
      <c r="J660" s="63" t="s">
        <v>274</v>
      </c>
      <c r="K660" s="63" t="s">
        <v>324</v>
      </c>
      <c r="L660" s="63" t="s">
        <v>2369</v>
      </c>
      <c r="M660" s="63" t="s">
        <v>2370</v>
      </c>
      <c r="N660" s="63" t="s">
        <v>84</v>
      </c>
      <c r="O660" s="63" t="s">
        <v>141</v>
      </c>
      <c r="P660" s="63" t="s">
        <v>142</v>
      </c>
      <c r="Q660" s="63">
        <v>5</v>
      </c>
      <c r="R660" s="63">
        <v>0</v>
      </c>
      <c r="S660" s="63" t="s">
        <v>70</v>
      </c>
      <c r="T660" s="63">
        <v>526.79999999999995</v>
      </c>
      <c r="U660" s="62">
        <v>46072.291666666664</v>
      </c>
      <c r="V660" s="63" t="s">
        <v>86</v>
      </c>
      <c r="W660" s="63">
        <v>3805.1</v>
      </c>
      <c r="X660" s="63">
        <v>3000</v>
      </c>
      <c r="Y660" s="63" t="s">
        <v>2371</v>
      </c>
    </row>
    <row r="661" spans="1:25" hidden="1">
      <c r="A661" s="62">
        <v>46071.738634259258</v>
      </c>
      <c r="B661" s="63">
        <v>641532</v>
      </c>
      <c r="C661" s="63" t="s">
        <v>2367</v>
      </c>
      <c r="D661" s="63"/>
      <c r="E661" s="62">
        <v>46072.772858796299</v>
      </c>
      <c r="F661" s="63" t="s">
        <v>323</v>
      </c>
      <c r="G661" s="63">
        <v>1720710201</v>
      </c>
      <c r="H661" s="63">
        <v>47508411092760</v>
      </c>
      <c r="I661" s="63" t="s">
        <v>2722</v>
      </c>
      <c r="J661" s="63" t="s">
        <v>181</v>
      </c>
      <c r="K661" s="63" t="s">
        <v>324</v>
      </c>
      <c r="L661" s="63" t="s">
        <v>2723</v>
      </c>
      <c r="M661" s="63" t="s">
        <v>2724</v>
      </c>
      <c r="N661" s="63" t="s">
        <v>84</v>
      </c>
      <c r="O661" s="63" t="s">
        <v>68</v>
      </c>
      <c r="P661" s="63" t="s">
        <v>69</v>
      </c>
      <c r="Q661" s="63">
        <v>40</v>
      </c>
      <c r="R661" s="63">
        <v>0</v>
      </c>
      <c r="S661" s="63" t="s">
        <v>70</v>
      </c>
      <c r="T661" s="63">
        <v>225.72</v>
      </c>
      <c r="U661" s="62">
        <v>46072.291666666664</v>
      </c>
      <c r="V661" s="63" t="s">
        <v>86</v>
      </c>
      <c r="W661" s="63">
        <v>1640.9</v>
      </c>
      <c r="X661" s="63">
        <v>3000</v>
      </c>
      <c r="Y661" s="63" t="s">
        <v>2371</v>
      </c>
    </row>
    <row r="662" spans="1:25" hidden="1">
      <c r="A662" s="62">
        <v>46071.738634259258</v>
      </c>
      <c r="B662" s="63">
        <v>641532</v>
      </c>
      <c r="C662" s="63" t="s">
        <v>2367</v>
      </c>
      <c r="D662" s="63"/>
      <c r="E662" s="62">
        <v>46072.772858796299</v>
      </c>
      <c r="F662" s="63" t="s">
        <v>323</v>
      </c>
      <c r="G662" s="63">
        <v>1720710201</v>
      </c>
      <c r="H662" s="63">
        <v>47508411092760</v>
      </c>
      <c r="I662" s="63" t="s">
        <v>2722</v>
      </c>
      <c r="J662" s="63" t="s">
        <v>181</v>
      </c>
      <c r="K662" s="63" t="s">
        <v>324</v>
      </c>
      <c r="L662" s="63" t="s">
        <v>2723</v>
      </c>
      <c r="M662" s="63" t="s">
        <v>2724</v>
      </c>
      <c r="N662" s="63" t="s">
        <v>84</v>
      </c>
      <c r="O662" s="63" t="s">
        <v>141</v>
      </c>
      <c r="P662" s="63" t="s">
        <v>142</v>
      </c>
      <c r="Q662" s="63">
        <v>2</v>
      </c>
      <c r="R662" s="63">
        <v>0</v>
      </c>
      <c r="S662" s="63" t="s">
        <v>70</v>
      </c>
      <c r="T662" s="63">
        <v>225.72</v>
      </c>
      <c r="U662" s="62">
        <v>46072.291666666664</v>
      </c>
      <c r="V662" s="63" t="s">
        <v>86</v>
      </c>
      <c r="W662" s="63">
        <v>1640.9</v>
      </c>
      <c r="X662" s="63">
        <v>3000</v>
      </c>
      <c r="Y662" s="63" t="s">
        <v>2371</v>
      </c>
    </row>
    <row r="663" spans="1:25" hidden="1">
      <c r="A663" s="62">
        <v>46071.738634259258</v>
      </c>
      <c r="B663" s="63">
        <v>641532</v>
      </c>
      <c r="C663" s="63" t="s">
        <v>2367</v>
      </c>
      <c r="D663" s="63"/>
      <c r="E663" s="62">
        <v>46072.772858796299</v>
      </c>
      <c r="F663" s="63" t="s">
        <v>323</v>
      </c>
      <c r="G663" s="63">
        <v>1720710201</v>
      </c>
      <c r="H663" s="63">
        <v>47508411092760</v>
      </c>
      <c r="I663" s="63" t="s">
        <v>2722</v>
      </c>
      <c r="J663" s="63" t="s">
        <v>181</v>
      </c>
      <c r="K663" s="63" t="s">
        <v>324</v>
      </c>
      <c r="L663" s="63" t="s">
        <v>2723</v>
      </c>
      <c r="M663" s="63" t="s">
        <v>2724</v>
      </c>
      <c r="N663" s="63" t="s">
        <v>84</v>
      </c>
      <c r="O663" s="63" t="s">
        <v>93</v>
      </c>
      <c r="P663" s="63" t="s">
        <v>94</v>
      </c>
      <c r="Q663" s="63">
        <v>3</v>
      </c>
      <c r="R663" s="63">
        <v>0</v>
      </c>
      <c r="S663" s="63" t="s">
        <v>70</v>
      </c>
      <c r="T663" s="63">
        <v>225.72</v>
      </c>
      <c r="U663" s="62">
        <v>46072.291666666664</v>
      </c>
      <c r="V663" s="63" t="s">
        <v>86</v>
      </c>
      <c r="W663" s="63">
        <v>1640.9</v>
      </c>
      <c r="X663" s="63">
        <v>3000</v>
      </c>
      <c r="Y663" s="63" t="s">
        <v>2371</v>
      </c>
    </row>
    <row r="664" spans="1:25" hidden="1">
      <c r="A664" s="62">
        <v>46071.738634259258</v>
      </c>
      <c r="B664" s="63">
        <v>641532</v>
      </c>
      <c r="C664" s="63" t="s">
        <v>2367</v>
      </c>
      <c r="D664" s="63"/>
      <c r="E664" s="62">
        <v>46072.772858796299</v>
      </c>
      <c r="F664" s="63" t="s">
        <v>323</v>
      </c>
      <c r="G664" s="63">
        <v>1720720201</v>
      </c>
      <c r="H664" s="63">
        <v>47508411266695</v>
      </c>
      <c r="I664" s="63" t="s">
        <v>2725</v>
      </c>
      <c r="J664" s="63" t="s">
        <v>181</v>
      </c>
      <c r="K664" s="63" t="s">
        <v>324</v>
      </c>
      <c r="L664" s="63" t="s">
        <v>2726</v>
      </c>
      <c r="M664" s="63" t="s">
        <v>2684</v>
      </c>
      <c r="N664" s="63" t="s">
        <v>84</v>
      </c>
      <c r="O664" s="63" t="s">
        <v>68</v>
      </c>
      <c r="P664" s="63" t="s">
        <v>69</v>
      </c>
      <c r="Q664" s="63">
        <v>30</v>
      </c>
      <c r="R664" s="63">
        <v>0</v>
      </c>
      <c r="S664" s="63" t="s">
        <v>70</v>
      </c>
      <c r="T664" s="63">
        <v>185.54</v>
      </c>
      <c r="U664" s="62">
        <v>46072.291666666664</v>
      </c>
      <c r="V664" s="63" t="s">
        <v>86</v>
      </c>
      <c r="W664" s="63">
        <v>1359.44</v>
      </c>
      <c r="X664" s="63">
        <v>3000</v>
      </c>
      <c r="Y664" s="63" t="s">
        <v>2371</v>
      </c>
    </row>
    <row r="665" spans="1:25" hidden="1">
      <c r="A665" s="62">
        <v>46071.738634259258</v>
      </c>
      <c r="B665" s="63">
        <v>641532</v>
      </c>
      <c r="C665" s="63" t="s">
        <v>2367</v>
      </c>
      <c r="D665" s="63"/>
      <c r="E665" s="62">
        <v>46072.772858796299</v>
      </c>
      <c r="F665" s="63" t="s">
        <v>323</v>
      </c>
      <c r="G665" s="63">
        <v>1720720201</v>
      </c>
      <c r="H665" s="63">
        <v>47508411266695</v>
      </c>
      <c r="I665" s="63" t="s">
        <v>2725</v>
      </c>
      <c r="J665" s="63" t="s">
        <v>181</v>
      </c>
      <c r="K665" s="63" t="s">
        <v>324</v>
      </c>
      <c r="L665" s="63" t="s">
        <v>2726</v>
      </c>
      <c r="M665" s="63" t="s">
        <v>2684</v>
      </c>
      <c r="N665" s="63" t="s">
        <v>84</v>
      </c>
      <c r="O665" s="63" t="s">
        <v>91</v>
      </c>
      <c r="P665" s="63" t="s">
        <v>92</v>
      </c>
      <c r="Q665" s="63">
        <v>2</v>
      </c>
      <c r="R665" s="63">
        <v>0</v>
      </c>
      <c r="S665" s="63" t="s">
        <v>70</v>
      </c>
      <c r="T665" s="63">
        <v>185.54</v>
      </c>
      <c r="U665" s="62">
        <v>46072.291666666664</v>
      </c>
      <c r="V665" s="63" t="s">
        <v>86</v>
      </c>
      <c r="W665" s="63">
        <v>1359.44</v>
      </c>
      <c r="X665" s="63">
        <v>3000</v>
      </c>
      <c r="Y665" s="63" t="s">
        <v>2371</v>
      </c>
    </row>
    <row r="666" spans="1:25" hidden="1">
      <c r="A666" s="62">
        <v>46071.738634259258</v>
      </c>
      <c r="B666" s="63">
        <v>641532</v>
      </c>
      <c r="C666" s="63" t="s">
        <v>2367</v>
      </c>
      <c r="D666" s="63"/>
      <c r="E666" s="62">
        <v>46072.772858796299</v>
      </c>
      <c r="F666" s="63" t="s">
        <v>323</v>
      </c>
      <c r="G666" s="63">
        <v>1720720201</v>
      </c>
      <c r="H666" s="63">
        <v>47508411266695</v>
      </c>
      <c r="I666" s="63" t="s">
        <v>2725</v>
      </c>
      <c r="J666" s="63" t="s">
        <v>181</v>
      </c>
      <c r="K666" s="63" t="s">
        <v>324</v>
      </c>
      <c r="L666" s="63" t="s">
        <v>2726</v>
      </c>
      <c r="M666" s="63" t="s">
        <v>2684</v>
      </c>
      <c r="N666" s="63" t="s">
        <v>84</v>
      </c>
      <c r="O666" s="63" t="s">
        <v>141</v>
      </c>
      <c r="P666" s="63" t="s">
        <v>142</v>
      </c>
      <c r="Q666" s="63">
        <v>3</v>
      </c>
      <c r="R666" s="63">
        <v>0</v>
      </c>
      <c r="S666" s="63" t="s">
        <v>70</v>
      </c>
      <c r="T666" s="63">
        <v>185.54</v>
      </c>
      <c r="U666" s="62">
        <v>46072.291666666664</v>
      </c>
      <c r="V666" s="63" t="s">
        <v>86</v>
      </c>
      <c r="W666" s="63">
        <v>1359.44</v>
      </c>
      <c r="X666" s="63">
        <v>3000</v>
      </c>
      <c r="Y666" s="63" t="s">
        <v>2371</v>
      </c>
    </row>
    <row r="667" spans="1:25" hidden="1">
      <c r="A667" s="62">
        <v>46071.738634259258</v>
      </c>
      <c r="B667" s="63">
        <v>641532</v>
      </c>
      <c r="C667" s="63" t="s">
        <v>2367</v>
      </c>
      <c r="D667" s="63"/>
      <c r="E667" s="62">
        <v>46072.772858796299</v>
      </c>
      <c r="F667" s="63" t="s">
        <v>323</v>
      </c>
      <c r="G667" s="63">
        <v>1720720201</v>
      </c>
      <c r="H667" s="63">
        <v>47508411266695</v>
      </c>
      <c r="I667" s="63" t="s">
        <v>2725</v>
      </c>
      <c r="J667" s="63" t="s">
        <v>181</v>
      </c>
      <c r="K667" s="63" t="s">
        <v>324</v>
      </c>
      <c r="L667" s="63" t="s">
        <v>2726</v>
      </c>
      <c r="M667" s="63" t="s">
        <v>2684</v>
      </c>
      <c r="N667" s="63" t="s">
        <v>84</v>
      </c>
      <c r="O667" s="63" t="s">
        <v>93</v>
      </c>
      <c r="P667" s="63" t="s">
        <v>94</v>
      </c>
      <c r="Q667" s="63">
        <v>2</v>
      </c>
      <c r="R667" s="63">
        <v>0</v>
      </c>
      <c r="S667" s="63" t="s">
        <v>70</v>
      </c>
      <c r="T667" s="63">
        <v>185.54</v>
      </c>
      <c r="U667" s="62">
        <v>46072.291666666664</v>
      </c>
      <c r="V667" s="63" t="s">
        <v>86</v>
      </c>
      <c r="W667" s="63">
        <v>1359.44</v>
      </c>
      <c r="X667" s="63">
        <v>3000</v>
      </c>
      <c r="Y667" s="63" t="s">
        <v>2371</v>
      </c>
    </row>
    <row r="668" spans="1:25">
      <c r="A668" s="62">
        <v>46071.738634259258</v>
      </c>
      <c r="B668" s="63">
        <v>641532</v>
      </c>
      <c r="C668" s="63" t="s">
        <v>2367</v>
      </c>
      <c r="D668" s="63"/>
      <c r="E668" s="62">
        <v>46072.772858796299</v>
      </c>
      <c r="F668" s="63" t="s">
        <v>323</v>
      </c>
      <c r="G668" s="63">
        <v>1720730201</v>
      </c>
      <c r="H668" s="63">
        <v>47508411266695</v>
      </c>
      <c r="I668" s="63" t="s">
        <v>2725</v>
      </c>
      <c r="J668" s="63" t="s">
        <v>181</v>
      </c>
      <c r="K668" s="63" t="s">
        <v>324</v>
      </c>
      <c r="L668" s="63" t="s">
        <v>2726</v>
      </c>
      <c r="M668" s="63" t="s">
        <v>2684</v>
      </c>
      <c r="N668" s="63" t="s">
        <v>84</v>
      </c>
      <c r="O668" s="63" t="s">
        <v>109</v>
      </c>
      <c r="P668" s="63" t="s">
        <v>110</v>
      </c>
      <c r="Q668" s="63">
        <v>15</v>
      </c>
      <c r="R668" s="63">
        <v>0</v>
      </c>
      <c r="S668" s="63" t="s">
        <v>70</v>
      </c>
      <c r="T668" s="63">
        <v>75</v>
      </c>
      <c r="U668" s="62">
        <v>46072.291666666664</v>
      </c>
      <c r="V668" s="63" t="s">
        <v>86</v>
      </c>
      <c r="W668" s="63">
        <v>541.04999999999995</v>
      </c>
      <c r="X668" s="63">
        <v>3000</v>
      </c>
      <c r="Y668" s="63" t="s">
        <v>2371</v>
      </c>
    </row>
    <row r="669" spans="1:25" hidden="1">
      <c r="A669" s="62">
        <v>46071.738634259258</v>
      </c>
      <c r="B669" s="63">
        <v>641532</v>
      </c>
      <c r="C669" s="63" t="s">
        <v>2367</v>
      </c>
      <c r="D669" s="63"/>
      <c r="E669" s="62">
        <v>46072.772858796299</v>
      </c>
      <c r="F669" s="63" t="s">
        <v>323</v>
      </c>
      <c r="G669" s="63">
        <v>1724690201</v>
      </c>
      <c r="H669" s="63">
        <v>26563652060295</v>
      </c>
      <c r="I669" s="63" t="s">
        <v>2376</v>
      </c>
      <c r="J669" s="63" t="s">
        <v>159</v>
      </c>
      <c r="K669" s="63" t="s">
        <v>324</v>
      </c>
      <c r="L669" s="63" t="s">
        <v>2377</v>
      </c>
      <c r="M669" s="63" t="s">
        <v>2378</v>
      </c>
      <c r="N669" s="63" t="s">
        <v>84</v>
      </c>
      <c r="O669" s="63" t="s">
        <v>68</v>
      </c>
      <c r="P669" s="63" t="s">
        <v>69</v>
      </c>
      <c r="Q669" s="63">
        <v>8</v>
      </c>
      <c r="R669" s="63">
        <v>0</v>
      </c>
      <c r="S669" s="63" t="s">
        <v>70</v>
      </c>
      <c r="T669" s="63">
        <v>55.774000000000001</v>
      </c>
      <c r="U669" s="62">
        <v>46072.291666666664</v>
      </c>
      <c r="V669" s="63" t="s">
        <v>86</v>
      </c>
      <c r="W669" s="63">
        <v>583.53</v>
      </c>
      <c r="X669" s="63">
        <v>3000</v>
      </c>
      <c r="Y669" s="63" t="s">
        <v>2371</v>
      </c>
    </row>
    <row r="670" spans="1:25" hidden="1">
      <c r="A670" s="62">
        <v>46071.738634259258</v>
      </c>
      <c r="B670" s="63">
        <v>641532</v>
      </c>
      <c r="C670" s="63" t="s">
        <v>2367</v>
      </c>
      <c r="D670" s="63"/>
      <c r="E670" s="62">
        <v>46072.772858796299</v>
      </c>
      <c r="F670" s="63" t="s">
        <v>323</v>
      </c>
      <c r="G670" s="63">
        <v>1724690201</v>
      </c>
      <c r="H670" s="63">
        <v>26563652060295</v>
      </c>
      <c r="I670" s="63" t="s">
        <v>2376</v>
      </c>
      <c r="J670" s="63" t="s">
        <v>159</v>
      </c>
      <c r="K670" s="63" t="s">
        <v>324</v>
      </c>
      <c r="L670" s="63" t="s">
        <v>2377</v>
      </c>
      <c r="M670" s="63" t="s">
        <v>2378</v>
      </c>
      <c r="N670" s="63" t="s">
        <v>84</v>
      </c>
      <c r="O670" s="63" t="s">
        <v>72</v>
      </c>
      <c r="P670" s="63" t="s">
        <v>73</v>
      </c>
      <c r="Q670" s="63">
        <v>1</v>
      </c>
      <c r="R670" s="63">
        <v>0</v>
      </c>
      <c r="S670" s="63" t="s">
        <v>70</v>
      </c>
      <c r="T670" s="63">
        <v>55.774000000000001</v>
      </c>
      <c r="U670" s="62">
        <v>46072.291666666664</v>
      </c>
      <c r="V670" s="63" t="s">
        <v>86</v>
      </c>
      <c r="W670" s="63">
        <v>583.53</v>
      </c>
      <c r="X670" s="63">
        <v>3000</v>
      </c>
      <c r="Y670" s="63" t="s">
        <v>2371</v>
      </c>
    </row>
    <row r="671" spans="1:25" hidden="1">
      <c r="A671" s="62">
        <v>46071.738634259258</v>
      </c>
      <c r="B671" s="63">
        <v>641532</v>
      </c>
      <c r="C671" s="63" t="s">
        <v>2367</v>
      </c>
      <c r="D671" s="63"/>
      <c r="E671" s="62">
        <v>46072.772858796299</v>
      </c>
      <c r="F671" s="63" t="s">
        <v>323</v>
      </c>
      <c r="G671" s="63">
        <v>1724690201</v>
      </c>
      <c r="H671" s="63">
        <v>26563652060295</v>
      </c>
      <c r="I671" s="63" t="s">
        <v>2376</v>
      </c>
      <c r="J671" s="63" t="s">
        <v>159</v>
      </c>
      <c r="K671" s="63" t="s">
        <v>324</v>
      </c>
      <c r="L671" s="63" t="s">
        <v>2377</v>
      </c>
      <c r="M671" s="63" t="s">
        <v>2378</v>
      </c>
      <c r="N671" s="63" t="s">
        <v>84</v>
      </c>
      <c r="O671" s="63" t="s">
        <v>169</v>
      </c>
      <c r="P671" s="63" t="s">
        <v>170</v>
      </c>
      <c r="Q671" s="63">
        <v>1</v>
      </c>
      <c r="R671" s="63">
        <v>0</v>
      </c>
      <c r="S671" s="63" t="s">
        <v>76</v>
      </c>
      <c r="T671" s="63">
        <v>55.774000000000001</v>
      </c>
      <c r="U671" s="62">
        <v>46072.291666666664</v>
      </c>
      <c r="V671" s="63" t="s">
        <v>86</v>
      </c>
      <c r="W671" s="63">
        <v>583.53</v>
      </c>
      <c r="X671" s="63">
        <v>3000</v>
      </c>
      <c r="Y671" s="63" t="s">
        <v>2371</v>
      </c>
    </row>
    <row r="672" spans="1:25" hidden="1">
      <c r="A672" s="62">
        <v>46071.738634259258</v>
      </c>
      <c r="B672" s="63">
        <v>641532</v>
      </c>
      <c r="C672" s="63" t="s">
        <v>2367</v>
      </c>
      <c r="D672" s="63"/>
      <c r="E672" s="62">
        <v>46072.772858796299</v>
      </c>
      <c r="F672" s="63" t="s">
        <v>323</v>
      </c>
      <c r="G672" s="63">
        <v>1724780201</v>
      </c>
      <c r="H672" s="63">
        <v>26563652061348</v>
      </c>
      <c r="I672" s="63" t="s">
        <v>2727</v>
      </c>
      <c r="J672" s="63" t="s">
        <v>159</v>
      </c>
      <c r="K672" s="63" t="s">
        <v>324</v>
      </c>
      <c r="L672" s="63"/>
      <c r="M672" s="63" t="s">
        <v>310</v>
      </c>
      <c r="N672" s="63" t="s">
        <v>84</v>
      </c>
      <c r="O672" s="63" t="s">
        <v>68</v>
      </c>
      <c r="P672" s="63" t="s">
        <v>69</v>
      </c>
      <c r="Q672" s="63">
        <v>9</v>
      </c>
      <c r="R672" s="63">
        <v>0</v>
      </c>
      <c r="S672" s="63" t="s">
        <v>70</v>
      </c>
      <c r="T672" s="63">
        <v>50.161999999999999</v>
      </c>
      <c r="U672" s="62">
        <v>46072.291666666664</v>
      </c>
      <c r="V672" s="63" t="s">
        <v>86</v>
      </c>
      <c r="W672" s="63">
        <v>356.72</v>
      </c>
      <c r="X672" s="63">
        <v>3000</v>
      </c>
      <c r="Y672" s="63" t="s">
        <v>2371</v>
      </c>
    </row>
    <row r="673" spans="1:25" hidden="1">
      <c r="A673" s="62">
        <v>46071.738634259258</v>
      </c>
      <c r="B673" s="63">
        <v>641532</v>
      </c>
      <c r="C673" s="63" t="s">
        <v>2367</v>
      </c>
      <c r="D673" s="63"/>
      <c r="E673" s="62">
        <v>46072.772858796299</v>
      </c>
      <c r="F673" s="63" t="s">
        <v>323</v>
      </c>
      <c r="G673" s="63">
        <v>1724780201</v>
      </c>
      <c r="H673" s="63">
        <v>26563652061348</v>
      </c>
      <c r="I673" s="63" t="s">
        <v>2727</v>
      </c>
      <c r="J673" s="63" t="s">
        <v>159</v>
      </c>
      <c r="K673" s="63" t="s">
        <v>324</v>
      </c>
      <c r="L673" s="63"/>
      <c r="M673" s="63" t="s">
        <v>310</v>
      </c>
      <c r="N673" s="63" t="s">
        <v>84</v>
      </c>
      <c r="O673" s="63" t="s">
        <v>72</v>
      </c>
      <c r="P673" s="63" t="s">
        <v>73</v>
      </c>
      <c r="Q673" s="63">
        <v>1</v>
      </c>
      <c r="R673" s="63">
        <v>0</v>
      </c>
      <c r="S673" s="63" t="s">
        <v>70</v>
      </c>
      <c r="T673" s="63">
        <v>50.161999999999999</v>
      </c>
      <c r="U673" s="62">
        <v>46072.291666666664</v>
      </c>
      <c r="V673" s="63" t="s">
        <v>86</v>
      </c>
      <c r="W673" s="63">
        <v>356.72</v>
      </c>
      <c r="X673" s="63">
        <v>3000</v>
      </c>
      <c r="Y673" s="63" t="s">
        <v>2371</v>
      </c>
    </row>
    <row r="674" spans="1:25" hidden="1">
      <c r="A674" s="62">
        <v>46071.738634259258</v>
      </c>
      <c r="B674" s="63">
        <v>641532</v>
      </c>
      <c r="C674" s="63" t="s">
        <v>2367</v>
      </c>
      <c r="D674" s="63"/>
      <c r="E674" s="62">
        <v>46072.772870370369</v>
      </c>
      <c r="F674" s="63" t="s">
        <v>323</v>
      </c>
      <c r="G674" s="63">
        <v>1725120201</v>
      </c>
      <c r="H674" s="63">
        <v>26563652021044</v>
      </c>
      <c r="I674" s="63" t="s">
        <v>330</v>
      </c>
      <c r="J674" s="63" t="s">
        <v>159</v>
      </c>
      <c r="K674" s="63" t="s">
        <v>324</v>
      </c>
      <c r="L674" s="63" t="s">
        <v>331</v>
      </c>
      <c r="M674" s="63" t="s">
        <v>310</v>
      </c>
      <c r="N674" s="63" t="s">
        <v>84</v>
      </c>
      <c r="O674" s="63" t="s">
        <v>68</v>
      </c>
      <c r="P674" s="63" t="s">
        <v>69</v>
      </c>
      <c r="Q674" s="63">
        <v>5</v>
      </c>
      <c r="R674" s="63">
        <v>0</v>
      </c>
      <c r="S674" s="63" t="s">
        <v>70</v>
      </c>
      <c r="T674" s="63">
        <v>35.090000000000003</v>
      </c>
      <c r="U674" s="62">
        <v>46072.291666666664</v>
      </c>
      <c r="V674" s="63" t="s">
        <v>86</v>
      </c>
      <c r="W674" s="63">
        <v>345.67</v>
      </c>
      <c r="X674" s="63">
        <v>3000</v>
      </c>
      <c r="Y674" s="63" t="s">
        <v>2371</v>
      </c>
    </row>
    <row r="675" spans="1:25" hidden="1">
      <c r="A675" s="62">
        <v>46071.738634259258</v>
      </c>
      <c r="B675" s="63">
        <v>641532</v>
      </c>
      <c r="C675" s="63" t="s">
        <v>2367</v>
      </c>
      <c r="D675" s="63"/>
      <c r="E675" s="62">
        <v>46072.772870370369</v>
      </c>
      <c r="F675" s="63" t="s">
        <v>323</v>
      </c>
      <c r="G675" s="63">
        <v>1725120201</v>
      </c>
      <c r="H675" s="63">
        <v>26563652021044</v>
      </c>
      <c r="I675" s="63" t="s">
        <v>330</v>
      </c>
      <c r="J675" s="63" t="s">
        <v>159</v>
      </c>
      <c r="K675" s="63" t="s">
        <v>324</v>
      </c>
      <c r="L675" s="63" t="s">
        <v>331</v>
      </c>
      <c r="M675" s="63" t="s">
        <v>310</v>
      </c>
      <c r="N675" s="63" t="s">
        <v>84</v>
      </c>
      <c r="O675" s="63" t="s">
        <v>74</v>
      </c>
      <c r="P675" s="63" t="s">
        <v>75</v>
      </c>
      <c r="Q675" s="63">
        <v>1</v>
      </c>
      <c r="R675" s="63">
        <v>0</v>
      </c>
      <c r="S675" s="63" t="s">
        <v>76</v>
      </c>
      <c r="T675" s="63">
        <v>35.090000000000003</v>
      </c>
      <c r="U675" s="62">
        <v>46072.291666666664</v>
      </c>
      <c r="V675" s="63" t="s">
        <v>86</v>
      </c>
      <c r="W675" s="63">
        <v>345.67</v>
      </c>
      <c r="X675" s="63">
        <v>3000</v>
      </c>
      <c r="Y675" s="63" t="s">
        <v>2371</v>
      </c>
    </row>
    <row r="676" spans="1:25">
      <c r="A676" s="62">
        <v>46071.738634259258</v>
      </c>
      <c r="B676" s="63">
        <v>641532</v>
      </c>
      <c r="C676" s="63" t="s">
        <v>2367</v>
      </c>
      <c r="D676" s="63"/>
      <c r="E676" s="62">
        <v>46072.772881944446</v>
      </c>
      <c r="F676" s="63" t="s">
        <v>323</v>
      </c>
      <c r="G676" s="63">
        <v>1720910201</v>
      </c>
      <c r="H676" s="63">
        <v>47508411092840</v>
      </c>
      <c r="I676" s="63" t="s">
        <v>2716</v>
      </c>
      <c r="J676" s="63" t="s">
        <v>181</v>
      </c>
      <c r="K676" s="63" t="s">
        <v>324</v>
      </c>
      <c r="L676" s="63" t="s">
        <v>2717</v>
      </c>
      <c r="M676" s="63" t="s">
        <v>2718</v>
      </c>
      <c r="N676" s="63" t="s">
        <v>84</v>
      </c>
      <c r="O676" s="63" t="s">
        <v>109</v>
      </c>
      <c r="P676" s="63" t="s">
        <v>110</v>
      </c>
      <c r="Q676" s="63">
        <v>40</v>
      </c>
      <c r="R676" s="63">
        <v>0</v>
      </c>
      <c r="S676" s="63" t="s">
        <v>70</v>
      </c>
      <c r="T676" s="63">
        <v>200</v>
      </c>
      <c r="U676" s="62">
        <v>46072.291666666664</v>
      </c>
      <c r="V676" s="63" t="s">
        <v>86</v>
      </c>
      <c r="W676" s="63">
        <v>1442.8</v>
      </c>
      <c r="X676" s="63">
        <v>3000</v>
      </c>
      <c r="Y676" s="63" t="s">
        <v>2371</v>
      </c>
    </row>
    <row r="677" spans="1:25" hidden="1">
      <c r="A677" s="62">
        <v>46071.738634259258</v>
      </c>
      <c r="B677" s="63">
        <v>641532</v>
      </c>
      <c r="C677" s="63" t="s">
        <v>2367</v>
      </c>
      <c r="D677" s="63"/>
      <c r="E677" s="62">
        <v>46072.772881944446</v>
      </c>
      <c r="F677" s="63" t="s">
        <v>323</v>
      </c>
      <c r="G677" s="63">
        <v>1720920201</v>
      </c>
      <c r="H677" s="63">
        <v>47508411092840</v>
      </c>
      <c r="I677" s="63" t="s">
        <v>2716</v>
      </c>
      <c r="J677" s="63" t="s">
        <v>181</v>
      </c>
      <c r="K677" s="63" t="s">
        <v>324</v>
      </c>
      <c r="L677" s="63" t="s">
        <v>2717</v>
      </c>
      <c r="M677" s="63" t="s">
        <v>2718</v>
      </c>
      <c r="N677" s="63" t="s">
        <v>84</v>
      </c>
      <c r="O677" s="63" t="s">
        <v>68</v>
      </c>
      <c r="P677" s="63" t="s">
        <v>69</v>
      </c>
      <c r="Q677" s="63">
        <v>20</v>
      </c>
      <c r="R677" s="63">
        <v>0</v>
      </c>
      <c r="S677" s="63" t="s">
        <v>70</v>
      </c>
      <c r="T677" s="63">
        <v>155.36000000000001</v>
      </c>
      <c r="U677" s="62">
        <v>46072.291666666664</v>
      </c>
      <c r="V677" s="63" t="s">
        <v>86</v>
      </c>
      <c r="W677" s="63">
        <v>1157.22</v>
      </c>
      <c r="X677" s="63">
        <v>3000</v>
      </c>
      <c r="Y677" s="63" t="s">
        <v>2371</v>
      </c>
    </row>
    <row r="678" spans="1:25" hidden="1">
      <c r="A678" s="62">
        <v>46071.738634259258</v>
      </c>
      <c r="B678" s="63">
        <v>641532</v>
      </c>
      <c r="C678" s="63" t="s">
        <v>2367</v>
      </c>
      <c r="D678" s="63"/>
      <c r="E678" s="62">
        <v>46072.772881944446</v>
      </c>
      <c r="F678" s="63" t="s">
        <v>323</v>
      </c>
      <c r="G678" s="63">
        <v>1720920201</v>
      </c>
      <c r="H678" s="63">
        <v>47508411092840</v>
      </c>
      <c r="I678" s="63" t="s">
        <v>2716</v>
      </c>
      <c r="J678" s="63" t="s">
        <v>181</v>
      </c>
      <c r="K678" s="63" t="s">
        <v>324</v>
      </c>
      <c r="L678" s="63" t="s">
        <v>2717</v>
      </c>
      <c r="M678" s="63" t="s">
        <v>2718</v>
      </c>
      <c r="N678" s="63" t="s">
        <v>84</v>
      </c>
      <c r="O678" s="63" t="s">
        <v>91</v>
      </c>
      <c r="P678" s="63" t="s">
        <v>92</v>
      </c>
      <c r="Q678" s="63">
        <v>3</v>
      </c>
      <c r="R678" s="63">
        <v>0</v>
      </c>
      <c r="S678" s="63" t="s">
        <v>70</v>
      </c>
      <c r="T678" s="63">
        <v>155.36000000000001</v>
      </c>
      <c r="U678" s="62">
        <v>46072.291666666664</v>
      </c>
      <c r="V678" s="63" t="s">
        <v>86</v>
      </c>
      <c r="W678" s="63">
        <v>1157.22</v>
      </c>
      <c r="X678" s="63">
        <v>3000</v>
      </c>
      <c r="Y678" s="63" t="s">
        <v>2371</v>
      </c>
    </row>
    <row r="679" spans="1:25" hidden="1">
      <c r="A679" s="62">
        <v>46071.738634259258</v>
      </c>
      <c r="B679" s="63">
        <v>641532</v>
      </c>
      <c r="C679" s="63" t="s">
        <v>2367</v>
      </c>
      <c r="D679" s="63"/>
      <c r="E679" s="62">
        <v>46072.772881944446</v>
      </c>
      <c r="F679" s="63" t="s">
        <v>323</v>
      </c>
      <c r="G679" s="63">
        <v>1720920201</v>
      </c>
      <c r="H679" s="63">
        <v>47508411092840</v>
      </c>
      <c r="I679" s="63" t="s">
        <v>2716</v>
      </c>
      <c r="J679" s="63" t="s">
        <v>181</v>
      </c>
      <c r="K679" s="63" t="s">
        <v>324</v>
      </c>
      <c r="L679" s="63" t="s">
        <v>2717</v>
      </c>
      <c r="M679" s="63" t="s">
        <v>2718</v>
      </c>
      <c r="N679" s="63" t="s">
        <v>84</v>
      </c>
      <c r="O679" s="63" t="s">
        <v>141</v>
      </c>
      <c r="P679" s="63" t="s">
        <v>142</v>
      </c>
      <c r="Q679" s="63">
        <v>3</v>
      </c>
      <c r="R679" s="63">
        <v>0</v>
      </c>
      <c r="S679" s="63" t="s">
        <v>70</v>
      </c>
      <c r="T679" s="63">
        <v>155.36000000000001</v>
      </c>
      <c r="U679" s="62">
        <v>46072.291666666664</v>
      </c>
      <c r="V679" s="63" t="s">
        <v>86</v>
      </c>
      <c r="W679" s="63">
        <v>1157.22</v>
      </c>
      <c r="X679" s="63">
        <v>3000</v>
      </c>
      <c r="Y679" s="63" t="s">
        <v>2371</v>
      </c>
    </row>
    <row r="680" spans="1:25" hidden="1">
      <c r="A680" s="62">
        <v>46071.738634259258</v>
      </c>
      <c r="B680" s="63">
        <v>641532</v>
      </c>
      <c r="C680" s="63" t="s">
        <v>2367</v>
      </c>
      <c r="D680" s="63"/>
      <c r="E680" s="62">
        <v>46072.772881944446</v>
      </c>
      <c r="F680" s="63" t="s">
        <v>323</v>
      </c>
      <c r="G680" s="63">
        <v>1720920201</v>
      </c>
      <c r="H680" s="63">
        <v>47508411092840</v>
      </c>
      <c r="I680" s="63" t="s">
        <v>2716</v>
      </c>
      <c r="J680" s="63" t="s">
        <v>181</v>
      </c>
      <c r="K680" s="63" t="s">
        <v>324</v>
      </c>
      <c r="L680" s="63" t="s">
        <v>2717</v>
      </c>
      <c r="M680" s="63" t="s">
        <v>2718</v>
      </c>
      <c r="N680" s="63" t="s">
        <v>84</v>
      </c>
      <c r="O680" s="63" t="s">
        <v>93</v>
      </c>
      <c r="P680" s="63" t="s">
        <v>94</v>
      </c>
      <c r="Q680" s="63">
        <v>5</v>
      </c>
      <c r="R680" s="63">
        <v>0</v>
      </c>
      <c r="S680" s="63" t="s">
        <v>70</v>
      </c>
      <c r="T680" s="63">
        <v>155.36000000000001</v>
      </c>
      <c r="U680" s="62">
        <v>46072.291666666664</v>
      </c>
      <c r="V680" s="63" t="s">
        <v>86</v>
      </c>
      <c r="W680" s="63">
        <v>1157.22</v>
      </c>
      <c r="X680" s="63">
        <v>3000</v>
      </c>
      <c r="Y680" s="63" t="s">
        <v>2371</v>
      </c>
    </row>
    <row r="681" spans="1:25" hidden="1">
      <c r="A681" s="62">
        <v>46071.738634259258</v>
      </c>
      <c r="B681" s="63">
        <v>641532</v>
      </c>
      <c r="C681" s="63" t="s">
        <v>2367</v>
      </c>
      <c r="D681" s="63"/>
      <c r="E681" s="62">
        <v>46072.772893518515</v>
      </c>
      <c r="F681" s="63" t="s">
        <v>323</v>
      </c>
      <c r="G681" s="63">
        <v>1725380201</v>
      </c>
      <c r="H681" s="63">
        <v>26563652023250</v>
      </c>
      <c r="I681" s="63" t="s">
        <v>2382</v>
      </c>
      <c r="J681" s="63" t="s">
        <v>159</v>
      </c>
      <c r="K681" s="63" t="s">
        <v>324</v>
      </c>
      <c r="L681" s="63"/>
      <c r="M681" s="63" t="s">
        <v>329</v>
      </c>
      <c r="N681" s="63" t="s">
        <v>84</v>
      </c>
      <c r="O681" s="63" t="s">
        <v>68</v>
      </c>
      <c r="P681" s="63" t="s">
        <v>69</v>
      </c>
      <c r="Q681" s="63">
        <v>10</v>
      </c>
      <c r="R681" s="63">
        <v>0</v>
      </c>
      <c r="S681" s="63" t="s">
        <v>70</v>
      </c>
      <c r="T681" s="63">
        <v>57.03</v>
      </c>
      <c r="U681" s="62">
        <v>46072.291666666664</v>
      </c>
      <c r="V681" s="63" t="s">
        <v>86</v>
      </c>
      <c r="W681" s="63">
        <v>597.05999999999995</v>
      </c>
      <c r="X681" s="63">
        <v>3000</v>
      </c>
      <c r="Y681" s="63" t="s">
        <v>2371</v>
      </c>
    </row>
    <row r="682" spans="1:25" hidden="1">
      <c r="A682" s="62">
        <v>46071.738634259258</v>
      </c>
      <c r="B682" s="63">
        <v>641532</v>
      </c>
      <c r="C682" s="63" t="s">
        <v>2367</v>
      </c>
      <c r="D682" s="63"/>
      <c r="E682" s="62">
        <v>46072.772893518515</v>
      </c>
      <c r="F682" s="63" t="s">
        <v>323</v>
      </c>
      <c r="G682" s="63">
        <v>1725380201</v>
      </c>
      <c r="H682" s="63">
        <v>26563652023250</v>
      </c>
      <c r="I682" s="63" t="s">
        <v>2382</v>
      </c>
      <c r="J682" s="63" t="s">
        <v>159</v>
      </c>
      <c r="K682" s="63" t="s">
        <v>324</v>
      </c>
      <c r="L682" s="63"/>
      <c r="M682" s="63" t="s">
        <v>329</v>
      </c>
      <c r="N682" s="63" t="s">
        <v>84</v>
      </c>
      <c r="O682" s="63" t="s">
        <v>72</v>
      </c>
      <c r="P682" s="63" t="s">
        <v>73</v>
      </c>
      <c r="Q682" s="63">
        <v>1</v>
      </c>
      <c r="R682" s="63">
        <v>0</v>
      </c>
      <c r="S682" s="63" t="s">
        <v>70</v>
      </c>
      <c r="T682" s="63">
        <v>57.03</v>
      </c>
      <c r="U682" s="62">
        <v>46072.291666666664</v>
      </c>
      <c r="V682" s="63" t="s">
        <v>86</v>
      </c>
      <c r="W682" s="63">
        <v>597.05999999999995</v>
      </c>
      <c r="X682" s="63">
        <v>3000</v>
      </c>
      <c r="Y682" s="63" t="s">
        <v>2371</v>
      </c>
    </row>
    <row r="683" spans="1:25" hidden="1">
      <c r="A683" s="62">
        <v>46071.738634259258</v>
      </c>
      <c r="B683" s="63">
        <v>641532</v>
      </c>
      <c r="C683" s="63" t="s">
        <v>2367</v>
      </c>
      <c r="D683" s="63"/>
      <c r="E683" s="62">
        <v>46072.772893518515</v>
      </c>
      <c r="F683" s="63" t="s">
        <v>323</v>
      </c>
      <c r="G683" s="63">
        <v>1725380201</v>
      </c>
      <c r="H683" s="63">
        <v>26563652023250</v>
      </c>
      <c r="I683" s="63" t="s">
        <v>2382</v>
      </c>
      <c r="J683" s="63" t="s">
        <v>159</v>
      </c>
      <c r="K683" s="63" t="s">
        <v>324</v>
      </c>
      <c r="L683" s="63"/>
      <c r="M683" s="63" t="s">
        <v>329</v>
      </c>
      <c r="N683" s="63" t="s">
        <v>84</v>
      </c>
      <c r="O683" s="63" t="s">
        <v>175</v>
      </c>
      <c r="P683" s="63" t="s">
        <v>176</v>
      </c>
      <c r="Q683" s="63">
        <v>1</v>
      </c>
      <c r="R683" s="63">
        <v>0</v>
      </c>
      <c r="S683" s="63" t="s">
        <v>76</v>
      </c>
      <c r="T683" s="63">
        <v>57.03</v>
      </c>
      <c r="U683" s="62">
        <v>46072.291666666664</v>
      </c>
      <c r="V683" s="63" t="s">
        <v>86</v>
      </c>
      <c r="W683" s="63">
        <v>597.05999999999995</v>
      </c>
      <c r="X683" s="63">
        <v>3000</v>
      </c>
      <c r="Y683" s="63" t="s">
        <v>2371</v>
      </c>
    </row>
    <row r="684" spans="1:25" hidden="1">
      <c r="A684" s="62">
        <v>46071.738634259258</v>
      </c>
      <c r="B684" s="63">
        <v>641532</v>
      </c>
      <c r="C684" s="63" t="s">
        <v>2367</v>
      </c>
      <c r="D684" s="63"/>
      <c r="E684" s="62">
        <v>46072.772893518515</v>
      </c>
      <c r="F684" s="63" t="s">
        <v>323</v>
      </c>
      <c r="G684" s="63">
        <v>1725380201</v>
      </c>
      <c r="H684" s="63">
        <v>26563652023250</v>
      </c>
      <c r="I684" s="63" t="s">
        <v>2382</v>
      </c>
      <c r="J684" s="63" t="s">
        <v>159</v>
      </c>
      <c r="K684" s="63" t="s">
        <v>324</v>
      </c>
      <c r="L684" s="63"/>
      <c r="M684" s="63" t="s">
        <v>329</v>
      </c>
      <c r="N684" s="63" t="s">
        <v>84</v>
      </c>
      <c r="O684" s="63" t="s">
        <v>167</v>
      </c>
      <c r="P684" s="63" t="s">
        <v>168</v>
      </c>
      <c r="Q684" s="63">
        <v>1</v>
      </c>
      <c r="R684" s="63">
        <v>0</v>
      </c>
      <c r="S684" s="63" t="s">
        <v>76</v>
      </c>
      <c r="T684" s="63">
        <v>57.03</v>
      </c>
      <c r="U684" s="62">
        <v>46072.291666666664</v>
      </c>
      <c r="V684" s="63" t="s">
        <v>86</v>
      </c>
      <c r="W684" s="63">
        <v>597.05999999999995</v>
      </c>
      <c r="X684" s="63">
        <v>3000</v>
      </c>
      <c r="Y684" s="63" t="s">
        <v>2371</v>
      </c>
    </row>
    <row r="685" spans="1:25" hidden="1">
      <c r="A685" s="62">
        <v>46071.738634259258</v>
      </c>
      <c r="B685" s="63">
        <v>641532</v>
      </c>
      <c r="C685" s="63" t="s">
        <v>2367</v>
      </c>
      <c r="D685" s="63"/>
      <c r="E685" s="62">
        <v>46072.772928240738</v>
      </c>
      <c r="F685" s="63" t="s">
        <v>323</v>
      </c>
      <c r="G685" s="63">
        <v>1723150201</v>
      </c>
      <c r="H685" s="63">
        <v>26563652045148</v>
      </c>
      <c r="I685" s="63" t="s">
        <v>2379</v>
      </c>
      <c r="J685" s="63" t="s">
        <v>159</v>
      </c>
      <c r="K685" s="63" t="s">
        <v>324</v>
      </c>
      <c r="L685" s="63"/>
      <c r="M685" s="63" t="s">
        <v>329</v>
      </c>
      <c r="N685" s="63" t="s">
        <v>84</v>
      </c>
      <c r="O685" s="63" t="s">
        <v>68</v>
      </c>
      <c r="P685" s="63" t="s">
        <v>69</v>
      </c>
      <c r="Q685" s="63">
        <v>8</v>
      </c>
      <c r="R685" s="63">
        <v>0</v>
      </c>
      <c r="S685" s="63" t="s">
        <v>70</v>
      </c>
      <c r="T685" s="63">
        <v>40.143999999999998</v>
      </c>
      <c r="U685" s="62">
        <v>46072.291666666664</v>
      </c>
      <c r="V685" s="63" t="s">
        <v>86</v>
      </c>
      <c r="W685" s="63">
        <v>273.52</v>
      </c>
      <c r="X685" s="63">
        <v>3000</v>
      </c>
      <c r="Y685" s="63" t="s">
        <v>2371</v>
      </c>
    </row>
    <row r="686" spans="1:25" hidden="1">
      <c r="A686" s="62">
        <v>46071.738634259258</v>
      </c>
      <c r="B686" s="63">
        <v>641532</v>
      </c>
      <c r="C686" s="63" t="s">
        <v>2367</v>
      </c>
      <c r="D686" s="63"/>
      <c r="E686" s="62">
        <v>46072.772928240738</v>
      </c>
      <c r="F686" s="63" t="s">
        <v>323</v>
      </c>
      <c r="G686" s="63">
        <v>1723230201</v>
      </c>
      <c r="H686" s="63">
        <v>26563652028219</v>
      </c>
      <c r="I686" s="63" t="s">
        <v>325</v>
      </c>
      <c r="J686" s="63" t="s">
        <v>159</v>
      </c>
      <c r="K686" s="63" t="s">
        <v>324</v>
      </c>
      <c r="L686" s="63"/>
      <c r="M686" s="63" t="s">
        <v>326</v>
      </c>
      <c r="N686" s="63" t="s">
        <v>84</v>
      </c>
      <c r="O686" s="63" t="s">
        <v>68</v>
      </c>
      <c r="P686" s="63" t="s">
        <v>69</v>
      </c>
      <c r="Q686" s="63">
        <v>14</v>
      </c>
      <c r="R686" s="63">
        <v>0</v>
      </c>
      <c r="S686" s="63" t="s">
        <v>70</v>
      </c>
      <c r="T686" s="63">
        <v>70.251999999999995</v>
      </c>
      <c r="U686" s="62">
        <v>46072.291666666664</v>
      </c>
      <c r="V686" s="63" t="s">
        <v>86</v>
      </c>
      <c r="W686" s="63">
        <v>478.66</v>
      </c>
      <c r="X686" s="63">
        <v>3000</v>
      </c>
      <c r="Y686" s="63" t="s">
        <v>2371</v>
      </c>
    </row>
    <row r="687" spans="1:25" hidden="1">
      <c r="A687" s="62">
        <v>46071.738634259258</v>
      </c>
      <c r="B687" s="63">
        <v>641532</v>
      </c>
      <c r="C687" s="63" t="s">
        <v>2367</v>
      </c>
      <c r="D687" s="63"/>
      <c r="E687" s="62">
        <v>46072.772939814815</v>
      </c>
      <c r="F687" s="63" t="s">
        <v>323</v>
      </c>
      <c r="G687" s="63">
        <v>1723370201</v>
      </c>
      <c r="H687" s="63">
        <v>26563652031279</v>
      </c>
      <c r="I687" s="63" t="s">
        <v>2424</v>
      </c>
      <c r="J687" s="63" t="s">
        <v>159</v>
      </c>
      <c r="K687" s="63" t="s">
        <v>324</v>
      </c>
      <c r="L687" s="63"/>
      <c r="M687" s="63" t="s">
        <v>313</v>
      </c>
      <c r="N687" s="63" t="s">
        <v>84</v>
      </c>
      <c r="O687" s="63" t="s">
        <v>68</v>
      </c>
      <c r="P687" s="63" t="s">
        <v>69</v>
      </c>
      <c r="Q687" s="63">
        <v>2</v>
      </c>
      <c r="R687" s="63">
        <v>0</v>
      </c>
      <c r="S687" s="63" t="s">
        <v>70</v>
      </c>
      <c r="T687" s="63">
        <v>27.006</v>
      </c>
      <c r="U687" s="62">
        <v>46072.291666666664</v>
      </c>
      <c r="V687" s="63" t="s">
        <v>86</v>
      </c>
      <c r="W687" s="63">
        <v>432.8</v>
      </c>
      <c r="X687" s="63">
        <v>3000</v>
      </c>
      <c r="Y687" s="63" t="s">
        <v>2371</v>
      </c>
    </row>
    <row r="688" spans="1:25" hidden="1">
      <c r="A688" s="62">
        <v>46071.738634259258</v>
      </c>
      <c r="B688" s="63">
        <v>641532</v>
      </c>
      <c r="C688" s="63" t="s">
        <v>2367</v>
      </c>
      <c r="D688" s="63"/>
      <c r="E688" s="62">
        <v>46072.772939814815</v>
      </c>
      <c r="F688" s="63" t="s">
        <v>323</v>
      </c>
      <c r="G688" s="63">
        <v>1723370201</v>
      </c>
      <c r="H688" s="63">
        <v>26563652031279</v>
      </c>
      <c r="I688" s="63" t="s">
        <v>2424</v>
      </c>
      <c r="J688" s="63" t="s">
        <v>159</v>
      </c>
      <c r="K688" s="63" t="s">
        <v>324</v>
      </c>
      <c r="L688" s="63"/>
      <c r="M688" s="63" t="s">
        <v>313</v>
      </c>
      <c r="N688" s="63" t="s">
        <v>84</v>
      </c>
      <c r="O688" s="63" t="s">
        <v>72</v>
      </c>
      <c r="P688" s="63" t="s">
        <v>73</v>
      </c>
      <c r="Q688" s="63">
        <v>2</v>
      </c>
      <c r="R688" s="63">
        <v>0</v>
      </c>
      <c r="S688" s="63" t="s">
        <v>70</v>
      </c>
      <c r="T688" s="63">
        <v>27.006</v>
      </c>
      <c r="U688" s="62">
        <v>46072.291666666664</v>
      </c>
      <c r="V688" s="63" t="s">
        <v>86</v>
      </c>
      <c r="W688" s="63">
        <v>432.8</v>
      </c>
      <c r="X688" s="63">
        <v>3000</v>
      </c>
      <c r="Y688" s="63" t="s">
        <v>2371</v>
      </c>
    </row>
    <row r="689" spans="1:25" hidden="1">
      <c r="A689" s="62">
        <v>46071.738634259258</v>
      </c>
      <c r="B689" s="63">
        <v>641532</v>
      </c>
      <c r="C689" s="63" t="s">
        <v>2367</v>
      </c>
      <c r="D689" s="63"/>
      <c r="E689" s="62">
        <v>46072.772939814815</v>
      </c>
      <c r="F689" s="63" t="s">
        <v>323</v>
      </c>
      <c r="G689" s="63">
        <v>1723370201</v>
      </c>
      <c r="H689" s="63">
        <v>26563652031279</v>
      </c>
      <c r="I689" s="63" t="s">
        <v>2424</v>
      </c>
      <c r="J689" s="63" t="s">
        <v>159</v>
      </c>
      <c r="K689" s="63" t="s">
        <v>324</v>
      </c>
      <c r="L689" s="63"/>
      <c r="M689" s="63" t="s">
        <v>313</v>
      </c>
      <c r="N689" s="63" t="s">
        <v>84</v>
      </c>
      <c r="O689" s="63" t="s">
        <v>161</v>
      </c>
      <c r="P689" s="63" t="s">
        <v>162</v>
      </c>
      <c r="Q689" s="63">
        <v>1</v>
      </c>
      <c r="R689" s="63">
        <v>0</v>
      </c>
      <c r="S689" s="63" t="s">
        <v>76</v>
      </c>
      <c r="T689" s="63">
        <v>27.006</v>
      </c>
      <c r="U689" s="62">
        <v>46072.291666666664</v>
      </c>
      <c r="V689" s="63" t="s">
        <v>86</v>
      </c>
      <c r="W689" s="63">
        <v>432.8</v>
      </c>
      <c r="X689" s="63">
        <v>3000</v>
      </c>
      <c r="Y689" s="63" t="s">
        <v>2371</v>
      </c>
    </row>
    <row r="690" spans="1:25" hidden="1">
      <c r="A690" s="62">
        <v>46071.738634259258</v>
      </c>
      <c r="B690" s="63">
        <v>641532</v>
      </c>
      <c r="C690" s="63" t="s">
        <v>2367</v>
      </c>
      <c r="D690" s="63"/>
      <c r="E690" s="62">
        <v>46072.772951388892</v>
      </c>
      <c r="F690" s="63" t="s">
        <v>323</v>
      </c>
      <c r="G690" s="63">
        <v>1723650201</v>
      </c>
      <c r="H690" s="63">
        <v>26563652074407</v>
      </c>
      <c r="I690" s="63" t="s">
        <v>327</v>
      </c>
      <c r="J690" s="63" t="s">
        <v>159</v>
      </c>
      <c r="K690" s="63" t="s">
        <v>324</v>
      </c>
      <c r="L690" s="63"/>
      <c r="M690" s="63" t="s">
        <v>328</v>
      </c>
      <c r="N690" s="63" t="s">
        <v>84</v>
      </c>
      <c r="O690" s="63" t="s">
        <v>68</v>
      </c>
      <c r="P690" s="63" t="s">
        <v>69</v>
      </c>
      <c r="Q690" s="63">
        <v>10</v>
      </c>
      <c r="R690" s="63">
        <v>0</v>
      </c>
      <c r="S690" s="63" t="s">
        <v>70</v>
      </c>
      <c r="T690" s="63">
        <v>70.81</v>
      </c>
      <c r="U690" s="62">
        <v>46072.291666666664</v>
      </c>
      <c r="V690" s="63" t="s">
        <v>86</v>
      </c>
      <c r="W690" s="63">
        <v>700.92</v>
      </c>
      <c r="X690" s="63">
        <v>3000</v>
      </c>
      <c r="Y690" s="63" t="s">
        <v>2371</v>
      </c>
    </row>
    <row r="691" spans="1:25" hidden="1">
      <c r="A691" s="62">
        <v>46071.738634259258</v>
      </c>
      <c r="B691" s="63">
        <v>641532</v>
      </c>
      <c r="C691" s="63" t="s">
        <v>2367</v>
      </c>
      <c r="D691" s="63"/>
      <c r="E691" s="62">
        <v>46072.772951388892</v>
      </c>
      <c r="F691" s="63" t="s">
        <v>323</v>
      </c>
      <c r="G691" s="63">
        <v>1723650201</v>
      </c>
      <c r="H691" s="63">
        <v>26563652074407</v>
      </c>
      <c r="I691" s="63" t="s">
        <v>327</v>
      </c>
      <c r="J691" s="63" t="s">
        <v>159</v>
      </c>
      <c r="K691" s="63" t="s">
        <v>324</v>
      </c>
      <c r="L691" s="63"/>
      <c r="M691" s="63" t="s">
        <v>328</v>
      </c>
      <c r="N691" s="63" t="s">
        <v>84</v>
      </c>
      <c r="O691" s="63" t="s">
        <v>72</v>
      </c>
      <c r="P691" s="63" t="s">
        <v>73</v>
      </c>
      <c r="Q691" s="63">
        <v>2</v>
      </c>
      <c r="R691" s="63">
        <v>0</v>
      </c>
      <c r="S691" s="63" t="s">
        <v>70</v>
      </c>
      <c r="T691" s="63">
        <v>70.81</v>
      </c>
      <c r="U691" s="62">
        <v>46072.291666666664</v>
      </c>
      <c r="V691" s="63" t="s">
        <v>86</v>
      </c>
      <c r="W691" s="63">
        <v>700.92</v>
      </c>
      <c r="X691" s="63">
        <v>3000</v>
      </c>
      <c r="Y691" s="63" t="s">
        <v>2371</v>
      </c>
    </row>
    <row r="692" spans="1:25" hidden="1">
      <c r="A692" s="62">
        <v>46071.738634259258</v>
      </c>
      <c r="B692" s="63">
        <v>641532</v>
      </c>
      <c r="C692" s="63" t="s">
        <v>2367</v>
      </c>
      <c r="D692" s="63"/>
      <c r="E692" s="62">
        <v>46072.772951388892</v>
      </c>
      <c r="F692" s="63" t="s">
        <v>323</v>
      </c>
      <c r="G692" s="63">
        <v>1723650201</v>
      </c>
      <c r="H692" s="63">
        <v>26563652074407</v>
      </c>
      <c r="I692" s="63" t="s">
        <v>327</v>
      </c>
      <c r="J692" s="63" t="s">
        <v>159</v>
      </c>
      <c r="K692" s="63" t="s">
        <v>324</v>
      </c>
      <c r="L692" s="63"/>
      <c r="M692" s="63" t="s">
        <v>328</v>
      </c>
      <c r="N692" s="63" t="s">
        <v>84</v>
      </c>
      <c r="O692" s="63" t="s">
        <v>169</v>
      </c>
      <c r="P692" s="63" t="s">
        <v>170</v>
      </c>
      <c r="Q692" s="63">
        <v>1</v>
      </c>
      <c r="R692" s="63">
        <v>0</v>
      </c>
      <c r="S692" s="63" t="s">
        <v>76</v>
      </c>
      <c r="T692" s="63">
        <v>70.81</v>
      </c>
      <c r="U692" s="62">
        <v>46072.291666666664</v>
      </c>
      <c r="V692" s="63" t="s">
        <v>86</v>
      </c>
      <c r="W692" s="63">
        <v>700.92</v>
      </c>
      <c r="X692" s="63">
        <v>3000</v>
      </c>
      <c r="Y692" s="63" t="s">
        <v>2371</v>
      </c>
    </row>
    <row r="693" spans="1:25" hidden="1">
      <c r="A693" s="62">
        <v>46071.738634259258</v>
      </c>
      <c r="B693" s="63">
        <v>641532</v>
      </c>
      <c r="C693" s="63" t="s">
        <v>2367</v>
      </c>
      <c r="D693" s="63"/>
      <c r="E693" s="62">
        <v>46072.772962962961</v>
      </c>
      <c r="F693" s="63" t="s">
        <v>323</v>
      </c>
      <c r="G693" s="63">
        <v>1724250201</v>
      </c>
      <c r="H693" s="63">
        <v>26563652069241</v>
      </c>
      <c r="I693" s="63" t="s">
        <v>2372</v>
      </c>
      <c r="J693" s="63" t="s">
        <v>159</v>
      </c>
      <c r="K693" s="63" t="s">
        <v>324</v>
      </c>
      <c r="L693" s="63"/>
      <c r="M693" s="63" t="s">
        <v>310</v>
      </c>
      <c r="N693" s="63" t="s">
        <v>84</v>
      </c>
      <c r="O693" s="63" t="s">
        <v>68</v>
      </c>
      <c r="P693" s="63" t="s">
        <v>69</v>
      </c>
      <c r="Q693" s="63">
        <v>13</v>
      </c>
      <c r="R693" s="63">
        <v>0</v>
      </c>
      <c r="S693" s="63" t="s">
        <v>70</v>
      </c>
      <c r="T693" s="63">
        <v>65.233999999999995</v>
      </c>
      <c r="U693" s="62">
        <v>46072.291666666664</v>
      </c>
      <c r="V693" s="63" t="s">
        <v>86</v>
      </c>
      <c r="W693" s="63">
        <v>444.47</v>
      </c>
      <c r="X693" s="63">
        <v>3000</v>
      </c>
      <c r="Y693" s="63" t="s">
        <v>2371</v>
      </c>
    </row>
    <row r="694" spans="1:25" hidden="1">
      <c r="A694" s="62">
        <v>46071.738634259258</v>
      </c>
      <c r="B694" s="63">
        <v>641532</v>
      </c>
      <c r="C694" s="63" t="s">
        <v>2367</v>
      </c>
      <c r="D694" s="63"/>
      <c r="E694" s="62">
        <v>46072.772962962961</v>
      </c>
      <c r="F694" s="63" t="s">
        <v>323</v>
      </c>
      <c r="G694" s="63">
        <v>1724310201</v>
      </c>
      <c r="H694" s="63">
        <v>26563652014935</v>
      </c>
      <c r="I694" s="63" t="s">
        <v>2423</v>
      </c>
      <c r="J694" s="63" t="s">
        <v>159</v>
      </c>
      <c r="K694" s="63" t="s">
        <v>324</v>
      </c>
      <c r="L694" s="63"/>
      <c r="M694" s="63" t="s">
        <v>2378</v>
      </c>
      <c r="N694" s="63" t="s">
        <v>84</v>
      </c>
      <c r="O694" s="63" t="s">
        <v>68</v>
      </c>
      <c r="P694" s="63" t="s">
        <v>69</v>
      </c>
      <c r="Q694" s="63">
        <v>6</v>
      </c>
      <c r="R694" s="63">
        <v>0</v>
      </c>
      <c r="S694" s="63" t="s">
        <v>70</v>
      </c>
      <c r="T694" s="63">
        <v>45.107999999999997</v>
      </c>
      <c r="U694" s="62">
        <v>46072.291666666664</v>
      </c>
      <c r="V694" s="63" t="s">
        <v>86</v>
      </c>
      <c r="W694" s="63">
        <v>428.87</v>
      </c>
      <c r="X694" s="63">
        <v>3000</v>
      </c>
      <c r="Y694" s="63" t="s">
        <v>2371</v>
      </c>
    </row>
    <row r="695" spans="1:25" hidden="1">
      <c r="A695" s="62">
        <v>46071.738634259258</v>
      </c>
      <c r="B695" s="63">
        <v>641532</v>
      </c>
      <c r="C695" s="63" t="s">
        <v>2367</v>
      </c>
      <c r="D695" s="63"/>
      <c r="E695" s="62">
        <v>46072.772962962961</v>
      </c>
      <c r="F695" s="63" t="s">
        <v>323</v>
      </c>
      <c r="G695" s="63">
        <v>1724310201</v>
      </c>
      <c r="H695" s="63">
        <v>26563652014935</v>
      </c>
      <c r="I695" s="63" t="s">
        <v>2423</v>
      </c>
      <c r="J695" s="63" t="s">
        <v>159</v>
      </c>
      <c r="K695" s="63" t="s">
        <v>324</v>
      </c>
      <c r="L695" s="63"/>
      <c r="M695" s="63" t="s">
        <v>2378</v>
      </c>
      <c r="N695" s="63" t="s">
        <v>84</v>
      </c>
      <c r="O695" s="63" t="s">
        <v>72</v>
      </c>
      <c r="P695" s="63" t="s">
        <v>73</v>
      </c>
      <c r="Q695" s="63">
        <v>1</v>
      </c>
      <c r="R695" s="63">
        <v>0</v>
      </c>
      <c r="S695" s="63" t="s">
        <v>70</v>
      </c>
      <c r="T695" s="63">
        <v>45.107999999999997</v>
      </c>
      <c r="U695" s="62">
        <v>46072.291666666664</v>
      </c>
      <c r="V695" s="63" t="s">
        <v>86</v>
      </c>
      <c r="W695" s="63">
        <v>428.87</v>
      </c>
      <c r="X695" s="63">
        <v>3000</v>
      </c>
      <c r="Y695" s="63" t="s">
        <v>2371</v>
      </c>
    </row>
    <row r="696" spans="1:25" hidden="1">
      <c r="A696" s="62">
        <v>46071.738634259258</v>
      </c>
      <c r="B696" s="63">
        <v>641532</v>
      </c>
      <c r="C696" s="63" t="s">
        <v>2367</v>
      </c>
      <c r="D696" s="63"/>
      <c r="E696" s="62">
        <v>46072.772962962961</v>
      </c>
      <c r="F696" s="63" t="s">
        <v>323</v>
      </c>
      <c r="G696" s="63">
        <v>1724310201</v>
      </c>
      <c r="H696" s="63">
        <v>26563652014935</v>
      </c>
      <c r="I696" s="63" t="s">
        <v>2423</v>
      </c>
      <c r="J696" s="63" t="s">
        <v>159</v>
      </c>
      <c r="K696" s="63" t="s">
        <v>324</v>
      </c>
      <c r="L696" s="63"/>
      <c r="M696" s="63" t="s">
        <v>2378</v>
      </c>
      <c r="N696" s="63" t="s">
        <v>84</v>
      </c>
      <c r="O696" s="63" t="s">
        <v>74</v>
      </c>
      <c r="P696" s="63" t="s">
        <v>75</v>
      </c>
      <c r="Q696" s="63">
        <v>1</v>
      </c>
      <c r="R696" s="63">
        <v>0</v>
      </c>
      <c r="S696" s="63" t="s">
        <v>76</v>
      </c>
      <c r="T696" s="63">
        <v>45.107999999999997</v>
      </c>
      <c r="U696" s="62">
        <v>46072.291666666664</v>
      </c>
      <c r="V696" s="63" t="s">
        <v>86</v>
      </c>
      <c r="W696" s="63">
        <v>428.87</v>
      </c>
      <c r="X696" s="63">
        <v>3000</v>
      </c>
      <c r="Y696" s="63" t="s">
        <v>2371</v>
      </c>
    </row>
    <row r="697" spans="1:25" hidden="1">
      <c r="A697" s="62">
        <v>46071.738634259258</v>
      </c>
      <c r="B697" s="63">
        <v>641533</v>
      </c>
      <c r="C697" s="63" t="s">
        <v>293</v>
      </c>
      <c r="D697" s="63"/>
      <c r="E697" s="62">
        <v>46071.407939814817</v>
      </c>
      <c r="F697" s="63" t="s">
        <v>219</v>
      </c>
      <c r="G697" s="63">
        <v>1703660201</v>
      </c>
      <c r="H697" s="63">
        <v>26563652079719</v>
      </c>
      <c r="I697" s="63" t="s">
        <v>298</v>
      </c>
      <c r="J697" s="63" t="s">
        <v>159</v>
      </c>
      <c r="K697" s="63" t="s">
        <v>64</v>
      </c>
      <c r="L697" s="63"/>
      <c r="M697" s="63" t="s">
        <v>294</v>
      </c>
      <c r="N697" s="63" t="s">
        <v>84</v>
      </c>
      <c r="O697" s="63" t="s">
        <v>74</v>
      </c>
      <c r="P697" s="63" t="s">
        <v>75</v>
      </c>
      <c r="Q697" s="63">
        <v>1</v>
      </c>
      <c r="R697" s="63">
        <v>2</v>
      </c>
      <c r="S697" s="63" t="s">
        <v>76</v>
      </c>
      <c r="T697" s="63">
        <v>11.67</v>
      </c>
      <c r="U697" s="62">
        <v>46072.291666666664</v>
      </c>
      <c r="V697" s="63" t="s">
        <v>86</v>
      </c>
      <c r="W697" s="63">
        <v>292.12</v>
      </c>
      <c r="X697" s="63">
        <v>4200</v>
      </c>
      <c r="Y697" s="63" t="s">
        <v>485</v>
      </c>
    </row>
    <row r="698" spans="1:25" hidden="1">
      <c r="A698" s="62">
        <v>46071.738634259258</v>
      </c>
      <c r="B698" s="63">
        <v>641533</v>
      </c>
      <c r="C698" s="63" t="s">
        <v>293</v>
      </c>
      <c r="D698" s="63"/>
      <c r="E698" s="62">
        <v>46071.407939814817</v>
      </c>
      <c r="F698" s="63" t="s">
        <v>219</v>
      </c>
      <c r="G698" s="63">
        <v>1703660201</v>
      </c>
      <c r="H698" s="63">
        <v>26563652079719</v>
      </c>
      <c r="I698" s="63" t="s">
        <v>298</v>
      </c>
      <c r="J698" s="63" t="s">
        <v>159</v>
      </c>
      <c r="K698" s="63" t="s">
        <v>64</v>
      </c>
      <c r="L698" s="63"/>
      <c r="M698" s="63" t="s">
        <v>294</v>
      </c>
      <c r="N698" s="63" t="s">
        <v>84</v>
      </c>
      <c r="O698" s="63" t="s">
        <v>167</v>
      </c>
      <c r="P698" s="63" t="s">
        <v>168</v>
      </c>
      <c r="Q698" s="63">
        <v>1</v>
      </c>
      <c r="R698" s="63">
        <v>2</v>
      </c>
      <c r="S698" s="63" t="s">
        <v>76</v>
      </c>
      <c r="T698" s="63">
        <v>11.67</v>
      </c>
      <c r="U698" s="62">
        <v>46072.291666666664</v>
      </c>
      <c r="V698" s="63" t="s">
        <v>86</v>
      </c>
      <c r="W698" s="63">
        <v>292.12</v>
      </c>
      <c r="X698" s="63">
        <v>4200</v>
      </c>
      <c r="Y698" s="63" t="s">
        <v>485</v>
      </c>
    </row>
    <row r="699" spans="1:25" hidden="1">
      <c r="A699" s="62">
        <v>46071.738634259258</v>
      </c>
      <c r="B699" s="63">
        <v>641533</v>
      </c>
      <c r="C699" s="63" t="s">
        <v>293</v>
      </c>
      <c r="D699" s="63"/>
      <c r="E699" s="62">
        <v>46072.772835648146</v>
      </c>
      <c r="F699" s="63" t="s">
        <v>219</v>
      </c>
      <c r="G699" s="63">
        <v>1716690201</v>
      </c>
      <c r="H699" s="63">
        <v>47508411010623</v>
      </c>
      <c r="I699" s="63" t="s">
        <v>2728</v>
      </c>
      <c r="J699" s="63" t="s">
        <v>182</v>
      </c>
      <c r="K699" s="63" t="s">
        <v>64</v>
      </c>
      <c r="L699" s="63" t="s">
        <v>2729</v>
      </c>
      <c r="M699" s="63" t="s">
        <v>2730</v>
      </c>
      <c r="N699" s="63" t="s">
        <v>84</v>
      </c>
      <c r="O699" s="63" t="s">
        <v>87</v>
      </c>
      <c r="P699" s="63" t="s">
        <v>88</v>
      </c>
      <c r="Q699" s="63">
        <v>1</v>
      </c>
      <c r="R699" s="63">
        <v>0</v>
      </c>
      <c r="S699" s="63" t="s">
        <v>76</v>
      </c>
      <c r="T699" s="63">
        <v>15.28</v>
      </c>
      <c r="U699" s="62">
        <v>46072.291666666664</v>
      </c>
      <c r="V699" s="63" t="s">
        <v>86</v>
      </c>
      <c r="W699" s="63">
        <v>372</v>
      </c>
      <c r="X699" s="63">
        <v>4200</v>
      </c>
      <c r="Y699" s="63" t="s">
        <v>485</v>
      </c>
    </row>
    <row r="700" spans="1:25" hidden="1">
      <c r="A700" s="62">
        <v>46071.738634259258</v>
      </c>
      <c r="B700" s="63">
        <v>641533</v>
      </c>
      <c r="C700" s="63" t="s">
        <v>293</v>
      </c>
      <c r="D700" s="63"/>
      <c r="E700" s="62">
        <v>46072.772835648146</v>
      </c>
      <c r="F700" s="63" t="s">
        <v>219</v>
      </c>
      <c r="G700" s="63">
        <v>1716690201</v>
      </c>
      <c r="H700" s="63">
        <v>47508411010623</v>
      </c>
      <c r="I700" s="63" t="s">
        <v>2728</v>
      </c>
      <c r="J700" s="63" t="s">
        <v>182</v>
      </c>
      <c r="K700" s="63" t="s">
        <v>64</v>
      </c>
      <c r="L700" s="63" t="s">
        <v>2729</v>
      </c>
      <c r="M700" s="63" t="s">
        <v>2730</v>
      </c>
      <c r="N700" s="63" t="s">
        <v>84</v>
      </c>
      <c r="O700" s="63" t="s">
        <v>77</v>
      </c>
      <c r="P700" s="63" t="s">
        <v>78</v>
      </c>
      <c r="Q700" s="63">
        <v>1</v>
      </c>
      <c r="R700" s="63">
        <v>0</v>
      </c>
      <c r="S700" s="63" t="s">
        <v>76</v>
      </c>
      <c r="T700" s="63">
        <v>15.28</v>
      </c>
      <c r="U700" s="62">
        <v>46072.291666666664</v>
      </c>
      <c r="V700" s="63" t="s">
        <v>86</v>
      </c>
      <c r="W700" s="63">
        <v>372</v>
      </c>
      <c r="X700" s="63">
        <v>4200</v>
      </c>
      <c r="Y700" s="63" t="s">
        <v>485</v>
      </c>
    </row>
    <row r="701" spans="1:25" hidden="1">
      <c r="A701" s="62">
        <v>46071.738634259258</v>
      </c>
      <c r="B701" s="63">
        <v>641533</v>
      </c>
      <c r="C701" s="63" t="s">
        <v>293</v>
      </c>
      <c r="D701" s="63"/>
      <c r="E701" s="62">
        <v>46072.772835648146</v>
      </c>
      <c r="F701" s="63" t="s">
        <v>219</v>
      </c>
      <c r="G701" s="63">
        <v>1716690201</v>
      </c>
      <c r="H701" s="63">
        <v>47508411010623</v>
      </c>
      <c r="I701" s="63" t="s">
        <v>2728</v>
      </c>
      <c r="J701" s="63" t="s">
        <v>182</v>
      </c>
      <c r="K701" s="63" t="s">
        <v>64</v>
      </c>
      <c r="L701" s="63" t="s">
        <v>2729</v>
      </c>
      <c r="M701" s="63" t="s">
        <v>2730</v>
      </c>
      <c r="N701" s="63" t="s">
        <v>84</v>
      </c>
      <c r="O701" s="63" t="s">
        <v>183</v>
      </c>
      <c r="P701" s="63" t="s">
        <v>184</v>
      </c>
      <c r="Q701" s="63">
        <v>1</v>
      </c>
      <c r="R701" s="63">
        <v>0</v>
      </c>
      <c r="S701" s="63" t="s">
        <v>76</v>
      </c>
      <c r="T701" s="63">
        <v>15.28</v>
      </c>
      <c r="U701" s="62">
        <v>46072.291666666664</v>
      </c>
      <c r="V701" s="63" t="s">
        <v>86</v>
      </c>
      <c r="W701" s="63">
        <v>372</v>
      </c>
      <c r="X701" s="63">
        <v>4200</v>
      </c>
      <c r="Y701" s="63" t="s">
        <v>485</v>
      </c>
    </row>
    <row r="702" spans="1:25" hidden="1">
      <c r="A702" s="62">
        <v>46071.738634259258</v>
      </c>
      <c r="B702" s="63">
        <v>641533</v>
      </c>
      <c r="C702" s="63" t="s">
        <v>293</v>
      </c>
      <c r="D702" s="63"/>
      <c r="E702" s="62">
        <v>46072.772847222222</v>
      </c>
      <c r="F702" s="63" t="s">
        <v>219</v>
      </c>
      <c r="G702" s="63">
        <v>1716150201</v>
      </c>
      <c r="H702" s="63">
        <v>9000493001882</v>
      </c>
      <c r="I702" s="63" t="s">
        <v>2731</v>
      </c>
      <c r="J702" s="63" t="s">
        <v>2468</v>
      </c>
      <c r="K702" s="63" t="s">
        <v>64</v>
      </c>
      <c r="L702" s="63" t="s">
        <v>2732</v>
      </c>
      <c r="M702" s="63" t="s">
        <v>2733</v>
      </c>
      <c r="N702" s="63" t="s">
        <v>84</v>
      </c>
      <c r="O702" s="63" t="s">
        <v>398</v>
      </c>
      <c r="P702" s="63" t="s">
        <v>399</v>
      </c>
      <c r="Q702" s="63">
        <v>20</v>
      </c>
      <c r="R702" s="63">
        <v>0</v>
      </c>
      <c r="S702" s="63" t="s">
        <v>70</v>
      </c>
      <c r="T702" s="63">
        <v>425.2</v>
      </c>
      <c r="U702" s="62">
        <v>46072.291666666664</v>
      </c>
      <c r="V702" s="63" t="s">
        <v>86</v>
      </c>
      <c r="W702" s="63">
        <v>2696.4</v>
      </c>
      <c r="X702" s="63">
        <v>4200</v>
      </c>
      <c r="Y702" s="63" t="s">
        <v>485</v>
      </c>
    </row>
    <row r="703" spans="1:25" hidden="1">
      <c r="A703" s="62">
        <v>46071.738634259258</v>
      </c>
      <c r="B703" s="63">
        <v>641533</v>
      </c>
      <c r="C703" s="63" t="s">
        <v>293</v>
      </c>
      <c r="D703" s="63"/>
      <c r="E703" s="62">
        <v>46072.772847222222</v>
      </c>
      <c r="F703" s="63" t="s">
        <v>219</v>
      </c>
      <c r="G703" s="63">
        <v>1716150201</v>
      </c>
      <c r="H703" s="63">
        <v>9000493001882</v>
      </c>
      <c r="I703" s="63" t="s">
        <v>2731</v>
      </c>
      <c r="J703" s="63" t="s">
        <v>2468</v>
      </c>
      <c r="K703" s="63" t="s">
        <v>64</v>
      </c>
      <c r="L703" s="63" t="s">
        <v>2732</v>
      </c>
      <c r="M703" s="63" t="s">
        <v>2733</v>
      </c>
      <c r="N703" s="63" t="s">
        <v>84</v>
      </c>
      <c r="O703" s="63" t="s">
        <v>280</v>
      </c>
      <c r="P703" s="63" t="s">
        <v>281</v>
      </c>
      <c r="Q703" s="63">
        <v>20</v>
      </c>
      <c r="R703" s="63">
        <v>0</v>
      </c>
      <c r="S703" s="63" t="s">
        <v>70</v>
      </c>
      <c r="T703" s="63">
        <v>425.2</v>
      </c>
      <c r="U703" s="62">
        <v>46072.291666666664</v>
      </c>
      <c r="V703" s="63" t="s">
        <v>86</v>
      </c>
      <c r="W703" s="63">
        <v>2696.4</v>
      </c>
      <c r="X703" s="63">
        <v>4200</v>
      </c>
      <c r="Y703" s="63" t="s">
        <v>485</v>
      </c>
    </row>
    <row r="704" spans="1:25" hidden="1">
      <c r="A704" s="62">
        <v>46071.738634259258</v>
      </c>
      <c r="B704" s="63">
        <v>641533</v>
      </c>
      <c r="C704" s="63" t="s">
        <v>293</v>
      </c>
      <c r="D704" s="63"/>
      <c r="E704" s="62">
        <v>46072.772870370369</v>
      </c>
      <c r="F704" s="63" t="s">
        <v>219</v>
      </c>
      <c r="G704" s="63">
        <v>1720790201</v>
      </c>
      <c r="H704" s="63">
        <v>45543915003954</v>
      </c>
      <c r="I704" s="63" t="s">
        <v>2734</v>
      </c>
      <c r="J704" s="63" t="s">
        <v>155</v>
      </c>
      <c r="K704" s="63" t="s">
        <v>64</v>
      </c>
      <c r="L704" s="63" t="s">
        <v>2735</v>
      </c>
      <c r="M704" s="63" t="s">
        <v>2730</v>
      </c>
      <c r="N704" s="63" t="s">
        <v>84</v>
      </c>
      <c r="O704" s="63" t="s">
        <v>68</v>
      </c>
      <c r="P704" s="63" t="s">
        <v>69</v>
      </c>
      <c r="Q704" s="63">
        <v>180</v>
      </c>
      <c r="R704" s="63">
        <v>0</v>
      </c>
      <c r="S704" s="63" t="s">
        <v>70</v>
      </c>
      <c r="T704" s="63">
        <v>943.24</v>
      </c>
      <c r="U704" s="62">
        <v>46072.291666666664</v>
      </c>
      <c r="V704" s="63" t="s">
        <v>86</v>
      </c>
      <c r="W704" s="63">
        <v>6087.8</v>
      </c>
      <c r="X704" s="63">
        <v>4200</v>
      </c>
      <c r="Y704" s="63" t="s">
        <v>485</v>
      </c>
    </row>
    <row r="705" spans="1:25" hidden="1">
      <c r="A705" s="62">
        <v>46071.738634259258</v>
      </c>
      <c r="B705" s="63">
        <v>641533</v>
      </c>
      <c r="C705" s="63" t="s">
        <v>293</v>
      </c>
      <c r="D705" s="63"/>
      <c r="E705" s="62">
        <v>46072.772870370369</v>
      </c>
      <c r="F705" s="63" t="s">
        <v>219</v>
      </c>
      <c r="G705" s="63">
        <v>1720790201</v>
      </c>
      <c r="H705" s="63">
        <v>45543915003954</v>
      </c>
      <c r="I705" s="63" t="s">
        <v>2734</v>
      </c>
      <c r="J705" s="63" t="s">
        <v>155</v>
      </c>
      <c r="K705" s="63" t="s">
        <v>64</v>
      </c>
      <c r="L705" s="63" t="s">
        <v>2735</v>
      </c>
      <c r="M705" s="63" t="s">
        <v>2730</v>
      </c>
      <c r="N705" s="63" t="s">
        <v>84</v>
      </c>
      <c r="O705" s="63" t="s">
        <v>74</v>
      </c>
      <c r="P705" s="63" t="s">
        <v>75</v>
      </c>
      <c r="Q705" s="63">
        <v>4</v>
      </c>
      <c r="R705" s="63">
        <v>0</v>
      </c>
      <c r="S705" s="63" t="s">
        <v>76</v>
      </c>
      <c r="T705" s="63">
        <v>943.24</v>
      </c>
      <c r="U705" s="62">
        <v>46072.291666666664</v>
      </c>
      <c r="V705" s="63" t="s">
        <v>86</v>
      </c>
      <c r="W705" s="63">
        <v>6087.8</v>
      </c>
      <c r="X705" s="63">
        <v>4200</v>
      </c>
      <c r="Y705" s="63" t="s">
        <v>485</v>
      </c>
    </row>
    <row r="706" spans="1:25" hidden="1">
      <c r="A706" s="62">
        <v>46071.738634259258</v>
      </c>
      <c r="B706" s="63">
        <v>641533</v>
      </c>
      <c r="C706" s="63" t="s">
        <v>293</v>
      </c>
      <c r="D706" s="63"/>
      <c r="E706" s="62">
        <v>46072.772893518515</v>
      </c>
      <c r="F706" s="63" t="s">
        <v>219</v>
      </c>
      <c r="G706" s="63">
        <v>1722620201</v>
      </c>
      <c r="H706" s="63">
        <v>71676316000901</v>
      </c>
      <c r="I706" s="63" t="s">
        <v>2736</v>
      </c>
      <c r="J706" s="63" t="s">
        <v>2228</v>
      </c>
      <c r="K706" s="63" t="s">
        <v>64</v>
      </c>
      <c r="L706" s="63" t="s">
        <v>2737</v>
      </c>
      <c r="M706" s="63" t="s">
        <v>2733</v>
      </c>
      <c r="N706" s="63" t="s">
        <v>84</v>
      </c>
      <c r="O706" s="63" t="s">
        <v>68</v>
      </c>
      <c r="P706" s="63" t="s">
        <v>69</v>
      </c>
      <c r="Q706" s="63">
        <v>230</v>
      </c>
      <c r="R706" s="63">
        <v>0</v>
      </c>
      <c r="S706" s="63" t="s">
        <v>70</v>
      </c>
      <c r="T706" s="63">
        <v>1249.1400000000001</v>
      </c>
      <c r="U706" s="62">
        <v>46072.291666666664</v>
      </c>
      <c r="V706" s="63" t="s">
        <v>86</v>
      </c>
      <c r="W706" s="63">
        <v>10305.84</v>
      </c>
      <c r="X706" s="63">
        <v>4200</v>
      </c>
      <c r="Y706" s="63" t="s">
        <v>485</v>
      </c>
    </row>
    <row r="707" spans="1:25" hidden="1">
      <c r="A707" s="62">
        <v>46071.738634259258</v>
      </c>
      <c r="B707" s="63">
        <v>641533</v>
      </c>
      <c r="C707" s="63" t="s">
        <v>293</v>
      </c>
      <c r="D707" s="63"/>
      <c r="E707" s="62">
        <v>46072.772893518515</v>
      </c>
      <c r="F707" s="63" t="s">
        <v>219</v>
      </c>
      <c r="G707" s="63">
        <v>1722620201</v>
      </c>
      <c r="H707" s="63">
        <v>71676316000901</v>
      </c>
      <c r="I707" s="63" t="s">
        <v>2736</v>
      </c>
      <c r="J707" s="63" t="s">
        <v>2228</v>
      </c>
      <c r="K707" s="63" t="s">
        <v>64</v>
      </c>
      <c r="L707" s="63" t="s">
        <v>2737</v>
      </c>
      <c r="M707" s="63" t="s">
        <v>2733</v>
      </c>
      <c r="N707" s="63" t="s">
        <v>84</v>
      </c>
      <c r="O707" s="63" t="s">
        <v>91</v>
      </c>
      <c r="P707" s="63" t="s">
        <v>92</v>
      </c>
      <c r="Q707" s="63">
        <v>10</v>
      </c>
      <c r="R707" s="63">
        <v>0</v>
      </c>
      <c r="S707" s="63" t="s">
        <v>70</v>
      </c>
      <c r="T707" s="63">
        <v>1249.1400000000001</v>
      </c>
      <c r="U707" s="62">
        <v>46072.291666666664</v>
      </c>
      <c r="V707" s="63" t="s">
        <v>86</v>
      </c>
      <c r="W707" s="63">
        <v>10305.84</v>
      </c>
      <c r="X707" s="63">
        <v>4200</v>
      </c>
      <c r="Y707" s="63" t="s">
        <v>485</v>
      </c>
    </row>
    <row r="708" spans="1:25" hidden="1">
      <c r="A708" s="62">
        <v>46071.738634259258</v>
      </c>
      <c r="B708" s="63">
        <v>641533</v>
      </c>
      <c r="C708" s="63" t="s">
        <v>293</v>
      </c>
      <c r="D708" s="63"/>
      <c r="E708" s="62">
        <v>46072.772893518515</v>
      </c>
      <c r="F708" s="63" t="s">
        <v>219</v>
      </c>
      <c r="G708" s="63">
        <v>1722620201</v>
      </c>
      <c r="H708" s="63">
        <v>71676316000901</v>
      </c>
      <c r="I708" s="63" t="s">
        <v>2736</v>
      </c>
      <c r="J708" s="63" t="s">
        <v>2228</v>
      </c>
      <c r="K708" s="63" t="s">
        <v>64</v>
      </c>
      <c r="L708" s="63" t="s">
        <v>2737</v>
      </c>
      <c r="M708" s="63" t="s">
        <v>2733</v>
      </c>
      <c r="N708" s="63" t="s">
        <v>84</v>
      </c>
      <c r="O708" s="63" t="s">
        <v>72</v>
      </c>
      <c r="P708" s="63" t="s">
        <v>73</v>
      </c>
      <c r="Q708" s="63">
        <v>6</v>
      </c>
      <c r="R708" s="63">
        <v>0</v>
      </c>
      <c r="S708" s="63" t="s">
        <v>70</v>
      </c>
      <c r="T708" s="63">
        <v>1249.1400000000001</v>
      </c>
      <c r="U708" s="62">
        <v>46072.291666666664</v>
      </c>
      <c r="V708" s="63" t="s">
        <v>86</v>
      </c>
      <c r="W708" s="63">
        <v>10305.84</v>
      </c>
      <c r="X708" s="63">
        <v>4200</v>
      </c>
      <c r="Y708" s="63" t="s">
        <v>485</v>
      </c>
    </row>
    <row r="709" spans="1:25" hidden="1">
      <c r="A709" s="62">
        <v>46071.738634259258</v>
      </c>
      <c r="B709" s="63">
        <v>641533</v>
      </c>
      <c r="C709" s="63" t="s">
        <v>293</v>
      </c>
      <c r="D709" s="63"/>
      <c r="E709" s="62">
        <v>46072.772893518515</v>
      </c>
      <c r="F709" s="63" t="s">
        <v>219</v>
      </c>
      <c r="G709" s="63">
        <v>1722620201</v>
      </c>
      <c r="H709" s="63">
        <v>71676316000901</v>
      </c>
      <c r="I709" s="63" t="s">
        <v>2736</v>
      </c>
      <c r="J709" s="63" t="s">
        <v>2228</v>
      </c>
      <c r="K709" s="63" t="s">
        <v>64</v>
      </c>
      <c r="L709" s="63" t="s">
        <v>2737</v>
      </c>
      <c r="M709" s="63" t="s">
        <v>2733</v>
      </c>
      <c r="N709" s="63" t="s">
        <v>84</v>
      </c>
      <c r="O709" s="63" t="s">
        <v>105</v>
      </c>
      <c r="P709" s="63" t="s">
        <v>106</v>
      </c>
      <c r="Q709" s="63">
        <v>6</v>
      </c>
      <c r="R709" s="63">
        <v>0</v>
      </c>
      <c r="S709" s="63" t="s">
        <v>76</v>
      </c>
      <c r="T709" s="63">
        <v>1249.1400000000001</v>
      </c>
      <c r="U709" s="62">
        <v>46072.291666666664</v>
      </c>
      <c r="V709" s="63" t="s">
        <v>86</v>
      </c>
      <c r="W709" s="63">
        <v>10305.84</v>
      </c>
      <c r="X709" s="63">
        <v>4200</v>
      </c>
      <c r="Y709" s="63" t="s">
        <v>485</v>
      </c>
    </row>
    <row r="710" spans="1:25" hidden="1">
      <c r="A710" s="62">
        <v>46071.738634259258</v>
      </c>
      <c r="B710" s="63">
        <v>641533</v>
      </c>
      <c r="C710" s="63" t="s">
        <v>293</v>
      </c>
      <c r="D710" s="63"/>
      <c r="E710" s="62">
        <v>46072.772905092592</v>
      </c>
      <c r="F710" s="63" t="s">
        <v>219</v>
      </c>
      <c r="G710" s="63">
        <v>1725580201</v>
      </c>
      <c r="H710" s="63">
        <v>26563652043528</v>
      </c>
      <c r="I710" s="63" t="s">
        <v>2738</v>
      </c>
      <c r="J710" s="63" t="s">
        <v>159</v>
      </c>
      <c r="K710" s="63" t="s">
        <v>64</v>
      </c>
      <c r="L710" s="63"/>
      <c r="M710" s="63" t="s">
        <v>300</v>
      </c>
      <c r="N710" s="63" t="s">
        <v>84</v>
      </c>
      <c r="O710" s="63" t="s">
        <v>68</v>
      </c>
      <c r="P710" s="63" t="s">
        <v>69</v>
      </c>
      <c r="Q710" s="63">
        <v>10</v>
      </c>
      <c r="R710" s="63">
        <v>0</v>
      </c>
      <c r="S710" s="63" t="s">
        <v>70</v>
      </c>
      <c r="T710" s="63">
        <v>60.18</v>
      </c>
      <c r="U710" s="62">
        <v>46072.291666666664</v>
      </c>
      <c r="V710" s="63" t="s">
        <v>86</v>
      </c>
      <c r="W710" s="63">
        <v>516.62</v>
      </c>
      <c r="X710" s="63">
        <v>4200</v>
      </c>
      <c r="Y710" s="63" t="s">
        <v>485</v>
      </c>
    </row>
    <row r="711" spans="1:25" hidden="1">
      <c r="A711" s="62">
        <v>46071.738634259258</v>
      </c>
      <c r="B711" s="63">
        <v>641533</v>
      </c>
      <c r="C711" s="63" t="s">
        <v>293</v>
      </c>
      <c r="D711" s="63"/>
      <c r="E711" s="62">
        <v>46072.772905092592</v>
      </c>
      <c r="F711" s="63" t="s">
        <v>219</v>
      </c>
      <c r="G711" s="63">
        <v>1725580201</v>
      </c>
      <c r="H711" s="63">
        <v>26563652043528</v>
      </c>
      <c r="I711" s="63" t="s">
        <v>2738</v>
      </c>
      <c r="J711" s="63" t="s">
        <v>159</v>
      </c>
      <c r="K711" s="63" t="s">
        <v>64</v>
      </c>
      <c r="L711" s="63"/>
      <c r="M711" s="63" t="s">
        <v>300</v>
      </c>
      <c r="N711" s="63" t="s">
        <v>84</v>
      </c>
      <c r="O711" s="63" t="s">
        <v>74</v>
      </c>
      <c r="P711" s="63" t="s">
        <v>75</v>
      </c>
      <c r="Q711" s="63">
        <v>1</v>
      </c>
      <c r="R711" s="63">
        <v>0</v>
      </c>
      <c r="S711" s="63" t="s">
        <v>76</v>
      </c>
      <c r="T711" s="63">
        <v>60.18</v>
      </c>
      <c r="U711" s="62">
        <v>46072.291666666664</v>
      </c>
      <c r="V711" s="63" t="s">
        <v>86</v>
      </c>
      <c r="W711" s="63">
        <v>516.62</v>
      </c>
      <c r="X711" s="63">
        <v>4200</v>
      </c>
      <c r="Y711" s="63" t="s">
        <v>485</v>
      </c>
    </row>
    <row r="712" spans="1:25" hidden="1">
      <c r="A712" s="62">
        <v>46071.738634259258</v>
      </c>
      <c r="B712" s="63">
        <v>641533</v>
      </c>
      <c r="C712" s="63" t="s">
        <v>293</v>
      </c>
      <c r="D712" s="63"/>
      <c r="E712" s="62">
        <v>46072.772939814815</v>
      </c>
      <c r="F712" s="63" t="s">
        <v>219</v>
      </c>
      <c r="G712" s="63">
        <v>1723530201</v>
      </c>
      <c r="H712" s="63">
        <v>26563652079719</v>
      </c>
      <c r="I712" s="63" t="s">
        <v>298</v>
      </c>
      <c r="J712" s="63" t="s">
        <v>159</v>
      </c>
      <c r="K712" s="63" t="s">
        <v>64</v>
      </c>
      <c r="L712" s="63"/>
      <c r="M712" s="63" t="s">
        <v>294</v>
      </c>
      <c r="N712" s="63" t="s">
        <v>84</v>
      </c>
      <c r="O712" s="63" t="s">
        <v>68</v>
      </c>
      <c r="P712" s="63" t="s">
        <v>69</v>
      </c>
      <c r="Q712" s="63">
        <v>5</v>
      </c>
      <c r="R712" s="63">
        <v>0</v>
      </c>
      <c r="S712" s="63" t="s">
        <v>70</v>
      </c>
      <c r="T712" s="63">
        <v>45.09</v>
      </c>
      <c r="U712" s="62">
        <v>46072.291666666664</v>
      </c>
      <c r="V712" s="63" t="s">
        <v>86</v>
      </c>
      <c r="W712" s="63">
        <v>520.39</v>
      </c>
      <c r="X712" s="63">
        <v>4200</v>
      </c>
      <c r="Y712" s="63" t="s">
        <v>485</v>
      </c>
    </row>
    <row r="713" spans="1:25" hidden="1">
      <c r="A713" s="62">
        <v>46071.738634259258</v>
      </c>
      <c r="B713" s="63">
        <v>641533</v>
      </c>
      <c r="C713" s="63" t="s">
        <v>293</v>
      </c>
      <c r="D713" s="63"/>
      <c r="E713" s="62">
        <v>46072.772939814815</v>
      </c>
      <c r="F713" s="63" t="s">
        <v>219</v>
      </c>
      <c r="G713" s="63">
        <v>1723530201</v>
      </c>
      <c r="H713" s="63">
        <v>26563652079719</v>
      </c>
      <c r="I713" s="63" t="s">
        <v>298</v>
      </c>
      <c r="J713" s="63" t="s">
        <v>159</v>
      </c>
      <c r="K713" s="63" t="s">
        <v>64</v>
      </c>
      <c r="L713" s="63"/>
      <c r="M713" s="63" t="s">
        <v>294</v>
      </c>
      <c r="N713" s="63" t="s">
        <v>84</v>
      </c>
      <c r="O713" s="63" t="s">
        <v>74</v>
      </c>
      <c r="P713" s="63" t="s">
        <v>75</v>
      </c>
      <c r="Q713" s="63">
        <v>2</v>
      </c>
      <c r="R713" s="63">
        <v>0</v>
      </c>
      <c r="S713" s="63" t="s">
        <v>76</v>
      </c>
      <c r="T713" s="63">
        <v>45.09</v>
      </c>
      <c r="U713" s="62">
        <v>46072.291666666664</v>
      </c>
      <c r="V713" s="63" t="s">
        <v>86</v>
      </c>
      <c r="W713" s="63">
        <v>520.39</v>
      </c>
      <c r="X713" s="63">
        <v>4200</v>
      </c>
      <c r="Y713" s="63" t="s">
        <v>485</v>
      </c>
    </row>
    <row r="714" spans="1:25" hidden="1">
      <c r="A714" s="62">
        <v>46071.738634259258</v>
      </c>
      <c r="B714" s="63">
        <v>641533</v>
      </c>
      <c r="C714" s="63" t="s">
        <v>293</v>
      </c>
      <c r="D714" s="63"/>
      <c r="E714" s="62">
        <v>46072.772939814815</v>
      </c>
      <c r="F714" s="63" t="s">
        <v>219</v>
      </c>
      <c r="G714" s="63">
        <v>1723610201</v>
      </c>
      <c r="H714" s="63">
        <v>26563652020900</v>
      </c>
      <c r="I714" s="63" t="s">
        <v>2239</v>
      </c>
      <c r="J714" s="63" t="s">
        <v>159</v>
      </c>
      <c r="K714" s="63" t="s">
        <v>64</v>
      </c>
      <c r="L714" s="63"/>
      <c r="M714" s="63" t="s">
        <v>2240</v>
      </c>
      <c r="N714" s="63" t="s">
        <v>84</v>
      </c>
      <c r="O714" s="63" t="s">
        <v>68</v>
      </c>
      <c r="P714" s="63" t="s">
        <v>69</v>
      </c>
      <c r="Q714" s="63">
        <v>6</v>
      </c>
      <c r="R714" s="63">
        <v>0</v>
      </c>
      <c r="S714" s="63" t="s">
        <v>70</v>
      </c>
      <c r="T714" s="63">
        <v>35.107999999999997</v>
      </c>
      <c r="U714" s="62">
        <v>46072.291666666664</v>
      </c>
      <c r="V714" s="63" t="s">
        <v>86</v>
      </c>
      <c r="W714" s="63">
        <v>254.15</v>
      </c>
      <c r="X714" s="63">
        <v>4200</v>
      </c>
      <c r="Y714" s="63" t="s">
        <v>485</v>
      </c>
    </row>
    <row r="715" spans="1:25" hidden="1">
      <c r="A715" s="62">
        <v>46071.738634259258</v>
      </c>
      <c r="B715" s="63">
        <v>641533</v>
      </c>
      <c r="C715" s="63" t="s">
        <v>293</v>
      </c>
      <c r="D715" s="63"/>
      <c r="E715" s="62">
        <v>46072.772939814815</v>
      </c>
      <c r="F715" s="63" t="s">
        <v>219</v>
      </c>
      <c r="G715" s="63">
        <v>1723610201</v>
      </c>
      <c r="H715" s="63">
        <v>26563652020900</v>
      </c>
      <c r="I715" s="63" t="s">
        <v>2239</v>
      </c>
      <c r="J715" s="63" t="s">
        <v>159</v>
      </c>
      <c r="K715" s="63" t="s">
        <v>64</v>
      </c>
      <c r="L715" s="63"/>
      <c r="M715" s="63" t="s">
        <v>2240</v>
      </c>
      <c r="N715" s="63" t="s">
        <v>84</v>
      </c>
      <c r="O715" s="63" t="s">
        <v>72</v>
      </c>
      <c r="P715" s="63" t="s">
        <v>73</v>
      </c>
      <c r="Q715" s="63">
        <v>1</v>
      </c>
      <c r="R715" s="63">
        <v>0</v>
      </c>
      <c r="S715" s="63" t="s">
        <v>70</v>
      </c>
      <c r="T715" s="63">
        <v>35.107999999999997</v>
      </c>
      <c r="U715" s="62">
        <v>46072.291666666664</v>
      </c>
      <c r="V715" s="63" t="s">
        <v>86</v>
      </c>
      <c r="W715" s="63">
        <v>254.15</v>
      </c>
      <c r="X715" s="63">
        <v>4200</v>
      </c>
      <c r="Y715" s="63" t="s">
        <v>485</v>
      </c>
    </row>
    <row r="716" spans="1:25" hidden="1">
      <c r="A716" s="62">
        <v>46071.738634259258</v>
      </c>
      <c r="B716" s="63">
        <v>641533</v>
      </c>
      <c r="C716" s="63" t="s">
        <v>293</v>
      </c>
      <c r="D716" s="63"/>
      <c r="E716" s="62">
        <v>46072.772939814815</v>
      </c>
      <c r="F716" s="63" t="s">
        <v>219</v>
      </c>
      <c r="G716" s="63">
        <v>1725920201</v>
      </c>
      <c r="H716" s="63">
        <v>26563652066811</v>
      </c>
      <c r="I716" s="63" t="s">
        <v>2241</v>
      </c>
      <c r="J716" s="63" t="s">
        <v>159</v>
      </c>
      <c r="K716" s="63" t="s">
        <v>64</v>
      </c>
      <c r="L716" s="63" t="s">
        <v>2242</v>
      </c>
      <c r="M716" s="63" t="s">
        <v>2243</v>
      </c>
      <c r="N716" s="63" t="s">
        <v>2244</v>
      </c>
      <c r="O716" s="63" t="s">
        <v>68</v>
      </c>
      <c r="P716" s="63" t="s">
        <v>69</v>
      </c>
      <c r="Q716" s="63">
        <v>11</v>
      </c>
      <c r="R716" s="63">
        <v>0</v>
      </c>
      <c r="S716" s="63" t="s">
        <v>70</v>
      </c>
      <c r="T716" s="63">
        <v>72.168000000000006</v>
      </c>
      <c r="U716" s="62">
        <v>46072.291666666664</v>
      </c>
      <c r="V716" s="63" t="s">
        <v>86</v>
      </c>
      <c r="W716" s="63">
        <v>817.21</v>
      </c>
      <c r="X716" s="63">
        <v>4200</v>
      </c>
      <c r="Y716" s="63" t="s">
        <v>485</v>
      </c>
    </row>
    <row r="717" spans="1:25" hidden="1">
      <c r="A717" s="62">
        <v>46071.738634259258</v>
      </c>
      <c r="B717" s="63">
        <v>641533</v>
      </c>
      <c r="C717" s="63" t="s">
        <v>293</v>
      </c>
      <c r="D717" s="63"/>
      <c r="E717" s="62">
        <v>46072.772939814815</v>
      </c>
      <c r="F717" s="63" t="s">
        <v>219</v>
      </c>
      <c r="G717" s="63">
        <v>1725920201</v>
      </c>
      <c r="H717" s="63">
        <v>26563652066811</v>
      </c>
      <c r="I717" s="63" t="s">
        <v>2241</v>
      </c>
      <c r="J717" s="63" t="s">
        <v>159</v>
      </c>
      <c r="K717" s="63" t="s">
        <v>64</v>
      </c>
      <c r="L717" s="63" t="s">
        <v>2242</v>
      </c>
      <c r="M717" s="63" t="s">
        <v>2243</v>
      </c>
      <c r="N717" s="63" t="s">
        <v>2244</v>
      </c>
      <c r="O717" s="63" t="s">
        <v>74</v>
      </c>
      <c r="P717" s="63" t="s">
        <v>75</v>
      </c>
      <c r="Q717" s="63">
        <v>1</v>
      </c>
      <c r="R717" s="63">
        <v>0</v>
      </c>
      <c r="S717" s="63" t="s">
        <v>76</v>
      </c>
      <c r="T717" s="63">
        <v>72.168000000000006</v>
      </c>
      <c r="U717" s="62">
        <v>46072.291666666664</v>
      </c>
      <c r="V717" s="63" t="s">
        <v>86</v>
      </c>
      <c r="W717" s="63">
        <v>817.21</v>
      </c>
      <c r="X717" s="63">
        <v>4200</v>
      </c>
      <c r="Y717" s="63" t="s">
        <v>485</v>
      </c>
    </row>
    <row r="718" spans="1:25" hidden="1">
      <c r="A718" s="62">
        <v>46071.738634259258</v>
      </c>
      <c r="B718" s="63">
        <v>641533</v>
      </c>
      <c r="C718" s="63" t="s">
        <v>293</v>
      </c>
      <c r="D718" s="63"/>
      <c r="E718" s="62">
        <v>46072.772939814815</v>
      </c>
      <c r="F718" s="63" t="s">
        <v>219</v>
      </c>
      <c r="G718" s="63">
        <v>1725920201</v>
      </c>
      <c r="H718" s="63">
        <v>26563652066811</v>
      </c>
      <c r="I718" s="63" t="s">
        <v>2241</v>
      </c>
      <c r="J718" s="63" t="s">
        <v>159</v>
      </c>
      <c r="K718" s="63" t="s">
        <v>64</v>
      </c>
      <c r="L718" s="63" t="s">
        <v>2242</v>
      </c>
      <c r="M718" s="63" t="s">
        <v>2243</v>
      </c>
      <c r="N718" s="63" t="s">
        <v>2244</v>
      </c>
      <c r="O718" s="63" t="s">
        <v>161</v>
      </c>
      <c r="P718" s="63" t="s">
        <v>162</v>
      </c>
      <c r="Q718" s="63">
        <v>1</v>
      </c>
      <c r="R718" s="63">
        <v>0</v>
      </c>
      <c r="S718" s="63" t="s">
        <v>76</v>
      </c>
      <c r="T718" s="63">
        <v>72.168000000000006</v>
      </c>
      <c r="U718" s="62">
        <v>46072.291666666664</v>
      </c>
      <c r="V718" s="63" t="s">
        <v>86</v>
      </c>
      <c r="W718" s="63">
        <v>817.21</v>
      </c>
      <c r="X718" s="63">
        <v>4200</v>
      </c>
      <c r="Y718" s="63" t="s">
        <v>485</v>
      </c>
    </row>
    <row r="719" spans="1:25" hidden="1">
      <c r="A719" s="62">
        <v>46071.738634259258</v>
      </c>
      <c r="B719" s="63">
        <v>641533</v>
      </c>
      <c r="C719" s="63" t="s">
        <v>293</v>
      </c>
      <c r="D719" s="63"/>
      <c r="E719" s="62">
        <v>46072.772951388892</v>
      </c>
      <c r="F719" s="63" t="s">
        <v>219</v>
      </c>
      <c r="G719" s="63">
        <v>1723850201</v>
      </c>
      <c r="H719" s="63">
        <v>26563652079638</v>
      </c>
      <c r="I719" s="63" t="s">
        <v>295</v>
      </c>
      <c r="J719" s="63" t="s">
        <v>159</v>
      </c>
      <c r="K719" s="63" t="s">
        <v>64</v>
      </c>
      <c r="L719" s="63" t="s">
        <v>296</v>
      </c>
      <c r="M719" s="63" t="s">
        <v>297</v>
      </c>
      <c r="N719" s="63" t="s">
        <v>84</v>
      </c>
      <c r="O719" s="63" t="s">
        <v>68</v>
      </c>
      <c r="P719" s="63" t="s">
        <v>69</v>
      </c>
      <c r="Q719" s="63">
        <v>14</v>
      </c>
      <c r="R719" s="63">
        <v>0</v>
      </c>
      <c r="S719" s="63" t="s">
        <v>70</v>
      </c>
      <c r="T719" s="63">
        <v>70.251999999999995</v>
      </c>
      <c r="U719" s="62">
        <v>46072.291666666664</v>
      </c>
      <c r="V719" s="63" t="s">
        <v>86</v>
      </c>
      <c r="W719" s="63">
        <v>478.66</v>
      </c>
      <c r="X719" s="63">
        <v>4200</v>
      </c>
      <c r="Y719" s="63" t="s">
        <v>485</v>
      </c>
    </row>
    <row r="720" spans="1:25" hidden="1">
      <c r="A720" s="62">
        <v>46071.738634259258</v>
      </c>
      <c r="B720" s="63">
        <v>641533</v>
      </c>
      <c r="C720" s="63" t="s">
        <v>293</v>
      </c>
      <c r="D720" s="63"/>
      <c r="E720" s="62">
        <v>46072.772951388892</v>
      </c>
      <c r="F720" s="63" t="s">
        <v>219</v>
      </c>
      <c r="G720" s="63">
        <v>1723950201</v>
      </c>
      <c r="H720" s="63">
        <v>26563652049488</v>
      </c>
      <c r="I720" s="63" t="s">
        <v>299</v>
      </c>
      <c r="J720" s="63" t="s">
        <v>159</v>
      </c>
      <c r="K720" s="63" t="s">
        <v>64</v>
      </c>
      <c r="L720" s="63"/>
      <c r="M720" s="63" t="s">
        <v>300</v>
      </c>
      <c r="N720" s="63" t="s">
        <v>84</v>
      </c>
      <c r="O720" s="63" t="s">
        <v>68</v>
      </c>
      <c r="P720" s="63" t="s">
        <v>69</v>
      </c>
      <c r="Q720" s="63">
        <v>13</v>
      </c>
      <c r="R720" s="63">
        <v>0</v>
      </c>
      <c r="S720" s="63" t="s">
        <v>70</v>
      </c>
      <c r="T720" s="63">
        <v>75.233999999999995</v>
      </c>
      <c r="U720" s="62">
        <v>46072.291666666664</v>
      </c>
      <c r="V720" s="63" t="s">
        <v>86</v>
      </c>
      <c r="W720" s="63">
        <v>619.19000000000005</v>
      </c>
      <c r="X720" s="63">
        <v>4200</v>
      </c>
      <c r="Y720" s="63" t="s">
        <v>485</v>
      </c>
    </row>
    <row r="721" spans="1:25" hidden="1">
      <c r="A721" s="62">
        <v>46071.738634259258</v>
      </c>
      <c r="B721" s="63">
        <v>641533</v>
      </c>
      <c r="C721" s="63" t="s">
        <v>293</v>
      </c>
      <c r="D721" s="63"/>
      <c r="E721" s="62">
        <v>46072.772951388892</v>
      </c>
      <c r="F721" s="63" t="s">
        <v>219</v>
      </c>
      <c r="G721" s="63">
        <v>1723950201</v>
      </c>
      <c r="H721" s="63">
        <v>26563652049488</v>
      </c>
      <c r="I721" s="63" t="s">
        <v>299</v>
      </c>
      <c r="J721" s="63" t="s">
        <v>159</v>
      </c>
      <c r="K721" s="63" t="s">
        <v>64</v>
      </c>
      <c r="L721" s="63"/>
      <c r="M721" s="63" t="s">
        <v>300</v>
      </c>
      <c r="N721" s="63" t="s">
        <v>84</v>
      </c>
      <c r="O721" s="63" t="s">
        <v>74</v>
      </c>
      <c r="P721" s="63" t="s">
        <v>75</v>
      </c>
      <c r="Q721" s="63">
        <v>1</v>
      </c>
      <c r="R721" s="63">
        <v>0</v>
      </c>
      <c r="S721" s="63" t="s">
        <v>76</v>
      </c>
      <c r="T721" s="63">
        <v>75.233999999999995</v>
      </c>
      <c r="U721" s="62">
        <v>46072.291666666664</v>
      </c>
      <c r="V721" s="63" t="s">
        <v>86</v>
      </c>
      <c r="W721" s="63">
        <v>619.19000000000005</v>
      </c>
      <c r="X721" s="63">
        <v>4200</v>
      </c>
      <c r="Y721" s="63" t="s">
        <v>485</v>
      </c>
    </row>
    <row r="722" spans="1:25" hidden="1">
      <c r="A722" s="62">
        <v>46071.738634259258</v>
      </c>
      <c r="B722" s="63">
        <v>641534</v>
      </c>
      <c r="C722" s="63" t="s">
        <v>282</v>
      </c>
      <c r="D722" s="63"/>
      <c r="E722" s="62">
        <v>46072.772858796299</v>
      </c>
      <c r="F722" s="63" t="s">
        <v>557</v>
      </c>
      <c r="G722" s="63">
        <v>1720610201</v>
      </c>
      <c r="H722" s="63">
        <v>47508411294206</v>
      </c>
      <c r="I722" s="63" t="s">
        <v>2739</v>
      </c>
      <c r="J722" s="63" t="s">
        <v>182</v>
      </c>
      <c r="K722" s="63" t="s">
        <v>64</v>
      </c>
      <c r="L722" s="63" t="s">
        <v>2740</v>
      </c>
      <c r="M722" s="63" t="s">
        <v>287</v>
      </c>
      <c r="N722" s="63" t="s">
        <v>84</v>
      </c>
      <c r="O722" s="63" t="s">
        <v>68</v>
      </c>
      <c r="P722" s="63" t="s">
        <v>69</v>
      </c>
      <c r="Q722" s="63">
        <v>5</v>
      </c>
      <c r="R722" s="63">
        <v>0</v>
      </c>
      <c r="S722" s="63" t="s">
        <v>70</v>
      </c>
      <c r="T722" s="63">
        <v>50.09</v>
      </c>
      <c r="U722" s="62">
        <v>46072.291666666664</v>
      </c>
      <c r="V722" s="63" t="s">
        <v>86</v>
      </c>
      <c r="W722" s="63">
        <v>378.45</v>
      </c>
      <c r="X722" s="63">
        <v>4200</v>
      </c>
      <c r="Y722" s="63" t="s">
        <v>518</v>
      </c>
    </row>
    <row r="723" spans="1:25" hidden="1">
      <c r="A723" s="62">
        <v>46071.738634259258</v>
      </c>
      <c r="B723" s="63">
        <v>641534</v>
      </c>
      <c r="C723" s="63" t="s">
        <v>282</v>
      </c>
      <c r="D723" s="63"/>
      <c r="E723" s="62">
        <v>46072.772858796299</v>
      </c>
      <c r="F723" s="63" t="s">
        <v>557</v>
      </c>
      <c r="G723" s="63">
        <v>1720610201</v>
      </c>
      <c r="H723" s="63">
        <v>47508411294206</v>
      </c>
      <c r="I723" s="63" t="s">
        <v>2739</v>
      </c>
      <c r="J723" s="63" t="s">
        <v>182</v>
      </c>
      <c r="K723" s="63" t="s">
        <v>64</v>
      </c>
      <c r="L723" s="63" t="s">
        <v>2740</v>
      </c>
      <c r="M723" s="63" t="s">
        <v>287</v>
      </c>
      <c r="N723" s="63" t="s">
        <v>84</v>
      </c>
      <c r="O723" s="63" t="s">
        <v>91</v>
      </c>
      <c r="P723" s="63" t="s">
        <v>92</v>
      </c>
      <c r="Q723" s="63">
        <v>1</v>
      </c>
      <c r="R723" s="63">
        <v>0</v>
      </c>
      <c r="S723" s="63" t="s">
        <v>70</v>
      </c>
      <c r="T723" s="63">
        <v>50.09</v>
      </c>
      <c r="U723" s="62">
        <v>46072.291666666664</v>
      </c>
      <c r="V723" s="63" t="s">
        <v>86</v>
      </c>
      <c r="W723" s="63">
        <v>378.45</v>
      </c>
      <c r="X723" s="63">
        <v>4200</v>
      </c>
      <c r="Y723" s="63" t="s">
        <v>518</v>
      </c>
    </row>
    <row r="724" spans="1:25" hidden="1">
      <c r="A724" s="62">
        <v>46071.738634259258</v>
      </c>
      <c r="B724" s="63">
        <v>641534</v>
      </c>
      <c r="C724" s="63" t="s">
        <v>282</v>
      </c>
      <c r="D724" s="63"/>
      <c r="E724" s="62">
        <v>46072.772858796299</v>
      </c>
      <c r="F724" s="63" t="s">
        <v>557</v>
      </c>
      <c r="G724" s="63">
        <v>1720610201</v>
      </c>
      <c r="H724" s="63">
        <v>47508411294206</v>
      </c>
      <c r="I724" s="63" t="s">
        <v>2739</v>
      </c>
      <c r="J724" s="63" t="s">
        <v>182</v>
      </c>
      <c r="K724" s="63" t="s">
        <v>64</v>
      </c>
      <c r="L724" s="63" t="s">
        <v>2740</v>
      </c>
      <c r="M724" s="63" t="s">
        <v>287</v>
      </c>
      <c r="N724" s="63" t="s">
        <v>84</v>
      </c>
      <c r="O724" s="63" t="s">
        <v>141</v>
      </c>
      <c r="P724" s="63" t="s">
        <v>142</v>
      </c>
      <c r="Q724" s="63">
        <v>2</v>
      </c>
      <c r="R724" s="63">
        <v>0</v>
      </c>
      <c r="S724" s="63" t="s">
        <v>70</v>
      </c>
      <c r="T724" s="63">
        <v>50.09</v>
      </c>
      <c r="U724" s="62">
        <v>46072.291666666664</v>
      </c>
      <c r="V724" s="63" t="s">
        <v>86</v>
      </c>
      <c r="W724" s="63">
        <v>378.45</v>
      </c>
      <c r="X724" s="63">
        <v>4200</v>
      </c>
      <c r="Y724" s="63" t="s">
        <v>518</v>
      </c>
    </row>
    <row r="725" spans="1:25" hidden="1">
      <c r="A725" s="62">
        <v>46071.738634259258</v>
      </c>
      <c r="B725" s="63">
        <v>641534</v>
      </c>
      <c r="C725" s="63" t="s">
        <v>282</v>
      </c>
      <c r="D725" s="63"/>
      <c r="E725" s="62">
        <v>46072.772858796299</v>
      </c>
      <c r="F725" s="63" t="s">
        <v>557</v>
      </c>
      <c r="G725" s="63">
        <v>1720610201</v>
      </c>
      <c r="H725" s="63">
        <v>47508411294206</v>
      </c>
      <c r="I725" s="63" t="s">
        <v>2739</v>
      </c>
      <c r="J725" s="63" t="s">
        <v>182</v>
      </c>
      <c r="K725" s="63" t="s">
        <v>64</v>
      </c>
      <c r="L725" s="63" t="s">
        <v>2740</v>
      </c>
      <c r="M725" s="63" t="s">
        <v>287</v>
      </c>
      <c r="N725" s="63" t="s">
        <v>84</v>
      </c>
      <c r="O725" s="63" t="s">
        <v>93</v>
      </c>
      <c r="P725" s="63" t="s">
        <v>94</v>
      </c>
      <c r="Q725" s="63">
        <v>2</v>
      </c>
      <c r="R725" s="63">
        <v>0</v>
      </c>
      <c r="S725" s="63" t="s">
        <v>70</v>
      </c>
      <c r="T725" s="63">
        <v>50.09</v>
      </c>
      <c r="U725" s="62">
        <v>46072.291666666664</v>
      </c>
      <c r="V725" s="63" t="s">
        <v>86</v>
      </c>
      <c r="W725" s="63">
        <v>378.45</v>
      </c>
      <c r="X725" s="63">
        <v>4200</v>
      </c>
      <c r="Y725" s="63" t="s">
        <v>518</v>
      </c>
    </row>
    <row r="726" spans="1:25" hidden="1">
      <c r="A726" s="62">
        <v>46071.738634259258</v>
      </c>
      <c r="B726" s="63">
        <v>641534</v>
      </c>
      <c r="C726" s="63" t="s">
        <v>282</v>
      </c>
      <c r="D726" s="63"/>
      <c r="E726" s="62">
        <v>46072.772858796299</v>
      </c>
      <c r="F726" s="63" t="s">
        <v>557</v>
      </c>
      <c r="G726" s="63">
        <v>1720620201</v>
      </c>
      <c r="H726" s="63">
        <v>47508411294206</v>
      </c>
      <c r="I726" s="63" t="s">
        <v>2739</v>
      </c>
      <c r="J726" s="63" t="s">
        <v>182</v>
      </c>
      <c r="K726" s="63" t="s">
        <v>64</v>
      </c>
      <c r="L726" s="63" t="s">
        <v>2740</v>
      </c>
      <c r="M726" s="63" t="s">
        <v>287</v>
      </c>
      <c r="N726" s="63" t="s">
        <v>84</v>
      </c>
      <c r="O726" s="63" t="s">
        <v>107</v>
      </c>
      <c r="P726" s="63" t="s">
        <v>108</v>
      </c>
      <c r="Q726" s="63">
        <v>1</v>
      </c>
      <c r="R726" s="63">
        <v>0</v>
      </c>
      <c r="S726" s="63" t="s">
        <v>76</v>
      </c>
      <c r="T726" s="63">
        <v>10.63</v>
      </c>
      <c r="U726" s="62">
        <v>46072.291666666664</v>
      </c>
      <c r="V726" s="63" t="s">
        <v>86</v>
      </c>
      <c r="W726" s="63">
        <v>79</v>
      </c>
      <c r="X726" s="63">
        <v>4200</v>
      </c>
      <c r="Y726" s="63" t="s">
        <v>518</v>
      </c>
    </row>
    <row r="727" spans="1:25">
      <c r="A727" s="62">
        <v>46071.738634259258</v>
      </c>
      <c r="B727" s="63">
        <v>641534</v>
      </c>
      <c r="C727" s="63" t="s">
        <v>282</v>
      </c>
      <c r="D727" s="63"/>
      <c r="E727" s="62">
        <v>46072.772858796299</v>
      </c>
      <c r="F727" s="63" t="s">
        <v>557</v>
      </c>
      <c r="G727" s="63">
        <v>1720630201</v>
      </c>
      <c r="H727" s="63">
        <v>47508411294206</v>
      </c>
      <c r="I727" s="63" t="s">
        <v>2739</v>
      </c>
      <c r="J727" s="63" t="s">
        <v>182</v>
      </c>
      <c r="K727" s="63" t="s">
        <v>64</v>
      </c>
      <c r="L727" s="63" t="s">
        <v>2740</v>
      </c>
      <c r="M727" s="63" t="s">
        <v>287</v>
      </c>
      <c r="N727" s="63" t="s">
        <v>84</v>
      </c>
      <c r="O727" s="63" t="s">
        <v>109</v>
      </c>
      <c r="P727" s="63" t="s">
        <v>110</v>
      </c>
      <c r="Q727" s="63">
        <v>15</v>
      </c>
      <c r="R727" s="63">
        <v>0</v>
      </c>
      <c r="S727" s="63" t="s">
        <v>70</v>
      </c>
      <c r="T727" s="63">
        <v>75</v>
      </c>
      <c r="U727" s="62">
        <v>46072.291666666664</v>
      </c>
      <c r="V727" s="63" t="s">
        <v>86</v>
      </c>
      <c r="W727" s="63">
        <v>541.04999999999995</v>
      </c>
      <c r="X727" s="63">
        <v>4200</v>
      </c>
      <c r="Y727" s="63" t="s">
        <v>518</v>
      </c>
    </row>
    <row r="728" spans="1:25" hidden="1">
      <c r="A728" s="62">
        <v>46071.738634259258</v>
      </c>
      <c r="B728" s="63">
        <v>641534</v>
      </c>
      <c r="C728" s="63" t="s">
        <v>282</v>
      </c>
      <c r="D728" s="63"/>
      <c r="E728" s="62">
        <v>46072.772858796299</v>
      </c>
      <c r="F728" s="63" t="s">
        <v>557</v>
      </c>
      <c r="G728" s="63">
        <v>1720660201</v>
      </c>
      <c r="H728" s="63">
        <v>47508411288664</v>
      </c>
      <c r="I728" s="63" t="s">
        <v>2741</v>
      </c>
      <c r="J728" s="63" t="s">
        <v>182</v>
      </c>
      <c r="K728" s="63" t="s">
        <v>64</v>
      </c>
      <c r="L728" s="63" t="s">
        <v>2742</v>
      </c>
      <c r="M728" s="63" t="s">
        <v>2743</v>
      </c>
      <c r="N728" s="63" t="s">
        <v>84</v>
      </c>
      <c r="O728" s="63" t="s">
        <v>68</v>
      </c>
      <c r="P728" s="63" t="s">
        <v>69</v>
      </c>
      <c r="Q728" s="63">
        <v>6</v>
      </c>
      <c r="R728" s="63">
        <v>0</v>
      </c>
      <c r="S728" s="63" t="s">
        <v>70</v>
      </c>
      <c r="T728" s="63">
        <v>55.107999999999997</v>
      </c>
      <c r="U728" s="62">
        <v>46072.291666666664</v>
      </c>
      <c r="V728" s="63" t="s">
        <v>86</v>
      </c>
      <c r="W728" s="63">
        <v>414.52</v>
      </c>
      <c r="X728" s="63">
        <v>4200</v>
      </c>
      <c r="Y728" s="63" t="s">
        <v>518</v>
      </c>
    </row>
    <row r="729" spans="1:25" hidden="1">
      <c r="A729" s="62">
        <v>46071.738634259258</v>
      </c>
      <c r="B729" s="63">
        <v>641534</v>
      </c>
      <c r="C729" s="63" t="s">
        <v>282</v>
      </c>
      <c r="D729" s="63"/>
      <c r="E729" s="62">
        <v>46072.772858796299</v>
      </c>
      <c r="F729" s="63" t="s">
        <v>557</v>
      </c>
      <c r="G729" s="63">
        <v>1720660201</v>
      </c>
      <c r="H729" s="63">
        <v>47508411288664</v>
      </c>
      <c r="I729" s="63" t="s">
        <v>2741</v>
      </c>
      <c r="J729" s="63" t="s">
        <v>182</v>
      </c>
      <c r="K729" s="63" t="s">
        <v>64</v>
      </c>
      <c r="L729" s="63" t="s">
        <v>2742</v>
      </c>
      <c r="M729" s="63" t="s">
        <v>2743</v>
      </c>
      <c r="N729" s="63" t="s">
        <v>84</v>
      </c>
      <c r="O729" s="63" t="s">
        <v>91</v>
      </c>
      <c r="P729" s="63" t="s">
        <v>92</v>
      </c>
      <c r="Q729" s="63">
        <v>2</v>
      </c>
      <c r="R729" s="63">
        <v>0</v>
      </c>
      <c r="S729" s="63" t="s">
        <v>70</v>
      </c>
      <c r="T729" s="63">
        <v>55.107999999999997</v>
      </c>
      <c r="U729" s="62">
        <v>46072.291666666664</v>
      </c>
      <c r="V729" s="63" t="s">
        <v>86</v>
      </c>
      <c r="W729" s="63">
        <v>414.52</v>
      </c>
      <c r="X729" s="63">
        <v>4200</v>
      </c>
      <c r="Y729" s="63" t="s">
        <v>518</v>
      </c>
    </row>
    <row r="730" spans="1:25" hidden="1">
      <c r="A730" s="62">
        <v>46071.738634259258</v>
      </c>
      <c r="B730" s="63">
        <v>641534</v>
      </c>
      <c r="C730" s="63" t="s">
        <v>282</v>
      </c>
      <c r="D730" s="63"/>
      <c r="E730" s="62">
        <v>46072.772858796299</v>
      </c>
      <c r="F730" s="63" t="s">
        <v>557</v>
      </c>
      <c r="G730" s="63">
        <v>1720660201</v>
      </c>
      <c r="H730" s="63">
        <v>47508411288664</v>
      </c>
      <c r="I730" s="63" t="s">
        <v>2741</v>
      </c>
      <c r="J730" s="63" t="s">
        <v>182</v>
      </c>
      <c r="K730" s="63" t="s">
        <v>64</v>
      </c>
      <c r="L730" s="63" t="s">
        <v>2742</v>
      </c>
      <c r="M730" s="63" t="s">
        <v>2743</v>
      </c>
      <c r="N730" s="63" t="s">
        <v>84</v>
      </c>
      <c r="O730" s="63" t="s">
        <v>141</v>
      </c>
      <c r="P730" s="63" t="s">
        <v>142</v>
      </c>
      <c r="Q730" s="63">
        <v>2</v>
      </c>
      <c r="R730" s="63">
        <v>0</v>
      </c>
      <c r="S730" s="63" t="s">
        <v>70</v>
      </c>
      <c r="T730" s="63">
        <v>55.107999999999997</v>
      </c>
      <c r="U730" s="62">
        <v>46072.291666666664</v>
      </c>
      <c r="V730" s="63" t="s">
        <v>86</v>
      </c>
      <c r="W730" s="63">
        <v>414.52</v>
      </c>
      <c r="X730" s="63">
        <v>4200</v>
      </c>
      <c r="Y730" s="63" t="s">
        <v>518</v>
      </c>
    </row>
    <row r="731" spans="1:25" hidden="1">
      <c r="A731" s="62">
        <v>46071.738634259258</v>
      </c>
      <c r="B731" s="63">
        <v>641534</v>
      </c>
      <c r="C731" s="63" t="s">
        <v>282</v>
      </c>
      <c r="D731" s="63"/>
      <c r="E731" s="62">
        <v>46072.772858796299</v>
      </c>
      <c r="F731" s="63" t="s">
        <v>557</v>
      </c>
      <c r="G731" s="63">
        <v>1720660201</v>
      </c>
      <c r="H731" s="63">
        <v>47508411288664</v>
      </c>
      <c r="I731" s="63" t="s">
        <v>2741</v>
      </c>
      <c r="J731" s="63" t="s">
        <v>182</v>
      </c>
      <c r="K731" s="63" t="s">
        <v>64</v>
      </c>
      <c r="L731" s="63" t="s">
        <v>2742</v>
      </c>
      <c r="M731" s="63" t="s">
        <v>2743</v>
      </c>
      <c r="N731" s="63" t="s">
        <v>84</v>
      </c>
      <c r="O731" s="63" t="s">
        <v>93</v>
      </c>
      <c r="P731" s="63" t="s">
        <v>94</v>
      </c>
      <c r="Q731" s="63">
        <v>1</v>
      </c>
      <c r="R731" s="63">
        <v>0</v>
      </c>
      <c r="S731" s="63" t="s">
        <v>70</v>
      </c>
      <c r="T731" s="63">
        <v>55.107999999999997</v>
      </c>
      <c r="U731" s="62">
        <v>46072.291666666664</v>
      </c>
      <c r="V731" s="63" t="s">
        <v>86</v>
      </c>
      <c r="W731" s="63">
        <v>414.52</v>
      </c>
      <c r="X731" s="63">
        <v>4200</v>
      </c>
      <c r="Y731" s="63" t="s">
        <v>518</v>
      </c>
    </row>
    <row r="732" spans="1:25">
      <c r="A732" s="62">
        <v>46071.738634259258</v>
      </c>
      <c r="B732" s="63">
        <v>641534</v>
      </c>
      <c r="C732" s="63" t="s">
        <v>282</v>
      </c>
      <c r="D732" s="63"/>
      <c r="E732" s="62">
        <v>46072.772858796299</v>
      </c>
      <c r="F732" s="63" t="s">
        <v>557</v>
      </c>
      <c r="G732" s="63">
        <v>1720670201</v>
      </c>
      <c r="H732" s="63">
        <v>47508411288664</v>
      </c>
      <c r="I732" s="63" t="s">
        <v>2741</v>
      </c>
      <c r="J732" s="63" t="s">
        <v>182</v>
      </c>
      <c r="K732" s="63" t="s">
        <v>64</v>
      </c>
      <c r="L732" s="63" t="s">
        <v>2742</v>
      </c>
      <c r="M732" s="63" t="s">
        <v>2743</v>
      </c>
      <c r="N732" s="63" t="s">
        <v>84</v>
      </c>
      <c r="O732" s="63" t="s">
        <v>109</v>
      </c>
      <c r="P732" s="63" t="s">
        <v>110</v>
      </c>
      <c r="Q732" s="63">
        <v>24</v>
      </c>
      <c r="R732" s="63">
        <v>0</v>
      </c>
      <c r="S732" s="63" t="s">
        <v>70</v>
      </c>
      <c r="T732" s="63">
        <v>120</v>
      </c>
      <c r="U732" s="62">
        <v>46072.291666666664</v>
      </c>
      <c r="V732" s="63" t="s">
        <v>86</v>
      </c>
      <c r="W732" s="63">
        <v>865.68</v>
      </c>
      <c r="X732" s="63">
        <v>4200</v>
      </c>
      <c r="Y732" s="63" t="s">
        <v>518</v>
      </c>
    </row>
    <row r="733" spans="1:25" hidden="1">
      <c r="A733" s="62">
        <v>46071.738634259258</v>
      </c>
      <c r="B733" s="63">
        <v>641534</v>
      </c>
      <c r="C733" s="63" t="s">
        <v>282</v>
      </c>
      <c r="D733" s="63"/>
      <c r="E733" s="62">
        <v>46072.772858796299</v>
      </c>
      <c r="F733" s="63" t="s">
        <v>557</v>
      </c>
      <c r="G733" s="63">
        <v>1720680201</v>
      </c>
      <c r="H733" s="63">
        <v>47508411288664</v>
      </c>
      <c r="I733" s="63" t="s">
        <v>2741</v>
      </c>
      <c r="J733" s="63" t="s">
        <v>182</v>
      </c>
      <c r="K733" s="63" t="s">
        <v>64</v>
      </c>
      <c r="L733" s="63" t="s">
        <v>2742</v>
      </c>
      <c r="M733" s="63" t="s">
        <v>2743</v>
      </c>
      <c r="N733" s="63" t="s">
        <v>84</v>
      </c>
      <c r="O733" s="63" t="s">
        <v>107</v>
      </c>
      <c r="P733" s="63" t="s">
        <v>108</v>
      </c>
      <c r="Q733" s="63">
        <v>2</v>
      </c>
      <c r="R733" s="63">
        <v>0</v>
      </c>
      <c r="S733" s="63" t="s">
        <v>76</v>
      </c>
      <c r="T733" s="63">
        <v>21.26</v>
      </c>
      <c r="U733" s="62">
        <v>46072.291666666664</v>
      </c>
      <c r="V733" s="63" t="s">
        <v>86</v>
      </c>
      <c r="W733" s="63">
        <v>158</v>
      </c>
      <c r="X733" s="63">
        <v>4200</v>
      </c>
      <c r="Y733" s="63" t="s">
        <v>518</v>
      </c>
    </row>
    <row r="734" spans="1:25" hidden="1">
      <c r="A734" s="62">
        <v>46071.738634259258</v>
      </c>
      <c r="B734" s="63">
        <v>641534</v>
      </c>
      <c r="C734" s="63" t="s">
        <v>282</v>
      </c>
      <c r="D734" s="63"/>
      <c r="E734" s="62">
        <v>46072.772858796299</v>
      </c>
      <c r="F734" s="63" t="s">
        <v>557</v>
      </c>
      <c r="G734" s="63">
        <v>1724920201</v>
      </c>
      <c r="H734" s="63">
        <v>26563652046110</v>
      </c>
      <c r="I734" s="63" t="s">
        <v>2744</v>
      </c>
      <c r="J734" s="63" t="s">
        <v>159</v>
      </c>
      <c r="K734" s="63" t="s">
        <v>64</v>
      </c>
      <c r="L734" s="63"/>
      <c r="M734" s="63" t="s">
        <v>2743</v>
      </c>
      <c r="N734" s="63" t="s">
        <v>84</v>
      </c>
      <c r="O734" s="63" t="s">
        <v>68</v>
      </c>
      <c r="P734" s="63" t="s">
        <v>69</v>
      </c>
      <c r="Q734" s="63">
        <v>9</v>
      </c>
      <c r="R734" s="63">
        <v>0</v>
      </c>
      <c r="S734" s="63" t="s">
        <v>70</v>
      </c>
      <c r="T734" s="63">
        <v>52.552</v>
      </c>
      <c r="U734" s="62">
        <v>46072.291666666664</v>
      </c>
      <c r="V734" s="63" t="s">
        <v>86</v>
      </c>
      <c r="W734" s="63">
        <v>650.71</v>
      </c>
      <c r="X734" s="63">
        <v>4200</v>
      </c>
      <c r="Y734" s="63" t="s">
        <v>518</v>
      </c>
    </row>
    <row r="735" spans="1:25" hidden="1">
      <c r="A735" s="62">
        <v>46071.738634259258</v>
      </c>
      <c r="B735" s="63">
        <v>641534</v>
      </c>
      <c r="C735" s="63" t="s">
        <v>282</v>
      </c>
      <c r="D735" s="63"/>
      <c r="E735" s="62">
        <v>46072.772858796299</v>
      </c>
      <c r="F735" s="63" t="s">
        <v>557</v>
      </c>
      <c r="G735" s="63">
        <v>1724920201</v>
      </c>
      <c r="H735" s="63">
        <v>26563652046110</v>
      </c>
      <c r="I735" s="63" t="s">
        <v>2744</v>
      </c>
      <c r="J735" s="63" t="s">
        <v>159</v>
      </c>
      <c r="K735" s="63" t="s">
        <v>64</v>
      </c>
      <c r="L735" s="63"/>
      <c r="M735" s="63" t="s">
        <v>2743</v>
      </c>
      <c r="N735" s="63" t="s">
        <v>84</v>
      </c>
      <c r="O735" s="63" t="s">
        <v>163</v>
      </c>
      <c r="P735" s="63" t="s">
        <v>164</v>
      </c>
      <c r="Q735" s="63">
        <v>1</v>
      </c>
      <c r="R735" s="63">
        <v>0</v>
      </c>
      <c r="S735" s="63" t="s">
        <v>76</v>
      </c>
      <c r="T735" s="63">
        <v>52.552</v>
      </c>
      <c r="U735" s="62">
        <v>46072.291666666664</v>
      </c>
      <c r="V735" s="63" t="s">
        <v>86</v>
      </c>
      <c r="W735" s="63">
        <v>650.71</v>
      </c>
      <c r="X735" s="63">
        <v>4200</v>
      </c>
      <c r="Y735" s="63" t="s">
        <v>518</v>
      </c>
    </row>
    <row r="736" spans="1:25" hidden="1">
      <c r="A736" s="62">
        <v>46071.738634259258</v>
      </c>
      <c r="B736" s="63">
        <v>641534</v>
      </c>
      <c r="C736" s="63" t="s">
        <v>282</v>
      </c>
      <c r="D736" s="63"/>
      <c r="E736" s="62">
        <v>46072.772858796299</v>
      </c>
      <c r="F736" s="63" t="s">
        <v>557</v>
      </c>
      <c r="G736" s="63">
        <v>1724920201</v>
      </c>
      <c r="H736" s="63">
        <v>26563652046110</v>
      </c>
      <c r="I736" s="63" t="s">
        <v>2744</v>
      </c>
      <c r="J736" s="63" t="s">
        <v>159</v>
      </c>
      <c r="K736" s="63" t="s">
        <v>64</v>
      </c>
      <c r="L736" s="63"/>
      <c r="M736" s="63" t="s">
        <v>2743</v>
      </c>
      <c r="N736" s="63" t="s">
        <v>84</v>
      </c>
      <c r="O736" s="63" t="s">
        <v>175</v>
      </c>
      <c r="P736" s="63" t="s">
        <v>176</v>
      </c>
      <c r="Q736" s="63">
        <v>1</v>
      </c>
      <c r="R736" s="63">
        <v>0</v>
      </c>
      <c r="S736" s="63" t="s">
        <v>76</v>
      </c>
      <c r="T736" s="63">
        <v>52.552</v>
      </c>
      <c r="U736" s="62">
        <v>46072.291666666664</v>
      </c>
      <c r="V736" s="63" t="s">
        <v>86</v>
      </c>
      <c r="W736" s="63">
        <v>650.71</v>
      </c>
      <c r="X736" s="63">
        <v>4200</v>
      </c>
      <c r="Y736" s="63" t="s">
        <v>518</v>
      </c>
    </row>
    <row r="737" spans="1:25">
      <c r="A737" s="62">
        <v>46071.738634259258</v>
      </c>
      <c r="B737" s="63">
        <v>641534</v>
      </c>
      <c r="C737" s="63" t="s">
        <v>282</v>
      </c>
      <c r="D737" s="63"/>
      <c r="E737" s="62">
        <v>46072.772870370369</v>
      </c>
      <c r="F737" s="63" t="s">
        <v>557</v>
      </c>
      <c r="G737" s="63">
        <v>1720840201</v>
      </c>
      <c r="H737" s="63">
        <v>47508411269520</v>
      </c>
      <c r="I737" s="63" t="s">
        <v>2745</v>
      </c>
      <c r="J737" s="63" t="s">
        <v>182</v>
      </c>
      <c r="K737" s="63" t="s">
        <v>64</v>
      </c>
      <c r="L737" s="63" t="s">
        <v>2746</v>
      </c>
      <c r="M737" s="63" t="s">
        <v>2747</v>
      </c>
      <c r="N737" s="63" t="s">
        <v>84</v>
      </c>
      <c r="O737" s="63" t="s">
        <v>109</v>
      </c>
      <c r="P737" s="63" t="s">
        <v>110</v>
      </c>
      <c r="Q737" s="63">
        <v>20</v>
      </c>
      <c r="R737" s="63">
        <v>0</v>
      </c>
      <c r="S737" s="63" t="s">
        <v>70</v>
      </c>
      <c r="T737" s="63">
        <v>100</v>
      </c>
      <c r="U737" s="62">
        <v>46072.291666666664</v>
      </c>
      <c r="V737" s="63" t="s">
        <v>86</v>
      </c>
      <c r="W737" s="63">
        <v>721.4</v>
      </c>
      <c r="X737" s="63">
        <v>4200</v>
      </c>
      <c r="Y737" s="63" t="s">
        <v>518</v>
      </c>
    </row>
    <row r="738" spans="1:25" hidden="1">
      <c r="A738" s="62">
        <v>46071.738634259258</v>
      </c>
      <c r="B738" s="63">
        <v>641534</v>
      </c>
      <c r="C738" s="63" t="s">
        <v>282</v>
      </c>
      <c r="D738" s="63"/>
      <c r="E738" s="62">
        <v>46072.772870370369</v>
      </c>
      <c r="F738" s="63" t="s">
        <v>557</v>
      </c>
      <c r="G738" s="63">
        <v>1720850201</v>
      </c>
      <c r="H738" s="63">
        <v>47508411269520</v>
      </c>
      <c r="I738" s="63" t="s">
        <v>2745</v>
      </c>
      <c r="J738" s="63" t="s">
        <v>182</v>
      </c>
      <c r="K738" s="63" t="s">
        <v>64</v>
      </c>
      <c r="L738" s="63" t="s">
        <v>2746</v>
      </c>
      <c r="M738" s="63" t="s">
        <v>2747</v>
      </c>
      <c r="N738" s="63" t="s">
        <v>84</v>
      </c>
      <c r="O738" s="63" t="s">
        <v>68</v>
      </c>
      <c r="P738" s="63" t="s">
        <v>69</v>
      </c>
      <c r="Q738" s="63">
        <v>18</v>
      </c>
      <c r="R738" s="63">
        <v>0</v>
      </c>
      <c r="S738" s="63" t="s">
        <v>70</v>
      </c>
      <c r="T738" s="63">
        <v>110.324</v>
      </c>
      <c r="U738" s="62">
        <v>46072.291666666664</v>
      </c>
      <c r="V738" s="63" t="s">
        <v>86</v>
      </c>
      <c r="W738" s="63">
        <v>807.74</v>
      </c>
      <c r="X738" s="63">
        <v>4200</v>
      </c>
      <c r="Y738" s="63" t="s">
        <v>518</v>
      </c>
    </row>
    <row r="739" spans="1:25" hidden="1">
      <c r="A739" s="62">
        <v>46071.738634259258</v>
      </c>
      <c r="B739" s="63">
        <v>641534</v>
      </c>
      <c r="C739" s="63" t="s">
        <v>282</v>
      </c>
      <c r="D739" s="63"/>
      <c r="E739" s="62">
        <v>46072.772870370369</v>
      </c>
      <c r="F739" s="63" t="s">
        <v>557</v>
      </c>
      <c r="G739" s="63">
        <v>1720850201</v>
      </c>
      <c r="H739" s="63">
        <v>47508411269520</v>
      </c>
      <c r="I739" s="63" t="s">
        <v>2745</v>
      </c>
      <c r="J739" s="63" t="s">
        <v>182</v>
      </c>
      <c r="K739" s="63" t="s">
        <v>64</v>
      </c>
      <c r="L739" s="63" t="s">
        <v>2746</v>
      </c>
      <c r="M739" s="63" t="s">
        <v>2747</v>
      </c>
      <c r="N739" s="63" t="s">
        <v>84</v>
      </c>
      <c r="O739" s="63" t="s">
        <v>91</v>
      </c>
      <c r="P739" s="63" t="s">
        <v>92</v>
      </c>
      <c r="Q739" s="63">
        <v>1</v>
      </c>
      <c r="R739" s="63">
        <v>0</v>
      </c>
      <c r="S739" s="63" t="s">
        <v>70</v>
      </c>
      <c r="T739" s="63">
        <v>110.324</v>
      </c>
      <c r="U739" s="62">
        <v>46072.291666666664</v>
      </c>
      <c r="V739" s="63" t="s">
        <v>86</v>
      </c>
      <c r="W739" s="63">
        <v>807.74</v>
      </c>
      <c r="X739" s="63">
        <v>4200</v>
      </c>
      <c r="Y739" s="63" t="s">
        <v>518</v>
      </c>
    </row>
    <row r="740" spans="1:25" hidden="1">
      <c r="A740" s="62">
        <v>46071.738634259258</v>
      </c>
      <c r="B740" s="63">
        <v>641534</v>
      </c>
      <c r="C740" s="63" t="s">
        <v>282</v>
      </c>
      <c r="D740" s="63"/>
      <c r="E740" s="62">
        <v>46072.772870370369</v>
      </c>
      <c r="F740" s="63" t="s">
        <v>557</v>
      </c>
      <c r="G740" s="63">
        <v>1720850201</v>
      </c>
      <c r="H740" s="63">
        <v>47508411269520</v>
      </c>
      <c r="I740" s="63" t="s">
        <v>2745</v>
      </c>
      <c r="J740" s="63" t="s">
        <v>182</v>
      </c>
      <c r="K740" s="63" t="s">
        <v>64</v>
      </c>
      <c r="L740" s="63" t="s">
        <v>2746</v>
      </c>
      <c r="M740" s="63" t="s">
        <v>2747</v>
      </c>
      <c r="N740" s="63" t="s">
        <v>84</v>
      </c>
      <c r="O740" s="63" t="s">
        <v>141</v>
      </c>
      <c r="P740" s="63" t="s">
        <v>142</v>
      </c>
      <c r="Q740" s="63">
        <v>1</v>
      </c>
      <c r="R740" s="63">
        <v>0</v>
      </c>
      <c r="S740" s="63" t="s">
        <v>70</v>
      </c>
      <c r="T740" s="63">
        <v>110.324</v>
      </c>
      <c r="U740" s="62">
        <v>46072.291666666664</v>
      </c>
      <c r="V740" s="63" t="s">
        <v>86</v>
      </c>
      <c r="W740" s="63">
        <v>807.74</v>
      </c>
      <c r="X740" s="63">
        <v>4200</v>
      </c>
      <c r="Y740" s="63" t="s">
        <v>518</v>
      </c>
    </row>
    <row r="741" spans="1:25" hidden="1">
      <c r="A741" s="62">
        <v>46071.738634259258</v>
      </c>
      <c r="B741" s="63">
        <v>641534</v>
      </c>
      <c r="C741" s="63" t="s">
        <v>282</v>
      </c>
      <c r="D741" s="63"/>
      <c r="E741" s="62">
        <v>46072.772870370369</v>
      </c>
      <c r="F741" s="63" t="s">
        <v>557</v>
      </c>
      <c r="G741" s="63">
        <v>1720850201</v>
      </c>
      <c r="H741" s="63">
        <v>47508411269520</v>
      </c>
      <c r="I741" s="63" t="s">
        <v>2745</v>
      </c>
      <c r="J741" s="63" t="s">
        <v>182</v>
      </c>
      <c r="K741" s="63" t="s">
        <v>64</v>
      </c>
      <c r="L741" s="63" t="s">
        <v>2746</v>
      </c>
      <c r="M741" s="63" t="s">
        <v>2747</v>
      </c>
      <c r="N741" s="63" t="s">
        <v>84</v>
      </c>
      <c r="O741" s="63" t="s">
        <v>93</v>
      </c>
      <c r="P741" s="63" t="s">
        <v>94</v>
      </c>
      <c r="Q741" s="63">
        <v>2</v>
      </c>
      <c r="R741" s="63">
        <v>0</v>
      </c>
      <c r="S741" s="63" t="s">
        <v>70</v>
      </c>
      <c r="T741" s="63">
        <v>110.324</v>
      </c>
      <c r="U741" s="62">
        <v>46072.291666666664</v>
      </c>
      <c r="V741" s="63" t="s">
        <v>86</v>
      </c>
      <c r="W741" s="63">
        <v>807.74</v>
      </c>
      <c r="X741" s="63">
        <v>4200</v>
      </c>
      <c r="Y741" s="63" t="s">
        <v>518</v>
      </c>
    </row>
    <row r="742" spans="1:25" hidden="1">
      <c r="A742" s="62">
        <v>46071.738634259258</v>
      </c>
      <c r="B742" s="63">
        <v>641534</v>
      </c>
      <c r="C742" s="63" t="s">
        <v>282</v>
      </c>
      <c r="D742" s="63"/>
      <c r="E742" s="62">
        <v>46072.772893518515</v>
      </c>
      <c r="F742" s="63" t="s">
        <v>557</v>
      </c>
      <c r="G742" s="63">
        <v>1722550201</v>
      </c>
      <c r="H742" s="63">
        <v>71676316000227</v>
      </c>
      <c r="I742" s="63" t="s">
        <v>2748</v>
      </c>
      <c r="J742" s="63" t="s">
        <v>2228</v>
      </c>
      <c r="K742" s="63" t="s">
        <v>64</v>
      </c>
      <c r="L742" s="63" t="s">
        <v>2749</v>
      </c>
      <c r="M742" s="63" t="s">
        <v>2750</v>
      </c>
      <c r="N742" s="63" t="s">
        <v>84</v>
      </c>
      <c r="O742" s="63" t="s">
        <v>68</v>
      </c>
      <c r="P742" s="63" t="s">
        <v>69</v>
      </c>
      <c r="Q742" s="63">
        <v>300</v>
      </c>
      <c r="R742" s="63">
        <v>0</v>
      </c>
      <c r="S742" s="63" t="s">
        <v>70</v>
      </c>
      <c r="T742" s="63">
        <v>1530.4</v>
      </c>
      <c r="U742" s="62">
        <v>46072.291666666664</v>
      </c>
      <c r="V742" s="63" t="s">
        <v>86</v>
      </c>
      <c r="W742" s="63">
        <v>12695.7</v>
      </c>
      <c r="X742" s="63">
        <v>4200</v>
      </c>
      <c r="Y742" s="63" t="s">
        <v>518</v>
      </c>
    </row>
    <row r="743" spans="1:25" hidden="1">
      <c r="A743" s="62">
        <v>46071.738634259258</v>
      </c>
      <c r="B743" s="63">
        <v>641534</v>
      </c>
      <c r="C743" s="63" t="s">
        <v>282</v>
      </c>
      <c r="D743" s="63"/>
      <c r="E743" s="62">
        <v>46072.772893518515</v>
      </c>
      <c r="F743" s="63" t="s">
        <v>557</v>
      </c>
      <c r="G743" s="63">
        <v>1722550201</v>
      </c>
      <c r="H743" s="63">
        <v>71676316000227</v>
      </c>
      <c r="I743" s="63" t="s">
        <v>2748</v>
      </c>
      <c r="J743" s="63" t="s">
        <v>2228</v>
      </c>
      <c r="K743" s="63" t="s">
        <v>64</v>
      </c>
      <c r="L743" s="63" t="s">
        <v>2749</v>
      </c>
      <c r="M743" s="63" t="s">
        <v>2750</v>
      </c>
      <c r="N743" s="63" t="s">
        <v>84</v>
      </c>
      <c r="O743" s="63" t="s">
        <v>105</v>
      </c>
      <c r="P743" s="63" t="s">
        <v>106</v>
      </c>
      <c r="Q743" s="63">
        <v>10</v>
      </c>
      <c r="R743" s="63">
        <v>0</v>
      </c>
      <c r="S743" s="63" t="s">
        <v>76</v>
      </c>
      <c r="T743" s="63">
        <v>1530.4</v>
      </c>
      <c r="U743" s="62">
        <v>46072.291666666664</v>
      </c>
      <c r="V743" s="63" t="s">
        <v>86</v>
      </c>
      <c r="W743" s="63">
        <v>12695.7</v>
      </c>
      <c r="X743" s="63">
        <v>4200</v>
      </c>
      <c r="Y743" s="63" t="s">
        <v>518</v>
      </c>
    </row>
    <row r="744" spans="1:25" hidden="1">
      <c r="A744" s="62">
        <v>46071.738634259258</v>
      </c>
      <c r="B744" s="63">
        <v>641534</v>
      </c>
      <c r="C744" s="63" t="s">
        <v>282</v>
      </c>
      <c r="D744" s="63"/>
      <c r="E744" s="62">
        <v>46072.772893518515</v>
      </c>
      <c r="F744" s="63" t="s">
        <v>557</v>
      </c>
      <c r="G744" s="63">
        <v>1722580201</v>
      </c>
      <c r="H744" s="63">
        <v>71676316000308</v>
      </c>
      <c r="I744" s="63" t="s">
        <v>2751</v>
      </c>
      <c r="J744" s="63" t="s">
        <v>2228</v>
      </c>
      <c r="K744" s="63" t="s">
        <v>64</v>
      </c>
      <c r="L744" s="63" t="s">
        <v>2752</v>
      </c>
      <c r="M744" s="63" t="s">
        <v>2284</v>
      </c>
      <c r="N744" s="63" t="s">
        <v>84</v>
      </c>
      <c r="O744" s="63" t="s">
        <v>68</v>
      </c>
      <c r="P744" s="63" t="s">
        <v>69</v>
      </c>
      <c r="Q744" s="63">
        <v>140</v>
      </c>
      <c r="R744" s="63">
        <v>0</v>
      </c>
      <c r="S744" s="63" t="s">
        <v>70</v>
      </c>
      <c r="T744" s="63">
        <v>847.52</v>
      </c>
      <c r="U744" s="62">
        <v>46072.291666666664</v>
      </c>
      <c r="V744" s="63" t="s">
        <v>86</v>
      </c>
      <c r="W744" s="63">
        <v>6920.8</v>
      </c>
      <c r="X744" s="63">
        <v>4200</v>
      </c>
      <c r="Y744" s="63" t="s">
        <v>518</v>
      </c>
    </row>
    <row r="745" spans="1:25" hidden="1">
      <c r="A745" s="62">
        <v>46071.738634259258</v>
      </c>
      <c r="B745" s="63">
        <v>641534</v>
      </c>
      <c r="C745" s="63" t="s">
        <v>282</v>
      </c>
      <c r="D745" s="63"/>
      <c r="E745" s="62">
        <v>46072.772893518515</v>
      </c>
      <c r="F745" s="63" t="s">
        <v>557</v>
      </c>
      <c r="G745" s="63">
        <v>1722580201</v>
      </c>
      <c r="H745" s="63">
        <v>71676316000308</v>
      </c>
      <c r="I745" s="63" t="s">
        <v>2751</v>
      </c>
      <c r="J745" s="63" t="s">
        <v>2228</v>
      </c>
      <c r="K745" s="63" t="s">
        <v>64</v>
      </c>
      <c r="L745" s="63" t="s">
        <v>2752</v>
      </c>
      <c r="M745" s="63" t="s">
        <v>2284</v>
      </c>
      <c r="N745" s="63" t="s">
        <v>84</v>
      </c>
      <c r="O745" s="63" t="s">
        <v>91</v>
      </c>
      <c r="P745" s="63" t="s">
        <v>92</v>
      </c>
      <c r="Q745" s="63">
        <v>8</v>
      </c>
      <c r="R745" s="63">
        <v>0</v>
      </c>
      <c r="S745" s="63" t="s">
        <v>70</v>
      </c>
      <c r="T745" s="63">
        <v>847.52</v>
      </c>
      <c r="U745" s="62">
        <v>46072.291666666664</v>
      </c>
      <c r="V745" s="63" t="s">
        <v>86</v>
      </c>
      <c r="W745" s="63">
        <v>6920.8</v>
      </c>
      <c r="X745" s="63">
        <v>4200</v>
      </c>
      <c r="Y745" s="63" t="s">
        <v>518</v>
      </c>
    </row>
    <row r="746" spans="1:25" hidden="1">
      <c r="A746" s="62">
        <v>46071.738634259258</v>
      </c>
      <c r="B746" s="63">
        <v>641534</v>
      </c>
      <c r="C746" s="63" t="s">
        <v>282</v>
      </c>
      <c r="D746" s="63"/>
      <c r="E746" s="62">
        <v>46072.772893518515</v>
      </c>
      <c r="F746" s="63" t="s">
        <v>557</v>
      </c>
      <c r="G746" s="63">
        <v>1722580201</v>
      </c>
      <c r="H746" s="63">
        <v>71676316000308</v>
      </c>
      <c r="I746" s="63" t="s">
        <v>2751</v>
      </c>
      <c r="J746" s="63" t="s">
        <v>2228</v>
      </c>
      <c r="K746" s="63" t="s">
        <v>64</v>
      </c>
      <c r="L746" s="63" t="s">
        <v>2752</v>
      </c>
      <c r="M746" s="63" t="s">
        <v>2284</v>
      </c>
      <c r="N746" s="63" t="s">
        <v>84</v>
      </c>
      <c r="O746" s="63" t="s">
        <v>93</v>
      </c>
      <c r="P746" s="63" t="s">
        <v>94</v>
      </c>
      <c r="Q746" s="63">
        <v>8</v>
      </c>
      <c r="R746" s="63">
        <v>0</v>
      </c>
      <c r="S746" s="63" t="s">
        <v>70</v>
      </c>
      <c r="T746" s="63">
        <v>847.52</v>
      </c>
      <c r="U746" s="62">
        <v>46072.291666666664</v>
      </c>
      <c r="V746" s="63" t="s">
        <v>86</v>
      </c>
      <c r="W746" s="63">
        <v>6920.8</v>
      </c>
      <c r="X746" s="63">
        <v>4200</v>
      </c>
      <c r="Y746" s="63" t="s">
        <v>518</v>
      </c>
    </row>
    <row r="747" spans="1:25" hidden="1">
      <c r="A747" s="62">
        <v>46071.738634259258</v>
      </c>
      <c r="B747" s="63">
        <v>641534</v>
      </c>
      <c r="C747" s="63" t="s">
        <v>282</v>
      </c>
      <c r="D747" s="63"/>
      <c r="E747" s="62">
        <v>46072.772893518515</v>
      </c>
      <c r="F747" s="63" t="s">
        <v>557</v>
      </c>
      <c r="G747" s="63">
        <v>1722580201</v>
      </c>
      <c r="H747" s="63">
        <v>71676316000308</v>
      </c>
      <c r="I747" s="63" t="s">
        <v>2751</v>
      </c>
      <c r="J747" s="63" t="s">
        <v>2228</v>
      </c>
      <c r="K747" s="63" t="s">
        <v>64</v>
      </c>
      <c r="L747" s="63" t="s">
        <v>2752</v>
      </c>
      <c r="M747" s="63" t="s">
        <v>2284</v>
      </c>
      <c r="N747" s="63" t="s">
        <v>84</v>
      </c>
      <c r="O747" s="63" t="s">
        <v>72</v>
      </c>
      <c r="P747" s="63" t="s">
        <v>73</v>
      </c>
      <c r="Q747" s="63">
        <v>8</v>
      </c>
      <c r="R747" s="63">
        <v>0</v>
      </c>
      <c r="S747" s="63" t="s">
        <v>70</v>
      </c>
      <c r="T747" s="63">
        <v>847.52</v>
      </c>
      <c r="U747" s="62">
        <v>46072.291666666664</v>
      </c>
      <c r="V747" s="63" t="s">
        <v>86</v>
      </c>
      <c r="W747" s="63">
        <v>6920.8</v>
      </c>
      <c r="X747" s="63">
        <v>4200</v>
      </c>
      <c r="Y747" s="63" t="s">
        <v>518</v>
      </c>
    </row>
    <row r="748" spans="1:25" hidden="1">
      <c r="A748" s="62">
        <v>46071.738634259258</v>
      </c>
      <c r="B748" s="63">
        <v>641534</v>
      </c>
      <c r="C748" s="63" t="s">
        <v>282</v>
      </c>
      <c r="D748" s="63"/>
      <c r="E748" s="62">
        <v>46072.772893518515</v>
      </c>
      <c r="F748" s="63" t="s">
        <v>557</v>
      </c>
      <c r="G748" s="63">
        <v>1722580201</v>
      </c>
      <c r="H748" s="63">
        <v>71676316000308</v>
      </c>
      <c r="I748" s="63" t="s">
        <v>2751</v>
      </c>
      <c r="J748" s="63" t="s">
        <v>2228</v>
      </c>
      <c r="K748" s="63" t="s">
        <v>64</v>
      </c>
      <c r="L748" s="63" t="s">
        <v>2752</v>
      </c>
      <c r="M748" s="63" t="s">
        <v>2284</v>
      </c>
      <c r="N748" s="63" t="s">
        <v>84</v>
      </c>
      <c r="O748" s="63" t="s">
        <v>383</v>
      </c>
      <c r="P748" s="63" t="s">
        <v>384</v>
      </c>
      <c r="Q748" s="63">
        <v>8</v>
      </c>
      <c r="R748" s="63">
        <v>0</v>
      </c>
      <c r="S748" s="63" t="s">
        <v>70</v>
      </c>
      <c r="T748" s="63">
        <v>847.52</v>
      </c>
      <c r="U748" s="62">
        <v>46072.291666666664</v>
      </c>
      <c r="V748" s="63" t="s">
        <v>86</v>
      </c>
      <c r="W748" s="63">
        <v>6920.8</v>
      </c>
      <c r="X748" s="63">
        <v>4200</v>
      </c>
      <c r="Y748" s="63" t="s">
        <v>518</v>
      </c>
    </row>
    <row r="749" spans="1:25" hidden="1">
      <c r="A749" s="62">
        <v>46071.738634259258</v>
      </c>
      <c r="B749" s="63">
        <v>641534</v>
      </c>
      <c r="C749" s="63" t="s">
        <v>282</v>
      </c>
      <c r="D749" s="63"/>
      <c r="E749" s="62">
        <v>46072.772962962961</v>
      </c>
      <c r="F749" s="63" t="s">
        <v>557</v>
      </c>
      <c r="G749" s="63">
        <v>1724410201</v>
      </c>
      <c r="H749" s="63">
        <v>26563652081101</v>
      </c>
      <c r="I749" s="63" t="s">
        <v>334</v>
      </c>
      <c r="J749" s="63" t="s">
        <v>159</v>
      </c>
      <c r="K749" s="63" t="s">
        <v>64</v>
      </c>
      <c r="L749" s="63"/>
      <c r="M749" s="63" t="s">
        <v>333</v>
      </c>
      <c r="N749" s="63" t="s">
        <v>84</v>
      </c>
      <c r="O749" s="63" t="s">
        <v>72</v>
      </c>
      <c r="P749" s="63" t="s">
        <v>73</v>
      </c>
      <c r="Q749" s="63">
        <v>2</v>
      </c>
      <c r="R749" s="63">
        <v>0</v>
      </c>
      <c r="S749" s="63" t="s">
        <v>70</v>
      </c>
      <c r="T749" s="63">
        <v>20.63</v>
      </c>
      <c r="U749" s="62">
        <v>46072.291666666664</v>
      </c>
      <c r="V749" s="63" t="s">
        <v>86</v>
      </c>
      <c r="W749" s="63">
        <v>359.02</v>
      </c>
      <c r="X749" s="63">
        <v>4200</v>
      </c>
      <c r="Y749" s="63" t="s">
        <v>518</v>
      </c>
    </row>
    <row r="750" spans="1:25" hidden="1">
      <c r="A750" s="62">
        <v>46071.738634259258</v>
      </c>
      <c r="B750" s="63">
        <v>641534</v>
      </c>
      <c r="C750" s="63" t="s">
        <v>282</v>
      </c>
      <c r="D750" s="63"/>
      <c r="E750" s="62">
        <v>46072.772962962961</v>
      </c>
      <c r="F750" s="63" t="s">
        <v>557</v>
      </c>
      <c r="G750" s="63">
        <v>1724410201</v>
      </c>
      <c r="H750" s="63">
        <v>26563652081101</v>
      </c>
      <c r="I750" s="63" t="s">
        <v>334</v>
      </c>
      <c r="J750" s="63" t="s">
        <v>159</v>
      </c>
      <c r="K750" s="63" t="s">
        <v>64</v>
      </c>
      <c r="L750" s="63"/>
      <c r="M750" s="63" t="s">
        <v>333</v>
      </c>
      <c r="N750" s="63" t="s">
        <v>84</v>
      </c>
      <c r="O750" s="63" t="s">
        <v>169</v>
      </c>
      <c r="P750" s="63" t="s">
        <v>170</v>
      </c>
      <c r="Q750" s="63">
        <v>1</v>
      </c>
      <c r="R750" s="63">
        <v>0</v>
      </c>
      <c r="S750" s="63" t="s">
        <v>76</v>
      </c>
      <c r="T750" s="63">
        <v>20.63</v>
      </c>
      <c r="U750" s="62">
        <v>46072.291666666664</v>
      </c>
      <c r="V750" s="63" t="s">
        <v>86</v>
      </c>
      <c r="W750" s="63">
        <v>359.02</v>
      </c>
      <c r="X750" s="63">
        <v>4200</v>
      </c>
      <c r="Y750" s="63" t="s">
        <v>518</v>
      </c>
    </row>
    <row r="751" spans="1:25" hidden="1">
      <c r="A751" s="62">
        <v>46071.738634259258</v>
      </c>
      <c r="B751" s="63">
        <v>641534</v>
      </c>
      <c r="C751" s="63" t="s">
        <v>282</v>
      </c>
      <c r="D751" s="63"/>
      <c r="E751" s="62">
        <v>46072.772974537038</v>
      </c>
      <c r="F751" s="63" t="s">
        <v>557</v>
      </c>
      <c r="G751" s="63">
        <v>1724630201</v>
      </c>
      <c r="H751" s="63">
        <v>26563652014692</v>
      </c>
      <c r="I751" s="63" t="s">
        <v>2305</v>
      </c>
      <c r="J751" s="63" t="s">
        <v>159</v>
      </c>
      <c r="K751" s="63" t="s">
        <v>64</v>
      </c>
      <c r="L751" s="63" t="s">
        <v>2306</v>
      </c>
      <c r="M751" s="63" t="s">
        <v>333</v>
      </c>
      <c r="N751" s="63" t="s">
        <v>84</v>
      </c>
      <c r="O751" s="63" t="s">
        <v>68</v>
      </c>
      <c r="P751" s="63" t="s">
        <v>69</v>
      </c>
      <c r="Q751" s="63">
        <v>5</v>
      </c>
      <c r="R751" s="63">
        <v>0</v>
      </c>
      <c r="S751" s="63" t="s">
        <v>70</v>
      </c>
      <c r="T751" s="63">
        <v>40.72</v>
      </c>
      <c r="U751" s="62">
        <v>46072.291666666664</v>
      </c>
      <c r="V751" s="63" t="s">
        <v>86</v>
      </c>
      <c r="W751" s="63">
        <v>480.96</v>
      </c>
      <c r="X751" s="63">
        <v>4200</v>
      </c>
      <c r="Y751" s="63" t="s">
        <v>518</v>
      </c>
    </row>
    <row r="752" spans="1:25" hidden="1">
      <c r="A752" s="62">
        <v>46071.738634259258</v>
      </c>
      <c r="B752" s="63">
        <v>641534</v>
      </c>
      <c r="C752" s="63" t="s">
        <v>282</v>
      </c>
      <c r="D752" s="63"/>
      <c r="E752" s="62">
        <v>46072.772974537038</v>
      </c>
      <c r="F752" s="63" t="s">
        <v>557</v>
      </c>
      <c r="G752" s="63">
        <v>1724630201</v>
      </c>
      <c r="H752" s="63">
        <v>26563652014692</v>
      </c>
      <c r="I752" s="63" t="s">
        <v>2305</v>
      </c>
      <c r="J752" s="63" t="s">
        <v>159</v>
      </c>
      <c r="K752" s="63" t="s">
        <v>64</v>
      </c>
      <c r="L752" s="63" t="s">
        <v>2306</v>
      </c>
      <c r="M752" s="63" t="s">
        <v>333</v>
      </c>
      <c r="N752" s="63" t="s">
        <v>84</v>
      </c>
      <c r="O752" s="63" t="s">
        <v>72</v>
      </c>
      <c r="P752" s="63" t="s">
        <v>73</v>
      </c>
      <c r="Q752" s="63">
        <v>1</v>
      </c>
      <c r="R752" s="63">
        <v>0</v>
      </c>
      <c r="S752" s="63" t="s">
        <v>70</v>
      </c>
      <c r="T752" s="63">
        <v>40.72</v>
      </c>
      <c r="U752" s="62">
        <v>46072.291666666664</v>
      </c>
      <c r="V752" s="63" t="s">
        <v>86</v>
      </c>
      <c r="W752" s="63">
        <v>480.96</v>
      </c>
      <c r="X752" s="63">
        <v>4200</v>
      </c>
      <c r="Y752" s="63" t="s">
        <v>518</v>
      </c>
    </row>
    <row r="753" spans="1:25" hidden="1">
      <c r="A753" s="62">
        <v>46071.738634259258</v>
      </c>
      <c r="B753" s="63">
        <v>641534</v>
      </c>
      <c r="C753" s="63" t="s">
        <v>282</v>
      </c>
      <c r="D753" s="63"/>
      <c r="E753" s="62">
        <v>46072.772974537038</v>
      </c>
      <c r="F753" s="63" t="s">
        <v>557</v>
      </c>
      <c r="G753" s="63">
        <v>1724630201</v>
      </c>
      <c r="H753" s="63">
        <v>26563652014692</v>
      </c>
      <c r="I753" s="63" t="s">
        <v>2305</v>
      </c>
      <c r="J753" s="63" t="s">
        <v>159</v>
      </c>
      <c r="K753" s="63" t="s">
        <v>64</v>
      </c>
      <c r="L753" s="63" t="s">
        <v>2306</v>
      </c>
      <c r="M753" s="63" t="s">
        <v>333</v>
      </c>
      <c r="N753" s="63" t="s">
        <v>84</v>
      </c>
      <c r="O753" s="63" t="s">
        <v>169</v>
      </c>
      <c r="P753" s="63" t="s">
        <v>170</v>
      </c>
      <c r="Q753" s="63">
        <v>1</v>
      </c>
      <c r="R753" s="63">
        <v>0</v>
      </c>
      <c r="S753" s="63" t="s">
        <v>76</v>
      </c>
      <c r="T753" s="63">
        <v>40.72</v>
      </c>
      <c r="U753" s="62">
        <v>46072.291666666664</v>
      </c>
      <c r="V753" s="63" t="s">
        <v>86</v>
      </c>
      <c r="W753" s="63">
        <v>480.96</v>
      </c>
      <c r="X753" s="63">
        <v>4200</v>
      </c>
      <c r="Y753" s="63" t="s">
        <v>518</v>
      </c>
    </row>
    <row r="754" spans="1:25" hidden="1">
      <c r="A754" s="62">
        <v>46071.738634259258</v>
      </c>
      <c r="B754" s="63">
        <v>641535</v>
      </c>
      <c r="C754" s="63" t="s">
        <v>275</v>
      </c>
      <c r="D754" s="63"/>
      <c r="E754" s="62">
        <v>46071.734907407408</v>
      </c>
      <c r="F754" s="63" t="s">
        <v>562</v>
      </c>
      <c r="G754" s="63">
        <v>1718860201</v>
      </c>
      <c r="H754" s="63">
        <v>26563652041827</v>
      </c>
      <c r="I754" s="63" t="s">
        <v>2753</v>
      </c>
      <c r="J754" s="63" t="s">
        <v>159</v>
      </c>
      <c r="K754" s="63" t="s">
        <v>2754</v>
      </c>
      <c r="L754" s="63" t="s">
        <v>2755</v>
      </c>
      <c r="M754" s="63" t="s">
        <v>214</v>
      </c>
      <c r="N754" s="63" t="s">
        <v>84</v>
      </c>
      <c r="O754" s="63" t="s">
        <v>68</v>
      </c>
      <c r="P754" s="63" t="s">
        <v>69</v>
      </c>
      <c r="Q754" s="63">
        <v>6</v>
      </c>
      <c r="R754" s="63">
        <v>8</v>
      </c>
      <c r="S754" s="63" t="s">
        <v>70</v>
      </c>
      <c r="T754" s="63">
        <v>44.698</v>
      </c>
      <c r="U754" s="62">
        <v>46072.291666666664</v>
      </c>
      <c r="V754" s="63" t="s">
        <v>86</v>
      </c>
      <c r="W754" s="63">
        <v>466.14</v>
      </c>
      <c r="X754" s="63">
        <v>2500</v>
      </c>
      <c r="Y754" s="63" t="s">
        <v>2756</v>
      </c>
    </row>
    <row r="755" spans="1:25" hidden="1">
      <c r="A755" s="62">
        <v>46071.738634259258</v>
      </c>
      <c r="B755" s="63">
        <v>641535</v>
      </c>
      <c r="C755" s="63" t="s">
        <v>275</v>
      </c>
      <c r="D755" s="63"/>
      <c r="E755" s="62">
        <v>46071.734907407408</v>
      </c>
      <c r="F755" s="63" t="s">
        <v>562</v>
      </c>
      <c r="G755" s="63">
        <v>1718860201</v>
      </c>
      <c r="H755" s="63">
        <v>26563652041827</v>
      </c>
      <c r="I755" s="63" t="s">
        <v>2753</v>
      </c>
      <c r="J755" s="63" t="s">
        <v>159</v>
      </c>
      <c r="K755" s="63" t="s">
        <v>2754</v>
      </c>
      <c r="L755" s="63" t="s">
        <v>2755</v>
      </c>
      <c r="M755" s="63" t="s">
        <v>214</v>
      </c>
      <c r="N755" s="63" t="s">
        <v>84</v>
      </c>
      <c r="O755" s="63" t="s">
        <v>169</v>
      </c>
      <c r="P755" s="63" t="s">
        <v>170</v>
      </c>
      <c r="Q755" s="63">
        <v>1</v>
      </c>
      <c r="R755" s="63">
        <v>8</v>
      </c>
      <c r="S755" s="63" t="s">
        <v>76</v>
      </c>
      <c r="T755" s="63">
        <v>44.698</v>
      </c>
      <c r="U755" s="62">
        <v>46072.291666666664</v>
      </c>
      <c r="V755" s="63" t="s">
        <v>86</v>
      </c>
      <c r="W755" s="63">
        <v>466.14</v>
      </c>
      <c r="X755" s="63">
        <v>2500</v>
      </c>
      <c r="Y755" s="63" t="s">
        <v>2756</v>
      </c>
    </row>
    <row r="756" spans="1:25" hidden="1">
      <c r="A756" s="62">
        <v>46071.738634259258</v>
      </c>
      <c r="B756" s="63">
        <v>641535</v>
      </c>
      <c r="C756" s="63" t="s">
        <v>275</v>
      </c>
      <c r="D756" s="63"/>
      <c r="E756" s="62">
        <v>46072.772847222222</v>
      </c>
      <c r="F756" s="63" t="s">
        <v>562</v>
      </c>
      <c r="G756" s="63">
        <v>1720450201</v>
      </c>
      <c r="H756" s="63">
        <v>47508411004305</v>
      </c>
      <c r="I756" s="63" t="s">
        <v>2757</v>
      </c>
      <c r="J756" s="63" t="s">
        <v>181</v>
      </c>
      <c r="K756" s="63" t="s">
        <v>2754</v>
      </c>
      <c r="L756" s="63" t="s">
        <v>2758</v>
      </c>
      <c r="M756" s="63" t="s">
        <v>2759</v>
      </c>
      <c r="N756" s="63" t="s">
        <v>84</v>
      </c>
      <c r="O756" s="63" t="s">
        <v>68</v>
      </c>
      <c r="P756" s="63" t="s">
        <v>69</v>
      </c>
      <c r="Q756" s="63">
        <v>40</v>
      </c>
      <c r="R756" s="63">
        <v>0</v>
      </c>
      <c r="S756" s="63" t="s">
        <v>70</v>
      </c>
      <c r="T756" s="63">
        <v>250.72</v>
      </c>
      <c r="U756" s="62">
        <v>46072.291666666664</v>
      </c>
      <c r="V756" s="63" t="s">
        <v>86</v>
      </c>
      <c r="W756" s="63">
        <v>1839</v>
      </c>
      <c r="X756" s="63">
        <v>2500</v>
      </c>
      <c r="Y756" s="63" t="s">
        <v>2756</v>
      </c>
    </row>
    <row r="757" spans="1:25" hidden="1">
      <c r="A757" s="62">
        <v>46071.738634259258</v>
      </c>
      <c r="B757" s="63">
        <v>641535</v>
      </c>
      <c r="C757" s="63" t="s">
        <v>275</v>
      </c>
      <c r="D757" s="63"/>
      <c r="E757" s="62">
        <v>46072.772847222222</v>
      </c>
      <c r="F757" s="63" t="s">
        <v>562</v>
      </c>
      <c r="G757" s="63">
        <v>1720450201</v>
      </c>
      <c r="H757" s="63">
        <v>47508411004305</v>
      </c>
      <c r="I757" s="63" t="s">
        <v>2757</v>
      </c>
      <c r="J757" s="63" t="s">
        <v>181</v>
      </c>
      <c r="K757" s="63" t="s">
        <v>2754</v>
      </c>
      <c r="L757" s="63" t="s">
        <v>2758</v>
      </c>
      <c r="M757" s="63" t="s">
        <v>2759</v>
      </c>
      <c r="N757" s="63" t="s">
        <v>84</v>
      </c>
      <c r="O757" s="63" t="s">
        <v>91</v>
      </c>
      <c r="P757" s="63" t="s">
        <v>92</v>
      </c>
      <c r="Q757" s="63">
        <v>5</v>
      </c>
      <c r="R757" s="63">
        <v>0</v>
      </c>
      <c r="S757" s="63" t="s">
        <v>70</v>
      </c>
      <c r="T757" s="63">
        <v>250.72</v>
      </c>
      <c r="U757" s="62">
        <v>46072.291666666664</v>
      </c>
      <c r="V757" s="63" t="s">
        <v>86</v>
      </c>
      <c r="W757" s="63">
        <v>1839</v>
      </c>
      <c r="X757" s="63">
        <v>2500</v>
      </c>
      <c r="Y757" s="63" t="s">
        <v>2756</v>
      </c>
    </row>
    <row r="758" spans="1:25" hidden="1">
      <c r="A758" s="62">
        <v>46071.738634259258</v>
      </c>
      <c r="B758" s="63">
        <v>641535</v>
      </c>
      <c r="C758" s="63" t="s">
        <v>275</v>
      </c>
      <c r="D758" s="63"/>
      <c r="E758" s="62">
        <v>46072.772847222222</v>
      </c>
      <c r="F758" s="63" t="s">
        <v>562</v>
      </c>
      <c r="G758" s="63">
        <v>1720450201</v>
      </c>
      <c r="H758" s="63">
        <v>47508411004305</v>
      </c>
      <c r="I758" s="63" t="s">
        <v>2757</v>
      </c>
      <c r="J758" s="63" t="s">
        <v>181</v>
      </c>
      <c r="K758" s="63" t="s">
        <v>2754</v>
      </c>
      <c r="L758" s="63" t="s">
        <v>2758</v>
      </c>
      <c r="M758" s="63" t="s">
        <v>2759</v>
      </c>
      <c r="N758" s="63" t="s">
        <v>84</v>
      </c>
      <c r="O758" s="63" t="s">
        <v>93</v>
      </c>
      <c r="P758" s="63" t="s">
        <v>94</v>
      </c>
      <c r="Q758" s="63">
        <v>5</v>
      </c>
      <c r="R758" s="63">
        <v>0</v>
      </c>
      <c r="S758" s="63" t="s">
        <v>70</v>
      </c>
      <c r="T758" s="63">
        <v>250.72</v>
      </c>
      <c r="U758" s="62">
        <v>46072.291666666664</v>
      </c>
      <c r="V758" s="63" t="s">
        <v>86</v>
      </c>
      <c r="W758" s="63">
        <v>1839</v>
      </c>
      <c r="X758" s="63">
        <v>2500</v>
      </c>
      <c r="Y758" s="63" t="s">
        <v>2756</v>
      </c>
    </row>
    <row r="759" spans="1:25">
      <c r="A759" s="62">
        <v>46071.738634259258</v>
      </c>
      <c r="B759" s="63">
        <v>641535</v>
      </c>
      <c r="C759" s="63" t="s">
        <v>275</v>
      </c>
      <c r="D759" s="63"/>
      <c r="E759" s="62">
        <v>46072.772847222222</v>
      </c>
      <c r="F759" s="63" t="s">
        <v>562</v>
      </c>
      <c r="G759" s="63">
        <v>1720460201</v>
      </c>
      <c r="H759" s="63">
        <v>47508411004305</v>
      </c>
      <c r="I759" s="63" t="s">
        <v>2757</v>
      </c>
      <c r="J759" s="63" t="s">
        <v>181</v>
      </c>
      <c r="K759" s="63" t="s">
        <v>2754</v>
      </c>
      <c r="L759" s="63" t="s">
        <v>2758</v>
      </c>
      <c r="M759" s="63" t="s">
        <v>2759</v>
      </c>
      <c r="N759" s="63" t="s">
        <v>84</v>
      </c>
      <c r="O759" s="63" t="s">
        <v>109</v>
      </c>
      <c r="P759" s="63" t="s">
        <v>110</v>
      </c>
      <c r="Q759" s="63">
        <v>40</v>
      </c>
      <c r="R759" s="63">
        <v>0</v>
      </c>
      <c r="S759" s="63" t="s">
        <v>70</v>
      </c>
      <c r="T759" s="63">
        <v>200</v>
      </c>
      <c r="U759" s="62">
        <v>46072.291666666664</v>
      </c>
      <c r="V759" s="63" t="s">
        <v>86</v>
      </c>
      <c r="W759" s="63">
        <v>1442.8</v>
      </c>
      <c r="X759" s="63">
        <v>2500</v>
      </c>
      <c r="Y759" s="63" t="s">
        <v>2756</v>
      </c>
    </row>
    <row r="760" spans="1:25" hidden="1">
      <c r="A760" s="62">
        <v>46071.738634259258</v>
      </c>
      <c r="B760" s="63">
        <v>641535</v>
      </c>
      <c r="C760" s="63" t="s">
        <v>275</v>
      </c>
      <c r="D760" s="63"/>
      <c r="E760" s="62">
        <v>46072.772858796299</v>
      </c>
      <c r="F760" s="63" t="s">
        <v>562</v>
      </c>
      <c r="G760" s="63">
        <v>1720640201</v>
      </c>
      <c r="H760" s="63">
        <v>47508411000822</v>
      </c>
      <c r="I760" s="63" t="s">
        <v>2760</v>
      </c>
      <c r="J760" s="63" t="s">
        <v>181</v>
      </c>
      <c r="K760" s="63" t="s">
        <v>2754</v>
      </c>
      <c r="L760" s="63" t="s">
        <v>2761</v>
      </c>
      <c r="M760" s="63" t="s">
        <v>207</v>
      </c>
      <c r="N760" s="63" t="s">
        <v>84</v>
      </c>
      <c r="O760" s="63" t="s">
        <v>68</v>
      </c>
      <c r="P760" s="63" t="s">
        <v>69</v>
      </c>
      <c r="Q760" s="63">
        <v>20</v>
      </c>
      <c r="R760" s="63">
        <v>0</v>
      </c>
      <c r="S760" s="63" t="s">
        <v>70</v>
      </c>
      <c r="T760" s="63">
        <v>100.36</v>
      </c>
      <c r="U760" s="62">
        <v>46072.291666666664</v>
      </c>
      <c r="V760" s="63" t="s">
        <v>86</v>
      </c>
      <c r="W760" s="63">
        <v>721.4</v>
      </c>
      <c r="X760" s="63">
        <v>2500</v>
      </c>
      <c r="Y760" s="63" t="s">
        <v>2756</v>
      </c>
    </row>
    <row r="761" spans="1:25">
      <c r="A761" s="62">
        <v>46071.738634259258</v>
      </c>
      <c r="B761" s="63">
        <v>641535</v>
      </c>
      <c r="C761" s="63" t="s">
        <v>275</v>
      </c>
      <c r="D761" s="63"/>
      <c r="E761" s="62">
        <v>46072.772858796299</v>
      </c>
      <c r="F761" s="63" t="s">
        <v>562</v>
      </c>
      <c r="G761" s="63">
        <v>1720650201</v>
      </c>
      <c r="H761" s="63">
        <v>47508411000822</v>
      </c>
      <c r="I761" s="63" t="s">
        <v>2760</v>
      </c>
      <c r="J761" s="63" t="s">
        <v>181</v>
      </c>
      <c r="K761" s="63" t="s">
        <v>2754</v>
      </c>
      <c r="L761" s="63" t="s">
        <v>2761</v>
      </c>
      <c r="M761" s="63" t="s">
        <v>207</v>
      </c>
      <c r="N761" s="63" t="s">
        <v>84</v>
      </c>
      <c r="O761" s="63" t="s">
        <v>109</v>
      </c>
      <c r="P761" s="63" t="s">
        <v>110</v>
      </c>
      <c r="Q761" s="63">
        <v>50</v>
      </c>
      <c r="R761" s="63">
        <v>0</v>
      </c>
      <c r="S761" s="63" t="s">
        <v>70</v>
      </c>
      <c r="T761" s="63">
        <v>250</v>
      </c>
      <c r="U761" s="62">
        <v>46072.291666666664</v>
      </c>
      <c r="V761" s="63" t="s">
        <v>86</v>
      </c>
      <c r="W761" s="63">
        <v>1803.5</v>
      </c>
      <c r="X761" s="63">
        <v>2500</v>
      </c>
      <c r="Y761" s="63" t="s">
        <v>2756</v>
      </c>
    </row>
    <row r="762" spans="1:25" hidden="1">
      <c r="A762" s="62">
        <v>46071.738634259258</v>
      </c>
      <c r="B762" s="63">
        <v>641535</v>
      </c>
      <c r="C762" s="63" t="s">
        <v>275</v>
      </c>
      <c r="D762" s="63"/>
      <c r="E762" s="62">
        <v>46072.772858796299</v>
      </c>
      <c r="F762" s="63" t="s">
        <v>562</v>
      </c>
      <c r="G762" s="63">
        <v>1724840201</v>
      </c>
      <c r="H762" s="63">
        <v>26563652028057</v>
      </c>
      <c r="I762" s="63" t="s">
        <v>2327</v>
      </c>
      <c r="J762" s="63" t="s">
        <v>159</v>
      </c>
      <c r="K762" s="63" t="s">
        <v>2754</v>
      </c>
      <c r="L762" s="63" t="s">
        <v>2328</v>
      </c>
      <c r="M762" s="63" t="s">
        <v>2329</v>
      </c>
      <c r="N762" s="63" t="s">
        <v>84</v>
      </c>
      <c r="O762" s="63" t="s">
        <v>68</v>
      </c>
      <c r="P762" s="63" t="s">
        <v>69</v>
      </c>
      <c r="Q762" s="63">
        <v>9</v>
      </c>
      <c r="R762" s="63">
        <v>0</v>
      </c>
      <c r="S762" s="63" t="s">
        <v>70</v>
      </c>
      <c r="T762" s="63">
        <v>55.792000000000002</v>
      </c>
      <c r="U762" s="62">
        <v>46072.291666666664</v>
      </c>
      <c r="V762" s="63" t="s">
        <v>86</v>
      </c>
      <c r="W762" s="63">
        <v>568.71</v>
      </c>
      <c r="X762" s="63">
        <v>2500</v>
      </c>
      <c r="Y762" s="63" t="s">
        <v>2756</v>
      </c>
    </row>
    <row r="763" spans="1:25" hidden="1">
      <c r="A763" s="62">
        <v>46071.738634259258</v>
      </c>
      <c r="B763" s="63">
        <v>641535</v>
      </c>
      <c r="C763" s="63" t="s">
        <v>275</v>
      </c>
      <c r="D763" s="63"/>
      <c r="E763" s="62">
        <v>46072.772858796299</v>
      </c>
      <c r="F763" s="63" t="s">
        <v>562</v>
      </c>
      <c r="G763" s="63">
        <v>1724840201</v>
      </c>
      <c r="H763" s="63">
        <v>26563652028057</v>
      </c>
      <c r="I763" s="63" t="s">
        <v>2327</v>
      </c>
      <c r="J763" s="63" t="s">
        <v>159</v>
      </c>
      <c r="K763" s="63" t="s">
        <v>2754</v>
      </c>
      <c r="L763" s="63" t="s">
        <v>2328</v>
      </c>
      <c r="M763" s="63" t="s">
        <v>2329</v>
      </c>
      <c r="N763" s="63" t="s">
        <v>84</v>
      </c>
      <c r="O763" s="63" t="s">
        <v>169</v>
      </c>
      <c r="P763" s="63" t="s">
        <v>170</v>
      </c>
      <c r="Q763" s="63">
        <v>1</v>
      </c>
      <c r="R763" s="63">
        <v>0</v>
      </c>
      <c r="S763" s="63" t="s">
        <v>76</v>
      </c>
      <c r="T763" s="63">
        <v>55.792000000000002</v>
      </c>
      <c r="U763" s="62">
        <v>46072.291666666664</v>
      </c>
      <c r="V763" s="63" t="s">
        <v>86</v>
      </c>
      <c r="W763" s="63">
        <v>568.71</v>
      </c>
      <c r="X763" s="63">
        <v>2500</v>
      </c>
      <c r="Y763" s="63" t="s">
        <v>2756</v>
      </c>
    </row>
    <row r="764" spans="1:25" hidden="1">
      <c r="A764" s="62">
        <v>46071.738634259258</v>
      </c>
      <c r="B764" s="63">
        <v>641535</v>
      </c>
      <c r="C764" s="63" t="s">
        <v>275</v>
      </c>
      <c r="D764" s="63"/>
      <c r="E764" s="62">
        <v>46072.772858796299</v>
      </c>
      <c r="F764" s="63" t="s">
        <v>562</v>
      </c>
      <c r="G764" s="63">
        <v>1724880201</v>
      </c>
      <c r="H764" s="63">
        <v>26563652014005</v>
      </c>
      <c r="I764" s="63" t="s">
        <v>2762</v>
      </c>
      <c r="J764" s="63" t="s">
        <v>159</v>
      </c>
      <c r="K764" s="63" t="s">
        <v>2754</v>
      </c>
      <c r="L764" s="63" t="s">
        <v>2763</v>
      </c>
      <c r="M764" s="63" t="s">
        <v>2246</v>
      </c>
      <c r="N764" s="63" t="s">
        <v>84</v>
      </c>
      <c r="O764" s="63" t="s">
        <v>68</v>
      </c>
      <c r="P764" s="63" t="s">
        <v>69</v>
      </c>
      <c r="Q764" s="63">
        <v>11</v>
      </c>
      <c r="R764" s="63">
        <v>0</v>
      </c>
      <c r="S764" s="63" t="s">
        <v>70</v>
      </c>
      <c r="T764" s="63">
        <v>55.198</v>
      </c>
      <c r="U764" s="62">
        <v>46072.291666666664</v>
      </c>
      <c r="V764" s="63" t="s">
        <v>86</v>
      </c>
      <c r="W764" s="63">
        <v>376.09</v>
      </c>
      <c r="X764" s="63">
        <v>2500</v>
      </c>
      <c r="Y764" s="63" t="s">
        <v>2756</v>
      </c>
    </row>
    <row r="765" spans="1:25" hidden="1">
      <c r="A765" s="62">
        <v>46071.738634259258</v>
      </c>
      <c r="B765" s="63">
        <v>641535</v>
      </c>
      <c r="C765" s="63" t="s">
        <v>275</v>
      </c>
      <c r="D765" s="63"/>
      <c r="E765" s="62">
        <v>46072.772858796299</v>
      </c>
      <c r="F765" s="63" t="s">
        <v>562</v>
      </c>
      <c r="G765" s="63">
        <v>1724900201</v>
      </c>
      <c r="H765" s="63">
        <v>26563652019066</v>
      </c>
      <c r="I765" s="63" t="s">
        <v>2260</v>
      </c>
      <c r="J765" s="63" t="s">
        <v>159</v>
      </c>
      <c r="K765" s="63" t="s">
        <v>2754</v>
      </c>
      <c r="L765" s="63" t="s">
        <v>2261</v>
      </c>
      <c r="M765" s="63" t="s">
        <v>2249</v>
      </c>
      <c r="N765" s="63" t="s">
        <v>84</v>
      </c>
      <c r="O765" s="63" t="s">
        <v>68</v>
      </c>
      <c r="P765" s="63" t="s">
        <v>69</v>
      </c>
      <c r="Q765" s="63">
        <v>5</v>
      </c>
      <c r="R765" s="63">
        <v>0</v>
      </c>
      <c r="S765" s="63" t="s">
        <v>70</v>
      </c>
      <c r="T765" s="63">
        <v>25.09</v>
      </c>
      <c r="U765" s="62">
        <v>46072.291666666664</v>
      </c>
      <c r="V765" s="63" t="s">
        <v>86</v>
      </c>
      <c r="W765" s="63">
        <v>170.95</v>
      </c>
      <c r="X765" s="63">
        <v>2500</v>
      </c>
      <c r="Y765" s="63" t="s">
        <v>2756</v>
      </c>
    </row>
    <row r="766" spans="1:25" hidden="1">
      <c r="A766" s="62">
        <v>46071.738634259258</v>
      </c>
      <c r="B766" s="63">
        <v>641535</v>
      </c>
      <c r="C766" s="63" t="s">
        <v>275</v>
      </c>
      <c r="D766" s="63"/>
      <c r="E766" s="62">
        <v>46072.772870370369</v>
      </c>
      <c r="F766" s="63" t="s">
        <v>562</v>
      </c>
      <c r="G766" s="63">
        <v>1720780201</v>
      </c>
      <c r="H766" s="63">
        <v>47508411000318</v>
      </c>
      <c r="I766" s="63" t="s">
        <v>2764</v>
      </c>
      <c r="J766" s="63" t="s">
        <v>181</v>
      </c>
      <c r="K766" s="63" t="s">
        <v>2754</v>
      </c>
      <c r="L766" s="63" t="s">
        <v>2765</v>
      </c>
      <c r="M766" s="63" t="s">
        <v>335</v>
      </c>
      <c r="N766" s="63" t="s">
        <v>84</v>
      </c>
      <c r="O766" s="63" t="s">
        <v>68</v>
      </c>
      <c r="P766" s="63" t="s">
        <v>69</v>
      </c>
      <c r="Q766" s="63">
        <v>25</v>
      </c>
      <c r="R766" s="63">
        <v>0</v>
      </c>
      <c r="S766" s="63" t="s">
        <v>70</v>
      </c>
      <c r="T766" s="63">
        <v>150.44999999999999</v>
      </c>
      <c r="U766" s="62">
        <v>46072.291666666664</v>
      </c>
      <c r="V766" s="63" t="s">
        <v>86</v>
      </c>
      <c r="W766" s="63">
        <v>1099.8499999999999</v>
      </c>
      <c r="X766" s="63">
        <v>2500</v>
      </c>
      <c r="Y766" s="63" t="s">
        <v>2756</v>
      </c>
    </row>
    <row r="767" spans="1:25" hidden="1">
      <c r="A767" s="62">
        <v>46071.738634259258</v>
      </c>
      <c r="B767" s="63">
        <v>641535</v>
      </c>
      <c r="C767" s="63" t="s">
        <v>275</v>
      </c>
      <c r="D767" s="63"/>
      <c r="E767" s="62">
        <v>46072.772870370369</v>
      </c>
      <c r="F767" s="63" t="s">
        <v>562</v>
      </c>
      <c r="G767" s="63">
        <v>1720780201</v>
      </c>
      <c r="H767" s="63">
        <v>47508411000318</v>
      </c>
      <c r="I767" s="63" t="s">
        <v>2764</v>
      </c>
      <c r="J767" s="63" t="s">
        <v>181</v>
      </c>
      <c r="K767" s="63" t="s">
        <v>2754</v>
      </c>
      <c r="L767" s="63" t="s">
        <v>2765</v>
      </c>
      <c r="M767" s="63" t="s">
        <v>335</v>
      </c>
      <c r="N767" s="63" t="s">
        <v>84</v>
      </c>
      <c r="O767" s="63" t="s">
        <v>91</v>
      </c>
      <c r="P767" s="63" t="s">
        <v>92</v>
      </c>
      <c r="Q767" s="63">
        <v>1</v>
      </c>
      <c r="R767" s="63">
        <v>0</v>
      </c>
      <c r="S767" s="63" t="s">
        <v>70</v>
      </c>
      <c r="T767" s="63">
        <v>150.44999999999999</v>
      </c>
      <c r="U767" s="62">
        <v>46072.291666666664</v>
      </c>
      <c r="V767" s="63" t="s">
        <v>86</v>
      </c>
      <c r="W767" s="63">
        <v>1099.8499999999999</v>
      </c>
      <c r="X767" s="63">
        <v>2500</v>
      </c>
      <c r="Y767" s="63" t="s">
        <v>2756</v>
      </c>
    </row>
    <row r="768" spans="1:25" hidden="1">
      <c r="A768" s="62">
        <v>46071.738634259258</v>
      </c>
      <c r="B768" s="63">
        <v>641535</v>
      </c>
      <c r="C768" s="63" t="s">
        <v>275</v>
      </c>
      <c r="D768" s="63"/>
      <c r="E768" s="62">
        <v>46072.772870370369</v>
      </c>
      <c r="F768" s="63" t="s">
        <v>562</v>
      </c>
      <c r="G768" s="63">
        <v>1720780201</v>
      </c>
      <c r="H768" s="63">
        <v>47508411000318</v>
      </c>
      <c r="I768" s="63" t="s">
        <v>2764</v>
      </c>
      <c r="J768" s="63" t="s">
        <v>181</v>
      </c>
      <c r="K768" s="63" t="s">
        <v>2754</v>
      </c>
      <c r="L768" s="63" t="s">
        <v>2765</v>
      </c>
      <c r="M768" s="63" t="s">
        <v>335</v>
      </c>
      <c r="N768" s="63" t="s">
        <v>84</v>
      </c>
      <c r="O768" s="63" t="s">
        <v>93</v>
      </c>
      <c r="P768" s="63" t="s">
        <v>94</v>
      </c>
      <c r="Q768" s="63">
        <v>4</v>
      </c>
      <c r="R768" s="63">
        <v>0</v>
      </c>
      <c r="S768" s="63" t="s">
        <v>70</v>
      </c>
      <c r="T768" s="63">
        <v>150.44999999999999</v>
      </c>
      <c r="U768" s="62">
        <v>46072.291666666664</v>
      </c>
      <c r="V768" s="63" t="s">
        <v>86</v>
      </c>
      <c r="W768" s="63">
        <v>1099.8499999999999</v>
      </c>
      <c r="X768" s="63">
        <v>2500</v>
      </c>
      <c r="Y768" s="63" t="s">
        <v>2756</v>
      </c>
    </row>
    <row r="769" spans="1:25" hidden="1">
      <c r="A769" s="62">
        <v>46071.738634259258</v>
      </c>
      <c r="B769" s="63">
        <v>641535</v>
      </c>
      <c r="C769" s="63" t="s">
        <v>275</v>
      </c>
      <c r="D769" s="63"/>
      <c r="E769" s="62">
        <v>46072.772870370369</v>
      </c>
      <c r="F769" s="63" t="s">
        <v>562</v>
      </c>
      <c r="G769" s="63">
        <v>1725180201</v>
      </c>
      <c r="H769" s="63">
        <v>26563652014501</v>
      </c>
      <c r="I769" s="63" t="s">
        <v>2330</v>
      </c>
      <c r="J769" s="63" t="s">
        <v>159</v>
      </c>
      <c r="K769" s="63" t="s">
        <v>2754</v>
      </c>
      <c r="L769" s="63" t="s">
        <v>2331</v>
      </c>
      <c r="M769" s="63" t="s">
        <v>2332</v>
      </c>
      <c r="N769" s="63" t="s">
        <v>84</v>
      </c>
      <c r="O769" s="63" t="s">
        <v>68</v>
      </c>
      <c r="P769" s="63" t="s">
        <v>69</v>
      </c>
      <c r="Q769" s="63">
        <v>33</v>
      </c>
      <c r="R769" s="63">
        <v>0</v>
      </c>
      <c r="S769" s="63" t="s">
        <v>70</v>
      </c>
      <c r="T769" s="63">
        <v>172.26400000000001</v>
      </c>
      <c r="U769" s="62">
        <v>46072.291666666664</v>
      </c>
      <c r="V769" s="63" t="s">
        <v>86</v>
      </c>
      <c r="W769" s="63">
        <v>1294.68</v>
      </c>
      <c r="X769" s="63">
        <v>2500</v>
      </c>
      <c r="Y769" s="63" t="s">
        <v>2756</v>
      </c>
    </row>
    <row r="770" spans="1:25" hidden="1">
      <c r="A770" s="62">
        <v>46071.738634259258</v>
      </c>
      <c r="B770" s="63">
        <v>641535</v>
      </c>
      <c r="C770" s="63" t="s">
        <v>275</v>
      </c>
      <c r="D770" s="63"/>
      <c r="E770" s="62">
        <v>46072.772870370369</v>
      </c>
      <c r="F770" s="63" t="s">
        <v>562</v>
      </c>
      <c r="G770" s="63">
        <v>1725180201</v>
      </c>
      <c r="H770" s="63">
        <v>26563652014501</v>
      </c>
      <c r="I770" s="63" t="s">
        <v>2330</v>
      </c>
      <c r="J770" s="63" t="s">
        <v>159</v>
      </c>
      <c r="K770" s="63" t="s">
        <v>2754</v>
      </c>
      <c r="L770" s="63" t="s">
        <v>2331</v>
      </c>
      <c r="M770" s="63" t="s">
        <v>2332</v>
      </c>
      <c r="N770" s="63" t="s">
        <v>84</v>
      </c>
      <c r="O770" s="63" t="s">
        <v>72</v>
      </c>
      <c r="P770" s="63" t="s">
        <v>73</v>
      </c>
      <c r="Q770" s="63">
        <v>1</v>
      </c>
      <c r="R770" s="63">
        <v>0</v>
      </c>
      <c r="S770" s="63" t="s">
        <v>70</v>
      </c>
      <c r="T770" s="63">
        <v>172.26400000000001</v>
      </c>
      <c r="U770" s="62">
        <v>46072.291666666664</v>
      </c>
      <c r="V770" s="63" t="s">
        <v>86</v>
      </c>
      <c r="W770" s="63">
        <v>1294.68</v>
      </c>
      <c r="X770" s="63">
        <v>2500</v>
      </c>
      <c r="Y770" s="63" t="s">
        <v>2756</v>
      </c>
    </row>
    <row r="771" spans="1:25" hidden="1">
      <c r="A771" s="62">
        <v>46071.738634259258</v>
      </c>
      <c r="B771" s="63">
        <v>641535</v>
      </c>
      <c r="C771" s="63" t="s">
        <v>275</v>
      </c>
      <c r="D771" s="63"/>
      <c r="E771" s="62">
        <v>46072.772870370369</v>
      </c>
      <c r="F771" s="63" t="s">
        <v>562</v>
      </c>
      <c r="G771" s="63">
        <v>1725180201</v>
      </c>
      <c r="H771" s="63">
        <v>26563652014501</v>
      </c>
      <c r="I771" s="63" t="s">
        <v>2330</v>
      </c>
      <c r="J771" s="63" t="s">
        <v>159</v>
      </c>
      <c r="K771" s="63" t="s">
        <v>2754</v>
      </c>
      <c r="L771" s="63" t="s">
        <v>2331</v>
      </c>
      <c r="M771" s="63" t="s">
        <v>2332</v>
      </c>
      <c r="N771" s="63" t="s">
        <v>84</v>
      </c>
      <c r="O771" s="63" t="s">
        <v>167</v>
      </c>
      <c r="P771" s="63" t="s">
        <v>168</v>
      </c>
      <c r="Q771" s="63">
        <v>1</v>
      </c>
      <c r="R771" s="63">
        <v>0</v>
      </c>
      <c r="S771" s="63" t="s">
        <v>76</v>
      </c>
      <c r="T771" s="63">
        <v>172.26400000000001</v>
      </c>
      <c r="U771" s="62">
        <v>46072.291666666664</v>
      </c>
      <c r="V771" s="63" t="s">
        <v>86</v>
      </c>
      <c r="W771" s="63">
        <v>1294.68</v>
      </c>
      <c r="X771" s="63">
        <v>2500</v>
      </c>
      <c r="Y771" s="63" t="s">
        <v>2756</v>
      </c>
    </row>
    <row r="772" spans="1:25" hidden="1">
      <c r="A772" s="62">
        <v>46071.738634259258</v>
      </c>
      <c r="B772" s="63">
        <v>641535</v>
      </c>
      <c r="C772" s="63" t="s">
        <v>275</v>
      </c>
      <c r="D772" s="63"/>
      <c r="E772" s="62">
        <v>46072.772881944446</v>
      </c>
      <c r="F772" s="63" t="s">
        <v>562</v>
      </c>
      <c r="G772" s="63">
        <v>1725220201</v>
      </c>
      <c r="H772" s="63">
        <v>26563652056344</v>
      </c>
      <c r="I772" s="63" t="s">
        <v>2262</v>
      </c>
      <c r="J772" s="63" t="s">
        <v>159</v>
      </c>
      <c r="K772" s="63" t="s">
        <v>2754</v>
      </c>
      <c r="L772" s="63"/>
      <c r="M772" s="63" t="s">
        <v>2246</v>
      </c>
      <c r="N772" s="63" t="s">
        <v>84</v>
      </c>
      <c r="O772" s="63" t="s">
        <v>68</v>
      </c>
      <c r="P772" s="63" t="s">
        <v>69</v>
      </c>
      <c r="Q772" s="63">
        <v>5</v>
      </c>
      <c r="R772" s="63">
        <v>0</v>
      </c>
      <c r="S772" s="63" t="s">
        <v>70</v>
      </c>
      <c r="T772" s="63">
        <v>25.09</v>
      </c>
      <c r="U772" s="62">
        <v>46072.291666666664</v>
      </c>
      <c r="V772" s="63" t="s">
        <v>86</v>
      </c>
      <c r="W772" s="63">
        <v>170.95</v>
      </c>
      <c r="X772" s="63">
        <v>2500</v>
      </c>
      <c r="Y772" s="63" t="s">
        <v>2756</v>
      </c>
    </row>
    <row r="773" spans="1:25" hidden="1">
      <c r="A773" s="62">
        <v>46071.738634259258</v>
      </c>
      <c r="B773" s="63">
        <v>641535</v>
      </c>
      <c r="C773" s="63" t="s">
        <v>275</v>
      </c>
      <c r="D773" s="63"/>
      <c r="E773" s="62">
        <v>46072.772881944446</v>
      </c>
      <c r="F773" s="63" t="s">
        <v>562</v>
      </c>
      <c r="G773" s="63">
        <v>1725280201</v>
      </c>
      <c r="H773" s="63">
        <v>26563652069080</v>
      </c>
      <c r="I773" s="63" t="s">
        <v>2250</v>
      </c>
      <c r="J773" s="63" t="s">
        <v>159</v>
      </c>
      <c r="K773" s="63" t="s">
        <v>2754</v>
      </c>
      <c r="L773" s="63"/>
      <c r="M773" s="63" t="s">
        <v>214</v>
      </c>
      <c r="N773" s="63" t="s">
        <v>84</v>
      </c>
      <c r="O773" s="63" t="s">
        <v>68</v>
      </c>
      <c r="P773" s="63" t="s">
        <v>69</v>
      </c>
      <c r="Q773" s="63">
        <v>4</v>
      </c>
      <c r="R773" s="63">
        <v>0</v>
      </c>
      <c r="S773" s="63" t="s">
        <v>70</v>
      </c>
      <c r="T773" s="63">
        <v>27.282</v>
      </c>
      <c r="U773" s="62">
        <v>46072.291666666664</v>
      </c>
      <c r="V773" s="63" t="s">
        <v>86</v>
      </c>
      <c r="W773" s="63">
        <v>391.01</v>
      </c>
      <c r="X773" s="63">
        <v>2500</v>
      </c>
      <c r="Y773" s="63" t="s">
        <v>2756</v>
      </c>
    </row>
    <row r="774" spans="1:25" hidden="1">
      <c r="A774" s="62">
        <v>46071.738634259258</v>
      </c>
      <c r="B774" s="63">
        <v>641535</v>
      </c>
      <c r="C774" s="63" t="s">
        <v>275</v>
      </c>
      <c r="D774" s="63"/>
      <c r="E774" s="62">
        <v>46072.772881944446</v>
      </c>
      <c r="F774" s="63" t="s">
        <v>562</v>
      </c>
      <c r="G774" s="63">
        <v>1725280201</v>
      </c>
      <c r="H774" s="63">
        <v>26563652069080</v>
      </c>
      <c r="I774" s="63" t="s">
        <v>2250</v>
      </c>
      <c r="J774" s="63" t="s">
        <v>159</v>
      </c>
      <c r="K774" s="63" t="s">
        <v>2754</v>
      </c>
      <c r="L774" s="63"/>
      <c r="M774" s="63" t="s">
        <v>214</v>
      </c>
      <c r="N774" s="63" t="s">
        <v>84</v>
      </c>
      <c r="O774" s="63" t="s">
        <v>163</v>
      </c>
      <c r="P774" s="63" t="s">
        <v>164</v>
      </c>
      <c r="Q774" s="63">
        <v>1</v>
      </c>
      <c r="R774" s="63">
        <v>0</v>
      </c>
      <c r="S774" s="63" t="s">
        <v>76</v>
      </c>
      <c r="T774" s="63">
        <v>27.282</v>
      </c>
      <c r="U774" s="62">
        <v>46072.291666666664</v>
      </c>
      <c r="V774" s="63" t="s">
        <v>86</v>
      </c>
      <c r="W774" s="63">
        <v>391.01</v>
      </c>
      <c r="X774" s="63">
        <v>2500</v>
      </c>
      <c r="Y774" s="63" t="s">
        <v>2756</v>
      </c>
    </row>
    <row r="775" spans="1:25" hidden="1">
      <c r="A775" s="62">
        <v>46071.738634259258</v>
      </c>
      <c r="B775" s="63">
        <v>641535</v>
      </c>
      <c r="C775" s="63" t="s">
        <v>275</v>
      </c>
      <c r="D775" s="63"/>
      <c r="E775" s="62">
        <v>46072.772881944446</v>
      </c>
      <c r="F775" s="63" t="s">
        <v>562</v>
      </c>
      <c r="G775" s="63">
        <v>1725300201</v>
      </c>
      <c r="H775" s="63">
        <v>26563652011677</v>
      </c>
      <c r="I775" s="63" t="s">
        <v>2256</v>
      </c>
      <c r="J775" s="63" t="s">
        <v>159</v>
      </c>
      <c r="K775" s="63" t="s">
        <v>2754</v>
      </c>
      <c r="L775" s="63" t="s">
        <v>2257</v>
      </c>
      <c r="M775" s="63" t="s">
        <v>2249</v>
      </c>
      <c r="N775" s="63" t="s">
        <v>84</v>
      </c>
      <c r="O775" s="63" t="s">
        <v>68</v>
      </c>
      <c r="P775" s="63" t="s">
        <v>69</v>
      </c>
      <c r="Q775" s="63">
        <v>3</v>
      </c>
      <c r="R775" s="63">
        <v>0</v>
      </c>
      <c r="S775" s="63" t="s">
        <v>70</v>
      </c>
      <c r="T775" s="63">
        <v>22.263999999999999</v>
      </c>
      <c r="U775" s="62">
        <v>46072.291666666664</v>
      </c>
      <c r="V775" s="63" t="s">
        <v>86</v>
      </c>
      <c r="W775" s="63">
        <v>356.82</v>
      </c>
      <c r="X775" s="63">
        <v>2500</v>
      </c>
      <c r="Y775" s="63" t="s">
        <v>2756</v>
      </c>
    </row>
    <row r="776" spans="1:25" hidden="1">
      <c r="A776" s="62">
        <v>46071.738634259258</v>
      </c>
      <c r="B776" s="63">
        <v>641535</v>
      </c>
      <c r="C776" s="63" t="s">
        <v>275</v>
      </c>
      <c r="D776" s="63"/>
      <c r="E776" s="62">
        <v>46072.772881944446</v>
      </c>
      <c r="F776" s="63" t="s">
        <v>562</v>
      </c>
      <c r="G776" s="63">
        <v>1725300201</v>
      </c>
      <c r="H776" s="63">
        <v>26563652011677</v>
      </c>
      <c r="I776" s="63" t="s">
        <v>2256</v>
      </c>
      <c r="J776" s="63" t="s">
        <v>159</v>
      </c>
      <c r="K776" s="63" t="s">
        <v>2754</v>
      </c>
      <c r="L776" s="63" t="s">
        <v>2257</v>
      </c>
      <c r="M776" s="63" t="s">
        <v>2249</v>
      </c>
      <c r="N776" s="63" t="s">
        <v>84</v>
      </c>
      <c r="O776" s="63" t="s">
        <v>163</v>
      </c>
      <c r="P776" s="63" t="s">
        <v>164</v>
      </c>
      <c r="Q776" s="63">
        <v>1</v>
      </c>
      <c r="R776" s="63">
        <v>0</v>
      </c>
      <c r="S776" s="63" t="s">
        <v>76</v>
      </c>
      <c r="T776" s="63">
        <v>22.263999999999999</v>
      </c>
      <c r="U776" s="62">
        <v>46072.291666666664</v>
      </c>
      <c r="V776" s="63" t="s">
        <v>86</v>
      </c>
      <c r="W776" s="63">
        <v>356.82</v>
      </c>
      <c r="X776" s="63">
        <v>2500</v>
      </c>
      <c r="Y776" s="63" t="s">
        <v>2756</v>
      </c>
    </row>
    <row r="777" spans="1:25" hidden="1">
      <c r="A777" s="62">
        <v>46071.738634259258</v>
      </c>
      <c r="B777" s="63">
        <v>641535</v>
      </c>
      <c r="C777" s="63" t="s">
        <v>275</v>
      </c>
      <c r="D777" s="63"/>
      <c r="E777" s="62">
        <v>46072.772893518515</v>
      </c>
      <c r="F777" s="63" t="s">
        <v>562</v>
      </c>
      <c r="G777" s="63">
        <v>1722830201</v>
      </c>
      <c r="H777" s="63">
        <v>71676316002351</v>
      </c>
      <c r="I777" s="63" t="s">
        <v>2251</v>
      </c>
      <c r="J777" s="63" t="s">
        <v>2228</v>
      </c>
      <c r="K777" s="63" t="s">
        <v>2754</v>
      </c>
      <c r="L777" s="63" t="s">
        <v>2252</v>
      </c>
      <c r="M777" s="63" t="s">
        <v>207</v>
      </c>
      <c r="N777" s="63" t="s">
        <v>84</v>
      </c>
      <c r="O777" s="63" t="s">
        <v>68</v>
      </c>
      <c r="P777" s="63" t="s">
        <v>69</v>
      </c>
      <c r="Q777" s="63">
        <v>50</v>
      </c>
      <c r="R777" s="63">
        <v>0</v>
      </c>
      <c r="S777" s="63" t="s">
        <v>70</v>
      </c>
      <c r="T777" s="63">
        <v>432.15</v>
      </c>
      <c r="U777" s="62">
        <v>46072.291666666664</v>
      </c>
      <c r="V777" s="63" t="s">
        <v>86</v>
      </c>
      <c r="W777" s="63">
        <v>3568.2</v>
      </c>
      <c r="X777" s="63">
        <v>2500</v>
      </c>
      <c r="Y777" s="63" t="s">
        <v>2756</v>
      </c>
    </row>
    <row r="778" spans="1:25" hidden="1">
      <c r="A778" s="62">
        <v>46071.738634259258</v>
      </c>
      <c r="B778" s="63">
        <v>641535</v>
      </c>
      <c r="C778" s="63" t="s">
        <v>275</v>
      </c>
      <c r="D778" s="63"/>
      <c r="E778" s="62">
        <v>46072.772893518515</v>
      </c>
      <c r="F778" s="63" t="s">
        <v>562</v>
      </c>
      <c r="G778" s="63">
        <v>1722830201</v>
      </c>
      <c r="H778" s="63">
        <v>71676316002351</v>
      </c>
      <c r="I778" s="63" t="s">
        <v>2251</v>
      </c>
      <c r="J778" s="63" t="s">
        <v>2228</v>
      </c>
      <c r="K778" s="63" t="s">
        <v>2754</v>
      </c>
      <c r="L778" s="63" t="s">
        <v>2252</v>
      </c>
      <c r="M778" s="63" t="s">
        <v>207</v>
      </c>
      <c r="N778" s="63" t="s">
        <v>84</v>
      </c>
      <c r="O778" s="63" t="s">
        <v>91</v>
      </c>
      <c r="P778" s="63" t="s">
        <v>92</v>
      </c>
      <c r="Q778" s="63">
        <v>20</v>
      </c>
      <c r="R778" s="63">
        <v>0</v>
      </c>
      <c r="S778" s="63" t="s">
        <v>70</v>
      </c>
      <c r="T778" s="63">
        <v>432.15</v>
      </c>
      <c r="U778" s="62">
        <v>46072.291666666664</v>
      </c>
      <c r="V778" s="63" t="s">
        <v>86</v>
      </c>
      <c r="W778" s="63">
        <v>3568.2</v>
      </c>
      <c r="X778" s="63">
        <v>2500</v>
      </c>
      <c r="Y778" s="63" t="s">
        <v>2756</v>
      </c>
    </row>
    <row r="779" spans="1:25" hidden="1">
      <c r="A779" s="62">
        <v>46071.738634259258</v>
      </c>
      <c r="B779" s="63">
        <v>641535</v>
      </c>
      <c r="C779" s="63" t="s">
        <v>275</v>
      </c>
      <c r="D779" s="63"/>
      <c r="E779" s="62">
        <v>46072.772893518515</v>
      </c>
      <c r="F779" s="63" t="s">
        <v>562</v>
      </c>
      <c r="G779" s="63">
        <v>1722830201</v>
      </c>
      <c r="H779" s="63">
        <v>71676316002351</v>
      </c>
      <c r="I779" s="63" t="s">
        <v>2251</v>
      </c>
      <c r="J779" s="63" t="s">
        <v>2228</v>
      </c>
      <c r="K779" s="63" t="s">
        <v>2754</v>
      </c>
      <c r="L779" s="63" t="s">
        <v>2252</v>
      </c>
      <c r="M779" s="63" t="s">
        <v>207</v>
      </c>
      <c r="N779" s="63" t="s">
        <v>84</v>
      </c>
      <c r="O779" s="63" t="s">
        <v>93</v>
      </c>
      <c r="P779" s="63" t="s">
        <v>94</v>
      </c>
      <c r="Q779" s="63">
        <v>5</v>
      </c>
      <c r="R779" s="63">
        <v>0</v>
      </c>
      <c r="S779" s="63" t="s">
        <v>70</v>
      </c>
      <c r="T779" s="63">
        <v>432.15</v>
      </c>
      <c r="U779" s="62">
        <v>46072.291666666664</v>
      </c>
      <c r="V779" s="63" t="s">
        <v>86</v>
      </c>
      <c r="W779" s="63">
        <v>3568.2</v>
      </c>
      <c r="X779" s="63">
        <v>2500</v>
      </c>
      <c r="Y779" s="63" t="s">
        <v>2756</v>
      </c>
    </row>
    <row r="780" spans="1:25" hidden="1">
      <c r="A780" s="62">
        <v>46071.738634259258</v>
      </c>
      <c r="B780" s="63">
        <v>641535</v>
      </c>
      <c r="C780" s="63" t="s">
        <v>275</v>
      </c>
      <c r="D780" s="63"/>
      <c r="E780" s="62">
        <v>46072.772893518515</v>
      </c>
      <c r="F780" s="63" t="s">
        <v>562</v>
      </c>
      <c r="G780" s="63">
        <v>1722830201</v>
      </c>
      <c r="H780" s="63">
        <v>71676316002351</v>
      </c>
      <c r="I780" s="63" t="s">
        <v>2251</v>
      </c>
      <c r="J780" s="63" t="s">
        <v>2228</v>
      </c>
      <c r="K780" s="63" t="s">
        <v>2754</v>
      </c>
      <c r="L780" s="63" t="s">
        <v>2252</v>
      </c>
      <c r="M780" s="63" t="s">
        <v>207</v>
      </c>
      <c r="N780" s="63" t="s">
        <v>84</v>
      </c>
      <c r="O780" s="63" t="s">
        <v>72</v>
      </c>
      <c r="P780" s="63" t="s">
        <v>73</v>
      </c>
      <c r="Q780" s="63">
        <v>5</v>
      </c>
      <c r="R780" s="63">
        <v>0</v>
      </c>
      <c r="S780" s="63" t="s">
        <v>70</v>
      </c>
      <c r="T780" s="63">
        <v>432.15</v>
      </c>
      <c r="U780" s="62">
        <v>46072.291666666664</v>
      </c>
      <c r="V780" s="63" t="s">
        <v>86</v>
      </c>
      <c r="W780" s="63">
        <v>3568.2</v>
      </c>
      <c r="X780" s="63">
        <v>2500</v>
      </c>
      <c r="Y780" s="63" t="s">
        <v>2756</v>
      </c>
    </row>
    <row r="781" spans="1:25" hidden="1">
      <c r="A781" s="62">
        <v>46071.738634259258</v>
      </c>
      <c r="B781" s="63">
        <v>641535</v>
      </c>
      <c r="C781" s="63" t="s">
        <v>275</v>
      </c>
      <c r="D781" s="63"/>
      <c r="E781" s="62">
        <v>46072.772893518515</v>
      </c>
      <c r="F781" s="63" t="s">
        <v>562</v>
      </c>
      <c r="G781" s="63">
        <v>1722830201</v>
      </c>
      <c r="H781" s="63">
        <v>71676316002351</v>
      </c>
      <c r="I781" s="63" t="s">
        <v>2251</v>
      </c>
      <c r="J781" s="63" t="s">
        <v>2228</v>
      </c>
      <c r="K781" s="63" t="s">
        <v>2754</v>
      </c>
      <c r="L781" s="63" t="s">
        <v>2252</v>
      </c>
      <c r="M781" s="63" t="s">
        <v>207</v>
      </c>
      <c r="N781" s="63" t="s">
        <v>84</v>
      </c>
      <c r="O781" s="63" t="s">
        <v>383</v>
      </c>
      <c r="P781" s="63" t="s">
        <v>384</v>
      </c>
      <c r="Q781" s="63">
        <v>10</v>
      </c>
      <c r="R781" s="63">
        <v>0</v>
      </c>
      <c r="S781" s="63" t="s">
        <v>70</v>
      </c>
      <c r="T781" s="63">
        <v>432.15</v>
      </c>
      <c r="U781" s="62">
        <v>46072.291666666664</v>
      </c>
      <c r="V781" s="63" t="s">
        <v>86</v>
      </c>
      <c r="W781" s="63">
        <v>3568.2</v>
      </c>
      <c r="X781" s="63">
        <v>2500</v>
      </c>
      <c r="Y781" s="63" t="s">
        <v>2756</v>
      </c>
    </row>
    <row r="782" spans="1:25" hidden="1">
      <c r="A782" s="62">
        <v>46071.738634259258</v>
      </c>
      <c r="B782" s="63">
        <v>641535</v>
      </c>
      <c r="C782" s="63" t="s">
        <v>275</v>
      </c>
      <c r="D782" s="63"/>
      <c r="E782" s="62">
        <v>46072.772905092592</v>
      </c>
      <c r="F782" s="63" t="s">
        <v>562</v>
      </c>
      <c r="G782" s="63">
        <v>1725500201</v>
      </c>
      <c r="H782" s="63">
        <v>26563652053671</v>
      </c>
      <c r="I782" s="63" t="s">
        <v>2766</v>
      </c>
      <c r="J782" s="63" t="s">
        <v>159</v>
      </c>
      <c r="K782" s="63" t="s">
        <v>2754</v>
      </c>
      <c r="L782" s="63"/>
      <c r="M782" s="63" t="s">
        <v>2246</v>
      </c>
      <c r="N782" s="63" t="s">
        <v>84</v>
      </c>
      <c r="O782" s="63" t="s">
        <v>68</v>
      </c>
      <c r="P782" s="63" t="s">
        <v>69</v>
      </c>
      <c r="Q782" s="63">
        <v>3</v>
      </c>
      <c r="R782" s="63">
        <v>0</v>
      </c>
      <c r="S782" s="63" t="s">
        <v>70</v>
      </c>
      <c r="T782" s="63">
        <v>30.684000000000001</v>
      </c>
      <c r="U782" s="62">
        <v>46072.291666666664</v>
      </c>
      <c r="V782" s="63" t="s">
        <v>86</v>
      </c>
      <c r="W782" s="63">
        <v>412.58</v>
      </c>
      <c r="X782" s="63">
        <v>2500</v>
      </c>
      <c r="Y782" s="63" t="s">
        <v>2756</v>
      </c>
    </row>
    <row r="783" spans="1:25" hidden="1">
      <c r="A783" s="62">
        <v>46071.738634259258</v>
      </c>
      <c r="B783" s="63">
        <v>641535</v>
      </c>
      <c r="C783" s="63" t="s">
        <v>275</v>
      </c>
      <c r="D783" s="63"/>
      <c r="E783" s="62">
        <v>46072.772905092592</v>
      </c>
      <c r="F783" s="63" t="s">
        <v>562</v>
      </c>
      <c r="G783" s="63">
        <v>1725500201</v>
      </c>
      <c r="H783" s="63">
        <v>26563652053671</v>
      </c>
      <c r="I783" s="63" t="s">
        <v>2766</v>
      </c>
      <c r="J783" s="63" t="s">
        <v>159</v>
      </c>
      <c r="K783" s="63" t="s">
        <v>2754</v>
      </c>
      <c r="L783" s="63"/>
      <c r="M783" s="63" t="s">
        <v>2246</v>
      </c>
      <c r="N783" s="63" t="s">
        <v>84</v>
      </c>
      <c r="O783" s="63" t="s">
        <v>72</v>
      </c>
      <c r="P783" s="63" t="s">
        <v>73</v>
      </c>
      <c r="Q783" s="63">
        <v>1</v>
      </c>
      <c r="R783" s="63">
        <v>0</v>
      </c>
      <c r="S783" s="63" t="s">
        <v>70</v>
      </c>
      <c r="T783" s="63">
        <v>30.684000000000001</v>
      </c>
      <c r="U783" s="62">
        <v>46072.291666666664</v>
      </c>
      <c r="V783" s="63" t="s">
        <v>86</v>
      </c>
      <c r="W783" s="63">
        <v>412.58</v>
      </c>
      <c r="X783" s="63">
        <v>2500</v>
      </c>
      <c r="Y783" s="63" t="s">
        <v>2756</v>
      </c>
    </row>
    <row r="784" spans="1:25" hidden="1">
      <c r="A784" s="62">
        <v>46071.738634259258</v>
      </c>
      <c r="B784" s="63">
        <v>641535</v>
      </c>
      <c r="C784" s="63" t="s">
        <v>275</v>
      </c>
      <c r="D784" s="63"/>
      <c r="E784" s="62">
        <v>46072.772905092592</v>
      </c>
      <c r="F784" s="63" t="s">
        <v>562</v>
      </c>
      <c r="G784" s="63">
        <v>1725500201</v>
      </c>
      <c r="H784" s="63">
        <v>26563652053671</v>
      </c>
      <c r="I784" s="63" t="s">
        <v>2766</v>
      </c>
      <c r="J784" s="63" t="s">
        <v>159</v>
      </c>
      <c r="K784" s="63" t="s">
        <v>2754</v>
      </c>
      <c r="L784" s="63"/>
      <c r="M784" s="63" t="s">
        <v>2246</v>
      </c>
      <c r="N784" s="63" t="s">
        <v>84</v>
      </c>
      <c r="O784" s="63" t="s">
        <v>169</v>
      </c>
      <c r="P784" s="63" t="s">
        <v>170</v>
      </c>
      <c r="Q784" s="63">
        <v>1</v>
      </c>
      <c r="R784" s="63">
        <v>0</v>
      </c>
      <c r="S784" s="63" t="s">
        <v>76</v>
      </c>
      <c r="T784" s="63">
        <v>30.684000000000001</v>
      </c>
      <c r="U784" s="62">
        <v>46072.291666666664</v>
      </c>
      <c r="V784" s="63" t="s">
        <v>86</v>
      </c>
      <c r="W784" s="63">
        <v>412.58</v>
      </c>
      <c r="X784" s="63">
        <v>2500</v>
      </c>
      <c r="Y784" s="63" t="s">
        <v>2756</v>
      </c>
    </row>
    <row r="785" spans="1:25" hidden="1">
      <c r="A785" s="62">
        <v>46071.738634259258</v>
      </c>
      <c r="B785" s="63">
        <v>641535</v>
      </c>
      <c r="C785" s="63" t="s">
        <v>275</v>
      </c>
      <c r="D785" s="63"/>
      <c r="E785" s="62">
        <v>46072.772905092592</v>
      </c>
      <c r="F785" s="63" t="s">
        <v>562</v>
      </c>
      <c r="G785" s="63">
        <v>1725540201</v>
      </c>
      <c r="H785" s="63">
        <v>26563652010867</v>
      </c>
      <c r="I785" s="63" t="s">
        <v>2258</v>
      </c>
      <c r="J785" s="63" t="s">
        <v>159</v>
      </c>
      <c r="K785" s="63" t="s">
        <v>2754</v>
      </c>
      <c r="L785" s="63" t="s">
        <v>2259</v>
      </c>
      <c r="M785" s="63" t="s">
        <v>2246</v>
      </c>
      <c r="N785" s="63" t="s">
        <v>84</v>
      </c>
      <c r="O785" s="63" t="s">
        <v>68</v>
      </c>
      <c r="P785" s="63" t="s">
        <v>69</v>
      </c>
      <c r="Q785" s="63">
        <v>4</v>
      </c>
      <c r="R785" s="63">
        <v>0</v>
      </c>
      <c r="S785" s="63" t="s">
        <v>70</v>
      </c>
      <c r="T785" s="63">
        <v>20.071999999999999</v>
      </c>
      <c r="U785" s="62">
        <v>46072.291666666664</v>
      </c>
      <c r="V785" s="63" t="s">
        <v>86</v>
      </c>
      <c r="W785" s="63">
        <v>136.76</v>
      </c>
      <c r="X785" s="63">
        <v>2500</v>
      </c>
      <c r="Y785" s="63" t="s">
        <v>2756</v>
      </c>
    </row>
    <row r="786" spans="1:25" hidden="1">
      <c r="A786" s="62">
        <v>46071.738634259258</v>
      </c>
      <c r="B786" s="63">
        <v>641536</v>
      </c>
      <c r="C786" s="63" t="s">
        <v>2767</v>
      </c>
      <c r="D786" s="63"/>
      <c r="E786" s="62">
        <v>46072.772835648146</v>
      </c>
      <c r="F786" s="63" t="s">
        <v>158</v>
      </c>
      <c r="G786" s="63">
        <v>1708610201</v>
      </c>
      <c r="H786" s="63">
        <v>67228536002345</v>
      </c>
      <c r="I786" s="63" t="s">
        <v>2768</v>
      </c>
      <c r="J786" s="63" t="s">
        <v>2582</v>
      </c>
      <c r="K786" s="63" t="s">
        <v>64</v>
      </c>
      <c r="L786" s="63" t="s">
        <v>2769</v>
      </c>
      <c r="M786" s="63" t="s">
        <v>2770</v>
      </c>
      <c r="N786" s="63" t="s">
        <v>2771</v>
      </c>
      <c r="O786" s="63" t="s">
        <v>280</v>
      </c>
      <c r="P786" s="63" t="s">
        <v>281</v>
      </c>
      <c r="Q786" s="63">
        <v>2</v>
      </c>
      <c r="R786" s="63">
        <v>0</v>
      </c>
      <c r="S786" s="63" t="s">
        <v>70</v>
      </c>
      <c r="T786" s="63">
        <v>33.76</v>
      </c>
      <c r="U786" s="62">
        <v>46072.291666666664</v>
      </c>
      <c r="V786" s="63" t="s">
        <v>86</v>
      </c>
      <c r="W786" s="63">
        <v>441</v>
      </c>
      <c r="X786" s="63">
        <v>4200</v>
      </c>
      <c r="Y786" s="63" t="s">
        <v>497</v>
      </c>
    </row>
    <row r="787" spans="1:25" hidden="1">
      <c r="A787" s="62">
        <v>46071.738634259258</v>
      </c>
      <c r="B787" s="63">
        <v>641536</v>
      </c>
      <c r="C787" s="63" t="s">
        <v>2767</v>
      </c>
      <c r="D787" s="63"/>
      <c r="E787" s="62">
        <v>46072.772835648146</v>
      </c>
      <c r="F787" s="63" t="s">
        <v>158</v>
      </c>
      <c r="G787" s="63">
        <v>1708610201</v>
      </c>
      <c r="H787" s="63">
        <v>67228536002345</v>
      </c>
      <c r="I787" s="63" t="s">
        <v>2768</v>
      </c>
      <c r="J787" s="63" t="s">
        <v>2582</v>
      </c>
      <c r="K787" s="63" t="s">
        <v>64</v>
      </c>
      <c r="L787" s="63" t="s">
        <v>2769</v>
      </c>
      <c r="M787" s="63" t="s">
        <v>2770</v>
      </c>
      <c r="N787" s="63" t="s">
        <v>2771</v>
      </c>
      <c r="O787" s="63" t="s">
        <v>105</v>
      </c>
      <c r="P787" s="63" t="s">
        <v>106</v>
      </c>
      <c r="Q787" s="63">
        <v>5</v>
      </c>
      <c r="R787" s="63">
        <v>0</v>
      </c>
      <c r="S787" s="63" t="s">
        <v>76</v>
      </c>
      <c r="T787" s="63">
        <v>33.76</v>
      </c>
      <c r="U787" s="62">
        <v>46072.291666666664</v>
      </c>
      <c r="V787" s="63" t="s">
        <v>86</v>
      </c>
      <c r="W787" s="63">
        <v>441</v>
      </c>
      <c r="X787" s="63">
        <v>4200</v>
      </c>
      <c r="Y787" s="63" t="s">
        <v>497</v>
      </c>
    </row>
    <row r="788" spans="1:25" hidden="1">
      <c r="A788" s="62">
        <v>46071.738634259258</v>
      </c>
      <c r="B788" s="63">
        <v>641536</v>
      </c>
      <c r="C788" s="63" t="s">
        <v>2767</v>
      </c>
      <c r="D788" s="63"/>
      <c r="E788" s="62">
        <v>46072.772893518515</v>
      </c>
      <c r="F788" s="63" t="s">
        <v>158</v>
      </c>
      <c r="G788" s="63">
        <v>1722570201</v>
      </c>
      <c r="H788" s="63">
        <v>43462720000181</v>
      </c>
      <c r="I788" s="63" t="s">
        <v>2772</v>
      </c>
      <c r="J788" s="63" t="s">
        <v>2773</v>
      </c>
      <c r="K788" s="63" t="s">
        <v>64</v>
      </c>
      <c r="L788" s="63" t="s">
        <v>2774</v>
      </c>
      <c r="M788" s="63" t="s">
        <v>96</v>
      </c>
      <c r="N788" s="63" t="s">
        <v>2771</v>
      </c>
      <c r="O788" s="63" t="s">
        <v>72</v>
      </c>
      <c r="P788" s="63" t="s">
        <v>73</v>
      </c>
      <c r="Q788" s="63">
        <v>15</v>
      </c>
      <c r="R788" s="63">
        <v>0</v>
      </c>
      <c r="S788" s="63" t="s">
        <v>70</v>
      </c>
      <c r="T788" s="63">
        <v>525.24</v>
      </c>
      <c r="U788" s="62">
        <v>46072.291666666664</v>
      </c>
      <c r="V788" s="63" t="s">
        <v>86</v>
      </c>
      <c r="W788" s="63">
        <v>10982.38</v>
      </c>
      <c r="X788" s="63">
        <v>4200</v>
      </c>
      <c r="Y788" s="63" t="s">
        <v>497</v>
      </c>
    </row>
    <row r="789" spans="1:25" hidden="1">
      <c r="A789" s="62">
        <v>46071.738634259258</v>
      </c>
      <c r="B789" s="63">
        <v>641536</v>
      </c>
      <c r="C789" s="63" t="s">
        <v>2767</v>
      </c>
      <c r="D789" s="63"/>
      <c r="E789" s="62">
        <v>46072.772893518515</v>
      </c>
      <c r="F789" s="63" t="s">
        <v>158</v>
      </c>
      <c r="G789" s="63">
        <v>1722570201</v>
      </c>
      <c r="H789" s="63">
        <v>43462720000181</v>
      </c>
      <c r="I789" s="63" t="s">
        <v>2772</v>
      </c>
      <c r="J789" s="63" t="s">
        <v>2773</v>
      </c>
      <c r="K789" s="63" t="s">
        <v>64</v>
      </c>
      <c r="L789" s="63" t="s">
        <v>2774</v>
      </c>
      <c r="M789" s="63" t="s">
        <v>96</v>
      </c>
      <c r="N789" s="63" t="s">
        <v>2771</v>
      </c>
      <c r="O789" s="63" t="s">
        <v>113</v>
      </c>
      <c r="P789" s="63" t="s">
        <v>114</v>
      </c>
      <c r="Q789" s="63">
        <v>50</v>
      </c>
      <c r="R789" s="63">
        <v>0</v>
      </c>
      <c r="S789" s="63" t="s">
        <v>76</v>
      </c>
      <c r="T789" s="63">
        <v>525.24</v>
      </c>
      <c r="U789" s="62">
        <v>46072.291666666664</v>
      </c>
      <c r="V789" s="63" t="s">
        <v>86</v>
      </c>
      <c r="W789" s="63">
        <v>10982.38</v>
      </c>
      <c r="X789" s="63">
        <v>4200</v>
      </c>
      <c r="Y789" s="63" t="s">
        <v>497</v>
      </c>
    </row>
    <row r="790" spans="1:25" hidden="1">
      <c r="A790" s="62">
        <v>46071.738634259258</v>
      </c>
      <c r="B790" s="63">
        <v>641536</v>
      </c>
      <c r="C790" s="63" t="s">
        <v>2767</v>
      </c>
      <c r="D790" s="63"/>
      <c r="E790" s="62">
        <v>46072.772893518515</v>
      </c>
      <c r="F790" s="63" t="s">
        <v>158</v>
      </c>
      <c r="G790" s="63">
        <v>1722570201</v>
      </c>
      <c r="H790" s="63">
        <v>43462720000181</v>
      </c>
      <c r="I790" s="63" t="s">
        <v>2772</v>
      </c>
      <c r="J790" s="63" t="s">
        <v>2773</v>
      </c>
      <c r="K790" s="63" t="s">
        <v>64</v>
      </c>
      <c r="L790" s="63" t="s">
        <v>2774</v>
      </c>
      <c r="M790" s="63" t="s">
        <v>96</v>
      </c>
      <c r="N790" s="63" t="s">
        <v>2771</v>
      </c>
      <c r="O790" s="63" t="s">
        <v>115</v>
      </c>
      <c r="P790" s="63" t="s">
        <v>116</v>
      </c>
      <c r="Q790" s="63">
        <v>20</v>
      </c>
      <c r="R790" s="63">
        <v>0</v>
      </c>
      <c r="S790" s="63" t="s">
        <v>76</v>
      </c>
      <c r="T790" s="63">
        <v>525.24</v>
      </c>
      <c r="U790" s="62">
        <v>46072.291666666664</v>
      </c>
      <c r="V790" s="63" t="s">
        <v>86</v>
      </c>
      <c r="W790" s="63">
        <v>10982.38</v>
      </c>
      <c r="X790" s="63">
        <v>4200</v>
      </c>
      <c r="Y790" s="63" t="s">
        <v>497</v>
      </c>
    </row>
    <row r="791" spans="1:25" hidden="1">
      <c r="A791" s="62">
        <v>46071.738634259258</v>
      </c>
      <c r="B791" s="63">
        <v>641536</v>
      </c>
      <c r="C791" s="63" t="s">
        <v>2767</v>
      </c>
      <c r="D791" s="63"/>
      <c r="E791" s="62">
        <v>46072.772893518515</v>
      </c>
      <c r="F791" s="63" t="s">
        <v>158</v>
      </c>
      <c r="G791" s="63">
        <v>1722570201</v>
      </c>
      <c r="H791" s="63">
        <v>43462720000181</v>
      </c>
      <c r="I791" s="63" t="s">
        <v>2772</v>
      </c>
      <c r="J791" s="63" t="s">
        <v>2773</v>
      </c>
      <c r="K791" s="63" t="s">
        <v>64</v>
      </c>
      <c r="L791" s="63" t="s">
        <v>2774</v>
      </c>
      <c r="M791" s="63" t="s">
        <v>96</v>
      </c>
      <c r="N791" s="63" t="s">
        <v>2771</v>
      </c>
      <c r="O791" s="63" t="s">
        <v>117</v>
      </c>
      <c r="P791" s="63" t="s">
        <v>118</v>
      </c>
      <c r="Q791" s="63">
        <v>6</v>
      </c>
      <c r="R791" s="63">
        <v>0</v>
      </c>
      <c r="S791" s="63" t="s">
        <v>76</v>
      </c>
      <c r="T791" s="63">
        <v>525.24</v>
      </c>
      <c r="U791" s="62">
        <v>46072.291666666664</v>
      </c>
      <c r="V791" s="63" t="s">
        <v>86</v>
      </c>
      <c r="W791" s="63">
        <v>10982.38</v>
      </c>
      <c r="X791" s="63">
        <v>4200</v>
      </c>
      <c r="Y791" s="63" t="s">
        <v>497</v>
      </c>
    </row>
    <row r="792" spans="1:25" hidden="1">
      <c r="A792" s="62">
        <v>46071.738634259258</v>
      </c>
      <c r="B792" s="63">
        <v>641536</v>
      </c>
      <c r="C792" s="63" t="s">
        <v>2767</v>
      </c>
      <c r="D792" s="63"/>
      <c r="E792" s="62">
        <v>46072.772893518515</v>
      </c>
      <c r="F792" s="63" t="s">
        <v>158</v>
      </c>
      <c r="G792" s="63">
        <v>1722570201</v>
      </c>
      <c r="H792" s="63">
        <v>43462720000181</v>
      </c>
      <c r="I792" s="63" t="s">
        <v>2772</v>
      </c>
      <c r="J792" s="63" t="s">
        <v>2773</v>
      </c>
      <c r="K792" s="63" t="s">
        <v>64</v>
      </c>
      <c r="L792" s="63" t="s">
        <v>2774</v>
      </c>
      <c r="M792" s="63" t="s">
        <v>96</v>
      </c>
      <c r="N792" s="63" t="s">
        <v>2771</v>
      </c>
      <c r="O792" s="63" t="s">
        <v>125</v>
      </c>
      <c r="P792" s="63" t="s">
        <v>126</v>
      </c>
      <c r="Q792" s="63">
        <v>10</v>
      </c>
      <c r="R792" s="63">
        <v>0</v>
      </c>
      <c r="S792" s="63" t="s">
        <v>76</v>
      </c>
      <c r="T792" s="63">
        <v>525.24</v>
      </c>
      <c r="U792" s="62">
        <v>46072.291666666664</v>
      </c>
      <c r="V792" s="63" t="s">
        <v>86</v>
      </c>
      <c r="W792" s="63">
        <v>10982.38</v>
      </c>
      <c r="X792" s="63">
        <v>4200</v>
      </c>
      <c r="Y792" s="63" t="s">
        <v>497</v>
      </c>
    </row>
    <row r="793" spans="1:25" hidden="1">
      <c r="A793" s="62">
        <v>46071.738634259258</v>
      </c>
      <c r="B793" s="63">
        <v>641536</v>
      </c>
      <c r="C793" s="63" t="s">
        <v>2767</v>
      </c>
      <c r="D793" s="63"/>
      <c r="E793" s="62">
        <v>46072.772893518515</v>
      </c>
      <c r="F793" s="63" t="s">
        <v>158</v>
      </c>
      <c r="G793" s="63">
        <v>1722570201</v>
      </c>
      <c r="H793" s="63">
        <v>43462720000181</v>
      </c>
      <c r="I793" s="63" t="s">
        <v>2772</v>
      </c>
      <c r="J793" s="63" t="s">
        <v>2773</v>
      </c>
      <c r="K793" s="63" t="s">
        <v>64</v>
      </c>
      <c r="L793" s="63" t="s">
        <v>2774</v>
      </c>
      <c r="M793" s="63" t="s">
        <v>96</v>
      </c>
      <c r="N793" s="63" t="s">
        <v>2771</v>
      </c>
      <c r="O793" s="63" t="s">
        <v>119</v>
      </c>
      <c r="P793" s="63" t="s">
        <v>120</v>
      </c>
      <c r="Q793" s="63">
        <v>6</v>
      </c>
      <c r="R793" s="63">
        <v>0</v>
      </c>
      <c r="S793" s="63" t="s">
        <v>76</v>
      </c>
      <c r="T793" s="63">
        <v>525.24</v>
      </c>
      <c r="U793" s="62">
        <v>46072.291666666664</v>
      </c>
      <c r="V793" s="63" t="s">
        <v>86</v>
      </c>
      <c r="W793" s="63">
        <v>10982.38</v>
      </c>
      <c r="X793" s="63">
        <v>4200</v>
      </c>
      <c r="Y793" s="63" t="s">
        <v>497</v>
      </c>
    </row>
    <row r="794" spans="1:25" hidden="1">
      <c r="A794" s="62">
        <v>46071.738634259258</v>
      </c>
      <c r="B794" s="63">
        <v>641536</v>
      </c>
      <c r="C794" s="63" t="s">
        <v>2767</v>
      </c>
      <c r="D794" s="63"/>
      <c r="E794" s="62">
        <v>46072.772893518515</v>
      </c>
      <c r="F794" s="63" t="s">
        <v>158</v>
      </c>
      <c r="G794" s="63">
        <v>1722570201</v>
      </c>
      <c r="H794" s="63">
        <v>43462720000181</v>
      </c>
      <c r="I794" s="63" t="s">
        <v>2772</v>
      </c>
      <c r="J794" s="63" t="s">
        <v>2773</v>
      </c>
      <c r="K794" s="63" t="s">
        <v>64</v>
      </c>
      <c r="L794" s="63" t="s">
        <v>2774</v>
      </c>
      <c r="M794" s="63" t="s">
        <v>96</v>
      </c>
      <c r="N794" s="63" t="s">
        <v>2771</v>
      </c>
      <c r="O794" s="63" t="s">
        <v>87</v>
      </c>
      <c r="P794" s="63" t="s">
        <v>88</v>
      </c>
      <c r="Q794" s="63">
        <v>5</v>
      </c>
      <c r="R794" s="63">
        <v>0</v>
      </c>
      <c r="S794" s="63" t="s">
        <v>76</v>
      </c>
      <c r="T794" s="63">
        <v>525.24</v>
      </c>
      <c r="U794" s="62">
        <v>46072.291666666664</v>
      </c>
      <c r="V794" s="63" t="s">
        <v>86</v>
      </c>
      <c r="W794" s="63">
        <v>10982.38</v>
      </c>
      <c r="X794" s="63">
        <v>4200</v>
      </c>
      <c r="Y794" s="63" t="s">
        <v>497</v>
      </c>
    </row>
    <row r="795" spans="1:25" hidden="1">
      <c r="A795" s="62">
        <v>46071.738634259258</v>
      </c>
      <c r="B795" s="63">
        <v>641536</v>
      </c>
      <c r="C795" s="63" t="s">
        <v>2767</v>
      </c>
      <c r="D795" s="63"/>
      <c r="E795" s="62">
        <v>46072.772893518515</v>
      </c>
      <c r="F795" s="63" t="s">
        <v>158</v>
      </c>
      <c r="G795" s="63">
        <v>1722570201</v>
      </c>
      <c r="H795" s="63">
        <v>43462720000181</v>
      </c>
      <c r="I795" s="63" t="s">
        <v>2772</v>
      </c>
      <c r="J795" s="63" t="s">
        <v>2773</v>
      </c>
      <c r="K795" s="63" t="s">
        <v>64</v>
      </c>
      <c r="L795" s="63" t="s">
        <v>2774</v>
      </c>
      <c r="M795" s="63" t="s">
        <v>96</v>
      </c>
      <c r="N795" s="63" t="s">
        <v>2771</v>
      </c>
      <c r="O795" s="63" t="s">
        <v>77</v>
      </c>
      <c r="P795" s="63" t="s">
        <v>78</v>
      </c>
      <c r="Q795" s="63">
        <v>4</v>
      </c>
      <c r="R795" s="63">
        <v>0</v>
      </c>
      <c r="S795" s="63" t="s">
        <v>76</v>
      </c>
      <c r="T795" s="63">
        <v>525.24</v>
      </c>
      <c r="U795" s="62">
        <v>46072.291666666664</v>
      </c>
      <c r="V795" s="63" t="s">
        <v>86</v>
      </c>
      <c r="W795" s="63">
        <v>10982.38</v>
      </c>
      <c r="X795" s="63">
        <v>4200</v>
      </c>
      <c r="Y795" s="63" t="s">
        <v>497</v>
      </c>
    </row>
    <row r="796" spans="1:25" hidden="1">
      <c r="A796" s="62">
        <v>46071.738634259258</v>
      </c>
      <c r="B796" s="63">
        <v>641536</v>
      </c>
      <c r="C796" s="63" t="s">
        <v>2767</v>
      </c>
      <c r="D796" s="63"/>
      <c r="E796" s="62">
        <v>46072.772893518515</v>
      </c>
      <c r="F796" s="63" t="s">
        <v>158</v>
      </c>
      <c r="G796" s="63">
        <v>1722570201</v>
      </c>
      <c r="H796" s="63">
        <v>43462720000181</v>
      </c>
      <c r="I796" s="63" t="s">
        <v>2772</v>
      </c>
      <c r="J796" s="63" t="s">
        <v>2773</v>
      </c>
      <c r="K796" s="63" t="s">
        <v>64</v>
      </c>
      <c r="L796" s="63" t="s">
        <v>2774</v>
      </c>
      <c r="M796" s="63" t="s">
        <v>96</v>
      </c>
      <c r="N796" s="63" t="s">
        <v>2771</v>
      </c>
      <c r="O796" s="63" t="s">
        <v>183</v>
      </c>
      <c r="P796" s="63" t="s">
        <v>184</v>
      </c>
      <c r="Q796" s="63">
        <v>4</v>
      </c>
      <c r="R796" s="63">
        <v>0</v>
      </c>
      <c r="S796" s="63" t="s">
        <v>76</v>
      </c>
      <c r="T796" s="63">
        <v>525.24</v>
      </c>
      <c r="U796" s="62">
        <v>46072.291666666664</v>
      </c>
      <c r="V796" s="63" t="s">
        <v>86</v>
      </c>
      <c r="W796" s="63">
        <v>10982.38</v>
      </c>
      <c r="X796" s="63">
        <v>4200</v>
      </c>
      <c r="Y796" s="63" t="s">
        <v>497</v>
      </c>
    </row>
    <row r="797" spans="1:25" hidden="1">
      <c r="A797" s="62">
        <v>46071.738634259258</v>
      </c>
      <c r="B797" s="63">
        <v>641536</v>
      </c>
      <c r="C797" s="63" t="s">
        <v>2767</v>
      </c>
      <c r="D797" s="63"/>
      <c r="E797" s="62">
        <v>46072.772905092592</v>
      </c>
      <c r="F797" s="63" t="s">
        <v>158</v>
      </c>
      <c r="G797" s="63">
        <v>1722860201</v>
      </c>
      <c r="H797" s="63">
        <v>67228536002345</v>
      </c>
      <c r="I797" s="63" t="s">
        <v>2768</v>
      </c>
      <c r="J797" s="63" t="s">
        <v>2582</v>
      </c>
      <c r="K797" s="63" t="s">
        <v>64</v>
      </c>
      <c r="L797" s="63" t="s">
        <v>2769</v>
      </c>
      <c r="M797" s="63" t="s">
        <v>2770</v>
      </c>
      <c r="N797" s="63" t="s">
        <v>2771</v>
      </c>
      <c r="O797" s="63" t="s">
        <v>113</v>
      </c>
      <c r="P797" s="63" t="s">
        <v>114</v>
      </c>
      <c r="Q797" s="63">
        <v>4</v>
      </c>
      <c r="R797" s="63">
        <v>0</v>
      </c>
      <c r="S797" s="63" t="s">
        <v>76</v>
      </c>
      <c r="T797" s="63">
        <v>54.76</v>
      </c>
      <c r="U797" s="62">
        <v>46072.291666666664</v>
      </c>
      <c r="V797" s="63" t="s">
        <v>86</v>
      </c>
      <c r="W797" s="63">
        <v>1225</v>
      </c>
      <c r="X797" s="63">
        <v>4200</v>
      </c>
      <c r="Y797" s="63" t="s">
        <v>497</v>
      </c>
    </row>
    <row r="798" spans="1:25" hidden="1">
      <c r="A798" s="62">
        <v>46071.738634259258</v>
      </c>
      <c r="B798" s="63">
        <v>641536</v>
      </c>
      <c r="C798" s="63" t="s">
        <v>2767</v>
      </c>
      <c r="D798" s="63"/>
      <c r="E798" s="62">
        <v>46072.772905092592</v>
      </c>
      <c r="F798" s="63" t="s">
        <v>158</v>
      </c>
      <c r="G798" s="63">
        <v>1722860201</v>
      </c>
      <c r="H798" s="63">
        <v>67228536002345</v>
      </c>
      <c r="I798" s="63" t="s">
        <v>2768</v>
      </c>
      <c r="J798" s="63" t="s">
        <v>2582</v>
      </c>
      <c r="K798" s="63" t="s">
        <v>64</v>
      </c>
      <c r="L798" s="63" t="s">
        <v>2769</v>
      </c>
      <c r="M798" s="63" t="s">
        <v>2770</v>
      </c>
      <c r="N798" s="63" t="s">
        <v>2771</v>
      </c>
      <c r="O798" s="63" t="s">
        <v>115</v>
      </c>
      <c r="P798" s="63" t="s">
        <v>116</v>
      </c>
      <c r="Q798" s="63">
        <v>3</v>
      </c>
      <c r="R798" s="63">
        <v>0</v>
      </c>
      <c r="S798" s="63" t="s">
        <v>76</v>
      </c>
      <c r="T798" s="63">
        <v>54.76</v>
      </c>
      <c r="U798" s="62">
        <v>46072.291666666664</v>
      </c>
      <c r="V798" s="63" t="s">
        <v>86</v>
      </c>
      <c r="W798" s="63">
        <v>1225</v>
      </c>
      <c r="X798" s="63">
        <v>4200</v>
      </c>
      <c r="Y798" s="63" t="s">
        <v>497</v>
      </c>
    </row>
    <row r="799" spans="1:25" hidden="1">
      <c r="A799" s="62">
        <v>46071.738634259258</v>
      </c>
      <c r="B799" s="63">
        <v>641536</v>
      </c>
      <c r="C799" s="63" t="s">
        <v>2767</v>
      </c>
      <c r="D799" s="63"/>
      <c r="E799" s="62">
        <v>46072.772905092592</v>
      </c>
      <c r="F799" s="63" t="s">
        <v>158</v>
      </c>
      <c r="G799" s="63">
        <v>1722860201</v>
      </c>
      <c r="H799" s="63">
        <v>67228536002345</v>
      </c>
      <c r="I799" s="63" t="s">
        <v>2768</v>
      </c>
      <c r="J799" s="63" t="s">
        <v>2582</v>
      </c>
      <c r="K799" s="63" t="s">
        <v>64</v>
      </c>
      <c r="L799" s="63" t="s">
        <v>2769</v>
      </c>
      <c r="M799" s="63" t="s">
        <v>2770</v>
      </c>
      <c r="N799" s="63" t="s">
        <v>2771</v>
      </c>
      <c r="O799" s="63" t="s">
        <v>117</v>
      </c>
      <c r="P799" s="63" t="s">
        <v>118</v>
      </c>
      <c r="Q799" s="63">
        <v>1</v>
      </c>
      <c r="R799" s="63">
        <v>0</v>
      </c>
      <c r="S799" s="63" t="s">
        <v>76</v>
      </c>
      <c r="T799" s="63">
        <v>54.76</v>
      </c>
      <c r="U799" s="62">
        <v>46072.291666666664</v>
      </c>
      <c r="V799" s="63" t="s">
        <v>86</v>
      </c>
      <c r="W799" s="63">
        <v>1225</v>
      </c>
      <c r="X799" s="63">
        <v>4200</v>
      </c>
      <c r="Y799" s="63" t="s">
        <v>497</v>
      </c>
    </row>
    <row r="800" spans="1:25" hidden="1">
      <c r="A800" s="62">
        <v>46071.738634259258</v>
      </c>
      <c r="B800" s="63">
        <v>641536</v>
      </c>
      <c r="C800" s="63" t="s">
        <v>2767</v>
      </c>
      <c r="D800" s="63"/>
      <c r="E800" s="62">
        <v>46072.772905092592</v>
      </c>
      <c r="F800" s="63" t="s">
        <v>158</v>
      </c>
      <c r="G800" s="63">
        <v>1722860201</v>
      </c>
      <c r="H800" s="63">
        <v>67228536002345</v>
      </c>
      <c r="I800" s="63" t="s">
        <v>2768</v>
      </c>
      <c r="J800" s="63" t="s">
        <v>2582</v>
      </c>
      <c r="K800" s="63" t="s">
        <v>64</v>
      </c>
      <c r="L800" s="63" t="s">
        <v>2769</v>
      </c>
      <c r="M800" s="63" t="s">
        <v>2770</v>
      </c>
      <c r="N800" s="63" t="s">
        <v>2771</v>
      </c>
      <c r="O800" s="63" t="s">
        <v>125</v>
      </c>
      <c r="P800" s="63" t="s">
        <v>126</v>
      </c>
      <c r="Q800" s="63">
        <v>2</v>
      </c>
      <c r="R800" s="63">
        <v>0</v>
      </c>
      <c r="S800" s="63" t="s">
        <v>76</v>
      </c>
      <c r="T800" s="63">
        <v>54.76</v>
      </c>
      <c r="U800" s="62">
        <v>46072.291666666664</v>
      </c>
      <c r="V800" s="63" t="s">
        <v>86</v>
      </c>
      <c r="W800" s="63">
        <v>1225</v>
      </c>
      <c r="X800" s="63">
        <v>4200</v>
      </c>
      <c r="Y800" s="63" t="s">
        <v>497</v>
      </c>
    </row>
    <row r="801" spans="1:25" hidden="1">
      <c r="A801" s="62">
        <v>46071.738634259258</v>
      </c>
      <c r="B801" s="63">
        <v>641536</v>
      </c>
      <c r="C801" s="63" t="s">
        <v>2767</v>
      </c>
      <c r="D801" s="63"/>
      <c r="E801" s="62">
        <v>46072.772905092592</v>
      </c>
      <c r="F801" s="63" t="s">
        <v>158</v>
      </c>
      <c r="G801" s="63">
        <v>1722860201</v>
      </c>
      <c r="H801" s="63">
        <v>67228536002345</v>
      </c>
      <c r="I801" s="63" t="s">
        <v>2768</v>
      </c>
      <c r="J801" s="63" t="s">
        <v>2582</v>
      </c>
      <c r="K801" s="63" t="s">
        <v>64</v>
      </c>
      <c r="L801" s="63" t="s">
        <v>2769</v>
      </c>
      <c r="M801" s="63" t="s">
        <v>2770</v>
      </c>
      <c r="N801" s="63" t="s">
        <v>2771</v>
      </c>
      <c r="O801" s="63" t="s">
        <v>119</v>
      </c>
      <c r="P801" s="63" t="s">
        <v>120</v>
      </c>
      <c r="Q801" s="63">
        <v>2</v>
      </c>
      <c r="R801" s="63">
        <v>0</v>
      </c>
      <c r="S801" s="63" t="s">
        <v>76</v>
      </c>
      <c r="T801" s="63">
        <v>54.76</v>
      </c>
      <c r="U801" s="62">
        <v>46072.291666666664</v>
      </c>
      <c r="V801" s="63" t="s">
        <v>86</v>
      </c>
      <c r="W801" s="63">
        <v>1225</v>
      </c>
      <c r="X801" s="63">
        <v>4200</v>
      </c>
      <c r="Y801" s="63" t="s">
        <v>497</v>
      </c>
    </row>
    <row r="802" spans="1:25" hidden="1">
      <c r="A802" s="62">
        <v>46071.738634259258</v>
      </c>
      <c r="B802" s="63">
        <v>641536</v>
      </c>
      <c r="C802" s="63" t="s">
        <v>2767</v>
      </c>
      <c r="D802" s="63"/>
      <c r="E802" s="62">
        <v>46072.772905092592</v>
      </c>
      <c r="F802" s="63" t="s">
        <v>158</v>
      </c>
      <c r="G802" s="63">
        <v>1722860201</v>
      </c>
      <c r="H802" s="63">
        <v>67228536002345</v>
      </c>
      <c r="I802" s="63" t="s">
        <v>2768</v>
      </c>
      <c r="J802" s="63" t="s">
        <v>2582</v>
      </c>
      <c r="K802" s="63" t="s">
        <v>64</v>
      </c>
      <c r="L802" s="63" t="s">
        <v>2769</v>
      </c>
      <c r="M802" s="63" t="s">
        <v>2770</v>
      </c>
      <c r="N802" s="63" t="s">
        <v>2771</v>
      </c>
      <c r="O802" s="63" t="s">
        <v>87</v>
      </c>
      <c r="P802" s="63" t="s">
        <v>88</v>
      </c>
      <c r="Q802" s="63">
        <v>1</v>
      </c>
      <c r="R802" s="63">
        <v>0</v>
      </c>
      <c r="S802" s="63" t="s">
        <v>76</v>
      </c>
      <c r="T802" s="63">
        <v>54.76</v>
      </c>
      <c r="U802" s="62">
        <v>46072.291666666664</v>
      </c>
      <c r="V802" s="63" t="s">
        <v>86</v>
      </c>
      <c r="W802" s="63">
        <v>1225</v>
      </c>
      <c r="X802" s="63">
        <v>4200</v>
      </c>
      <c r="Y802" s="63" t="s">
        <v>497</v>
      </c>
    </row>
    <row r="803" spans="1:25" hidden="1">
      <c r="A803" s="62">
        <v>46071.738634259258</v>
      </c>
      <c r="B803" s="63">
        <v>641536</v>
      </c>
      <c r="C803" s="63" t="s">
        <v>2767</v>
      </c>
      <c r="D803" s="63"/>
      <c r="E803" s="62">
        <v>46072.772905092592</v>
      </c>
      <c r="F803" s="63" t="s">
        <v>158</v>
      </c>
      <c r="G803" s="63">
        <v>1722870201</v>
      </c>
      <c r="H803" s="63">
        <v>67228536001616</v>
      </c>
      <c r="I803" s="63" t="s">
        <v>2581</v>
      </c>
      <c r="J803" s="63" t="s">
        <v>2582</v>
      </c>
      <c r="K803" s="63" t="s">
        <v>64</v>
      </c>
      <c r="L803" s="63" t="s">
        <v>2775</v>
      </c>
      <c r="M803" s="63" t="s">
        <v>2776</v>
      </c>
      <c r="N803" s="63" t="s">
        <v>2777</v>
      </c>
      <c r="O803" s="63" t="s">
        <v>113</v>
      </c>
      <c r="P803" s="63" t="s">
        <v>114</v>
      </c>
      <c r="Q803" s="63">
        <v>3</v>
      </c>
      <c r="R803" s="63">
        <v>0</v>
      </c>
      <c r="S803" s="63" t="s">
        <v>76</v>
      </c>
      <c r="T803" s="63">
        <v>43.48</v>
      </c>
      <c r="U803" s="62">
        <v>46072.291666666664</v>
      </c>
      <c r="V803" s="63" t="s">
        <v>86</v>
      </c>
      <c r="W803" s="63">
        <v>995</v>
      </c>
      <c r="X803" s="63">
        <v>4200</v>
      </c>
      <c r="Y803" s="63" t="s">
        <v>497</v>
      </c>
    </row>
    <row r="804" spans="1:25" hidden="1">
      <c r="A804" s="62">
        <v>46071.738634259258</v>
      </c>
      <c r="B804" s="63">
        <v>641536</v>
      </c>
      <c r="C804" s="63" t="s">
        <v>2767</v>
      </c>
      <c r="D804" s="63"/>
      <c r="E804" s="62">
        <v>46072.772905092592</v>
      </c>
      <c r="F804" s="63" t="s">
        <v>158</v>
      </c>
      <c r="G804" s="63">
        <v>1722870201</v>
      </c>
      <c r="H804" s="63">
        <v>67228536001616</v>
      </c>
      <c r="I804" s="63" t="s">
        <v>2581</v>
      </c>
      <c r="J804" s="63" t="s">
        <v>2582</v>
      </c>
      <c r="K804" s="63" t="s">
        <v>64</v>
      </c>
      <c r="L804" s="63" t="s">
        <v>2775</v>
      </c>
      <c r="M804" s="63" t="s">
        <v>2776</v>
      </c>
      <c r="N804" s="63" t="s">
        <v>2777</v>
      </c>
      <c r="O804" s="63" t="s">
        <v>115</v>
      </c>
      <c r="P804" s="63" t="s">
        <v>116</v>
      </c>
      <c r="Q804" s="63">
        <v>2</v>
      </c>
      <c r="R804" s="63">
        <v>0</v>
      </c>
      <c r="S804" s="63" t="s">
        <v>76</v>
      </c>
      <c r="T804" s="63">
        <v>43.48</v>
      </c>
      <c r="U804" s="62">
        <v>46072.291666666664</v>
      </c>
      <c r="V804" s="63" t="s">
        <v>86</v>
      </c>
      <c r="W804" s="63">
        <v>995</v>
      </c>
      <c r="X804" s="63">
        <v>4200</v>
      </c>
      <c r="Y804" s="63" t="s">
        <v>497</v>
      </c>
    </row>
    <row r="805" spans="1:25" hidden="1">
      <c r="A805" s="62">
        <v>46071.738634259258</v>
      </c>
      <c r="B805" s="63">
        <v>641536</v>
      </c>
      <c r="C805" s="63" t="s">
        <v>2767</v>
      </c>
      <c r="D805" s="63"/>
      <c r="E805" s="62">
        <v>46072.772905092592</v>
      </c>
      <c r="F805" s="63" t="s">
        <v>158</v>
      </c>
      <c r="G805" s="63">
        <v>1722870201</v>
      </c>
      <c r="H805" s="63">
        <v>67228536001616</v>
      </c>
      <c r="I805" s="63" t="s">
        <v>2581</v>
      </c>
      <c r="J805" s="63" t="s">
        <v>2582</v>
      </c>
      <c r="K805" s="63" t="s">
        <v>64</v>
      </c>
      <c r="L805" s="63" t="s">
        <v>2775</v>
      </c>
      <c r="M805" s="63" t="s">
        <v>2776</v>
      </c>
      <c r="N805" s="63" t="s">
        <v>2777</v>
      </c>
      <c r="O805" s="63" t="s">
        <v>117</v>
      </c>
      <c r="P805" s="63" t="s">
        <v>118</v>
      </c>
      <c r="Q805" s="63">
        <v>1</v>
      </c>
      <c r="R805" s="63">
        <v>0</v>
      </c>
      <c r="S805" s="63" t="s">
        <v>76</v>
      </c>
      <c r="T805" s="63">
        <v>43.48</v>
      </c>
      <c r="U805" s="62">
        <v>46072.291666666664</v>
      </c>
      <c r="V805" s="63" t="s">
        <v>86</v>
      </c>
      <c r="W805" s="63">
        <v>995</v>
      </c>
      <c r="X805" s="63">
        <v>4200</v>
      </c>
      <c r="Y805" s="63" t="s">
        <v>497</v>
      </c>
    </row>
    <row r="806" spans="1:25" hidden="1">
      <c r="A806" s="62">
        <v>46071.738634259258</v>
      </c>
      <c r="B806" s="63">
        <v>641536</v>
      </c>
      <c r="C806" s="63" t="s">
        <v>2767</v>
      </c>
      <c r="D806" s="63"/>
      <c r="E806" s="62">
        <v>46072.772905092592</v>
      </c>
      <c r="F806" s="63" t="s">
        <v>158</v>
      </c>
      <c r="G806" s="63">
        <v>1722870201</v>
      </c>
      <c r="H806" s="63">
        <v>67228536001616</v>
      </c>
      <c r="I806" s="63" t="s">
        <v>2581</v>
      </c>
      <c r="J806" s="63" t="s">
        <v>2582</v>
      </c>
      <c r="K806" s="63" t="s">
        <v>64</v>
      </c>
      <c r="L806" s="63" t="s">
        <v>2775</v>
      </c>
      <c r="M806" s="63" t="s">
        <v>2776</v>
      </c>
      <c r="N806" s="63" t="s">
        <v>2777</v>
      </c>
      <c r="O806" s="63" t="s">
        <v>119</v>
      </c>
      <c r="P806" s="63" t="s">
        <v>120</v>
      </c>
      <c r="Q806" s="63">
        <v>2</v>
      </c>
      <c r="R806" s="63">
        <v>0</v>
      </c>
      <c r="S806" s="63" t="s">
        <v>76</v>
      </c>
      <c r="T806" s="63">
        <v>43.48</v>
      </c>
      <c r="U806" s="62">
        <v>46072.291666666664</v>
      </c>
      <c r="V806" s="63" t="s">
        <v>86</v>
      </c>
      <c r="W806" s="63">
        <v>995</v>
      </c>
      <c r="X806" s="63">
        <v>4200</v>
      </c>
      <c r="Y806" s="63" t="s">
        <v>497</v>
      </c>
    </row>
    <row r="807" spans="1:25" hidden="1">
      <c r="A807" s="62">
        <v>46071.738634259258</v>
      </c>
      <c r="B807" s="63">
        <v>641536</v>
      </c>
      <c r="C807" s="63" t="s">
        <v>2767</v>
      </c>
      <c r="D807" s="63"/>
      <c r="E807" s="62">
        <v>46072.772905092592</v>
      </c>
      <c r="F807" s="63" t="s">
        <v>158</v>
      </c>
      <c r="G807" s="63">
        <v>1722870201</v>
      </c>
      <c r="H807" s="63">
        <v>67228536001616</v>
      </c>
      <c r="I807" s="63" t="s">
        <v>2581</v>
      </c>
      <c r="J807" s="63" t="s">
        <v>2582</v>
      </c>
      <c r="K807" s="63" t="s">
        <v>64</v>
      </c>
      <c r="L807" s="63" t="s">
        <v>2775</v>
      </c>
      <c r="M807" s="63" t="s">
        <v>2776</v>
      </c>
      <c r="N807" s="63" t="s">
        <v>2777</v>
      </c>
      <c r="O807" s="63" t="s">
        <v>87</v>
      </c>
      <c r="P807" s="63" t="s">
        <v>88</v>
      </c>
      <c r="Q807" s="63">
        <v>1</v>
      </c>
      <c r="R807" s="63">
        <v>0</v>
      </c>
      <c r="S807" s="63" t="s">
        <v>76</v>
      </c>
      <c r="T807" s="63">
        <v>43.48</v>
      </c>
      <c r="U807" s="62">
        <v>46072.291666666664</v>
      </c>
      <c r="V807" s="63" t="s">
        <v>86</v>
      </c>
      <c r="W807" s="63">
        <v>995</v>
      </c>
      <c r="X807" s="63">
        <v>4200</v>
      </c>
      <c r="Y807" s="63" t="s">
        <v>497</v>
      </c>
    </row>
    <row r="808" spans="1:25" hidden="1">
      <c r="A808" s="62">
        <v>46071.738634259258</v>
      </c>
      <c r="B808" s="63">
        <v>641536</v>
      </c>
      <c r="C808" s="63" t="s">
        <v>2767</v>
      </c>
      <c r="D808" s="63"/>
      <c r="E808" s="62">
        <v>46072.772905092592</v>
      </c>
      <c r="F808" s="63" t="s">
        <v>158</v>
      </c>
      <c r="G808" s="63">
        <v>1722870201</v>
      </c>
      <c r="H808" s="63">
        <v>67228536001616</v>
      </c>
      <c r="I808" s="63" t="s">
        <v>2581</v>
      </c>
      <c r="J808" s="63" t="s">
        <v>2582</v>
      </c>
      <c r="K808" s="63" t="s">
        <v>64</v>
      </c>
      <c r="L808" s="63" t="s">
        <v>2775</v>
      </c>
      <c r="M808" s="63" t="s">
        <v>2776</v>
      </c>
      <c r="N808" s="63" t="s">
        <v>2777</v>
      </c>
      <c r="O808" s="63" t="s">
        <v>183</v>
      </c>
      <c r="P808" s="63" t="s">
        <v>184</v>
      </c>
      <c r="Q808" s="63">
        <v>1</v>
      </c>
      <c r="R808" s="63">
        <v>0</v>
      </c>
      <c r="S808" s="63" t="s">
        <v>76</v>
      </c>
      <c r="T808" s="63">
        <v>43.48</v>
      </c>
      <c r="U808" s="62">
        <v>46072.291666666664</v>
      </c>
      <c r="V808" s="63" t="s">
        <v>86</v>
      </c>
      <c r="W808" s="63">
        <v>995</v>
      </c>
      <c r="X808" s="63">
        <v>4200</v>
      </c>
      <c r="Y808" s="63" t="s">
        <v>497</v>
      </c>
    </row>
    <row r="809" spans="1:25" hidden="1">
      <c r="A809" s="62">
        <v>46071.738634259258</v>
      </c>
      <c r="B809" s="63">
        <v>641536</v>
      </c>
      <c r="C809" s="63" t="s">
        <v>2767</v>
      </c>
      <c r="D809" s="63"/>
      <c r="E809" s="62">
        <v>46072.772905092592</v>
      </c>
      <c r="F809" s="63" t="s">
        <v>158</v>
      </c>
      <c r="G809" s="63">
        <v>1722890201</v>
      </c>
      <c r="H809" s="63">
        <v>67228536000725</v>
      </c>
      <c r="I809" s="63" t="s">
        <v>2581</v>
      </c>
      <c r="J809" s="63" t="s">
        <v>2582</v>
      </c>
      <c r="K809" s="63" t="s">
        <v>64</v>
      </c>
      <c r="L809" s="63" t="s">
        <v>2778</v>
      </c>
      <c r="M809" s="63" t="s">
        <v>2779</v>
      </c>
      <c r="N809" s="63" t="s">
        <v>2780</v>
      </c>
      <c r="O809" s="63" t="s">
        <v>113</v>
      </c>
      <c r="P809" s="63" t="s">
        <v>114</v>
      </c>
      <c r="Q809" s="63">
        <v>2</v>
      </c>
      <c r="R809" s="63">
        <v>0</v>
      </c>
      <c r="S809" s="63" t="s">
        <v>76</v>
      </c>
      <c r="T809" s="63">
        <v>21.64</v>
      </c>
      <c r="U809" s="62">
        <v>46072.291666666664</v>
      </c>
      <c r="V809" s="63" t="s">
        <v>86</v>
      </c>
      <c r="W809" s="63">
        <v>490</v>
      </c>
      <c r="X809" s="63">
        <v>4200</v>
      </c>
      <c r="Y809" s="63" t="s">
        <v>497</v>
      </c>
    </row>
    <row r="810" spans="1:25" hidden="1">
      <c r="A810" s="62">
        <v>46071.738634259258</v>
      </c>
      <c r="B810" s="63">
        <v>641536</v>
      </c>
      <c r="C810" s="63" t="s">
        <v>2767</v>
      </c>
      <c r="D810" s="63"/>
      <c r="E810" s="62">
        <v>46072.772905092592</v>
      </c>
      <c r="F810" s="63" t="s">
        <v>158</v>
      </c>
      <c r="G810" s="63">
        <v>1722890201</v>
      </c>
      <c r="H810" s="63">
        <v>67228536000725</v>
      </c>
      <c r="I810" s="63" t="s">
        <v>2581</v>
      </c>
      <c r="J810" s="63" t="s">
        <v>2582</v>
      </c>
      <c r="K810" s="63" t="s">
        <v>64</v>
      </c>
      <c r="L810" s="63" t="s">
        <v>2778</v>
      </c>
      <c r="M810" s="63" t="s">
        <v>2779</v>
      </c>
      <c r="N810" s="63" t="s">
        <v>2780</v>
      </c>
      <c r="O810" s="63" t="s">
        <v>115</v>
      </c>
      <c r="P810" s="63" t="s">
        <v>116</v>
      </c>
      <c r="Q810" s="63">
        <v>1</v>
      </c>
      <c r="R810" s="63">
        <v>0</v>
      </c>
      <c r="S810" s="63" t="s">
        <v>76</v>
      </c>
      <c r="T810" s="63">
        <v>21.64</v>
      </c>
      <c r="U810" s="62">
        <v>46072.291666666664</v>
      </c>
      <c r="V810" s="63" t="s">
        <v>86</v>
      </c>
      <c r="W810" s="63">
        <v>490</v>
      </c>
      <c r="X810" s="63">
        <v>4200</v>
      </c>
      <c r="Y810" s="63" t="s">
        <v>497</v>
      </c>
    </row>
    <row r="811" spans="1:25" hidden="1">
      <c r="A811" s="62">
        <v>46071.738634259258</v>
      </c>
      <c r="B811" s="63">
        <v>641536</v>
      </c>
      <c r="C811" s="63" t="s">
        <v>2767</v>
      </c>
      <c r="D811" s="63"/>
      <c r="E811" s="62">
        <v>46072.772905092592</v>
      </c>
      <c r="F811" s="63" t="s">
        <v>158</v>
      </c>
      <c r="G811" s="63">
        <v>1722890201</v>
      </c>
      <c r="H811" s="63">
        <v>67228536000725</v>
      </c>
      <c r="I811" s="63" t="s">
        <v>2581</v>
      </c>
      <c r="J811" s="63" t="s">
        <v>2582</v>
      </c>
      <c r="K811" s="63" t="s">
        <v>64</v>
      </c>
      <c r="L811" s="63" t="s">
        <v>2778</v>
      </c>
      <c r="M811" s="63" t="s">
        <v>2779</v>
      </c>
      <c r="N811" s="63" t="s">
        <v>2780</v>
      </c>
      <c r="O811" s="63" t="s">
        <v>119</v>
      </c>
      <c r="P811" s="63" t="s">
        <v>120</v>
      </c>
      <c r="Q811" s="63">
        <v>1</v>
      </c>
      <c r="R811" s="63">
        <v>0</v>
      </c>
      <c r="S811" s="63" t="s">
        <v>76</v>
      </c>
      <c r="T811" s="63">
        <v>21.64</v>
      </c>
      <c r="U811" s="62">
        <v>46072.291666666664</v>
      </c>
      <c r="V811" s="63" t="s">
        <v>86</v>
      </c>
      <c r="W811" s="63">
        <v>490</v>
      </c>
      <c r="X811" s="63">
        <v>4200</v>
      </c>
      <c r="Y811" s="63" t="s">
        <v>497</v>
      </c>
    </row>
    <row r="812" spans="1:25" hidden="1">
      <c r="A812" s="62">
        <v>46071.738634259258</v>
      </c>
      <c r="B812" s="63">
        <v>641536</v>
      </c>
      <c r="C812" s="63" t="s">
        <v>2767</v>
      </c>
      <c r="D812" s="63"/>
      <c r="E812" s="62">
        <v>46072.772905092592</v>
      </c>
      <c r="F812" s="63" t="s">
        <v>158</v>
      </c>
      <c r="G812" s="63">
        <v>1722890201</v>
      </c>
      <c r="H812" s="63">
        <v>67228536000725</v>
      </c>
      <c r="I812" s="63" t="s">
        <v>2581</v>
      </c>
      <c r="J812" s="63" t="s">
        <v>2582</v>
      </c>
      <c r="K812" s="63" t="s">
        <v>64</v>
      </c>
      <c r="L812" s="63" t="s">
        <v>2778</v>
      </c>
      <c r="M812" s="63" t="s">
        <v>2779</v>
      </c>
      <c r="N812" s="63" t="s">
        <v>2780</v>
      </c>
      <c r="O812" s="63" t="s">
        <v>183</v>
      </c>
      <c r="P812" s="63" t="s">
        <v>184</v>
      </c>
      <c r="Q812" s="63">
        <v>1</v>
      </c>
      <c r="R812" s="63">
        <v>0</v>
      </c>
      <c r="S812" s="63" t="s">
        <v>76</v>
      </c>
      <c r="T812" s="63">
        <v>21.64</v>
      </c>
      <c r="U812" s="62">
        <v>46072.291666666664</v>
      </c>
      <c r="V812" s="63" t="s">
        <v>86</v>
      </c>
      <c r="W812" s="63">
        <v>490</v>
      </c>
      <c r="X812" s="63">
        <v>4200</v>
      </c>
      <c r="Y812" s="63" t="s">
        <v>497</v>
      </c>
    </row>
    <row r="813" spans="1:25" hidden="1">
      <c r="A813" s="62">
        <v>46071.738634259258</v>
      </c>
      <c r="B813" s="63">
        <v>641536</v>
      </c>
      <c r="C813" s="63" t="s">
        <v>2767</v>
      </c>
      <c r="D813" s="63"/>
      <c r="E813" s="62">
        <v>46072.772905092592</v>
      </c>
      <c r="F813" s="63" t="s">
        <v>158</v>
      </c>
      <c r="G813" s="63">
        <v>1722900201</v>
      </c>
      <c r="H813" s="63">
        <v>67228536000563</v>
      </c>
      <c r="I813" s="63" t="s">
        <v>2581</v>
      </c>
      <c r="J813" s="63" t="s">
        <v>2582</v>
      </c>
      <c r="K813" s="63" t="s">
        <v>64</v>
      </c>
      <c r="L813" s="63" t="s">
        <v>2781</v>
      </c>
      <c r="M813" s="63" t="s">
        <v>2782</v>
      </c>
      <c r="N813" s="63" t="s">
        <v>2777</v>
      </c>
      <c r="O813" s="63" t="s">
        <v>87</v>
      </c>
      <c r="P813" s="63" t="s">
        <v>88</v>
      </c>
      <c r="Q813" s="63">
        <v>1</v>
      </c>
      <c r="R813" s="63">
        <v>0</v>
      </c>
      <c r="S813" s="63" t="s">
        <v>76</v>
      </c>
      <c r="T813" s="63">
        <v>4.96</v>
      </c>
      <c r="U813" s="62">
        <v>46072.291666666664</v>
      </c>
      <c r="V813" s="63" t="s">
        <v>86</v>
      </c>
      <c r="W813" s="63">
        <v>130</v>
      </c>
      <c r="X813" s="63">
        <v>4200</v>
      </c>
      <c r="Y813" s="63" t="s">
        <v>497</v>
      </c>
    </row>
    <row r="814" spans="1:25" hidden="1">
      <c r="A814" s="62">
        <v>46071.738634259258</v>
      </c>
      <c r="B814" s="63">
        <v>641536</v>
      </c>
      <c r="C814" s="63" t="s">
        <v>2767</v>
      </c>
      <c r="D814" s="63"/>
      <c r="E814" s="62">
        <v>46072.772951388892</v>
      </c>
      <c r="F814" s="63" t="s">
        <v>158</v>
      </c>
      <c r="G814" s="63">
        <v>1724770201</v>
      </c>
      <c r="H814" s="63">
        <v>67228536001616</v>
      </c>
      <c r="I814" s="63" t="s">
        <v>2581</v>
      </c>
      <c r="J814" s="63" t="s">
        <v>2582</v>
      </c>
      <c r="K814" s="63" t="s">
        <v>64</v>
      </c>
      <c r="L814" s="63" t="s">
        <v>2775</v>
      </c>
      <c r="M814" s="63" t="s">
        <v>2776</v>
      </c>
      <c r="N814" s="63" t="s">
        <v>2777</v>
      </c>
      <c r="O814" s="63" t="s">
        <v>68</v>
      </c>
      <c r="P814" s="63" t="s">
        <v>69</v>
      </c>
      <c r="Q814" s="63">
        <v>20</v>
      </c>
      <c r="R814" s="63">
        <v>0</v>
      </c>
      <c r="S814" s="63" t="s">
        <v>70</v>
      </c>
      <c r="T814" s="63">
        <v>145.36000000000001</v>
      </c>
      <c r="U814" s="62">
        <v>46072.291666666664</v>
      </c>
      <c r="V814" s="63" t="s">
        <v>86</v>
      </c>
      <c r="W814" s="63">
        <v>1247.75</v>
      </c>
      <c r="X814" s="63">
        <v>4200</v>
      </c>
      <c r="Y814" s="63" t="s">
        <v>497</v>
      </c>
    </row>
    <row r="815" spans="1:25" hidden="1">
      <c r="A815" s="62">
        <v>46071.738634259258</v>
      </c>
      <c r="B815" s="63">
        <v>641536</v>
      </c>
      <c r="C815" s="63" t="s">
        <v>2767</v>
      </c>
      <c r="D815" s="63"/>
      <c r="E815" s="62">
        <v>46072.772951388892</v>
      </c>
      <c r="F815" s="63" t="s">
        <v>158</v>
      </c>
      <c r="G815" s="63">
        <v>1724770201</v>
      </c>
      <c r="H815" s="63">
        <v>67228536001616</v>
      </c>
      <c r="I815" s="63" t="s">
        <v>2581</v>
      </c>
      <c r="J815" s="63" t="s">
        <v>2582</v>
      </c>
      <c r="K815" s="63" t="s">
        <v>64</v>
      </c>
      <c r="L815" s="63" t="s">
        <v>2775</v>
      </c>
      <c r="M815" s="63" t="s">
        <v>2776</v>
      </c>
      <c r="N815" s="63" t="s">
        <v>2777</v>
      </c>
      <c r="O815" s="63" t="s">
        <v>93</v>
      </c>
      <c r="P815" s="63" t="s">
        <v>94</v>
      </c>
      <c r="Q815" s="63">
        <v>3</v>
      </c>
      <c r="R815" s="63">
        <v>0</v>
      </c>
      <c r="S815" s="63" t="s">
        <v>70</v>
      </c>
      <c r="T815" s="63">
        <v>145.36000000000001</v>
      </c>
      <c r="U815" s="62">
        <v>46072.291666666664</v>
      </c>
      <c r="V815" s="63" t="s">
        <v>86</v>
      </c>
      <c r="W815" s="63">
        <v>1247.75</v>
      </c>
      <c r="X815" s="63">
        <v>4200</v>
      </c>
      <c r="Y815" s="63" t="s">
        <v>497</v>
      </c>
    </row>
    <row r="816" spans="1:25" hidden="1">
      <c r="A816" s="62">
        <v>46071.738634259258</v>
      </c>
      <c r="B816" s="63">
        <v>641536</v>
      </c>
      <c r="C816" s="63" t="s">
        <v>2767</v>
      </c>
      <c r="D816" s="63"/>
      <c r="E816" s="62">
        <v>46072.772951388892</v>
      </c>
      <c r="F816" s="63" t="s">
        <v>158</v>
      </c>
      <c r="G816" s="63">
        <v>1724770201</v>
      </c>
      <c r="H816" s="63">
        <v>67228536001616</v>
      </c>
      <c r="I816" s="63" t="s">
        <v>2581</v>
      </c>
      <c r="J816" s="63" t="s">
        <v>2582</v>
      </c>
      <c r="K816" s="63" t="s">
        <v>64</v>
      </c>
      <c r="L816" s="63" t="s">
        <v>2775</v>
      </c>
      <c r="M816" s="63" t="s">
        <v>2776</v>
      </c>
      <c r="N816" s="63" t="s">
        <v>2777</v>
      </c>
      <c r="O816" s="63" t="s">
        <v>74</v>
      </c>
      <c r="P816" s="63" t="s">
        <v>75</v>
      </c>
      <c r="Q816" s="63">
        <v>3</v>
      </c>
      <c r="R816" s="63">
        <v>0</v>
      </c>
      <c r="S816" s="63" t="s">
        <v>76</v>
      </c>
      <c r="T816" s="63">
        <v>145.36000000000001</v>
      </c>
      <c r="U816" s="62">
        <v>46072.291666666664</v>
      </c>
      <c r="V816" s="63" t="s">
        <v>86</v>
      </c>
      <c r="W816" s="63">
        <v>1247.75</v>
      </c>
      <c r="X816" s="63">
        <v>4200</v>
      </c>
      <c r="Y816" s="63" t="s">
        <v>497</v>
      </c>
    </row>
    <row r="817" spans="1:25" hidden="1">
      <c r="A817" s="62">
        <v>46071.738634259258</v>
      </c>
      <c r="B817" s="63">
        <v>641536</v>
      </c>
      <c r="C817" s="63" t="s">
        <v>2767</v>
      </c>
      <c r="D817" s="63"/>
      <c r="E817" s="62">
        <v>46072.772974537038</v>
      </c>
      <c r="F817" s="63" t="s">
        <v>158</v>
      </c>
      <c r="G817" s="63">
        <v>1726160201</v>
      </c>
      <c r="H817" s="63">
        <v>67228536000725</v>
      </c>
      <c r="I817" s="63" t="s">
        <v>2581</v>
      </c>
      <c r="J817" s="63" t="s">
        <v>2582</v>
      </c>
      <c r="K817" s="63" t="s">
        <v>64</v>
      </c>
      <c r="L817" s="63" t="s">
        <v>2778</v>
      </c>
      <c r="M817" s="63" t="s">
        <v>2779</v>
      </c>
      <c r="N817" s="63" t="s">
        <v>2780</v>
      </c>
      <c r="O817" s="63" t="s">
        <v>68</v>
      </c>
      <c r="P817" s="63" t="s">
        <v>69</v>
      </c>
      <c r="Q817" s="63">
        <v>13</v>
      </c>
      <c r="R817" s="63">
        <v>0</v>
      </c>
      <c r="S817" s="63" t="s">
        <v>70</v>
      </c>
      <c r="T817" s="63">
        <v>65.233999999999995</v>
      </c>
      <c r="U817" s="62">
        <v>46072.291666666664</v>
      </c>
      <c r="V817" s="63" t="s">
        <v>86</v>
      </c>
      <c r="W817" s="63">
        <v>442</v>
      </c>
      <c r="X817" s="63">
        <v>4200</v>
      </c>
      <c r="Y817" s="63" t="s">
        <v>497</v>
      </c>
    </row>
    <row r="818" spans="1:25" hidden="1">
      <c r="A818" s="62">
        <v>46071.738634259258</v>
      </c>
      <c r="B818" s="63">
        <v>641536</v>
      </c>
      <c r="C818" s="63" t="s">
        <v>2767</v>
      </c>
      <c r="D818" s="63"/>
      <c r="E818" s="62">
        <v>46072.772974537038</v>
      </c>
      <c r="F818" s="63" t="s">
        <v>158</v>
      </c>
      <c r="G818" s="63">
        <v>1726670201</v>
      </c>
      <c r="H818" s="63">
        <v>67228536000563</v>
      </c>
      <c r="I818" s="63" t="s">
        <v>2581</v>
      </c>
      <c r="J818" s="63" t="s">
        <v>2582</v>
      </c>
      <c r="K818" s="63" t="s">
        <v>64</v>
      </c>
      <c r="L818" s="63" t="s">
        <v>2781</v>
      </c>
      <c r="M818" s="63" t="s">
        <v>2782</v>
      </c>
      <c r="N818" s="63" t="s">
        <v>2777</v>
      </c>
      <c r="O818" s="63" t="s">
        <v>68</v>
      </c>
      <c r="P818" s="63" t="s">
        <v>69</v>
      </c>
      <c r="Q818" s="63">
        <v>63</v>
      </c>
      <c r="R818" s="63">
        <v>0</v>
      </c>
      <c r="S818" s="63" t="s">
        <v>70</v>
      </c>
      <c r="T818" s="63">
        <v>316.13400000000001</v>
      </c>
      <c r="U818" s="62">
        <v>46072.291666666664</v>
      </c>
      <c r="V818" s="63" t="s">
        <v>86</v>
      </c>
      <c r="W818" s="63">
        <v>2142</v>
      </c>
      <c r="X818" s="63">
        <v>4200</v>
      </c>
      <c r="Y818" s="63" t="s">
        <v>497</v>
      </c>
    </row>
    <row r="819" spans="1:25" hidden="1">
      <c r="A819" s="62">
        <v>46071.738634259258</v>
      </c>
      <c r="B819" s="63">
        <v>641536</v>
      </c>
      <c r="C819" s="63" t="s">
        <v>2767</v>
      </c>
      <c r="D819" s="63"/>
      <c r="E819" s="62">
        <v>46072.772974537038</v>
      </c>
      <c r="F819" s="63" t="s">
        <v>158</v>
      </c>
      <c r="G819" s="63">
        <v>1726680201</v>
      </c>
      <c r="H819" s="63">
        <v>67228536000563</v>
      </c>
      <c r="I819" s="63" t="s">
        <v>2581</v>
      </c>
      <c r="J819" s="63" t="s">
        <v>2582</v>
      </c>
      <c r="K819" s="63" t="s">
        <v>64</v>
      </c>
      <c r="L819" s="63" t="s">
        <v>2781</v>
      </c>
      <c r="M819" s="63" t="s">
        <v>2782</v>
      </c>
      <c r="N819" s="63" t="s">
        <v>2777</v>
      </c>
      <c r="O819" s="63" t="s">
        <v>68</v>
      </c>
      <c r="P819" s="63" t="s">
        <v>69</v>
      </c>
      <c r="Q819" s="63">
        <v>27</v>
      </c>
      <c r="R819" s="63">
        <v>0</v>
      </c>
      <c r="S819" s="63" t="s">
        <v>70</v>
      </c>
      <c r="T819" s="63">
        <v>150.48599999999999</v>
      </c>
      <c r="U819" s="62">
        <v>46072.291666666664</v>
      </c>
      <c r="V819" s="63" t="s">
        <v>86</v>
      </c>
      <c r="W819" s="63">
        <v>1035.75</v>
      </c>
      <c r="X819" s="63">
        <v>4200</v>
      </c>
      <c r="Y819" s="63" t="s">
        <v>497</v>
      </c>
    </row>
    <row r="820" spans="1:25" hidden="1">
      <c r="A820" s="62">
        <v>46071.738634259258</v>
      </c>
      <c r="B820" s="63">
        <v>641536</v>
      </c>
      <c r="C820" s="63" t="s">
        <v>2767</v>
      </c>
      <c r="D820" s="63"/>
      <c r="E820" s="62">
        <v>46072.772974537038</v>
      </c>
      <c r="F820" s="63" t="s">
        <v>158</v>
      </c>
      <c r="G820" s="63">
        <v>1726680201</v>
      </c>
      <c r="H820" s="63">
        <v>67228536000563</v>
      </c>
      <c r="I820" s="63" t="s">
        <v>2581</v>
      </c>
      <c r="J820" s="63" t="s">
        <v>2582</v>
      </c>
      <c r="K820" s="63" t="s">
        <v>64</v>
      </c>
      <c r="L820" s="63" t="s">
        <v>2781</v>
      </c>
      <c r="M820" s="63" t="s">
        <v>2782</v>
      </c>
      <c r="N820" s="63" t="s">
        <v>2777</v>
      </c>
      <c r="O820" s="63" t="s">
        <v>93</v>
      </c>
      <c r="P820" s="63" t="s">
        <v>94</v>
      </c>
      <c r="Q820" s="63">
        <v>3</v>
      </c>
      <c r="R820" s="63">
        <v>0</v>
      </c>
      <c r="S820" s="63" t="s">
        <v>70</v>
      </c>
      <c r="T820" s="63">
        <v>150.48599999999999</v>
      </c>
      <c r="U820" s="62">
        <v>46072.291666666664</v>
      </c>
      <c r="V820" s="63" t="s">
        <v>86</v>
      </c>
      <c r="W820" s="63">
        <v>1035.75</v>
      </c>
      <c r="X820" s="63">
        <v>4200</v>
      </c>
      <c r="Y820" s="63" t="s">
        <v>497</v>
      </c>
    </row>
    <row r="821" spans="1:25" hidden="1">
      <c r="A821" s="62">
        <v>46071.738634259258</v>
      </c>
      <c r="B821" s="63">
        <v>641536</v>
      </c>
      <c r="C821" s="63" t="s">
        <v>2767</v>
      </c>
      <c r="D821" s="63"/>
      <c r="E821" s="62">
        <v>46072.772974537038</v>
      </c>
      <c r="F821" s="63" t="s">
        <v>158</v>
      </c>
      <c r="G821" s="63">
        <v>1726690201</v>
      </c>
      <c r="H821" s="63">
        <v>67228536000725</v>
      </c>
      <c r="I821" s="63" t="s">
        <v>2581</v>
      </c>
      <c r="J821" s="63" t="s">
        <v>2582</v>
      </c>
      <c r="K821" s="63" t="s">
        <v>64</v>
      </c>
      <c r="L821" s="63" t="s">
        <v>2778</v>
      </c>
      <c r="M821" s="63" t="s">
        <v>2779</v>
      </c>
      <c r="N821" s="63" t="s">
        <v>2780</v>
      </c>
      <c r="O821" s="63" t="s">
        <v>68</v>
      </c>
      <c r="P821" s="63" t="s">
        <v>69</v>
      </c>
      <c r="Q821" s="63">
        <v>177</v>
      </c>
      <c r="R821" s="63">
        <v>0</v>
      </c>
      <c r="S821" s="63" t="s">
        <v>70</v>
      </c>
      <c r="T821" s="63">
        <v>903.18600000000004</v>
      </c>
      <c r="U821" s="62">
        <v>46072.291666666664</v>
      </c>
      <c r="V821" s="63" t="s">
        <v>86</v>
      </c>
      <c r="W821" s="63">
        <v>6135.75</v>
      </c>
      <c r="X821" s="63">
        <v>4200</v>
      </c>
      <c r="Y821" s="63" t="s">
        <v>497</v>
      </c>
    </row>
    <row r="822" spans="1:25" hidden="1">
      <c r="A822" s="62">
        <v>46071.738634259258</v>
      </c>
      <c r="B822" s="63">
        <v>641536</v>
      </c>
      <c r="C822" s="63" t="s">
        <v>2767</v>
      </c>
      <c r="D822" s="63"/>
      <c r="E822" s="62">
        <v>46072.772974537038</v>
      </c>
      <c r="F822" s="63" t="s">
        <v>158</v>
      </c>
      <c r="G822" s="63">
        <v>1726690201</v>
      </c>
      <c r="H822" s="63">
        <v>67228536000725</v>
      </c>
      <c r="I822" s="63" t="s">
        <v>2581</v>
      </c>
      <c r="J822" s="63" t="s">
        <v>2582</v>
      </c>
      <c r="K822" s="63" t="s">
        <v>64</v>
      </c>
      <c r="L822" s="63" t="s">
        <v>2778</v>
      </c>
      <c r="M822" s="63" t="s">
        <v>2779</v>
      </c>
      <c r="N822" s="63" t="s">
        <v>2780</v>
      </c>
      <c r="O822" s="63" t="s">
        <v>93</v>
      </c>
      <c r="P822" s="63" t="s">
        <v>94</v>
      </c>
      <c r="Q822" s="63">
        <v>2</v>
      </c>
      <c r="R822" s="63">
        <v>0</v>
      </c>
      <c r="S822" s="63" t="s">
        <v>70</v>
      </c>
      <c r="T822" s="63">
        <v>903.18600000000004</v>
      </c>
      <c r="U822" s="62">
        <v>46072.291666666664</v>
      </c>
      <c r="V822" s="63" t="s">
        <v>86</v>
      </c>
      <c r="W822" s="63">
        <v>6135.75</v>
      </c>
      <c r="X822" s="63">
        <v>4200</v>
      </c>
      <c r="Y822" s="63" t="s">
        <v>497</v>
      </c>
    </row>
    <row r="823" spans="1:25" hidden="1">
      <c r="A823" s="62">
        <v>46071.738634259258</v>
      </c>
      <c r="B823" s="63">
        <v>641536</v>
      </c>
      <c r="C823" s="63" t="s">
        <v>2767</v>
      </c>
      <c r="D823" s="63"/>
      <c r="E823" s="62">
        <v>46072.772974537038</v>
      </c>
      <c r="F823" s="63" t="s">
        <v>158</v>
      </c>
      <c r="G823" s="63">
        <v>1726690201</v>
      </c>
      <c r="H823" s="63">
        <v>67228536000725</v>
      </c>
      <c r="I823" s="63" t="s">
        <v>2581</v>
      </c>
      <c r="J823" s="63" t="s">
        <v>2582</v>
      </c>
      <c r="K823" s="63" t="s">
        <v>64</v>
      </c>
      <c r="L823" s="63" t="s">
        <v>2778</v>
      </c>
      <c r="M823" s="63" t="s">
        <v>2779</v>
      </c>
      <c r="N823" s="63" t="s">
        <v>2780</v>
      </c>
      <c r="O823" s="63" t="s">
        <v>72</v>
      </c>
      <c r="P823" s="63" t="s">
        <v>73</v>
      </c>
      <c r="Q823" s="63">
        <v>1</v>
      </c>
      <c r="R823" s="63">
        <v>0</v>
      </c>
      <c r="S823" s="63" t="s">
        <v>70</v>
      </c>
      <c r="T823" s="63">
        <v>903.18600000000004</v>
      </c>
      <c r="U823" s="62">
        <v>46072.291666666664</v>
      </c>
      <c r="V823" s="63" t="s">
        <v>86</v>
      </c>
      <c r="W823" s="63">
        <v>6135.75</v>
      </c>
      <c r="X823" s="63">
        <v>4200</v>
      </c>
      <c r="Y823" s="63" t="s">
        <v>497</v>
      </c>
    </row>
    <row r="824" spans="1:25" hidden="1">
      <c r="A824" s="62">
        <v>46071.738634259258</v>
      </c>
      <c r="B824" s="63">
        <v>641536</v>
      </c>
      <c r="C824" s="63" t="s">
        <v>2767</v>
      </c>
      <c r="D824" s="63"/>
      <c r="E824" s="62">
        <v>46072.772974537038</v>
      </c>
      <c r="F824" s="63" t="s">
        <v>158</v>
      </c>
      <c r="G824" s="63">
        <v>1726710201</v>
      </c>
      <c r="H824" s="63">
        <v>67228536001616</v>
      </c>
      <c r="I824" s="63" t="s">
        <v>2581</v>
      </c>
      <c r="J824" s="63" t="s">
        <v>2582</v>
      </c>
      <c r="K824" s="63" t="s">
        <v>64</v>
      </c>
      <c r="L824" s="63" t="s">
        <v>2775</v>
      </c>
      <c r="M824" s="63" t="s">
        <v>2776</v>
      </c>
      <c r="N824" s="63" t="s">
        <v>2777</v>
      </c>
      <c r="O824" s="63" t="s">
        <v>68</v>
      </c>
      <c r="P824" s="63" t="s">
        <v>69</v>
      </c>
      <c r="Q824" s="63">
        <v>150</v>
      </c>
      <c r="R824" s="63">
        <v>0</v>
      </c>
      <c r="S824" s="63" t="s">
        <v>70</v>
      </c>
      <c r="T824" s="63">
        <v>1077.835</v>
      </c>
      <c r="U824" s="62">
        <v>46072.291666666664</v>
      </c>
      <c r="V824" s="63" t="s">
        <v>86</v>
      </c>
      <c r="W824" s="63">
        <v>7273</v>
      </c>
      <c r="X824" s="63">
        <v>4200</v>
      </c>
      <c r="Y824" s="63" t="s">
        <v>497</v>
      </c>
    </row>
    <row r="825" spans="1:25" hidden="1">
      <c r="A825" s="62">
        <v>46071.738634259258</v>
      </c>
      <c r="B825" s="63">
        <v>641536</v>
      </c>
      <c r="C825" s="63" t="s">
        <v>2767</v>
      </c>
      <c r="D825" s="63"/>
      <c r="E825" s="62">
        <v>46072.772974537038</v>
      </c>
      <c r="F825" s="63" t="s">
        <v>158</v>
      </c>
      <c r="G825" s="63">
        <v>1726710201</v>
      </c>
      <c r="H825" s="63">
        <v>67228536001616</v>
      </c>
      <c r="I825" s="63" t="s">
        <v>2581</v>
      </c>
      <c r="J825" s="63" t="s">
        <v>2582</v>
      </c>
      <c r="K825" s="63" t="s">
        <v>64</v>
      </c>
      <c r="L825" s="63" t="s">
        <v>2775</v>
      </c>
      <c r="M825" s="63" t="s">
        <v>2776</v>
      </c>
      <c r="N825" s="63" t="s">
        <v>2777</v>
      </c>
      <c r="O825" s="63" t="s">
        <v>93</v>
      </c>
      <c r="P825" s="63" t="s">
        <v>94</v>
      </c>
      <c r="Q825" s="63">
        <v>2</v>
      </c>
      <c r="R825" s="63">
        <v>0</v>
      </c>
      <c r="S825" s="63" t="s">
        <v>70</v>
      </c>
      <c r="T825" s="63">
        <v>1077.835</v>
      </c>
      <c r="U825" s="62">
        <v>46072.291666666664</v>
      </c>
      <c r="V825" s="63" t="s">
        <v>86</v>
      </c>
      <c r="W825" s="63">
        <v>7273</v>
      </c>
      <c r="X825" s="63">
        <v>4200</v>
      </c>
      <c r="Y825" s="63" t="s">
        <v>497</v>
      </c>
    </row>
    <row r="826" spans="1:25" hidden="1">
      <c r="A826" s="62">
        <v>46071.738634259258</v>
      </c>
      <c r="B826" s="63">
        <v>641536</v>
      </c>
      <c r="C826" s="63" t="s">
        <v>2767</v>
      </c>
      <c r="D826" s="63"/>
      <c r="E826" s="62">
        <v>46072.772974537038</v>
      </c>
      <c r="F826" s="63" t="s">
        <v>158</v>
      </c>
      <c r="G826" s="63">
        <v>1726710201</v>
      </c>
      <c r="H826" s="63">
        <v>67228536001616</v>
      </c>
      <c r="I826" s="63" t="s">
        <v>2581</v>
      </c>
      <c r="J826" s="63" t="s">
        <v>2582</v>
      </c>
      <c r="K826" s="63" t="s">
        <v>64</v>
      </c>
      <c r="L826" s="63" t="s">
        <v>2775</v>
      </c>
      <c r="M826" s="63" t="s">
        <v>2776</v>
      </c>
      <c r="N826" s="63" t="s">
        <v>2777</v>
      </c>
      <c r="O826" s="63" t="s">
        <v>72</v>
      </c>
      <c r="P826" s="63" t="s">
        <v>73</v>
      </c>
      <c r="Q826" s="63">
        <v>1</v>
      </c>
      <c r="R826" s="63">
        <v>0</v>
      </c>
      <c r="S826" s="63" t="s">
        <v>70</v>
      </c>
      <c r="T826" s="63">
        <v>1077.835</v>
      </c>
      <c r="U826" s="62">
        <v>46072.291666666664</v>
      </c>
      <c r="V826" s="63" t="s">
        <v>86</v>
      </c>
      <c r="W826" s="63">
        <v>7273</v>
      </c>
      <c r="X826" s="63">
        <v>4200</v>
      </c>
      <c r="Y826" s="63" t="s">
        <v>497</v>
      </c>
    </row>
    <row r="827" spans="1:25" hidden="1">
      <c r="A827" s="62">
        <v>46071.738634259258</v>
      </c>
      <c r="B827" s="63">
        <v>641536</v>
      </c>
      <c r="C827" s="63" t="s">
        <v>2767</v>
      </c>
      <c r="D827" s="63"/>
      <c r="E827" s="62">
        <v>46072.772974537038</v>
      </c>
      <c r="F827" s="63" t="s">
        <v>158</v>
      </c>
      <c r="G827" s="63">
        <v>1726710201</v>
      </c>
      <c r="H827" s="63">
        <v>67228536001616</v>
      </c>
      <c r="I827" s="63" t="s">
        <v>2581</v>
      </c>
      <c r="J827" s="63" t="s">
        <v>2582</v>
      </c>
      <c r="K827" s="63" t="s">
        <v>64</v>
      </c>
      <c r="L827" s="63" t="s">
        <v>2775</v>
      </c>
      <c r="M827" s="63" t="s">
        <v>2776</v>
      </c>
      <c r="N827" s="63" t="s">
        <v>2777</v>
      </c>
      <c r="O827" s="63" t="s">
        <v>74</v>
      </c>
      <c r="P827" s="63" t="s">
        <v>75</v>
      </c>
      <c r="Q827" s="63">
        <v>2</v>
      </c>
      <c r="R827" s="63">
        <v>0</v>
      </c>
      <c r="S827" s="63" t="s">
        <v>76</v>
      </c>
      <c r="T827" s="63">
        <v>1077.835</v>
      </c>
      <c r="U827" s="62">
        <v>46072.291666666664</v>
      </c>
      <c r="V827" s="63" t="s">
        <v>86</v>
      </c>
      <c r="W827" s="63">
        <v>7273</v>
      </c>
      <c r="X827" s="63">
        <v>4200</v>
      </c>
      <c r="Y827" s="63" t="s">
        <v>497</v>
      </c>
    </row>
    <row r="828" spans="1:25" hidden="1">
      <c r="A828" s="62">
        <v>46071.738634259258</v>
      </c>
      <c r="B828" s="63">
        <v>641536</v>
      </c>
      <c r="C828" s="63" t="s">
        <v>2767</v>
      </c>
      <c r="D828" s="63"/>
      <c r="E828" s="62">
        <v>46072.772974537038</v>
      </c>
      <c r="F828" s="63" t="s">
        <v>158</v>
      </c>
      <c r="G828" s="63">
        <v>1726710201</v>
      </c>
      <c r="H828" s="63">
        <v>67228536001616</v>
      </c>
      <c r="I828" s="63" t="s">
        <v>2581</v>
      </c>
      <c r="J828" s="63" t="s">
        <v>2582</v>
      </c>
      <c r="K828" s="63" t="s">
        <v>64</v>
      </c>
      <c r="L828" s="63" t="s">
        <v>2775</v>
      </c>
      <c r="M828" s="63" t="s">
        <v>2776</v>
      </c>
      <c r="N828" s="63" t="s">
        <v>2777</v>
      </c>
      <c r="O828" s="63" t="s">
        <v>280</v>
      </c>
      <c r="P828" s="63" t="s">
        <v>281</v>
      </c>
      <c r="Q828" s="63">
        <v>25</v>
      </c>
      <c r="R828" s="63">
        <v>0</v>
      </c>
      <c r="S828" s="63" t="s">
        <v>70</v>
      </c>
      <c r="T828" s="63">
        <v>1077.835</v>
      </c>
      <c r="U828" s="62">
        <v>46072.291666666664</v>
      </c>
      <c r="V828" s="63" t="s">
        <v>86</v>
      </c>
      <c r="W828" s="63">
        <v>7273</v>
      </c>
      <c r="X828" s="63">
        <v>4200</v>
      </c>
      <c r="Y828" s="63" t="s">
        <v>497</v>
      </c>
    </row>
    <row r="829" spans="1:25" hidden="1">
      <c r="A829" s="62">
        <v>46071.738634259258</v>
      </c>
      <c r="B829" s="63">
        <v>641536</v>
      </c>
      <c r="C829" s="63" t="s">
        <v>2767</v>
      </c>
      <c r="D829" s="63"/>
      <c r="E829" s="62">
        <v>46072.772974537038</v>
      </c>
      <c r="F829" s="63" t="s">
        <v>158</v>
      </c>
      <c r="G829" s="63">
        <v>1726710201</v>
      </c>
      <c r="H829" s="63">
        <v>67228536001616</v>
      </c>
      <c r="I829" s="63" t="s">
        <v>2581</v>
      </c>
      <c r="J829" s="63" t="s">
        <v>2582</v>
      </c>
      <c r="K829" s="63" t="s">
        <v>64</v>
      </c>
      <c r="L829" s="63" t="s">
        <v>2775</v>
      </c>
      <c r="M829" s="63" t="s">
        <v>2776</v>
      </c>
      <c r="N829" s="63" t="s">
        <v>2777</v>
      </c>
      <c r="O829" s="63" t="s">
        <v>101</v>
      </c>
      <c r="P829" s="63" t="s">
        <v>102</v>
      </c>
      <c r="Q829" s="63">
        <v>2</v>
      </c>
      <c r="R829" s="63">
        <v>0</v>
      </c>
      <c r="S829" s="63" t="s">
        <v>76</v>
      </c>
      <c r="T829" s="63">
        <v>1077.835</v>
      </c>
      <c r="U829" s="62">
        <v>46072.291666666664</v>
      </c>
      <c r="V829" s="63" t="s">
        <v>86</v>
      </c>
      <c r="W829" s="63">
        <v>7273</v>
      </c>
      <c r="X829" s="63">
        <v>4200</v>
      </c>
      <c r="Y829" s="63" t="s">
        <v>497</v>
      </c>
    </row>
    <row r="830" spans="1:25" hidden="1">
      <c r="A830" s="62">
        <v>46071.738634259258</v>
      </c>
      <c r="B830" s="63">
        <v>641536</v>
      </c>
      <c r="C830" s="63" t="s">
        <v>2767</v>
      </c>
      <c r="D830" s="63"/>
      <c r="E830" s="62">
        <v>46072.772974537038</v>
      </c>
      <c r="F830" s="63" t="s">
        <v>158</v>
      </c>
      <c r="G830" s="63">
        <v>1726710201</v>
      </c>
      <c r="H830" s="63">
        <v>67228536001616</v>
      </c>
      <c r="I830" s="63" t="s">
        <v>2581</v>
      </c>
      <c r="J830" s="63" t="s">
        <v>2582</v>
      </c>
      <c r="K830" s="63" t="s">
        <v>64</v>
      </c>
      <c r="L830" s="63" t="s">
        <v>2775</v>
      </c>
      <c r="M830" s="63" t="s">
        <v>2776</v>
      </c>
      <c r="N830" s="63" t="s">
        <v>2777</v>
      </c>
      <c r="O830" s="63" t="s">
        <v>383</v>
      </c>
      <c r="P830" s="63" t="s">
        <v>384</v>
      </c>
      <c r="Q830" s="63">
        <v>1</v>
      </c>
      <c r="R830" s="63">
        <v>0</v>
      </c>
      <c r="S830" s="63" t="s">
        <v>70</v>
      </c>
      <c r="T830" s="63">
        <v>1077.835</v>
      </c>
      <c r="U830" s="62">
        <v>46072.291666666664</v>
      </c>
      <c r="V830" s="63" t="s">
        <v>86</v>
      </c>
      <c r="W830" s="63">
        <v>7273</v>
      </c>
      <c r="X830" s="63">
        <v>4200</v>
      </c>
      <c r="Y830" s="63" t="s">
        <v>497</v>
      </c>
    </row>
    <row r="831" spans="1:25" hidden="1">
      <c r="A831" s="62">
        <v>46071.738634259258</v>
      </c>
      <c r="B831" s="63">
        <v>641537</v>
      </c>
      <c r="C831" s="63" t="s">
        <v>2425</v>
      </c>
      <c r="D831" s="63"/>
      <c r="E831" s="62">
        <v>46071.46980324074</v>
      </c>
      <c r="F831" s="63" t="s">
        <v>570</v>
      </c>
      <c r="G831" s="63">
        <v>1716770201</v>
      </c>
      <c r="H831" s="63">
        <v>13776437000163</v>
      </c>
      <c r="I831" s="63" t="s">
        <v>2426</v>
      </c>
      <c r="J831" s="63" t="s">
        <v>95</v>
      </c>
      <c r="K831" s="63" t="s">
        <v>140</v>
      </c>
      <c r="L831" s="63" t="s">
        <v>2427</v>
      </c>
      <c r="M831" s="63" t="s">
        <v>2428</v>
      </c>
      <c r="N831" s="63" t="s">
        <v>2429</v>
      </c>
      <c r="O831" s="63" t="s">
        <v>113</v>
      </c>
      <c r="P831" s="63" t="s">
        <v>114</v>
      </c>
      <c r="Q831" s="63">
        <v>10</v>
      </c>
      <c r="R831" s="63">
        <v>35</v>
      </c>
      <c r="S831" s="63" t="s">
        <v>76</v>
      </c>
      <c r="T831" s="63">
        <v>136.6</v>
      </c>
      <c r="U831" s="62">
        <v>46072.291666666664</v>
      </c>
      <c r="V831" s="63" t="s">
        <v>86</v>
      </c>
      <c r="W831" s="63">
        <v>2947.7</v>
      </c>
      <c r="X831" s="63">
        <v>500</v>
      </c>
      <c r="Y831" s="63" t="s">
        <v>2422</v>
      </c>
    </row>
    <row r="832" spans="1:25" hidden="1">
      <c r="A832" s="62">
        <v>46071.738634259258</v>
      </c>
      <c r="B832" s="63">
        <v>641537</v>
      </c>
      <c r="C832" s="63" t="s">
        <v>2425</v>
      </c>
      <c r="D832" s="63"/>
      <c r="E832" s="62">
        <v>46071.46980324074</v>
      </c>
      <c r="F832" s="63" t="s">
        <v>570</v>
      </c>
      <c r="G832" s="63">
        <v>1716770201</v>
      </c>
      <c r="H832" s="63">
        <v>13776437000163</v>
      </c>
      <c r="I832" s="63" t="s">
        <v>2426</v>
      </c>
      <c r="J832" s="63" t="s">
        <v>95</v>
      </c>
      <c r="K832" s="63" t="s">
        <v>140</v>
      </c>
      <c r="L832" s="63" t="s">
        <v>2427</v>
      </c>
      <c r="M832" s="63" t="s">
        <v>2428</v>
      </c>
      <c r="N832" s="63" t="s">
        <v>2429</v>
      </c>
      <c r="O832" s="63" t="s">
        <v>119</v>
      </c>
      <c r="P832" s="63" t="s">
        <v>120</v>
      </c>
      <c r="Q832" s="63">
        <v>25</v>
      </c>
      <c r="R832" s="63">
        <v>35</v>
      </c>
      <c r="S832" s="63" t="s">
        <v>76</v>
      </c>
      <c r="T832" s="63">
        <v>136.6</v>
      </c>
      <c r="U832" s="62">
        <v>46072.291666666664</v>
      </c>
      <c r="V832" s="63" t="s">
        <v>86</v>
      </c>
      <c r="W832" s="63">
        <v>2947.7</v>
      </c>
      <c r="X832" s="63">
        <v>500</v>
      </c>
      <c r="Y832" s="63" t="s">
        <v>2422</v>
      </c>
    </row>
    <row r="833" spans="1:25" hidden="1">
      <c r="A833" s="62">
        <v>46071.738634259258</v>
      </c>
      <c r="B833" s="63">
        <v>641537</v>
      </c>
      <c r="C833" s="63" t="s">
        <v>2425</v>
      </c>
      <c r="D833" s="63"/>
      <c r="E833" s="62">
        <v>46072.772847222222</v>
      </c>
      <c r="F833" s="63" t="s">
        <v>570</v>
      </c>
      <c r="G833" s="63">
        <v>1716800201</v>
      </c>
      <c r="H833" s="63">
        <v>56527062006303</v>
      </c>
      <c r="I833" s="63" t="s">
        <v>2783</v>
      </c>
      <c r="J833" s="63" t="s">
        <v>2784</v>
      </c>
      <c r="K833" s="63" t="s">
        <v>140</v>
      </c>
      <c r="L833" s="63" t="s">
        <v>2785</v>
      </c>
      <c r="M833" s="63" t="s">
        <v>2786</v>
      </c>
      <c r="N833" s="63" t="s">
        <v>84</v>
      </c>
      <c r="O833" s="63" t="s">
        <v>68</v>
      </c>
      <c r="P833" s="63" t="s">
        <v>69</v>
      </c>
      <c r="Q833" s="63">
        <v>20</v>
      </c>
      <c r="R833" s="63">
        <v>0</v>
      </c>
      <c r="S833" s="63" t="s">
        <v>70</v>
      </c>
      <c r="T833" s="63">
        <v>100.36</v>
      </c>
      <c r="U833" s="62">
        <v>46072.291666666664</v>
      </c>
      <c r="V833" s="63" t="s">
        <v>86</v>
      </c>
      <c r="W833" s="63">
        <v>595</v>
      </c>
      <c r="X833" s="63">
        <v>500</v>
      </c>
      <c r="Y833" s="63" t="s">
        <v>2422</v>
      </c>
    </row>
    <row r="834" spans="1:25" hidden="1">
      <c r="A834" s="62">
        <v>46071.738634259258</v>
      </c>
      <c r="B834" s="63">
        <v>641537</v>
      </c>
      <c r="C834" s="63" t="s">
        <v>2425</v>
      </c>
      <c r="D834" s="63"/>
      <c r="E834" s="62">
        <v>46072.772858796299</v>
      </c>
      <c r="F834" s="63" t="s">
        <v>570</v>
      </c>
      <c r="G834" s="63">
        <v>1716310201</v>
      </c>
      <c r="H834" s="63">
        <v>8853758000184</v>
      </c>
      <c r="I834" s="63" t="s">
        <v>2787</v>
      </c>
      <c r="J834" s="63" t="s">
        <v>2468</v>
      </c>
      <c r="K834" s="63" t="s">
        <v>140</v>
      </c>
      <c r="L834" s="63" t="s">
        <v>2788</v>
      </c>
      <c r="M834" s="63" t="s">
        <v>2789</v>
      </c>
      <c r="N834" s="63" t="s">
        <v>2429</v>
      </c>
      <c r="O834" s="63" t="s">
        <v>398</v>
      </c>
      <c r="P834" s="63" t="s">
        <v>399</v>
      </c>
      <c r="Q834" s="63">
        <v>10</v>
      </c>
      <c r="R834" s="63">
        <v>0</v>
      </c>
      <c r="S834" s="63" t="s">
        <v>70</v>
      </c>
      <c r="T834" s="63">
        <v>212.6</v>
      </c>
      <c r="U834" s="62">
        <v>46072.291666666664</v>
      </c>
      <c r="V834" s="63" t="s">
        <v>86</v>
      </c>
      <c r="W834" s="63">
        <v>1348.2</v>
      </c>
      <c r="X834" s="63">
        <v>500</v>
      </c>
      <c r="Y834" s="63" t="s">
        <v>2422</v>
      </c>
    </row>
    <row r="835" spans="1:25" hidden="1">
      <c r="A835" s="62">
        <v>46071.738634259258</v>
      </c>
      <c r="B835" s="63">
        <v>641537</v>
      </c>
      <c r="C835" s="63" t="s">
        <v>2425</v>
      </c>
      <c r="D835" s="63"/>
      <c r="E835" s="62">
        <v>46072.772858796299</v>
      </c>
      <c r="F835" s="63" t="s">
        <v>570</v>
      </c>
      <c r="G835" s="63">
        <v>1716310201</v>
      </c>
      <c r="H835" s="63">
        <v>8853758000184</v>
      </c>
      <c r="I835" s="63" t="s">
        <v>2787</v>
      </c>
      <c r="J835" s="63" t="s">
        <v>2468</v>
      </c>
      <c r="K835" s="63" t="s">
        <v>140</v>
      </c>
      <c r="L835" s="63" t="s">
        <v>2788</v>
      </c>
      <c r="M835" s="63" t="s">
        <v>2789</v>
      </c>
      <c r="N835" s="63" t="s">
        <v>2429</v>
      </c>
      <c r="O835" s="63" t="s">
        <v>280</v>
      </c>
      <c r="P835" s="63" t="s">
        <v>281</v>
      </c>
      <c r="Q835" s="63">
        <v>10</v>
      </c>
      <c r="R835" s="63">
        <v>0</v>
      </c>
      <c r="S835" s="63" t="s">
        <v>70</v>
      </c>
      <c r="T835" s="63">
        <v>212.6</v>
      </c>
      <c r="U835" s="62">
        <v>46072.291666666664</v>
      </c>
      <c r="V835" s="63" t="s">
        <v>86</v>
      </c>
      <c r="W835" s="63">
        <v>1348.2</v>
      </c>
      <c r="X835" s="63">
        <v>500</v>
      </c>
      <c r="Y835" s="63" t="s">
        <v>2422</v>
      </c>
    </row>
    <row r="836" spans="1:25" hidden="1">
      <c r="A836" s="62">
        <v>46071.738634259258</v>
      </c>
      <c r="B836" s="63">
        <v>641538</v>
      </c>
      <c r="C836" s="63" t="s">
        <v>2790</v>
      </c>
      <c r="D836" s="63"/>
      <c r="E836" s="62">
        <v>46072.772847222222</v>
      </c>
      <c r="F836" s="63" t="s">
        <v>563</v>
      </c>
      <c r="G836" s="63">
        <v>1721890201</v>
      </c>
      <c r="H836" s="63">
        <v>62353476000244</v>
      </c>
      <c r="I836" s="63" t="s">
        <v>2791</v>
      </c>
      <c r="J836" s="63" t="s">
        <v>2472</v>
      </c>
      <c r="K836" s="63" t="s">
        <v>140</v>
      </c>
      <c r="L836" s="63" t="s">
        <v>2792</v>
      </c>
      <c r="M836" s="63" t="s">
        <v>2393</v>
      </c>
      <c r="N836" s="63" t="s">
        <v>2348</v>
      </c>
      <c r="O836" s="63" t="s">
        <v>161</v>
      </c>
      <c r="P836" s="63" t="s">
        <v>162</v>
      </c>
      <c r="Q836" s="63">
        <v>1</v>
      </c>
      <c r="R836" s="63">
        <v>0</v>
      </c>
      <c r="S836" s="63" t="s">
        <v>76</v>
      </c>
      <c r="T836" s="63">
        <v>6.97</v>
      </c>
      <c r="U836" s="62">
        <v>46072.291666666664</v>
      </c>
      <c r="V836" s="63" t="s">
        <v>86</v>
      </c>
      <c r="W836" s="63">
        <v>266.39999999999998</v>
      </c>
      <c r="X836" s="63">
        <v>1500</v>
      </c>
      <c r="Y836" s="63" t="s">
        <v>2390</v>
      </c>
    </row>
    <row r="837" spans="1:25" hidden="1">
      <c r="A837" s="62">
        <v>46071.738634259258</v>
      </c>
      <c r="B837" s="63">
        <v>641538</v>
      </c>
      <c r="C837" s="63" t="s">
        <v>2790</v>
      </c>
      <c r="D837" s="63"/>
      <c r="E837" s="62">
        <v>46072.772847222222</v>
      </c>
      <c r="F837" s="63" t="s">
        <v>563</v>
      </c>
      <c r="G837" s="63">
        <v>1721930201</v>
      </c>
      <c r="H837" s="63">
        <v>62353476000244</v>
      </c>
      <c r="I837" s="63" t="s">
        <v>2791</v>
      </c>
      <c r="J837" s="63" t="s">
        <v>2472</v>
      </c>
      <c r="K837" s="63" t="s">
        <v>140</v>
      </c>
      <c r="L837" s="63" t="s">
        <v>2792</v>
      </c>
      <c r="M837" s="63" t="s">
        <v>2393</v>
      </c>
      <c r="N837" s="63" t="s">
        <v>2348</v>
      </c>
      <c r="O837" s="63" t="s">
        <v>163</v>
      </c>
      <c r="P837" s="63" t="s">
        <v>164</v>
      </c>
      <c r="Q837" s="63">
        <v>1</v>
      </c>
      <c r="R837" s="63">
        <v>0</v>
      </c>
      <c r="S837" s="63" t="s">
        <v>76</v>
      </c>
      <c r="T837" s="63">
        <v>7.21</v>
      </c>
      <c r="U837" s="62">
        <v>46072.291666666664</v>
      </c>
      <c r="V837" s="63" t="s">
        <v>86</v>
      </c>
      <c r="W837" s="63">
        <v>254.25</v>
      </c>
      <c r="X837" s="63">
        <v>1500</v>
      </c>
      <c r="Y837" s="63" t="s">
        <v>2390</v>
      </c>
    </row>
    <row r="838" spans="1:25" hidden="1">
      <c r="A838" s="62">
        <v>46071.738634259258</v>
      </c>
      <c r="B838" s="63">
        <v>641538</v>
      </c>
      <c r="C838" s="63" t="s">
        <v>2790</v>
      </c>
      <c r="D838" s="63"/>
      <c r="E838" s="62">
        <v>46072.772881944446</v>
      </c>
      <c r="F838" s="63" t="s">
        <v>563</v>
      </c>
      <c r="G838" s="63">
        <v>1720990201</v>
      </c>
      <c r="H838" s="63">
        <v>56907868000981</v>
      </c>
      <c r="I838" s="63" t="s">
        <v>2793</v>
      </c>
      <c r="J838" s="63" t="s">
        <v>90</v>
      </c>
      <c r="K838" s="63" t="s">
        <v>140</v>
      </c>
      <c r="L838" s="63" t="s">
        <v>2794</v>
      </c>
      <c r="M838" s="63" t="s">
        <v>96</v>
      </c>
      <c r="N838" s="63" t="s">
        <v>2795</v>
      </c>
      <c r="O838" s="63" t="s">
        <v>68</v>
      </c>
      <c r="P838" s="63" t="s">
        <v>69</v>
      </c>
      <c r="Q838" s="63">
        <v>170</v>
      </c>
      <c r="R838" s="63">
        <v>0</v>
      </c>
      <c r="S838" s="63" t="s">
        <v>70</v>
      </c>
      <c r="T838" s="63">
        <v>1092.47</v>
      </c>
      <c r="U838" s="62">
        <v>46072.291666666664</v>
      </c>
      <c r="V838" s="63" t="s">
        <v>86</v>
      </c>
      <c r="W838" s="63">
        <v>9547.08</v>
      </c>
      <c r="X838" s="63">
        <v>1500</v>
      </c>
      <c r="Y838" s="63" t="s">
        <v>2390</v>
      </c>
    </row>
    <row r="839" spans="1:25" hidden="1">
      <c r="A839" s="62">
        <v>46071.738634259258</v>
      </c>
      <c r="B839" s="63">
        <v>641538</v>
      </c>
      <c r="C839" s="63" t="s">
        <v>2790</v>
      </c>
      <c r="D839" s="63"/>
      <c r="E839" s="62">
        <v>46072.772881944446</v>
      </c>
      <c r="F839" s="63" t="s">
        <v>563</v>
      </c>
      <c r="G839" s="63">
        <v>1720990201</v>
      </c>
      <c r="H839" s="63">
        <v>56907868000981</v>
      </c>
      <c r="I839" s="63" t="s">
        <v>2793</v>
      </c>
      <c r="J839" s="63" t="s">
        <v>90</v>
      </c>
      <c r="K839" s="63" t="s">
        <v>140</v>
      </c>
      <c r="L839" s="63" t="s">
        <v>2794</v>
      </c>
      <c r="M839" s="63" t="s">
        <v>96</v>
      </c>
      <c r="N839" s="63" t="s">
        <v>2795</v>
      </c>
      <c r="O839" s="63" t="s">
        <v>91</v>
      </c>
      <c r="P839" s="63" t="s">
        <v>92</v>
      </c>
      <c r="Q839" s="63">
        <v>10</v>
      </c>
      <c r="R839" s="63">
        <v>0</v>
      </c>
      <c r="S839" s="63" t="s">
        <v>70</v>
      </c>
      <c r="T839" s="63">
        <v>1092.47</v>
      </c>
      <c r="U839" s="62">
        <v>46072.291666666664</v>
      </c>
      <c r="V839" s="63" t="s">
        <v>86</v>
      </c>
      <c r="W839" s="63">
        <v>9547.08</v>
      </c>
      <c r="X839" s="63">
        <v>1500</v>
      </c>
      <c r="Y839" s="63" t="s">
        <v>2390</v>
      </c>
    </row>
    <row r="840" spans="1:25" hidden="1">
      <c r="A840" s="62">
        <v>46071.738634259258</v>
      </c>
      <c r="B840" s="63">
        <v>641538</v>
      </c>
      <c r="C840" s="63" t="s">
        <v>2790</v>
      </c>
      <c r="D840" s="63"/>
      <c r="E840" s="62">
        <v>46072.772881944446</v>
      </c>
      <c r="F840" s="63" t="s">
        <v>563</v>
      </c>
      <c r="G840" s="63">
        <v>1720990201</v>
      </c>
      <c r="H840" s="63">
        <v>56907868000981</v>
      </c>
      <c r="I840" s="63" t="s">
        <v>2793</v>
      </c>
      <c r="J840" s="63" t="s">
        <v>90</v>
      </c>
      <c r="K840" s="63" t="s">
        <v>140</v>
      </c>
      <c r="L840" s="63" t="s">
        <v>2794</v>
      </c>
      <c r="M840" s="63" t="s">
        <v>96</v>
      </c>
      <c r="N840" s="63" t="s">
        <v>2795</v>
      </c>
      <c r="O840" s="63" t="s">
        <v>93</v>
      </c>
      <c r="P840" s="63" t="s">
        <v>94</v>
      </c>
      <c r="Q840" s="63">
        <v>4</v>
      </c>
      <c r="R840" s="63">
        <v>0</v>
      </c>
      <c r="S840" s="63" t="s">
        <v>70</v>
      </c>
      <c r="T840" s="63">
        <v>1092.47</v>
      </c>
      <c r="U840" s="62">
        <v>46072.291666666664</v>
      </c>
      <c r="V840" s="63" t="s">
        <v>86</v>
      </c>
      <c r="W840" s="63">
        <v>9547.08</v>
      </c>
      <c r="X840" s="63">
        <v>1500</v>
      </c>
      <c r="Y840" s="63" t="s">
        <v>2390</v>
      </c>
    </row>
    <row r="841" spans="1:25" hidden="1">
      <c r="A841" s="62">
        <v>46071.738634259258</v>
      </c>
      <c r="B841" s="63">
        <v>641538</v>
      </c>
      <c r="C841" s="63" t="s">
        <v>2790</v>
      </c>
      <c r="D841" s="63"/>
      <c r="E841" s="62">
        <v>46072.772881944446</v>
      </c>
      <c r="F841" s="63" t="s">
        <v>563</v>
      </c>
      <c r="G841" s="63">
        <v>1720990201</v>
      </c>
      <c r="H841" s="63">
        <v>56907868000981</v>
      </c>
      <c r="I841" s="63" t="s">
        <v>2793</v>
      </c>
      <c r="J841" s="63" t="s">
        <v>90</v>
      </c>
      <c r="K841" s="63" t="s">
        <v>140</v>
      </c>
      <c r="L841" s="63" t="s">
        <v>2794</v>
      </c>
      <c r="M841" s="63" t="s">
        <v>96</v>
      </c>
      <c r="N841" s="63" t="s">
        <v>2795</v>
      </c>
      <c r="O841" s="63" t="s">
        <v>72</v>
      </c>
      <c r="P841" s="63" t="s">
        <v>73</v>
      </c>
      <c r="Q841" s="63">
        <v>2</v>
      </c>
      <c r="R841" s="63">
        <v>0</v>
      </c>
      <c r="S841" s="63" t="s">
        <v>70</v>
      </c>
      <c r="T841" s="63">
        <v>1092.47</v>
      </c>
      <c r="U841" s="62">
        <v>46072.291666666664</v>
      </c>
      <c r="V841" s="63" t="s">
        <v>86</v>
      </c>
      <c r="W841" s="63">
        <v>9547.08</v>
      </c>
      <c r="X841" s="63">
        <v>1500</v>
      </c>
      <c r="Y841" s="63" t="s">
        <v>2390</v>
      </c>
    </row>
    <row r="842" spans="1:25" hidden="1">
      <c r="A842" s="62">
        <v>46071.738634259258</v>
      </c>
      <c r="B842" s="63">
        <v>641538</v>
      </c>
      <c r="C842" s="63" t="s">
        <v>2790</v>
      </c>
      <c r="D842" s="63"/>
      <c r="E842" s="62">
        <v>46072.772881944446</v>
      </c>
      <c r="F842" s="63" t="s">
        <v>563</v>
      </c>
      <c r="G842" s="63">
        <v>1720990201</v>
      </c>
      <c r="H842" s="63">
        <v>56907868000981</v>
      </c>
      <c r="I842" s="63" t="s">
        <v>2793</v>
      </c>
      <c r="J842" s="63" t="s">
        <v>90</v>
      </c>
      <c r="K842" s="63" t="s">
        <v>140</v>
      </c>
      <c r="L842" s="63" t="s">
        <v>2794</v>
      </c>
      <c r="M842" s="63" t="s">
        <v>96</v>
      </c>
      <c r="N842" s="63" t="s">
        <v>2795</v>
      </c>
      <c r="O842" s="63" t="s">
        <v>97</v>
      </c>
      <c r="P842" s="63" t="s">
        <v>98</v>
      </c>
      <c r="Q842" s="63">
        <v>4</v>
      </c>
      <c r="R842" s="63">
        <v>0</v>
      </c>
      <c r="S842" s="63" t="s">
        <v>70</v>
      </c>
      <c r="T842" s="63">
        <v>1092.47</v>
      </c>
      <c r="U842" s="62">
        <v>46072.291666666664</v>
      </c>
      <c r="V842" s="63" t="s">
        <v>86</v>
      </c>
      <c r="W842" s="63">
        <v>9547.08</v>
      </c>
      <c r="X842" s="63">
        <v>1500</v>
      </c>
      <c r="Y842" s="63" t="s">
        <v>2390</v>
      </c>
    </row>
    <row r="843" spans="1:25" hidden="1">
      <c r="A843" s="62">
        <v>46071.738634259258</v>
      </c>
      <c r="B843" s="63">
        <v>641538</v>
      </c>
      <c r="C843" s="63" t="s">
        <v>2790</v>
      </c>
      <c r="D843" s="63"/>
      <c r="E843" s="62">
        <v>46072.772881944446</v>
      </c>
      <c r="F843" s="63" t="s">
        <v>563</v>
      </c>
      <c r="G843" s="63">
        <v>1720990201</v>
      </c>
      <c r="H843" s="63">
        <v>56907868000981</v>
      </c>
      <c r="I843" s="63" t="s">
        <v>2793</v>
      </c>
      <c r="J843" s="63" t="s">
        <v>90</v>
      </c>
      <c r="K843" s="63" t="s">
        <v>140</v>
      </c>
      <c r="L843" s="63" t="s">
        <v>2794</v>
      </c>
      <c r="M843" s="63" t="s">
        <v>96</v>
      </c>
      <c r="N843" s="63" t="s">
        <v>2795</v>
      </c>
      <c r="O843" s="63" t="s">
        <v>99</v>
      </c>
      <c r="P843" s="63" t="s">
        <v>100</v>
      </c>
      <c r="Q843" s="63">
        <v>2</v>
      </c>
      <c r="R843" s="63">
        <v>0</v>
      </c>
      <c r="S843" s="63" t="s">
        <v>70</v>
      </c>
      <c r="T843" s="63">
        <v>1092.47</v>
      </c>
      <c r="U843" s="62">
        <v>46072.291666666664</v>
      </c>
      <c r="V843" s="63" t="s">
        <v>86</v>
      </c>
      <c r="W843" s="63">
        <v>9547.08</v>
      </c>
      <c r="X843" s="63">
        <v>1500</v>
      </c>
      <c r="Y843" s="63" t="s">
        <v>2390</v>
      </c>
    </row>
    <row r="844" spans="1:25" hidden="1">
      <c r="A844" s="62">
        <v>46071.738634259258</v>
      </c>
      <c r="B844" s="63">
        <v>641538</v>
      </c>
      <c r="C844" s="63" t="s">
        <v>2790</v>
      </c>
      <c r="D844" s="63"/>
      <c r="E844" s="62">
        <v>46072.772881944446</v>
      </c>
      <c r="F844" s="63" t="s">
        <v>563</v>
      </c>
      <c r="G844" s="63">
        <v>1720990201</v>
      </c>
      <c r="H844" s="63">
        <v>56907868000981</v>
      </c>
      <c r="I844" s="63" t="s">
        <v>2793</v>
      </c>
      <c r="J844" s="63" t="s">
        <v>90</v>
      </c>
      <c r="K844" s="63" t="s">
        <v>140</v>
      </c>
      <c r="L844" s="63" t="s">
        <v>2794</v>
      </c>
      <c r="M844" s="63" t="s">
        <v>96</v>
      </c>
      <c r="N844" s="63" t="s">
        <v>2795</v>
      </c>
      <c r="O844" s="63" t="s">
        <v>107</v>
      </c>
      <c r="P844" s="63" t="s">
        <v>108</v>
      </c>
      <c r="Q844" s="63">
        <v>5</v>
      </c>
      <c r="R844" s="63">
        <v>0</v>
      </c>
      <c r="S844" s="63" t="s">
        <v>76</v>
      </c>
      <c r="T844" s="63">
        <v>1092.47</v>
      </c>
      <c r="U844" s="62">
        <v>46072.291666666664</v>
      </c>
      <c r="V844" s="63" t="s">
        <v>86</v>
      </c>
      <c r="W844" s="63">
        <v>9547.08</v>
      </c>
      <c r="X844" s="63">
        <v>1500</v>
      </c>
      <c r="Y844" s="63" t="s">
        <v>2390</v>
      </c>
    </row>
    <row r="845" spans="1:25" hidden="1">
      <c r="A845" s="62">
        <v>46071.738634259258</v>
      </c>
      <c r="B845" s="63">
        <v>641538</v>
      </c>
      <c r="C845" s="63" t="s">
        <v>2790</v>
      </c>
      <c r="D845" s="63"/>
      <c r="E845" s="62">
        <v>46072.772881944446</v>
      </c>
      <c r="F845" s="63" t="s">
        <v>563</v>
      </c>
      <c r="G845" s="63">
        <v>1720990201</v>
      </c>
      <c r="H845" s="63">
        <v>56907868000981</v>
      </c>
      <c r="I845" s="63" t="s">
        <v>2793</v>
      </c>
      <c r="J845" s="63" t="s">
        <v>90</v>
      </c>
      <c r="K845" s="63" t="s">
        <v>140</v>
      </c>
      <c r="L845" s="63" t="s">
        <v>2794</v>
      </c>
      <c r="M845" s="63" t="s">
        <v>96</v>
      </c>
      <c r="N845" s="63" t="s">
        <v>2795</v>
      </c>
      <c r="O845" s="63" t="s">
        <v>74</v>
      </c>
      <c r="P845" s="63" t="s">
        <v>75</v>
      </c>
      <c r="Q845" s="63">
        <v>2</v>
      </c>
      <c r="R845" s="63">
        <v>0</v>
      </c>
      <c r="S845" s="63" t="s">
        <v>76</v>
      </c>
      <c r="T845" s="63">
        <v>1092.47</v>
      </c>
      <c r="U845" s="62">
        <v>46072.291666666664</v>
      </c>
      <c r="V845" s="63" t="s">
        <v>86</v>
      </c>
      <c r="W845" s="63">
        <v>9547.08</v>
      </c>
      <c r="X845" s="63">
        <v>1500</v>
      </c>
      <c r="Y845" s="63" t="s">
        <v>2390</v>
      </c>
    </row>
    <row r="846" spans="1:25" hidden="1">
      <c r="A846" s="62">
        <v>46071.738634259258</v>
      </c>
      <c r="B846" s="63">
        <v>641538</v>
      </c>
      <c r="C846" s="63" t="s">
        <v>2790</v>
      </c>
      <c r="D846" s="63"/>
      <c r="E846" s="62">
        <v>46072.772881944446</v>
      </c>
      <c r="F846" s="63" t="s">
        <v>563</v>
      </c>
      <c r="G846" s="63">
        <v>1720990201</v>
      </c>
      <c r="H846" s="63">
        <v>56907868000981</v>
      </c>
      <c r="I846" s="63" t="s">
        <v>2793</v>
      </c>
      <c r="J846" s="63" t="s">
        <v>90</v>
      </c>
      <c r="K846" s="63" t="s">
        <v>140</v>
      </c>
      <c r="L846" s="63" t="s">
        <v>2794</v>
      </c>
      <c r="M846" s="63" t="s">
        <v>96</v>
      </c>
      <c r="N846" s="63" t="s">
        <v>2795</v>
      </c>
      <c r="O846" s="63" t="s">
        <v>398</v>
      </c>
      <c r="P846" s="63" t="s">
        <v>399</v>
      </c>
      <c r="Q846" s="63">
        <v>1</v>
      </c>
      <c r="R846" s="63">
        <v>0</v>
      </c>
      <c r="S846" s="63" t="s">
        <v>70</v>
      </c>
      <c r="T846" s="63">
        <v>1092.47</v>
      </c>
      <c r="U846" s="62">
        <v>46072.291666666664</v>
      </c>
      <c r="V846" s="63" t="s">
        <v>86</v>
      </c>
      <c r="W846" s="63">
        <v>9547.08</v>
      </c>
      <c r="X846" s="63">
        <v>1500</v>
      </c>
      <c r="Y846" s="63" t="s">
        <v>2390</v>
      </c>
    </row>
    <row r="847" spans="1:25" hidden="1">
      <c r="A847" s="62">
        <v>46071.738634259258</v>
      </c>
      <c r="B847" s="63">
        <v>641538</v>
      </c>
      <c r="C847" s="63" t="s">
        <v>2790</v>
      </c>
      <c r="D847" s="63"/>
      <c r="E847" s="62">
        <v>46072.772881944446</v>
      </c>
      <c r="F847" s="63" t="s">
        <v>563</v>
      </c>
      <c r="G847" s="63">
        <v>1720990201</v>
      </c>
      <c r="H847" s="63">
        <v>56907868000981</v>
      </c>
      <c r="I847" s="63" t="s">
        <v>2793</v>
      </c>
      <c r="J847" s="63" t="s">
        <v>90</v>
      </c>
      <c r="K847" s="63" t="s">
        <v>140</v>
      </c>
      <c r="L847" s="63" t="s">
        <v>2794</v>
      </c>
      <c r="M847" s="63" t="s">
        <v>96</v>
      </c>
      <c r="N847" s="63" t="s">
        <v>2795</v>
      </c>
      <c r="O847" s="63" t="s">
        <v>280</v>
      </c>
      <c r="P847" s="63" t="s">
        <v>281</v>
      </c>
      <c r="Q847" s="63">
        <v>1</v>
      </c>
      <c r="R847" s="63">
        <v>0</v>
      </c>
      <c r="S847" s="63" t="s">
        <v>70</v>
      </c>
      <c r="T847" s="63">
        <v>1092.47</v>
      </c>
      <c r="U847" s="62">
        <v>46072.291666666664</v>
      </c>
      <c r="V847" s="63" t="s">
        <v>86</v>
      </c>
      <c r="W847" s="63">
        <v>9547.08</v>
      </c>
      <c r="X847" s="63">
        <v>1500</v>
      </c>
      <c r="Y847" s="63" t="s">
        <v>2390</v>
      </c>
    </row>
    <row r="848" spans="1:25" hidden="1">
      <c r="A848" s="62">
        <v>46071.738634259258</v>
      </c>
      <c r="B848" s="63">
        <v>641538</v>
      </c>
      <c r="C848" s="63" t="s">
        <v>2790</v>
      </c>
      <c r="D848" s="63"/>
      <c r="E848" s="62">
        <v>46072.772881944446</v>
      </c>
      <c r="F848" s="63" t="s">
        <v>563</v>
      </c>
      <c r="G848" s="63">
        <v>1720990201</v>
      </c>
      <c r="H848" s="63">
        <v>56907868000981</v>
      </c>
      <c r="I848" s="63" t="s">
        <v>2793</v>
      </c>
      <c r="J848" s="63" t="s">
        <v>90</v>
      </c>
      <c r="K848" s="63" t="s">
        <v>140</v>
      </c>
      <c r="L848" s="63" t="s">
        <v>2794</v>
      </c>
      <c r="M848" s="63" t="s">
        <v>96</v>
      </c>
      <c r="N848" s="63" t="s">
        <v>2795</v>
      </c>
      <c r="O848" s="63" t="s">
        <v>105</v>
      </c>
      <c r="P848" s="63" t="s">
        <v>106</v>
      </c>
      <c r="Q848" s="63">
        <v>2</v>
      </c>
      <c r="R848" s="63">
        <v>0</v>
      </c>
      <c r="S848" s="63" t="s">
        <v>76</v>
      </c>
      <c r="T848" s="63">
        <v>1092.47</v>
      </c>
      <c r="U848" s="62">
        <v>46072.291666666664</v>
      </c>
      <c r="V848" s="63" t="s">
        <v>86</v>
      </c>
      <c r="W848" s="63">
        <v>9547.08</v>
      </c>
      <c r="X848" s="63">
        <v>1500</v>
      </c>
      <c r="Y848" s="63" t="s">
        <v>2390</v>
      </c>
    </row>
    <row r="849" spans="1:25" hidden="1">
      <c r="A849" s="62">
        <v>46071.738634259258</v>
      </c>
      <c r="B849" s="63">
        <v>641538</v>
      </c>
      <c r="C849" s="63" t="s">
        <v>2790</v>
      </c>
      <c r="D849" s="63"/>
      <c r="E849" s="62">
        <v>46072.772881944446</v>
      </c>
      <c r="F849" s="63" t="s">
        <v>563</v>
      </c>
      <c r="G849" s="63">
        <v>1720990201</v>
      </c>
      <c r="H849" s="63">
        <v>56907868000981</v>
      </c>
      <c r="I849" s="63" t="s">
        <v>2793</v>
      </c>
      <c r="J849" s="63" t="s">
        <v>90</v>
      </c>
      <c r="K849" s="63" t="s">
        <v>140</v>
      </c>
      <c r="L849" s="63" t="s">
        <v>2794</v>
      </c>
      <c r="M849" s="63" t="s">
        <v>96</v>
      </c>
      <c r="N849" s="63" t="s">
        <v>2795</v>
      </c>
      <c r="O849" s="63" t="s">
        <v>151</v>
      </c>
      <c r="P849" s="63" t="s">
        <v>152</v>
      </c>
      <c r="Q849" s="63">
        <v>5</v>
      </c>
      <c r="R849" s="63">
        <v>0</v>
      </c>
      <c r="S849" s="63" t="s">
        <v>70</v>
      </c>
      <c r="T849" s="63">
        <v>1092.47</v>
      </c>
      <c r="U849" s="62">
        <v>46072.291666666664</v>
      </c>
      <c r="V849" s="63" t="s">
        <v>86</v>
      </c>
      <c r="W849" s="63">
        <v>9547.08</v>
      </c>
      <c r="X849" s="63">
        <v>1500</v>
      </c>
      <c r="Y849" s="63" t="s">
        <v>2390</v>
      </c>
    </row>
    <row r="850" spans="1:25" hidden="1">
      <c r="A850" s="62">
        <v>46071.738634259258</v>
      </c>
      <c r="B850" s="63">
        <v>641538</v>
      </c>
      <c r="C850" s="63" t="s">
        <v>2790</v>
      </c>
      <c r="D850" s="63"/>
      <c r="E850" s="62">
        <v>46072.772881944446</v>
      </c>
      <c r="F850" s="63" t="s">
        <v>563</v>
      </c>
      <c r="G850" s="63">
        <v>1720990201</v>
      </c>
      <c r="H850" s="63">
        <v>56907868000981</v>
      </c>
      <c r="I850" s="63" t="s">
        <v>2793</v>
      </c>
      <c r="J850" s="63" t="s">
        <v>90</v>
      </c>
      <c r="K850" s="63" t="s">
        <v>140</v>
      </c>
      <c r="L850" s="63" t="s">
        <v>2794</v>
      </c>
      <c r="M850" s="63" t="s">
        <v>96</v>
      </c>
      <c r="N850" s="63" t="s">
        <v>2795</v>
      </c>
      <c r="O850" s="63" t="s">
        <v>153</v>
      </c>
      <c r="P850" s="63" t="s">
        <v>154</v>
      </c>
      <c r="Q850" s="63">
        <v>1</v>
      </c>
      <c r="R850" s="63">
        <v>0</v>
      </c>
      <c r="S850" s="63" t="s">
        <v>70</v>
      </c>
      <c r="T850" s="63">
        <v>1092.47</v>
      </c>
      <c r="U850" s="62">
        <v>46072.291666666664</v>
      </c>
      <c r="V850" s="63" t="s">
        <v>86</v>
      </c>
      <c r="W850" s="63">
        <v>9547.08</v>
      </c>
      <c r="X850" s="63">
        <v>1500</v>
      </c>
      <c r="Y850" s="63" t="s">
        <v>2390</v>
      </c>
    </row>
    <row r="851" spans="1:25" hidden="1">
      <c r="A851" s="62">
        <v>46071.738634259258</v>
      </c>
      <c r="B851" s="63">
        <v>641538</v>
      </c>
      <c r="C851" s="63" t="s">
        <v>2790</v>
      </c>
      <c r="D851" s="63"/>
      <c r="E851" s="62">
        <v>46072.772928240738</v>
      </c>
      <c r="F851" s="63" t="s">
        <v>563</v>
      </c>
      <c r="G851" s="63">
        <v>1721080201</v>
      </c>
      <c r="H851" s="63">
        <v>45827425003718</v>
      </c>
      <c r="I851" s="63" t="s">
        <v>2796</v>
      </c>
      <c r="J851" s="63" t="s">
        <v>2520</v>
      </c>
      <c r="K851" s="63" t="s">
        <v>140</v>
      </c>
      <c r="L851" s="63" t="s">
        <v>2797</v>
      </c>
      <c r="M851" s="63" t="s">
        <v>2798</v>
      </c>
      <c r="N851" s="63" t="s">
        <v>2348</v>
      </c>
      <c r="O851" s="63" t="s">
        <v>72</v>
      </c>
      <c r="P851" s="63" t="s">
        <v>73</v>
      </c>
      <c r="Q851" s="63">
        <v>11</v>
      </c>
      <c r="R851" s="63">
        <v>0</v>
      </c>
      <c r="S851" s="63" t="s">
        <v>70</v>
      </c>
      <c r="T851" s="63">
        <v>95</v>
      </c>
      <c r="U851" s="62">
        <v>46072.291666666664</v>
      </c>
      <c r="V851" s="63" t="s">
        <v>86</v>
      </c>
      <c r="W851" s="63">
        <v>1702.48</v>
      </c>
      <c r="X851" s="63">
        <v>1500</v>
      </c>
      <c r="Y851" s="63" t="s">
        <v>2390</v>
      </c>
    </row>
    <row r="852" spans="1:25" hidden="1">
      <c r="A852" s="62">
        <v>46071.738634259258</v>
      </c>
      <c r="B852" s="63">
        <v>641538</v>
      </c>
      <c r="C852" s="63" t="s">
        <v>2790</v>
      </c>
      <c r="D852" s="63"/>
      <c r="E852" s="62">
        <v>46072.772928240738</v>
      </c>
      <c r="F852" s="63" t="s">
        <v>563</v>
      </c>
      <c r="G852" s="63">
        <v>1721080201</v>
      </c>
      <c r="H852" s="63">
        <v>45827425003718</v>
      </c>
      <c r="I852" s="63" t="s">
        <v>2796</v>
      </c>
      <c r="J852" s="63" t="s">
        <v>2520</v>
      </c>
      <c r="K852" s="63" t="s">
        <v>140</v>
      </c>
      <c r="L852" s="63" t="s">
        <v>2797</v>
      </c>
      <c r="M852" s="63" t="s">
        <v>2798</v>
      </c>
      <c r="N852" s="63" t="s">
        <v>2348</v>
      </c>
      <c r="O852" s="63" t="s">
        <v>74</v>
      </c>
      <c r="P852" s="63" t="s">
        <v>75</v>
      </c>
      <c r="Q852" s="63">
        <v>4</v>
      </c>
      <c r="R852" s="63">
        <v>0</v>
      </c>
      <c r="S852" s="63" t="s">
        <v>76</v>
      </c>
      <c r="T852" s="63">
        <v>95</v>
      </c>
      <c r="U852" s="62">
        <v>46072.291666666664</v>
      </c>
      <c r="V852" s="63" t="s">
        <v>86</v>
      </c>
      <c r="W852" s="63">
        <v>1702.48</v>
      </c>
      <c r="X852" s="63">
        <v>1500</v>
      </c>
      <c r="Y852" s="63" t="s">
        <v>2390</v>
      </c>
    </row>
    <row r="853" spans="1:25" hidden="1">
      <c r="A853" s="62">
        <v>46071.738634259258</v>
      </c>
      <c r="B853" s="63">
        <v>641538</v>
      </c>
      <c r="C853" s="63" t="s">
        <v>2790</v>
      </c>
      <c r="D853" s="63"/>
      <c r="E853" s="62">
        <v>46072.772951388892</v>
      </c>
      <c r="F853" s="63" t="s">
        <v>563</v>
      </c>
      <c r="G853" s="63">
        <v>1726100201</v>
      </c>
      <c r="H853" s="63">
        <v>26563652051547</v>
      </c>
      <c r="I853" s="63" t="s">
        <v>2394</v>
      </c>
      <c r="J853" s="63" t="s">
        <v>159</v>
      </c>
      <c r="K853" s="63" t="s">
        <v>140</v>
      </c>
      <c r="L853" s="63"/>
      <c r="M853" s="63" t="s">
        <v>2395</v>
      </c>
      <c r="N853" s="63" t="s">
        <v>2348</v>
      </c>
      <c r="O853" s="63" t="s">
        <v>68</v>
      </c>
      <c r="P853" s="63" t="s">
        <v>69</v>
      </c>
      <c r="Q853" s="63">
        <v>7</v>
      </c>
      <c r="R853" s="63">
        <v>0</v>
      </c>
      <c r="S853" s="63" t="s">
        <v>70</v>
      </c>
      <c r="T853" s="63">
        <v>50.756</v>
      </c>
      <c r="U853" s="62">
        <v>46072.291666666664</v>
      </c>
      <c r="V853" s="63" t="s">
        <v>86</v>
      </c>
      <c r="W853" s="63">
        <v>549.34</v>
      </c>
      <c r="X853" s="63">
        <v>1500</v>
      </c>
      <c r="Y853" s="63" t="s">
        <v>2390</v>
      </c>
    </row>
    <row r="854" spans="1:25" hidden="1">
      <c r="A854" s="62">
        <v>46071.738634259258</v>
      </c>
      <c r="B854" s="63">
        <v>641538</v>
      </c>
      <c r="C854" s="63" t="s">
        <v>2790</v>
      </c>
      <c r="D854" s="63"/>
      <c r="E854" s="62">
        <v>46072.772951388892</v>
      </c>
      <c r="F854" s="63" t="s">
        <v>563</v>
      </c>
      <c r="G854" s="63">
        <v>1726100201</v>
      </c>
      <c r="H854" s="63">
        <v>26563652051547</v>
      </c>
      <c r="I854" s="63" t="s">
        <v>2394</v>
      </c>
      <c r="J854" s="63" t="s">
        <v>159</v>
      </c>
      <c r="K854" s="63" t="s">
        <v>140</v>
      </c>
      <c r="L854" s="63"/>
      <c r="M854" s="63" t="s">
        <v>2395</v>
      </c>
      <c r="N854" s="63" t="s">
        <v>2348</v>
      </c>
      <c r="O854" s="63" t="s">
        <v>72</v>
      </c>
      <c r="P854" s="63" t="s">
        <v>73</v>
      </c>
      <c r="Q854" s="63">
        <v>1</v>
      </c>
      <c r="R854" s="63">
        <v>0</v>
      </c>
      <c r="S854" s="63" t="s">
        <v>70</v>
      </c>
      <c r="T854" s="63">
        <v>50.756</v>
      </c>
      <c r="U854" s="62">
        <v>46072.291666666664</v>
      </c>
      <c r="V854" s="63" t="s">
        <v>86</v>
      </c>
      <c r="W854" s="63">
        <v>549.34</v>
      </c>
      <c r="X854" s="63">
        <v>1500</v>
      </c>
      <c r="Y854" s="63" t="s">
        <v>2390</v>
      </c>
    </row>
    <row r="855" spans="1:25" hidden="1">
      <c r="A855" s="62">
        <v>46071.738634259258</v>
      </c>
      <c r="B855" s="63">
        <v>641538</v>
      </c>
      <c r="C855" s="63" t="s">
        <v>2790</v>
      </c>
      <c r="D855" s="63"/>
      <c r="E855" s="62">
        <v>46072.772951388892</v>
      </c>
      <c r="F855" s="63" t="s">
        <v>563</v>
      </c>
      <c r="G855" s="63">
        <v>1726100201</v>
      </c>
      <c r="H855" s="63">
        <v>26563652051547</v>
      </c>
      <c r="I855" s="63" t="s">
        <v>2394</v>
      </c>
      <c r="J855" s="63" t="s">
        <v>159</v>
      </c>
      <c r="K855" s="63" t="s">
        <v>140</v>
      </c>
      <c r="L855" s="63"/>
      <c r="M855" s="63" t="s">
        <v>2395</v>
      </c>
      <c r="N855" s="63" t="s">
        <v>2348</v>
      </c>
      <c r="O855" s="63" t="s">
        <v>169</v>
      </c>
      <c r="P855" s="63" t="s">
        <v>170</v>
      </c>
      <c r="Q855" s="63">
        <v>1</v>
      </c>
      <c r="R855" s="63">
        <v>0</v>
      </c>
      <c r="S855" s="63" t="s">
        <v>76</v>
      </c>
      <c r="T855" s="63">
        <v>50.756</v>
      </c>
      <c r="U855" s="62">
        <v>46072.291666666664</v>
      </c>
      <c r="V855" s="63" t="s">
        <v>86</v>
      </c>
      <c r="W855" s="63">
        <v>549.34</v>
      </c>
      <c r="X855" s="63">
        <v>1500</v>
      </c>
      <c r="Y855" s="63" t="s">
        <v>2390</v>
      </c>
    </row>
    <row r="856" spans="1:25" hidden="1">
      <c r="A856" s="62">
        <v>46071.738634259258</v>
      </c>
      <c r="B856" s="63">
        <v>641538</v>
      </c>
      <c r="C856" s="63" t="s">
        <v>2790</v>
      </c>
      <c r="D856" s="63"/>
      <c r="E856" s="62">
        <v>46072.772951388892</v>
      </c>
      <c r="F856" s="63" t="s">
        <v>563</v>
      </c>
      <c r="G856" s="63">
        <v>1726210201</v>
      </c>
      <c r="H856" s="63">
        <v>26563652048325</v>
      </c>
      <c r="I856" s="63" t="s">
        <v>2799</v>
      </c>
      <c r="J856" s="63" t="s">
        <v>159</v>
      </c>
      <c r="K856" s="63" t="s">
        <v>140</v>
      </c>
      <c r="L856" s="63"/>
      <c r="M856" s="63" t="s">
        <v>2800</v>
      </c>
      <c r="N856" s="63" t="s">
        <v>2348</v>
      </c>
      <c r="O856" s="63" t="s">
        <v>68</v>
      </c>
      <c r="P856" s="63" t="s">
        <v>69</v>
      </c>
      <c r="Q856" s="63">
        <v>7</v>
      </c>
      <c r="R856" s="63">
        <v>0</v>
      </c>
      <c r="S856" s="63" t="s">
        <v>70</v>
      </c>
      <c r="T856" s="63">
        <v>52.276000000000003</v>
      </c>
      <c r="U856" s="62">
        <v>46072.291666666664</v>
      </c>
      <c r="V856" s="63" t="s">
        <v>86</v>
      </c>
      <c r="W856" s="63">
        <v>692.5</v>
      </c>
      <c r="X856" s="63">
        <v>1500</v>
      </c>
      <c r="Y856" s="63" t="s">
        <v>2390</v>
      </c>
    </row>
    <row r="857" spans="1:25" hidden="1">
      <c r="A857" s="62">
        <v>46071.738634259258</v>
      </c>
      <c r="B857" s="63">
        <v>641538</v>
      </c>
      <c r="C857" s="63" t="s">
        <v>2790</v>
      </c>
      <c r="D857" s="63"/>
      <c r="E857" s="62">
        <v>46072.772951388892</v>
      </c>
      <c r="F857" s="63" t="s">
        <v>563</v>
      </c>
      <c r="G857" s="63">
        <v>1726210201</v>
      </c>
      <c r="H857" s="63">
        <v>26563652048325</v>
      </c>
      <c r="I857" s="63" t="s">
        <v>2799</v>
      </c>
      <c r="J857" s="63" t="s">
        <v>159</v>
      </c>
      <c r="K857" s="63" t="s">
        <v>140</v>
      </c>
      <c r="L857" s="63"/>
      <c r="M857" s="63" t="s">
        <v>2800</v>
      </c>
      <c r="N857" s="63" t="s">
        <v>2348</v>
      </c>
      <c r="O857" s="63" t="s">
        <v>72</v>
      </c>
      <c r="P857" s="63" t="s">
        <v>73</v>
      </c>
      <c r="Q857" s="63">
        <v>2</v>
      </c>
      <c r="R857" s="63">
        <v>0</v>
      </c>
      <c r="S857" s="63" t="s">
        <v>70</v>
      </c>
      <c r="T857" s="63">
        <v>52.276000000000003</v>
      </c>
      <c r="U857" s="62">
        <v>46072.291666666664</v>
      </c>
      <c r="V857" s="63" t="s">
        <v>86</v>
      </c>
      <c r="W857" s="63">
        <v>692.5</v>
      </c>
      <c r="X857" s="63">
        <v>1500</v>
      </c>
      <c r="Y857" s="63" t="s">
        <v>2390</v>
      </c>
    </row>
    <row r="858" spans="1:25" hidden="1">
      <c r="A858" s="62">
        <v>46071.738634259258</v>
      </c>
      <c r="B858" s="63">
        <v>641538</v>
      </c>
      <c r="C858" s="63" t="s">
        <v>2790</v>
      </c>
      <c r="D858" s="63"/>
      <c r="E858" s="62">
        <v>46072.772951388892</v>
      </c>
      <c r="F858" s="63" t="s">
        <v>563</v>
      </c>
      <c r="G858" s="63">
        <v>1726210201</v>
      </c>
      <c r="H858" s="63">
        <v>26563652048325</v>
      </c>
      <c r="I858" s="63" t="s">
        <v>2799</v>
      </c>
      <c r="J858" s="63" t="s">
        <v>159</v>
      </c>
      <c r="K858" s="63" t="s">
        <v>140</v>
      </c>
      <c r="L858" s="63"/>
      <c r="M858" s="63" t="s">
        <v>2800</v>
      </c>
      <c r="N858" s="63" t="s">
        <v>2348</v>
      </c>
      <c r="O858" s="63" t="s">
        <v>161</v>
      </c>
      <c r="P858" s="63" t="s">
        <v>162</v>
      </c>
      <c r="Q858" s="63">
        <v>1</v>
      </c>
      <c r="R858" s="63">
        <v>0</v>
      </c>
      <c r="S858" s="63" t="s">
        <v>76</v>
      </c>
      <c r="T858" s="63">
        <v>52.276000000000003</v>
      </c>
      <c r="U858" s="62">
        <v>46072.291666666664</v>
      </c>
      <c r="V858" s="63" t="s">
        <v>86</v>
      </c>
      <c r="W858" s="63">
        <v>692.5</v>
      </c>
      <c r="X858" s="63">
        <v>1500</v>
      </c>
      <c r="Y858" s="63" t="s">
        <v>2390</v>
      </c>
    </row>
    <row r="859" spans="1:25" hidden="1">
      <c r="A859" s="62">
        <v>46071.738634259258</v>
      </c>
      <c r="B859" s="63">
        <v>641538</v>
      </c>
      <c r="C859" s="63" t="s">
        <v>2790</v>
      </c>
      <c r="D859" s="63"/>
      <c r="E859" s="62">
        <v>46072.772951388892</v>
      </c>
      <c r="F859" s="63" t="s">
        <v>563</v>
      </c>
      <c r="G859" s="63">
        <v>1726210201</v>
      </c>
      <c r="H859" s="63">
        <v>26563652048325</v>
      </c>
      <c r="I859" s="63" t="s">
        <v>2799</v>
      </c>
      <c r="J859" s="63" t="s">
        <v>159</v>
      </c>
      <c r="K859" s="63" t="s">
        <v>140</v>
      </c>
      <c r="L859" s="63"/>
      <c r="M859" s="63" t="s">
        <v>2800</v>
      </c>
      <c r="N859" s="63" t="s">
        <v>2348</v>
      </c>
      <c r="O859" s="63" t="s">
        <v>175</v>
      </c>
      <c r="P859" s="63" t="s">
        <v>176</v>
      </c>
      <c r="Q859" s="63">
        <v>1</v>
      </c>
      <c r="R859" s="63">
        <v>0</v>
      </c>
      <c r="S859" s="63" t="s">
        <v>76</v>
      </c>
      <c r="T859" s="63">
        <v>52.276000000000003</v>
      </c>
      <c r="U859" s="62">
        <v>46072.291666666664</v>
      </c>
      <c r="V859" s="63" t="s">
        <v>86</v>
      </c>
      <c r="W859" s="63">
        <v>692.5</v>
      </c>
      <c r="X859" s="63">
        <v>1500</v>
      </c>
      <c r="Y859" s="63" t="s">
        <v>2390</v>
      </c>
    </row>
    <row r="860" spans="1:25" hidden="1">
      <c r="A860" s="62">
        <v>46071.738634259258</v>
      </c>
      <c r="B860" s="63">
        <v>641538</v>
      </c>
      <c r="C860" s="63" t="s">
        <v>2790</v>
      </c>
      <c r="D860" s="63"/>
      <c r="E860" s="62">
        <v>46072.772951388892</v>
      </c>
      <c r="F860" s="63" t="s">
        <v>563</v>
      </c>
      <c r="G860" s="63">
        <v>1726250201</v>
      </c>
      <c r="H860" s="63">
        <v>26563652054481</v>
      </c>
      <c r="I860" s="63" t="s">
        <v>2405</v>
      </c>
      <c r="J860" s="63" t="s">
        <v>159</v>
      </c>
      <c r="K860" s="63" t="s">
        <v>140</v>
      </c>
      <c r="L860" s="63" t="s">
        <v>2406</v>
      </c>
      <c r="M860" s="63" t="s">
        <v>2407</v>
      </c>
      <c r="N860" s="63" t="s">
        <v>2348</v>
      </c>
      <c r="O860" s="63" t="s">
        <v>68</v>
      </c>
      <c r="P860" s="63" t="s">
        <v>69</v>
      </c>
      <c r="Q860" s="63">
        <v>7</v>
      </c>
      <c r="R860" s="63">
        <v>0</v>
      </c>
      <c r="S860" s="63" t="s">
        <v>70</v>
      </c>
      <c r="T860" s="63">
        <v>78.316000000000003</v>
      </c>
      <c r="U860" s="62">
        <v>46072.291666666664</v>
      </c>
      <c r="V860" s="63" t="s">
        <v>86</v>
      </c>
      <c r="W860" s="63">
        <v>1266.74</v>
      </c>
      <c r="X860" s="63">
        <v>1500</v>
      </c>
      <c r="Y860" s="63" t="s">
        <v>2390</v>
      </c>
    </row>
    <row r="861" spans="1:25" hidden="1">
      <c r="A861" s="62">
        <v>46071.738634259258</v>
      </c>
      <c r="B861" s="63">
        <v>641538</v>
      </c>
      <c r="C861" s="63" t="s">
        <v>2790</v>
      </c>
      <c r="D861" s="63"/>
      <c r="E861" s="62">
        <v>46072.772951388892</v>
      </c>
      <c r="F861" s="63" t="s">
        <v>563</v>
      </c>
      <c r="G861" s="63">
        <v>1726250201</v>
      </c>
      <c r="H861" s="63">
        <v>26563652054481</v>
      </c>
      <c r="I861" s="63" t="s">
        <v>2405</v>
      </c>
      <c r="J861" s="63" t="s">
        <v>159</v>
      </c>
      <c r="K861" s="63" t="s">
        <v>140</v>
      </c>
      <c r="L861" s="63" t="s">
        <v>2406</v>
      </c>
      <c r="M861" s="63" t="s">
        <v>2407</v>
      </c>
      <c r="N861" s="63" t="s">
        <v>2348</v>
      </c>
      <c r="O861" s="63" t="s">
        <v>72</v>
      </c>
      <c r="P861" s="63" t="s">
        <v>73</v>
      </c>
      <c r="Q861" s="63">
        <v>1</v>
      </c>
      <c r="R861" s="63">
        <v>0</v>
      </c>
      <c r="S861" s="63" t="s">
        <v>70</v>
      </c>
      <c r="T861" s="63">
        <v>78.316000000000003</v>
      </c>
      <c r="U861" s="62">
        <v>46072.291666666664</v>
      </c>
      <c r="V861" s="63" t="s">
        <v>86</v>
      </c>
      <c r="W861" s="63">
        <v>1266.74</v>
      </c>
      <c r="X861" s="63">
        <v>1500</v>
      </c>
      <c r="Y861" s="63" t="s">
        <v>2390</v>
      </c>
    </row>
    <row r="862" spans="1:25" hidden="1">
      <c r="A862" s="62">
        <v>46071.738634259258</v>
      </c>
      <c r="B862" s="63">
        <v>641538</v>
      </c>
      <c r="C862" s="63" t="s">
        <v>2790</v>
      </c>
      <c r="D862" s="63"/>
      <c r="E862" s="62">
        <v>46072.772951388892</v>
      </c>
      <c r="F862" s="63" t="s">
        <v>563</v>
      </c>
      <c r="G862" s="63">
        <v>1726250201</v>
      </c>
      <c r="H862" s="63">
        <v>26563652054481</v>
      </c>
      <c r="I862" s="63" t="s">
        <v>2405</v>
      </c>
      <c r="J862" s="63" t="s">
        <v>159</v>
      </c>
      <c r="K862" s="63" t="s">
        <v>140</v>
      </c>
      <c r="L862" s="63" t="s">
        <v>2406</v>
      </c>
      <c r="M862" s="63" t="s">
        <v>2407</v>
      </c>
      <c r="N862" s="63" t="s">
        <v>2348</v>
      </c>
      <c r="O862" s="63" t="s">
        <v>169</v>
      </c>
      <c r="P862" s="63" t="s">
        <v>170</v>
      </c>
      <c r="Q862" s="63">
        <v>3</v>
      </c>
      <c r="R862" s="63">
        <v>0</v>
      </c>
      <c r="S862" s="63" t="s">
        <v>76</v>
      </c>
      <c r="T862" s="63">
        <v>78.316000000000003</v>
      </c>
      <c r="U862" s="62">
        <v>46072.291666666664</v>
      </c>
      <c r="V862" s="63" t="s">
        <v>86</v>
      </c>
      <c r="W862" s="63">
        <v>1266.74</v>
      </c>
      <c r="X862" s="63">
        <v>1500</v>
      </c>
      <c r="Y862" s="63" t="s">
        <v>2390</v>
      </c>
    </row>
    <row r="863" spans="1:25" hidden="1">
      <c r="A863" s="62">
        <v>46071.738634259258</v>
      </c>
      <c r="B863" s="63">
        <v>641538</v>
      </c>
      <c r="C863" s="63" t="s">
        <v>2790</v>
      </c>
      <c r="D863" s="63"/>
      <c r="E863" s="62">
        <v>46072.772951388892</v>
      </c>
      <c r="F863" s="63" t="s">
        <v>563</v>
      </c>
      <c r="G863" s="63">
        <v>1726250201</v>
      </c>
      <c r="H863" s="63">
        <v>26563652054481</v>
      </c>
      <c r="I863" s="63" t="s">
        <v>2405</v>
      </c>
      <c r="J863" s="63" t="s">
        <v>159</v>
      </c>
      <c r="K863" s="63" t="s">
        <v>140</v>
      </c>
      <c r="L863" s="63" t="s">
        <v>2406</v>
      </c>
      <c r="M863" s="63" t="s">
        <v>2407</v>
      </c>
      <c r="N863" s="63" t="s">
        <v>2348</v>
      </c>
      <c r="O863" s="63" t="s">
        <v>119</v>
      </c>
      <c r="P863" s="63" t="s">
        <v>120</v>
      </c>
      <c r="Q863" s="63">
        <v>1</v>
      </c>
      <c r="R863" s="63">
        <v>0</v>
      </c>
      <c r="S863" s="63" t="s">
        <v>76</v>
      </c>
      <c r="T863" s="63">
        <v>78.316000000000003</v>
      </c>
      <c r="U863" s="62">
        <v>46072.291666666664</v>
      </c>
      <c r="V863" s="63" t="s">
        <v>86</v>
      </c>
      <c r="W863" s="63">
        <v>1266.74</v>
      </c>
      <c r="X863" s="63">
        <v>1500</v>
      </c>
      <c r="Y863" s="63" t="s">
        <v>2390</v>
      </c>
    </row>
    <row r="864" spans="1:25" hidden="1">
      <c r="A864" s="62">
        <v>46071.738634259258</v>
      </c>
      <c r="B864" s="63">
        <v>641538</v>
      </c>
      <c r="C864" s="63" t="s">
        <v>2790</v>
      </c>
      <c r="D864" s="63"/>
      <c r="E864" s="62">
        <v>46072.772951388892</v>
      </c>
      <c r="F864" s="63" t="s">
        <v>563</v>
      </c>
      <c r="G864" s="63">
        <v>1726250201</v>
      </c>
      <c r="H864" s="63">
        <v>26563652054481</v>
      </c>
      <c r="I864" s="63" t="s">
        <v>2405</v>
      </c>
      <c r="J864" s="63" t="s">
        <v>159</v>
      </c>
      <c r="K864" s="63" t="s">
        <v>140</v>
      </c>
      <c r="L864" s="63" t="s">
        <v>2406</v>
      </c>
      <c r="M864" s="63" t="s">
        <v>2407</v>
      </c>
      <c r="N864" s="63" t="s">
        <v>2348</v>
      </c>
      <c r="O864" s="63" t="s">
        <v>165</v>
      </c>
      <c r="P864" s="63" t="s">
        <v>166</v>
      </c>
      <c r="Q864" s="63">
        <v>1</v>
      </c>
      <c r="R864" s="63">
        <v>0</v>
      </c>
      <c r="S864" s="63" t="s">
        <v>76</v>
      </c>
      <c r="T864" s="63">
        <v>78.316000000000003</v>
      </c>
      <c r="U864" s="62">
        <v>46072.291666666664</v>
      </c>
      <c r="V864" s="63" t="s">
        <v>86</v>
      </c>
      <c r="W864" s="63">
        <v>1266.74</v>
      </c>
      <c r="X864" s="63">
        <v>1500</v>
      </c>
      <c r="Y864" s="63" t="s">
        <v>2390</v>
      </c>
    </row>
  </sheetData>
  <autoFilter ref="O1:O864" xr:uid="{00000000-0001-0000-0400-000000000000}">
    <filterColumn colId="0">
      <filters>
        <filter val="01.01.0002"/>
      </filters>
    </filterColumn>
  </autoFilter>
  <phoneticPr fontId="11" type="noConversion"/>
  <conditionalFormatting sqref="E3">
    <cfRule type="cellIs" dxfId="4" priority="1" operator="equal">
      <formula>0</formula>
    </cfRule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C179-BDBC-4ACF-89B3-C335E1BD4036}">
  <dimension ref="A1:E3003"/>
  <sheetViews>
    <sheetView workbookViewId="0">
      <selection activeCell="J7" sqref="J7"/>
    </sheetView>
  </sheetViews>
  <sheetFormatPr defaultRowHeight="15"/>
  <cols>
    <col min="1" max="1" width="11" style="13" bestFit="1" customWidth="1"/>
    <col min="2" max="2" width="9.140625" style="13"/>
    <col min="3" max="3" width="13.140625" style="13" bestFit="1" customWidth="1"/>
    <col min="4" max="4" width="8.5703125" style="13" bestFit="1" customWidth="1"/>
    <col min="5" max="5" width="14.140625" style="13" bestFit="1" customWidth="1"/>
    <col min="6" max="16384" width="9.140625" style="13"/>
  </cols>
  <sheetData>
    <row r="1" spans="1:5" ht="15.75" thickBot="1">
      <c r="A1" s="23" t="s">
        <v>552</v>
      </c>
      <c r="B1" s="23" t="s">
        <v>556</v>
      </c>
      <c r="C1" s="23" t="s">
        <v>572</v>
      </c>
      <c r="D1" s="23" t="s">
        <v>576</v>
      </c>
      <c r="E1" s="23" t="s">
        <v>546</v>
      </c>
    </row>
    <row r="2" spans="1:5" ht="15.75" thickBot="1">
      <c r="A2" s="24" t="s">
        <v>553</v>
      </c>
      <c r="B2" s="34" t="s">
        <v>158</v>
      </c>
      <c r="C2" s="34">
        <v>4200</v>
      </c>
      <c r="D2" s="35">
        <v>46115</v>
      </c>
      <c r="E2" s="36" t="s">
        <v>547</v>
      </c>
    </row>
    <row r="3" spans="1:5" ht="15.75" thickBot="1">
      <c r="A3" s="25" t="s">
        <v>553</v>
      </c>
      <c r="B3" s="37" t="s">
        <v>288</v>
      </c>
      <c r="C3" s="37">
        <v>4200</v>
      </c>
      <c r="D3" s="38">
        <v>46115</v>
      </c>
      <c r="E3" s="39" t="s">
        <v>548</v>
      </c>
    </row>
    <row r="4" spans="1:5" ht="15.75" thickBot="1">
      <c r="A4" s="25" t="s">
        <v>553</v>
      </c>
      <c r="B4" s="37" t="s">
        <v>219</v>
      </c>
      <c r="C4" s="37">
        <v>4200</v>
      </c>
      <c r="D4" s="38">
        <v>46115</v>
      </c>
      <c r="E4" s="39" t="s">
        <v>548</v>
      </c>
    </row>
    <row r="5" spans="1:5" ht="15.75" thickBot="1">
      <c r="A5" s="25" t="s">
        <v>553</v>
      </c>
      <c r="B5" s="37" t="s">
        <v>340</v>
      </c>
      <c r="C5" s="37">
        <v>4200</v>
      </c>
      <c r="D5" s="38">
        <v>46115</v>
      </c>
      <c r="E5" s="39" t="s">
        <v>548</v>
      </c>
    </row>
    <row r="6" spans="1:5" ht="15.75" thickBot="1">
      <c r="A6" s="25" t="s">
        <v>553</v>
      </c>
      <c r="B6" s="37" t="s">
        <v>265</v>
      </c>
      <c r="C6" s="37">
        <v>4200</v>
      </c>
      <c r="D6" s="38">
        <v>46115</v>
      </c>
      <c r="E6" s="40" t="s">
        <v>549</v>
      </c>
    </row>
    <row r="7" spans="1:5" ht="15.75" thickBot="1">
      <c r="A7" s="25" t="s">
        <v>553</v>
      </c>
      <c r="B7" s="37" t="s">
        <v>202</v>
      </c>
      <c r="C7" s="37">
        <v>4200</v>
      </c>
      <c r="D7" s="38">
        <v>46115</v>
      </c>
      <c r="E7" s="39" t="s">
        <v>548</v>
      </c>
    </row>
    <row r="8" spans="1:5" ht="15.75" thickBot="1">
      <c r="A8" s="25" t="s">
        <v>553</v>
      </c>
      <c r="B8" s="37" t="s">
        <v>557</v>
      </c>
      <c r="C8" s="37">
        <v>4200</v>
      </c>
      <c r="D8" s="38">
        <v>46115</v>
      </c>
      <c r="E8" s="39" t="s">
        <v>548</v>
      </c>
    </row>
    <row r="9" spans="1:5" ht="15.75" thickBot="1">
      <c r="A9" s="25" t="s">
        <v>553</v>
      </c>
      <c r="B9" s="37" t="s">
        <v>320</v>
      </c>
      <c r="C9" s="37">
        <v>4200</v>
      </c>
      <c r="D9" s="38">
        <v>46115</v>
      </c>
      <c r="E9" s="40" t="s">
        <v>549</v>
      </c>
    </row>
    <row r="10" spans="1:5" ht="15.75" thickBot="1">
      <c r="A10" s="25" t="s">
        <v>553</v>
      </c>
      <c r="B10" s="37" t="s">
        <v>266</v>
      </c>
      <c r="C10" s="37">
        <v>4200</v>
      </c>
      <c r="D10" s="38">
        <v>46115</v>
      </c>
      <c r="E10" s="40" t="s">
        <v>549</v>
      </c>
    </row>
    <row r="11" spans="1:5" ht="15.75" thickBot="1">
      <c r="A11" s="25" t="s">
        <v>553</v>
      </c>
      <c r="B11" s="37" t="s">
        <v>180</v>
      </c>
      <c r="C11" s="37">
        <v>4200</v>
      </c>
      <c r="D11" s="38">
        <v>46115</v>
      </c>
      <c r="E11" s="41" t="s">
        <v>550</v>
      </c>
    </row>
    <row r="12" spans="1:5" ht="15.75" thickBot="1">
      <c r="A12" s="25" t="s">
        <v>553</v>
      </c>
      <c r="B12" s="37" t="s">
        <v>229</v>
      </c>
      <c r="C12" s="37">
        <v>4200</v>
      </c>
      <c r="D12" s="38">
        <v>46115</v>
      </c>
      <c r="E12" s="39" t="s">
        <v>548</v>
      </c>
    </row>
    <row r="13" spans="1:5" ht="15.75" thickBot="1">
      <c r="A13" s="24" t="s">
        <v>553</v>
      </c>
      <c r="B13" s="34" t="s">
        <v>373</v>
      </c>
      <c r="C13" s="34" t="s">
        <v>573</v>
      </c>
      <c r="D13" s="35">
        <v>46115</v>
      </c>
      <c r="E13" s="36" t="s">
        <v>547</v>
      </c>
    </row>
    <row r="14" spans="1:5" ht="15.75" thickBot="1">
      <c r="A14" s="24" t="s">
        <v>553</v>
      </c>
      <c r="B14" s="34" t="s">
        <v>385</v>
      </c>
      <c r="C14" s="34" t="s">
        <v>574</v>
      </c>
      <c r="D14" s="35">
        <v>46115</v>
      </c>
      <c r="E14" s="36" t="s">
        <v>547</v>
      </c>
    </row>
    <row r="15" spans="1:5" ht="15.75" thickBot="1">
      <c r="A15" s="24" t="s">
        <v>553</v>
      </c>
      <c r="B15" s="34" t="s">
        <v>276</v>
      </c>
      <c r="C15" s="34" t="s">
        <v>574</v>
      </c>
      <c r="D15" s="35">
        <v>46115</v>
      </c>
      <c r="E15" s="36" t="s">
        <v>547</v>
      </c>
    </row>
    <row r="16" spans="1:5" ht="15.75" thickBot="1">
      <c r="A16" s="25" t="s">
        <v>553</v>
      </c>
      <c r="B16" s="37" t="s">
        <v>558</v>
      </c>
      <c r="C16" s="37" t="s">
        <v>575</v>
      </c>
      <c r="D16" s="38">
        <v>46115</v>
      </c>
      <c r="E16" s="41" t="s">
        <v>550</v>
      </c>
    </row>
    <row r="17" spans="1:5" ht="15.75" thickBot="1">
      <c r="A17" s="25" t="s">
        <v>553</v>
      </c>
      <c r="B17" s="37" t="s">
        <v>240</v>
      </c>
      <c r="C17" s="42"/>
      <c r="D17" s="38">
        <v>46115</v>
      </c>
      <c r="E17" s="39" t="s">
        <v>548</v>
      </c>
    </row>
    <row r="18" spans="1:5" ht="15.75" thickBot="1">
      <c r="A18" s="25" t="s">
        <v>553</v>
      </c>
      <c r="B18" s="37" t="s">
        <v>82</v>
      </c>
      <c r="C18" s="42"/>
      <c r="D18" s="38">
        <v>46115</v>
      </c>
      <c r="E18" s="39" t="s">
        <v>548</v>
      </c>
    </row>
    <row r="19" spans="1:5" ht="15.75" thickBot="1">
      <c r="A19" s="25" t="s">
        <v>553</v>
      </c>
      <c r="B19" s="37" t="s">
        <v>559</v>
      </c>
      <c r="C19" s="37">
        <v>8000</v>
      </c>
      <c r="D19" s="37" t="s">
        <v>577</v>
      </c>
      <c r="E19" s="43" t="s">
        <v>551</v>
      </c>
    </row>
    <row r="20" spans="1:5" ht="15.75" thickBot="1">
      <c r="A20" s="26" t="s">
        <v>554</v>
      </c>
      <c r="B20" s="34" t="s">
        <v>323</v>
      </c>
      <c r="C20" s="34">
        <v>2700</v>
      </c>
      <c r="D20" s="35">
        <v>46115</v>
      </c>
      <c r="E20" s="36" t="s">
        <v>547</v>
      </c>
    </row>
    <row r="21" spans="1:5" ht="15.75" thickBot="1">
      <c r="A21" s="27" t="s">
        <v>554</v>
      </c>
      <c r="B21" s="37" t="s">
        <v>382</v>
      </c>
      <c r="C21" s="37">
        <v>2700</v>
      </c>
      <c r="D21" s="38">
        <v>46115</v>
      </c>
      <c r="E21" s="39" t="s">
        <v>548</v>
      </c>
    </row>
    <row r="22" spans="1:5" ht="15.75" thickBot="1">
      <c r="A22" s="27" t="s">
        <v>554</v>
      </c>
      <c r="B22" s="37" t="s">
        <v>332</v>
      </c>
      <c r="C22" s="37">
        <v>2500</v>
      </c>
      <c r="D22" s="38">
        <v>46115</v>
      </c>
      <c r="E22" s="39" t="s">
        <v>548</v>
      </c>
    </row>
    <row r="23" spans="1:5" ht="15.75" thickBot="1">
      <c r="A23" s="27" t="s">
        <v>554</v>
      </c>
      <c r="B23" s="37" t="s">
        <v>283</v>
      </c>
      <c r="C23" s="37">
        <v>2500</v>
      </c>
      <c r="D23" s="38">
        <v>46115</v>
      </c>
      <c r="E23" s="39" t="s">
        <v>548</v>
      </c>
    </row>
    <row r="24" spans="1:5" ht="15.75" thickBot="1">
      <c r="A24" s="28" t="s">
        <v>555</v>
      </c>
      <c r="B24" s="44" t="s">
        <v>560</v>
      </c>
      <c r="C24" s="44">
        <v>2500</v>
      </c>
      <c r="D24" s="44" t="s">
        <v>578</v>
      </c>
      <c r="E24" s="45" t="s">
        <v>549</v>
      </c>
    </row>
    <row r="25" spans="1:5" ht="15.75" thickBot="1">
      <c r="A25" s="29" t="s">
        <v>555</v>
      </c>
      <c r="B25" s="37" t="s">
        <v>561</v>
      </c>
      <c r="C25" s="37">
        <v>2500</v>
      </c>
      <c r="D25" s="37" t="s">
        <v>578</v>
      </c>
      <c r="E25" s="43" t="s">
        <v>551</v>
      </c>
    </row>
    <row r="26" spans="1:5" ht="15.75" thickBot="1">
      <c r="A26" s="29" t="s">
        <v>555</v>
      </c>
      <c r="B26" s="37" t="s">
        <v>562</v>
      </c>
      <c r="C26" s="37">
        <v>2500</v>
      </c>
      <c r="D26" s="37" t="s">
        <v>578</v>
      </c>
      <c r="E26" s="39" t="s">
        <v>548</v>
      </c>
    </row>
    <row r="27" spans="1:5" ht="15.75" thickBot="1">
      <c r="A27" s="29" t="s">
        <v>555</v>
      </c>
      <c r="B27" s="37" t="s">
        <v>336</v>
      </c>
      <c r="C27" s="37">
        <v>1500</v>
      </c>
      <c r="D27" s="37" t="s">
        <v>579</v>
      </c>
      <c r="E27" s="39" t="s">
        <v>548</v>
      </c>
    </row>
    <row r="28" spans="1:5" ht="15.75" thickBot="1">
      <c r="A28" s="29" t="s">
        <v>555</v>
      </c>
      <c r="B28" s="37" t="s">
        <v>237</v>
      </c>
      <c r="C28" s="37">
        <v>700</v>
      </c>
      <c r="D28" s="37" t="s">
        <v>580</v>
      </c>
      <c r="E28" s="41" t="s">
        <v>550</v>
      </c>
    </row>
    <row r="29" spans="1:5" ht="15.75" thickBot="1">
      <c r="A29" s="30" t="s">
        <v>555</v>
      </c>
      <c r="B29" s="34" t="s">
        <v>563</v>
      </c>
      <c r="C29" s="34">
        <v>1500</v>
      </c>
      <c r="D29" s="34" t="s">
        <v>581</v>
      </c>
      <c r="E29" s="36" t="s">
        <v>547</v>
      </c>
    </row>
    <row r="30" spans="1:5" ht="15.75" thickBot="1">
      <c r="A30" s="28" t="s">
        <v>555</v>
      </c>
      <c r="B30" s="44" t="s">
        <v>564</v>
      </c>
      <c r="C30" s="44">
        <v>1500</v>
      </c>
      <c r="D30" s="44" t="s">
        <v>581</v>
      </c>
      <c r="E30" s="46" t="s">
        <v>547</v>
      </c>
    </row>
    <row r="31" spans="1:5" ht="15.75" thickBot="1">
      <c r="A31" s="30" t="s">
        <v>555</v>
      </c>
      <c r="B31" s="34" t="s">
        <v>565</v>
      </c>
      <c r="C31" s="34">
        <v>1500</v>
      </c>
      <c r="D31" s="34" t="s">
        <v>581</v>
      </c>
      <c r="E31" s="36" t="s">
        <v>547</v>
      </c>
    </row>
    <row r="32" spans="1:5" ht="15.75" thickBot="1">
      <c r="A32" s="29" t="s">
        <v>555</v>
      </c>
      <c r="B32" s="37" t="s">
        <v>566</v>
      </c>
      <c r="C32" s="37">
        <v>500</v>
      </c>
      <c r="D32" s="37" t="s">
        <v>580</v>
      </c>
      <c r="E32" s="43" t="s">
        <v>551</v>
      </c>
    </row>
    <row r="33" spans="1:5" ht="15.75" thickBot="1">
      <c r="A33" s="29" t="s">
        <v>555</v>
      </c>
      <c r="B33" s="37" t="s">
        <v>567</v>
      </c>
      <c r="C33" s="37">
        <v>1500</v>
      </c>
      <c r="D33" s="37" t="s">
        <v>581</v>
      </c>
      <c r="E33" s="43" t="s">
        <v>551</v>
      </c>
    </row>
    <row r="34" spans="1:5" ht="15.75" thickBot="1">
      <c r="A34" s="29" t="s">
        <v>555</v>
      </c>
      <c r="B34" s="37" t="s">
        <v>139</v>
      </c>
      <c r="C34" s="37">
        <v>500</v>
      </c>
      <c r="D34" s="37" t="s">
        <v>580</v>
      </c>
      <c r="E34" s="40" t="s">
        <v>549</v>
      </c>
    </row>
    <row r="35" spans="1:5" ht="15.75" thickBot="1">
      <c r="A35" s="30" t="s">
        <v>555</v>
      </c>
      <c r="B35" s="34" t="s">
        <v>568</v>
      </c>
      <c r="C35" s="34">
        <v>1500</v>
      </c>
      <c r="D35" s="34" t="s">
        <v>581</v>
      </c>
      <c r="E35" s="36" t="s">
        <v>547</v>
      </c>
    </row>
    <row r="36" spans="1:5" ht="15.75" thickBot="1">
      <c r="A36" s="29" t="s">
        <v>555</v>
      </c>
      <c r="B36" s="37" t="s">
        <v>569</v>
      </c>
      <c r="C36" s="37">
        <v>500</v>
      </c>
      <c r="D36" s="37" t="s">
        <v>580</v>
      </c>
      <c r="E36" s="43" t="s">
        <v>551</v>
      </c>
    </row>
    <row r="37" spans="1:5" ht="15.75" thickBot="1">
      <c r="A37" s="29" t="s">
        <v>555</v>
      </c>
      <c r="B37" s="37" t="s">
        <v>570</v>
      </c>
      <c r="C37" s="37">
        <v>500</v>
      </c>
      <c r="D37" s="37" t="s">
        <v>580</v>
      </c>
      <c r="E37" s="41" t="s">
        <v>550</v>
      </c>
    </row>
    <row r="38" spans="1:5" ht="15.75" thickBot="1">
      <c r="A38" s="28" t="s">
        <v>555</v>
      </c>
      <c r="B38" s="44" t="s">
        <v>571</v>
      </c>
      <c r="C38" s="44">
        <v>500</v>
      </c>
      <c r="D38" s="44" t="s">
        <v>580</v>
      </c>
      <c r="E38" s="46" t="s">
        <v>551</v>
      </c>
    </row>
    <row r="39" spans="1:5" ht="15.75" thickBot="1">
      <c r="A39" s="31" t="s">
        <v>553</v>
      </c>
      <c r="B39" s="44" t="s">
        <v>127</v>
      </c>
      <c r="C39" s="44" t="s">
        <v>574</v>
      </c>
      <c r="D39" s="47">
        <v>46115</v>
      </c>
      <c r="E39" s="48" t="s">
        <v>548</v>
      </c>
    </row>
    <row r="40" spans="1:5" ht="15.75" thickBot="1">
      <c r="A40" s="32"/>
      <c r="B40" s="32"/>
      <c r="C40" s="32"/>
      <c r="D40" s="32"/>
      <c r="E40" s="32"/>
    </row>
    <row r="41" spans="1:5" ht="15.75" thickBot="1">
      <c r="A41" s="32"/>
      <c r="B41" s="32"/>
      <c r="C41" s="32"/>
      <c r="D41" s="32"/>
      <c r="E41" s="32"/>
    </row>
    <row r="42" spans="1:5" ht="15.75" thickBot="1">
      <c r="A42" s="32"/>
      <c r="B42" s="32"/>
      <c r="C42" s="32"/>
      <c r="D42" s="32"/>
      <c r="E42" s="32"/>
    </row>
    <row r="43" spans="1:5" ht="15.75" thickBot="1">
      <c r="A43" s="32"/>
      <c r="B43" s="32"/>
      <c r="C43" s="32"/>
      <c r="D43" s="32"/>
      <c r="E43" s="32"/>
    </row>
    <row r="44" spans="1:5" ht="15.75" thickBot="1">
      <c r="A44" s="32"/>
      <c r="B44" s="32"/>
      <c r="C44" s="32"/>
      <c r="D44" s="32"/>
      <c r="E44" s="32"/>
    </row>
    <row r="45" spans="1:5" ht="15.75" thickBot="1">
      <c r="A45" s="32"/>
      <c r="B45" s="32"/>
      <c r="C45" s="32"/>
      <c r="D45" s="32"/>
      <c r="E45" s="32"/>
    </row>
    <row r="46" spans="1:5" ht="15.75" thickBot="1">
      <c r="A46" s="32"/>
      <c r="B46" s="32"/>
      <c r="C46" s="32"/>
      <c r="D46" s="32"/>
      <c r="E46" s="32"/>
    </row>
    <row r="47" spans="1:5" ht="15.75" thickBot="1">
      <c r="A47" s="32"/>
      <c r="B47" s="32"/>
      <c r="C47" s="32"/>
      <c r="D47" s="32"/>
      <c r="E47" s="32"/>
    </row>
    <row r="48" spans="1:5" ht="15.75" thickBot="1">
      <c r="A48" s="32"/>
      <c r="B48" s="32"/>
      <c r="C48" s="32"/>
      <c r="D48" s="32"/>
      <c r="E48" s="32"/>
    </row>
    <row r="49" spans="1:5" ht="15.75" thickBot="1">
      <c r="A49" s="32"/>
      <c r="B49" s="32"/>
      <c r="C49" s="32"/>
      <c r="D49" s="32"/>
      <c r="E49" s="32"/>
    </row>
    <row r="50" spans="1:5" ht="15.75" thickBot="1">
      <c r="A50" s="32"/>
      <c r="B50" s="32"/>
      <c r="C50" s="32"/>
      <c r="D50" s="32"/>
      <c r="E50" s="32"/>
    </row>
    <row r="51" spans="1:5" ht="15.75" thickBot="1">
      <c r="A51" s="32"/>
      <c r="B51" s="32"/>
      <c r="C51" s="32"/>
      <c r="D51" s="32"/>
      <c r="E51" s="32"/>
    </row>
    <row r="52" spans="1:5" ht="15.75" thickBot="1">
      <c r="A52" s="32"/>
      <c r="B52" s="32"/>
      <c r="C52" s="32"/>
      <c r="D52" s="32"/>
      <c r="E52" s="32"/>
    </row>
    <row r="53" spans="1:5" ht="15.75" thickBot="1">
      <c r="A53" s="32"/>
      <c r="B53" s="32"/>
      <c r="C53" s="32"/>
      <c r="D53" s="32"/>
      <c r="E53" s="32"/>
    </row>
    <row r="54" spans="1:5" ht="15.75" thickBot="1">
      <c r="A54" s="32"/>
      <c r="B54" s="32"/>
      <c r="C54" s="32"/>
      <c r="D54" s="32"/>
      <c r="E54" s="32"/>
    </row>
    <row r="55" spans="1:5" ht="15.75" thickBot="1">
      <c r="A55" s="32"/>
      <c r="B55" s="32"/>
      <c r="C55" s="32"/>
      <c r="D55" s="32"/>
      <c r="E55" s="32"/>
    </row>
    <row r="56" spans="1:5" ht="15.75" thickBot="1">
      <c r="A56" s="32"/>
      <c r="B56" s="32"/>
      <c r="C56" s="32"/>
      <c r="D56" s="32"/>
      <c r="E56" s="32"/>
    </row>
    <row r="57" spans="1:5" ht="15.75" thickBot="1">
      <c r="A57" s="32"/>
      <c r="B57" s="32"/>
      <c r="C57" s="32"/>
      <c r="D57" s="32"/>
      <c r="E57" s="32"/>
    </row>
    <row r="58" spans="1:5" ht="15.75" thickBot="1">
      <c r="A58" s="32"/>
      <c r="B58" s="32"/>
      <c r="C58" s="32"/>
      <c r="D58" s="32"/>
      <c r="E58" s="32"/>
    </row>
    <row r="59" spans="1:5" ht="15.75" thickBot="1">
      <c r="A59" s="33"/>
      <c r="B59" s="33"/>
      <c r="C59" s="33"/>
      <c r="D59" s="33"/>
      <c r="E59" s="33"/>
    </row>
    <row r="60" spans="1:5" ht="15.75" thickBot="1">
      <c r="A60" s="33"/>
      <c r="B60" s="33"/>
      <c r="C60" s="33"/>
      <c r="D60" s="33"/>
      <c r="E60" s="33"/>
    </row>
    <row r="61" spans="1:5" ht="15.75" thickBot="1">
      <c r="A61" s="33"/>
      <c r="B61" s="33"/>
      <c r="C61" s="33"/>
      <c r="D61" s="33"/>
      <c r="E61" s="33"/>
    </row>
    <row r="62" spans="1:5" ht="15.75" thickBot="1">
      <c r="A62" s="33"/>
      <c r="B62" s="33"/>
      <c r="C62" s="33"/>
      <c r="D62" s="33"/>
      <c r="E62" s="33"/>
    </row>
    <row r="63" spans="1:5" ht="15.75" thickBot="1">
      <c r="A63" s="33"/>
      <c r="B63" s="33"/>
      <c r="C63" s="33"/>
      <c r="D63" s="33"/>
      <c r="E63" s="33"/>
    </row>
    <row r="64" spans="1:5" ht="15.75" thickBot="1">
      <c r="A64" s="33"/>
      <c r="B64" s="33"/>
      <c r="C64" s="33"/>
      <c r="D64" s="33"/>
      <c r="E64" s="33"/>
    </row>
    <row r="65" spans="1:5" ht="15.75" thickBot="1">
      <c r="A65" s="33"/>
      <c r="B65" s="33"/>
      <c r="C65" s="33"/>
      <c r="D65" s="33"/>
      <c r="E65" s="33"/>
    </row>
    <row r="66" spans="1:5" ht="15.75" thickBot="1">
      <c r="A66" s="33"/>
      <c r="B66" s="33"/>
      <c r="C66" s="33"/>
      <c r="D66" s="33"/>
      <c r="E66" s="33"/>
    </row>
    <row r="67" spans="1:5" ht="15.75" thickBot="1">
      <c r="A67" s="33"/>
      <c r="B67" s="33"/>
      <c r="C67" s="33"/>
      <c r="D67" s="33"/>
      <c r="E67" s="33"/>
    </row>
    <row r="68" spans="1:5" ht="15.75" thickBot="1">
      <c r="A68" s="33"/>
      <c r="B68" s="33"/>
      <c r="C68" s="33"/>
      <c r="D68" s="33"/>
      <c r="E68" s="33"/>
    </row>
    <row r="69" spans="1:5" ht="15.75" thickBot="1">
      <c r="A69" s="33"/>
      <c r="B69" s="33"/>
      <c r="C69" s="33"/>
      <c r="D69" s="33"/>
      <c r="E69" s="33"/>
    </row>
    <row r="70" spans="1:5" ht="15.75" thickBot="1">
      <c r="A70" s="33"/>
      <c r="B70" s="33"/>
      <c r="C70" s="33"/>
      <c r="D70" s="33"/>
      <c r="E70" s="33"/>
    </row>
    <row r="71" spans="1:5" ht="15.75" thickBot="1">
      <c r="A71" s="33"/>
      <c r="B71" s="33"/>
      <c r="C71" s="33"/>
      <c r="D71" s="33"/>
      <c r="E71" s="33"/>
    </row>
    <row r="72" spans="1:5" ht="15.75" thickBot="1">
      <c r="A72" s="33"/>
      <c r="B72" s="33"/>
      <c r="C72" s="33"/>
      <c r="D72" s="33"/>
      <c r="E72" s="33"/>
    </row>
    <row r="73" spans="1:5" ht="15.75" thickBot="1">
      <c r="A73" s="33"/>
      <c r="B73" s="33"/>
      <c r="C73" s="33"/>
      <c r="D73" s="33"/>
      <c r="E73" s="33"/>
    </row>
    <row r="74" spans="1:5" ht="15.75" thickBot="1">
      <c r="A74" s="33"/>
      <c r="B74" s="33"/>
      <c r="C74" s="33"/>
      <c r="D74" s="33"/>
      <c r="E74" s="33"/>
    </row>
    <row r="75" spans="1:5" ht="15.75" thickBot="1">
      <c r="A75" s="33"/>
      <c r="B75" s="33"/>
      <c r="C75" s="33"/>
      <c r="D75" s="33"/>
      <c r="E75" s="33"/>
    </row>
    <row r="76" spans="1:5" ht="15.75" thickBot="1">
      <c r="A76" s="33"/>
      <c r="B76" s="33"/>
      <c r="C76" s="33"/>
      <c r="D76" s="33"/>
      <c r="E76" s="33"/>
    </row>
    <row r="77" spans="1:5" ht="15.75" thickBot="1">
      <c r="A77" s="33"/>
      <c r="B77" s="33"/>
      <c r="C77" s="33"/>
      <c r="D77" s="33"/>
      <c r="E77" s="33"/>
    </row>
    <row r="78" spans="1:5" ht="15.75" thickBot="1">
      <c r="A78" s="33"/>
      <c r="B78" s="33"/>
      <c r="C78" s="33"/>
      <c r="D78" s="33"/>
      <c r="E78" s="33"/>
    </row>
    <row r="79" spans="1:5" ht="15.75" thickBot="1">
      <c r="A79" s="33"/>
      <c r="B79" s="33"/>
      <c r="C79" s="33"/>
      <c r="D79" s="33"/>
      <c r="E79" s="33"/>
    </row>
    <row r="80" spans="1:5" ht="15.75" thickBot="1">
      <c r="A80" s="33"/>
      <c r="B80" s="33"/>
      <c r="C80" s="33"/>
      <c r="D80" s="33"/>
      <c r="E80" s="33"/>
    </row>
    <row r="81" spans="1:5" ht="15.75" thickBot="1">
      <c r="A81" s="33"/>
      <c r="B81" s="33"/>
      <c r="C81" s="33"/>
      <c r="D81" s="33"/>
      <c r="E81" s="33"/>
    </row>
    <row r="82" spans="1:5" ht="15.75" thickBot="1">
      <c r="A82" s="33"/>
      <c r="B82" s="33"/>
      <c r="C82" s="33"/>
      <c r="D82" s="33"/>
      <c r="E82" s="33"/>
    </row>
    <row r="83" spans="1:5" ht="15.75" thickBot="1">
      <c r="A83" s="33"/>
      <c r="B83" s="33"/>
      <c r="C83" s="33"/>
      <c r="D83" s="33"/>
      <c r="E83" s="33"/>
    </row>
    <row r="84" spans="1:5" ht="15.75" thickBot="1">
      <c r="A84" s="33"/>
      <c r="B84" s="33"/>
      <c r="C84" s="33"/>
      <c r="D84" s="33"/>
      <c r="E84" s="33"/>
    </row>
    <row r="85" spans="1:5" ht="15.75" thickBot="1">
      <c r="A85" s="33"/>
      <c r="B85" s="33"/>
      <c r="C85" s="33"/>
      <c r="D85" s="33"/>
      <c r="E85" s="33"/>
    </row>
    <row r="86" spans="1:5" ht="15.75" thickBot="1">
      <c r="A86" s="33"/>
      <c r="B86" s="33"/>
      <c r="C86" s="33"/>
      <c r="D86" s="33"/>
      <c r="E86" s="33"/>
    </row>
    <row r="87" spans="1:5" ht="15.75" thickBot="1">
      <c r="A87" s="33"/>
      <c r="B87" s="33"/>
      <c r="C87" s="33"/>
      <c r="D87" s="33"/>
      <c r="E87" s="33"/>
    </row>
    <row r="88" spans="1:5" ht="15.75" thickBot="1">
      <c r="A88" s="33"/>
      <c r="B88" s="33"/>
      <c r="C88" s="33"/>
      <c r="D88" s="33"/>
      <c r="E88" s="33"/>
    </row>
    <row r="89" spans="1:5" ht="15.75" thickBot="1">
      <c r="A89" s="33"/>
      <c r="B89" s="33"/>
      <c r="C89" s="33"/>
      <c r="D89" s="33"/>
      <c r="E89" s="33"/>
    </row>
    <row r="90" spans="1:5" ht="15.75" thickBot="1">
      <c r="A90" s="33"/>
      <c r="B90" s="33"/>
      <c r="C90" s="33"/>
      <c r="D90" s="33"/>
      <c r="E90" s="33"/>
    </row>
    <row r="91" spans="1:5" ht="15.75" thickBot="1">
      <c r="A91" s="33"/>
      <c r="B91" s="33"/>
      <c r="C91" s="33"/>
      <c r="D91" s="33"/>
      <c r="E91" s="33"/>
    </row>
    <row r="92" spans="1:5" ht="15.75" thickBot="1">
      <c r="A92" s="33"/>
      <c r="B92" s="33"/>
      <c r="C92" s="33"/>
      <c r="D92" s="33"/>
      <c r="E92" s="33"/>
    </row>
    <row r="93" spans="1:5" ht="15.75" thickBot="1">
      <c r="A93" s="33"/>
      <c r="B93" s="33"/>
      <c r="C93" s="33"/>
      <c r="D93" s="33"/>
      <c r="E93" s="33"/>
    </row>
    <row r="94" spans="1:5" ht="15.75" thickBot="1">
      <c r="A94" s="33"/>
      <c r="B94" s="33"/>
      <c r="C94" s="33"/>
      <c r="D94" s="33"/>
      <c r="E94" s="33"/>
    </row>
    <row r="95" spans="1:5" ht="15.75" thickBot="1">
      <c r="A95" s="33"/>
      <c r="B95" s="33"/>
      <c r="C95" s="33"/>
      <c r="D95" s="33"/>
      <c r="E95" s="33"/>
    </row>
    <row r="96" spans="1:5" ht="15.75" thickBot="1">
      <c r="A96" s="33"/>
      <c r="B96" s="33"/>
      <c r="C96" s="33"/>
      <c r="D96" s="33"/>
      <c r="E96" s="33"/>
    </row>
    <row r="97" spans="1:5" ht="15.75" thickBot="1">
      <c r="A97" s="33"/>
      <c r="B97" s="33"/>
      <c r="C97" s="33"/>
      <c r="D97" s="33"/>
      <c r="E97" s="33"/>
    </row>
    <row r="98" spans="1:5" ht="15.75" thickBot="1">
      <c r="A98" s="33"/>
      <c r="B98" s="33"/>
      <c r="C98" s="33"/>
      <c r="D98" s="33"/>
      <c r="E98" s="33"/>
    </row>
    <row r="99" spans="1:5" ht="15.75" thickBot="1">
      <c r="A99" s="33"/>
      <c r="B99" s="33"/>
      <c r="C99" s="33"/>
      <c r="D99" s="33"/>
      <c r="E99" s="33"/>
    </row>
    <row r="100" spans="1:5" ht="15.75" thickBot="1">
      <c r="A100" s="33"/>
      <c r="B100" s="33"/>
      <c r="C100" s="33"/>
      <c r="D100" s="33"/>
      <c r="E100" s="33"/>
    </row>
    <row r="101" spans="1:5" ht="15.75" thickBot="1">
      <c r="A101" s="33"/>
      <c r="B101" s="33"/>
      <c r="C101" s="33"/>
      <c r="D101" s="33"/>
      <c r="E101" s="33"/>
    </row>
    <row r="102" spans="1:5" ht="15.75" thickBot="1">
      <c r="A102" s="33"/>
      <c r="B102" s="33"/>
      <c r="C102" s="33"/>
      <c r="D102" s="33"/>
      <c r="E102" s="33"/>
    </row>
    <row r="103" spans="1:5" ht="15.75" thickBot="1">
      <c r="A103" s="33"/>
      <c r="B103" s="33"/>
      <c r="C103" s="33"/>
      <c r="D103" s="33"/>
      <c r="E103" s="33"/>
    </row>
    <row r="104" spans="1:5" ht="15.75" thickBot="1">
      <c r="A104" s="33"/>
      <c r="B104" s="33"/>
      <c r="C104" s="33"/>
      <c r="D104" s="33"/>
      <c r="E104" s="33"/>
    </row>
    <row r="105" spans="1:5" ht="15.75" thickBot="1">
      <c r="A105" s="33"/>
      <c r="B105" s="33"/>
      <c r="C105" s="33"/>
      <c r="D105" s="33"/>
      <c r="E105" s="33"/>
    </row>
    <row r="106" spans="1:5" ht="15.75" thickBot="1">
      <c r="A106" s="33"/>
      <c r="B106" s="33"/>
      <c r="C106" s="33"/>
      <c r="D106" s="33"/>
      <c r="E106" s="33"/>
    </row>
    <row r="107" spans="1:5" ht="15.75" thickBot="1">
      <c r="A107" s="33"/>
      <c r="B107" s="33"/>
      <c r="C107" s="33"/>
      <c r="D107" s="33"/>
      <c r="E107" s="33"/>
    </row>
    <row r="108" spans="1:5" ht="15.75" thickBot="1">
      <c r="A108" s="33"/>
      <c r="B108" s="33"/>
      <c r="C108" s="33"/>
      <c r="D108" s="33"/>
      <c r="E108" s="33"/>
    </row>
    <row r="109" spans="1:5" ht="15.75" thickBot="1">
      <c r="A109" s="33"/>
      <c r="B109" s="33"/>
      <c r="C109" s="33"/>
      <c r="D109" s="33"/>
      <c r="E109" s="33"/>
    </row>
    <row r="110" spans="1:5" ht="15.75" thickBot="1">
      <c r="A110" s="33"/>
      <c r="B110" s="33"/>
      <c r="C110" s="33"/>
      <c r="D110" s="33"/>
      <c r="E110" s="33"/>
    </row>
    <row r="111" spans="1:5" ht="15.75" thickBot="1">
      <c r="A111" s="33"/>
      <c r="B111" s="33"/>
      <c r="C111" s="33"/>
      <c r="D111" s="33"/>
      <c r="E111" s="33"/>
    </row>
    <row r="112" spans="1:5" ht="15.75" thickBot="1">
      <c r="A112" s="33"/>
      <c r="B112" s="33"/>
      <c r="C112" s="33"/>
      <c r="D112" s="33"/>
      <c r="E112" s="33"/>
    </row>
    <row r="113" spans="1:5" ht="15.75" thickBot="1">
      <c r="A113" s="33"/>
      <c r="B113" s="33"/>
      <c r="C113" s="33"/>
      <c r="D113" s="33"/>
      <c r="E113" s="33"/>
    </row>
    <row r="114" spans="1:5" ht="15.75" thickBot="1">
      <c r="A114" s="33"/>
      <c r="B114" s="33"/>
      <c r="C114" s="33"/>
      <c r="D114" s="33"/>
      <c r="E114" s="33"/>
    </row>
    <row r="115" spans="1:5" ht="15.75" thickBot="1">
      <c r="A115" s="32"/>
      <c r="B115" s="32"/>
      <c r="C115" s="32"/>
      <c r="D115" s="32"/>
      <c r="E115" s="32"/>
    </row>
    <row r="116" spans="1:5" ht="15.75" thickBot="1">
      <c r="A116" s="32"/>
      <c r="B116" s="32"/>
      <c r="C116" s="32"/>
      <c r="D116" s="32"/>
      <c r="E116" s="32"/>
    </row>
    <row r="117" spans="1:5" ht="15.75" thickBot="1">
      <c r="A117" s="32"/>
      <c r="B117" s="32"/>
      <c r="C117" s="32"/>
      <c r="D117" s="32"/>
      <c r="E117" s="32"/>
    </row>
    <row r="118" spans="1:5" ht="15.75" thickBot="1">
      <c r="A118" s="32"/>
      <c r="B118" s="32"/>
      <c r="C118" s="32"/>
      <c r="D118" s="32"/>
      <c r="E118" s="32"/>
    </row>
    <row r="119" spans="1:5" ht="15.75" thickBot="1">
      <c r="A119" s="32"/>
      <c r="B119" s="32"/>
      <c r="C119" s="32"/>
      <c r="D119" s="32"/>
      <c r="E119" s="32"/>
    </row>
    <row r="120" spans="1:5" ht="15.75" thickBot="1">
      <c r="A120" s="32"/>
      <c r="B120" s="32"/>
      <c r="C120" s="32"/>
      <c r="D120" s="32"/>
      <c r="E120" s="32"/>
    </row>
    <row r="121" spans="1:5" ht="15.75" thickBot="1">
      <c r="A121" s="32"/>
      <c r="B121" s="32"/>
      <c r="C121" s="32"/>
      <c r="D121" s="32"/>
      <c r="E121" s="32"/>
    </row>
    <row r="122" spans="1:5" ht="15.75" thickBot="1">
      <c r="A122" s="32"/>
      <c r="B122" s="32"/>
      <c r="C122" s="32"/>
      <c r="D122" s="32"/>
      <c r="E122" s="32"/>
    </row>
    <row r="123" spans="1:5" ht="15.75" thickBot="1">
      <c r="A123" s="32"/>
      <c r="B123" s="32"/>
      <c r="C123" s="32"/>
      <c r="D123" s="32"/>
      <c r="E123" s="32"/>
    </row>
    <row r="124" spans="1:5" ht="15.75" thickBot="1">
      <c r="A124" s="32"/>
      <c r="B124" s="32"/>
      <c r="C124" s="32"/>
      <c r="D124" s="32"/>
      <c r="E124" s="32"/>
    </row>
    <row r="125" spans="1:5" ht="15.75" thickBot="1">
      <c r="A125" s="32"/>
      <c r="B125" s="32"/>
      <c r="C125" s="32"/>
      <c r="D125" s="32"/>
      <c r="E125" s="32"/>
    </row>
    <row r="126" spans="1:5" ht="15.75" thickBot="1">
      <c r="A126" s="32"/>
      <c r="B126" s="32"/>
      <c r="C126" s="32"/>
      <c r="D126" s="32"/>
      <c r="E126" s="32"/>
    </row>
    <row r="127" spans="1:5" ht="15.75" thickBot="1">
      <c r="A127" s="32"/>
      <c r="B127" s="32"/>
      <c r="C127" s="32"/>
      <c r="D127" s="32"/>
      <c r="E127" s="32"/>
    </row>
    <row r="128" spans="1:5" ht="15.75" thickBot="1">
      <c r="A128" s="32"/>
      <c r="B128" s="32"/>
      <c r="C128" s="32"/>
      <c r="D128" s="32"/>
      <c r="E128" s="32"/>
    </row>
    <row r="129" spans="1:5" ht="15.75" thickBot="1">
      <c r="A129" s="32"/>
      <c r="B129" s="32"/>
      <c r="C129" s="32"/>
      <c r="D129" s="32"/>
      <c r="E129" s="32"/>
    </row>
    <row r="130" spans="1:5" ht="15.75" thickBot="1">
      <c r="A130" s="32"/>
      <c r="B130" s="32"/>
      <c r="C130" s="32"/>
      <c r="D130" s="32"/>
      <c r="E130" s="32"/>
    </row>
    <row r="131" spans="1:5" ht="15.75" thickBot="1">
      <c r="A131" s="32"/>
      <c r="B131" s="32"/>
      <c r="C131" s="32"/>
      <c r="D131" s="32"/>
      <c r="E131" s="32"/>
    </row>
    <row r="132" spans="1:5" ht="15.75" thickBot="1">
      <c r="A132" s="32"/>
      <c r="B132" s="32"/>
      <c r="C132" s="32"/>
      <c r="D132" s="32"/>
      <c r="E132" s="32"/>
    </row>
    <row r="133" spans="1:5" ht="15.75" thickBot="1">
      <c r="A133" s="32"/>
      <c r="B133" s="32"/>
      <c r="C133" s="32"/>
      <c r="D133" s="32"/>
      <c r="E133" s="32"/>
    </row>
    <row r="134" spans="1:5" ht="15.75" thickBot="1">
      <c r="A134" s="32"/>
      <c r="B134" s="32"/>
      <c r="C134" s="32"/>
      <c r="D134" s="32"/>
      <c r="E134" s="32"/>
    </row>
    <row r="135" spans="1:5" ht="15.75" thickBot="1">
      <c r="A135" s="32"/>
      <c r="B135" s="32"/>
      <c r="C135" s="32"/>
      <c r="D135" s="32"/>
      <c r="E135" s="32"/>
    </row>
    <row r="136" spans="1:5" ht="15.75" thickBot="1">
      <c r="A136" s="32"/>
      <c r="B136" s="32"/>
      <c r="C136" s="32"/>
      <c r="D136" s="32"/>
      <c r="E136" s="32"/>
    </row>
    <row r="137" spans="1:5" ht="15.75" thickBot="1">
      <c r="A137" s="32"/>
      <c r="B137" s="32"/>
      <c r="C137" s="32"/>
      <c r="D137" s="32"/>
      <c r="E137" s="32"/>
    </row>
    <row r="138" spans="1:5" ht="15.75" thickBot="1">
      <c r="A138" s="32"/>
      <c r="B138" s="32"/>
      <c r="C138" s="32"/>
      <c r="D138" s="32"/>
      <c r="E138" s="32"/>
    </row>
    <row r="139" spans="1:5" ht="15.75" thickBot="1">
      <c r="A139" s="32"/>
      <c r="B139" s="32"/>
      <c r="C139" s="32"/>
      <c r="D139" s="32"/>
      <c r="E139" s="32"/>
    </row>
    <row r="140" spans="1:5" ht="15.75" thickBot="1">
      <c r="A140" s="32"/>
      <c r="B140" s="32"/>
      <c r="C140" s="32"/>
      <c r="D140" s="32"/>
      <c r="E140" s="32"/>
    </row>
    <row r="141" spans="1:5" ht="15.75" thickBot="1">
      <c r="A141" s="32"/>
      <c r="B141" s="32"/>
      <c r="C141" s="32"/>
      <c r="D141" s="32"/>
      <c r="E141" s="32"/>
    </row>
    <row r="142" spans="1:5" ht="15.75" thickBot="1">
      <c r="A142" s="32"/>
      <c r="B142" s="32"/>
      <c r="C142" s="32"/>
      <c r="D142" s="32"/>
      <c r="E142" s="32"/>
    </row>
    <row r="143" spans="1:5" ht="15.75" thickBot="1">
      <c r="A143" s="32"/>
      <c r="B143" s="32"/>
      <c r="C143" s="32"/>
      <c r="D143" s="32"/>
      <c r="E143" s="32"/>
    </row>
    <row r="144" spans="1:5" ht="15.75" thickBot="1">
      <c r="A144" s="32"/>
      <c r="B144" s="32"/>
      <c r="C144" s="32"/>
      <c r="D144" s="32"/>
      <c r="E144" s="32"/>
    </row>
    <row r="145" spans="1:5" ht="15.75" thickBot="1">
      <c r="A145" s="32"/>
      <c r="B145" s="32"/>
      <c r="C145" s="32"/>
      <c r="D145" s="32"/>
      <c r="E145" s="32"/>
    </row>
    <row r="146" spans="1:5" ht="15.75" thickBot="1">
      <c r="A146" s="32"/>
      <c r="B146" s="32"/>
      <c r="C146" s="32"/>
      <c r="D146" s="32"/>
      <c r="E146" s="32"/>
    </row>
    <row r="147" spans="1:5" ht="15.75" thickBot="1">
      <c r="A147" s="32"/>
      <c r="B147" s="32"/>
      <c r="C147" s="32"/>
      <c r="D147" s="32"/>
      <c r="E147" s="32"/>
    </row>
    <row r="148" spans="1:5" ht="15.75" thickBot="1">
      <c r="A148" s="32"/>
      <c r="B148" s="32"/>
      <c r="C148" s="32"/>
      <c r="D148" s="32"/>
      <c r="E148" s="32"/>
    </row>
    <row r="149" spans="1:5" ht="15.75" thickBot="1">
      <c r="A149" s="32"/>
      <c r="B149" s="32"/>
      <c r="C149" s="32"/>
      <c r="D149" s="32"/>
      <c r="E149" s="32"/>
    </row>
    <row r="150" spans="1:5" ht="15.75" thickBot="1">
      <c r="A150" s="32"/>
      <c r="B150" s="32"/>
      <c r="C150" s="32"/>
      <c r="D150" s="32"/>
      <c r="E150" s="32"/>
    </row>
    <row r="151" spans="1:5" ht="15.75" thickBot="1">
      <c r="A151" s="32"/>
      <c r="B151" s="32"/>
      <c r="C151" s="32"/>
      <c r="D151" s="32"/>
      <c r="E151" s="32"/>
    </row>
    <row r="152" spans="1:5" ht="15.75" thickBot="1">
      <c r="A152" s="32"/>
      <c r="B152" s="32"/>
      <c r="C152" s="32"/>
      <c r="D152" s="32"/>
      <c r="E152" s="32"/>
    </row>
    <row r="153" spans="1:5" ht="15.75" thickBot="1">
      <c r="A153" s="32"/>
      <c r="B153" s="32"/>
      <c r="C153" s="32"/>
      <c r="D153" s="32"/>
      <c r="E153" s="32"/>
    </row>
    <row r="154" spans="1:5" ht="15.75" thickBot="1">
      <c r="A154" s="32"/>
      <c r="B154" s="32"/>
      <c r="C154" s="32"/>
      <c r="D154" s="32"/>
      <c r="E154" s="32"/>
    </row>
    <row r="155" spans="1:5" ht="15.75" thickBot="1">
      <c r="A155" s="32"/>
      <c r="B155" s="32"/>
      <c r="C155" s="32"/>
      <c r="D155" s="32"/>
      <c r="E155" s="32"/>
    </row>
    <row r="156" spans="1:5" ht="15.75" thickBot="1">
      <c r="A156" s="32"/>
      <c r="B156" s="32"/>
      <c r="C156" s="32"/>
      <c r="D156" s="32"/>
      <c r="E156" s="32"/>
    </row>
    <row r="157" spans="1:5" ht="15.75" thickBot="1">
      <c r="A157" s="32"/>
      <c r="B157" s="32"/>
      <c r="C157" s="32"/>
      <c r="D157" s="32"/>
      <c r="E157" s="32"/>
    </row>
    <row r="158" spans="1:5" ht="15.75" thickBot="1">
      <c r="A158" s="32"/>
      <c r="B158" s="32"/>
      <c r="C158" s="32"/>
      <c r="D158" s="32"/>
      <c r="E158" s="32"/>
    </row>
    <row r="159" spans="1:5" ht="15.75" thickBot="1">
      <c r="A159" s="32"/>
      <c r="B159" s="32"/>
      <c r="C159" s="32"/>
      <c r="D159" s="32"/>
      <c r="E159" s="32"/>
    </row>
    <row r="160" spans="1:5" ht="15.75" thickBot="1">
      <c r="A160" s="32"/>
      <c r="B160" s="32"/>
      <c r="C160" s="32"/>
      <c r="D160" s="32"/>
      <c r="E160" s="32"/>
    </row>
    <row r="161" spans="1:5" ht="15.75" thickBot="1">
      <c r="A161" s="32"/>
      <c r="B161" s="32"/>
      <c r="C161" s="32"/>
      <c r="D161" s="32"/>
      <c r="E161" s="32"/>
    </row>
    <row r="162" spans="1:5" ht="15.75" thickBot="1">
      <c r="A162" s="32"/>
      <c r="B162" s="32"/>
      <c r="C162" s="32"/>
      <c r="D162" s="32"/>
      <c r="E162" s="32"/>
    </row>
    <row r="163" spans="1:5" ht="15.75" thickBot="1">
      <c r="A163" s="32"/>
      <c r="B163" s="32"/>
      <c r="C163" s="32"/>
      <c r="D163" s="32"/>
      <c r="E163" s="32"/>
    </row>
    <row r="164" spans="1:5" ht="15.75" thickBot="1">
      <c r="A164" s="32"/>
      <c r="B164" s="32"/>
      <c r="C164" s="32"/>
      <c r="D164" s="32"/>
      <c r="E164" s="32"/>
    </row>
    <row r="165" spans="1:5" ht="15.75" thickBot="1">
      <c r="A165" s="32"/>
      <c r="B165" s="32"/>
      <c r="C165" s="32"/>
      <c r="D165" s="32"/>
      <c r="E165" s="32"/>
    </row>
    <row r="166" spans="1:5" ht="15.75" thickBot="1">
      <c r="A166" s="32"/>
      <c r="B166" s="32"/>
      <c r="C166" s="32"/>
      <c r="D166" s="32"/>
      <c r="E166" s="32"/>
    </row>
    <row r="167" spans="1:5" ht="15.75" thickBot="1">
      <c r="A167" s="32"/>
      <c r="B167" s="32"/>
      <c r="C167" s="32"/>
      <c r="D167" s="32"/>
      <c r="E167" s="32"/>
    </row>
    <row r="168" spans="1:5" ht="15.75" thickBot="1">
      <c r="A168" s="32"/>
      <c r="B168" s="32"/>
      <c r="C168" s="32"/>
      <c r="D168" s="32"/>
      <c r="E168" s="32"/>
    </row>
    <row r="169" spans="1:5" ht="15.75" thickBot="1">
      <c r="A169" s="32"/>
      <c r="B169" s="32"/>
      <c r="C169" s="32"/>
      <c r="D169" s="32"/>
      <c r="E169" s="32"/>
    </row>
    <row r="170" spans="1:5" ht="15.75" thickBot="1">
      <c r="A170" s="32"/>
      <c r="B170" s="32"/>
      <c r="C170" s="32"/>
      <c r="D170" s="32"/>
      <c r="E170" s="32"/>
    </row>
    <row r="171" spans="1:5" ht="15.75" thickBot="1">
      <c r="A171" s="32"/>
      <c r="B171" s="32"/>
      <c r="C171" s="32"/>
      <c r="D171" s="32"/>
      <c r="E171" s="32"/>
    </row>
    <row r="172" spans="1:5" ht="15.75" thickBot="1">
      <c r="A172" s="32"/>
      <c r="B172" s="32"/>
      <c r="C172" s="32"/>
      <c r="D172" s="32"/>
      <c r="E172" s="32"/>
    </row>
    <row r="173" spans="1:5" ht="15.75" thickBot="1">
      <c r="A173" s="32"/>
      <c r="B173" s="32"/>
      <c r="C173" s="32"/>
      <c r="D173" s="32"/>
      <c r="E173" s="32"/>
    </row>
    <row r="174" spans="1:5" ht="15.75" thickBot="1">
      <c r="A174" s="32"/>
      <c r="B174" s="32"/>
      <c r="C174" s="32"/>
      <c r="D174" s="32"/>
      <c r="E174" s="32"/>
    </row>
    <row r="175" spans="1:5" ht="15.75" thickBot="1">
      <c r="A175" s="32"/>
      <c r="B175" s="32"/>
      <c r="C175" s="32"/>
      <c r="D175" s="32"/>
      <c r="E175" s="32"/>
    </row>
    <row r="176" spans="1:5" ht="15.75" thickBot="1">
      <c r="A176" s="32"/>
      <c r="B176" s="32"/>
      <c r="C176" s="32"/>
      <c r="D176" s="32"/>
      <c r="E176" s="32"/>
    </row>
    <row r="177" spans="1:5" ht="15.75" thickBot="1">
      <c r="A177" s="32"/>
      <c r="B177" s="32"/>
      <c r="C177" s="32"/>
      <c r="D177" s="32"/>
      <c r="E177" s="32"/>
    </row>
    <row r="178" spans="1:5" ht="15.75" thickBot="1">
      <c r="A178" s="32"/>
      <c r="B178" s="32"/>
      <c r="C178" s="32"/>
      <c r="D178" s="32"/>
      <c r="E178" s="32"/>
    </row>
    <row r="179" spans="1:5" ht="15.75" thickBot="1">
      <c r="A179" s="32"/>
      <c r="B179" s="32"/>
      <c r="C179" s="32"/>
      <c r="D179" s="32"/>
      <c r="E179" s="32"/>
    </row>
    <row r="180" spans="1:5" ht="15.75" thickBot="1">
      <c r="A180" s="32"/>
      <c r="B180" s="32"/>
      <c r="C180" s="32"/>
      <c r="D180" s="32"/>
      <c r="E180" s="32"/>
    </row>
    <row r="181" spans="1:5" ht="15.75" thickBot="1">
      <c r="A181" s="32"/>
      <c r="B181" s="32"/>
      <c r="C181" s="32"/>
      <c r="D181" s="32"/>
      <c r="E181" s="32"/>
    </row>
    <row r="182" spans="1:5" ht="15.75" thickBot="1">
      <c r="A182" s="32"/>
      <c r="B182" s="32"/>
      <c r="C182" s="32"/>
      <c r="D182" s="32"/>
      <c r="E182" s="32"/>
    </row>
    <row r="183" spans="1:5" ht="15.75" thickBot="1">
      <c r="A183" s="32"/>
      <c r="B183" s="32"/>
      <c r="C183" s="32"/>
      <c r="D183" s="32"/>
      <c r="E183" s="32"/>
    </row>
    <row r="184" spans="1:5" ht="15.75" thickBot="1">
      <c r="A184" s="32"/>
      <c r="B184" s="32"/>
      <c r="C184" s="32"/>
      <c r="D184" s="32"/>
      <c r="E184" s="32"/>
    </row>
    <row r="185" spans="1:5" ht="15.75" thickBot="1">
      <c r="A185" s="32"/>
      <c r="B185" s="32"/>
      <c r="C185" s="32"/>
      <c r="D185" s="32"/>
      <c r="E185" s="32"/>
    </row>
    <row r="186" spans="1:5" ht="15.75" thickBot="1">
      <c r="A186" s="32"/>
      <c r="B186" s="32"/>
      <c r="C186" s="32"/>
      <c r="D186" s="32"/>
      <c r="E186" s="32"/>
    </row>
    <row r="187" spans="1:5" ht="15.75" thickBot="1">
      <c r="A187" s="32"/>
      <c r="B187" s="32"/>
      <c r="C187" s="32"/>
      <c r="D187" s="32"/>
      <c r="E187" s="32"/>
    </row>
    <row r="188" spans="1:5" ht="15.75" thickBot="1">
      <c r="A188" s="32"/>
      <c r="B188" s="32"/>
      <c r="C188" s="32"/>
      <c r="D188" s="32"/>
      <c r="E188" s="32"/>
    </row>
    <row r="189" spans="1:5" ht="15.75" thickBot="1">
      <c r="A189" s="32"/>
      <c r="B189" s="32"/>
      <c r="C189" s="32"/>
      <c r="D189" s="32"/>
      <c r="E189" s="32"/>
    </row>
    <row r="190" spans="1:5" ht="15.75" thickBot="1">
      <c r="A190" s="32"/>
      <c r="B190" s="32"/>
      <c r="C190" s="32"/>
      <c r="D190" s="32"/>
      <c r="E190" s="32"/>
    </row>
    <row r="191" spans="1:5" ht="15.75" thickBot="1">
      <c r="A191" s="32"/>
      <c r="B191" s="32"/>
      <c r="C191" s="32"/>
      <c r="D191" s="32"/>
      <c r="E191" s="32"/>
    </row>
    <row r="192" spans="1:5" ht="15.75" thickBot="1">
      <c r="A192" s="32"/>
      <c r="B192" s="32"/>
      <c r="C192" s="32"/>
      <c r="D192" s="32"/>
      <c r="E192" s="32"/>
    </row>
    <row r="193" spans="1:5" ht="15.75" thickBot="1">
      <c r="A193" s="32"/>
      <c r="B193" s="32"/>
      <c r="C193" s="32"/>
      <c r="D193" s="32"/>
      <c r="E193" s="32"/>
    </row>
    <row r="194" spans="1:5" ht="15.75" thickBot="1">
      <c r="A194" s="32"/>
      <c r="B194" s="32"/>
      <c r="C194" s="32"/>
      <c r="D194" s="32"/>
      <c r="E194" s="32"/>
    </row>
    <row r="195" spans="1:5" ht="15.75" thickBot="1">
      <c r="A195" s="32"/>
      <c r="B195" s="32"/>
      <c r="C195" s="32"/>
      <c r="D195" s="32"/>
      <c r="E195" s="32"/>
    </row>
    <row r="196" spans="1:5" ht="15.75" thickBot="1">
      <c r="A196" s="32"/>
      <c r="B196" s="32"/>
      <c r="C196" s="32"/>
      <c r="D196" s="32"/>
      <c r="E196" s="32"/>
    </row>
    <row r="197" spans="1:5" ht="15.75" thickBot="1">
      <c r="A197" s="32"/>
      <c r="B197" s="32"/>
      <c r="C197" s="32"/>
      <c r="D197" s="32"/>
      <c r="E197" s="32"/>
    </row>
    <row r="198" spans="1:5" ht="15.75" thickBot="1">
      <c r="A198" s="32"/>
      <c r="B198" s="32"/>
      <c r="C198" s="32"/>
      <c r="D198" s="32"/>
      <c r="E198" s="32"/>
    </row>
    <row r="199" spans="1:5" ht="15.75" thickBot="1">
      <c r="A199" s="32"/>
      <c r="B199" s="32"/>
      <c r="C199" s="32"/>
      <c r="D199" s="32"/>
      <c r="E199" s="32"/>
    </row>
    <row r="200" spans="1:5" ht="15.75" thickBot="1">
      <c r="A200" s="32"/>
      <c r="B200" s="32"/>
      <c r="C200" s="32"/>
      <c r="D200" s="32"/>
      <c r="E200" s="32"/>
    </row>
    <row r="201" spans="1:5" ht="15.75" thickBot="1">
      <c r="A201" s="32"/>
      <c r="B201" s="32"/>
      <c r="C201" s="32"/>
      <c r="D201" s="32"/>
      <c r="E201" s="32"/>
    </row>
    <row r="202" spans="1:5" ht="15.75" thickBot="1">
      <c r="A202" s="32"/>
      <c r="B202" s="32"/>
      <c r="C202" s="32"/>
      <c r="D202" s="32"/>
      <c r="E202" s="32"/>
    </row>
    <row r="203" spans="1:5" ht="15.75" thickBot="1">
      <c r="A203" s="32"/>
      <c r="B203" s="32"/>
      <c r="C203" s="32"/>
      <c r="D203" s="32"/>
      <c r="E203" s="32"/>
    </row>
    <row r="204" spans="1:5" ht="15.75" thickBot="1">
      <c r="A204" s="32"/>
      <c r="B204" s="32"/>
      <c r="C204" s="32"/>
      <c r="D204" s="32"/>
      <c r="E204" s="32"/>
    </row>
    <row r="205" spans="1:5" ht="15.75" thickBot="1">
      <c r="A205" s="32"/>
      <c r="B205" s="32"/>
      <c r="C205" s="32"/>
      <c r="D205" s="32"/>
      <c r="E205" s="32"/>
    </row>
    <row r="206" spans="1:5" ht="15.75" thickBot="1">
      <c r="A206" s="32"/>
      <c r="B206" s="32"/>
      <c r="C206" s="32"/>
      <c r="D206" s="32"/>
      <c r="E206" s="32"/>
    </row>
    <row r="207" spans="1:5" ht="15.75" thickBot="1">
      <c r="A207" s="32"/>
      <c r="B207" s="32"/>
      <c r="C207" s="32"/>
      <c r="D207" s="32"/>
      <c r="E207" s="32"/>
    </row>
    <row r="208" spans="1:5" ht="15.75" thickBot="1">
      <c r="A208" s="32"/>
      <c r="B208" s="32"/>
      <c r="C208" s="32"/>
      <c r="D208" s="32"/>
      <c r="E208" s="32"/>
    </row>
    <row r="209" spans="1:5" ht="15.75" thickBot="1">
      <c r="A209" s="32"/>
      <c r="B209" s="32"/>
      <c r="C209" s="32"/>
      <c r="D209" s="32"/>
      <c r="E209" s="32"/>
    </row>
    <row r="210" spans="1:5" ht="15.75" thickBot="1">
      <c r="A210" s="32"/>
      <c r="B210" s="32"/>
      <c r="C210" s="32"/>
      <c r="D210" s="32"/>
      <c r="E210" s="32"/>
    </row>
    <row r="211" spans="1:5" ht="15.75" thickBot="1">
      <c r="A211" s="32"/>
      <c r="B211" s="32"/>
      <c r="C211" s="32"/>
      <c r="D211" s="32"/>
      <c r="E211" s="32"/>
    </row>
    <row r="212" spans="1:5" ht="15.75" thickBot="1">
      <c r="A212" s="32"/>
      <c r="B212" s="32"/>
      <c r="C212" s="32"/>
      <c r="D212" s="32"/>
      <c r="E212" s="32"/>
    </row>
    <row r="213" spans="1:5" ht="15.75" thickBot="1">
      <c r="A213" s="32"/>
      <c r="B213" s="32"/>
      <c r="C213" s="32"/>
      <c r="D213" s="32"/>
      <c r="E213" s="32"/>
    </row>
    <row r="214" spans="1:5" ht="15.75" thickBot="1">
      <c r="A214" s="32"/>
      <c r="B214" s="32"/>
      <c r="C214" s="32"/>
      <c r="D214" s="32"/>
      <c r="E214" s="32"/>
    </row>
    <row r="215" spans="1:5" ht="15.75" thickBot="1">
      <c r="A215" s="32"/>
      <c r="B215" s="32"/>
      <c r="C215" s="32"/>
      <c r="D215" s="32"/>
      <c r="E215" s="32"/>
    </row>
    <row r="216" spans="1:5" ht="15.75" thickBot="1">
      <c r="A216" s="32"/>
      <c r="B216" s="32"/>
      <c r="C216" s="32"/>
      <c r="D216" s="32"/>
      <c r="E216" s="32"/>
    </row>
    <row r="217" spans="1:5" ht="15.75" thickBot="1">
      <c r="A217" s="32"/>
      <c r="B217" s="32"/>
      <c r="C217" s="32"/>
      <c r="D217" s="32"/>
      <c r="E217" s="32"/>
    </row>
    <row r="218" spans="1:5" ht="15.75" thickBot="1">
      <c r="A218" s="32"/>
      <c r="B218" s="32"/>
      <c r="C218" s="32"/>
      <c r="D218" s="32"/>
      <c r="E218" s="32"/>
    </row>
    <row r="219" spans="1:5" ht="15.75" thickBot="1">
      <c r="A219" s="32"/>
      <c r="B219" s="32"/>
      <c r="C219" s="32"/>
      <c r="D219" s="32"/>
      <c r="E219" s="32"/>
    </row>
    <row r="220" spans="1:5" ht="15.75" thickBot="1">
      <c r="A220" s="32"/>
      <c r="B220" s="32"/>
      <c r="C220" s="32"/>
      <c r="D220" s="32"/>
      <c r="E220" s="32"/>
    </row>
    <row r="221" spans="1:5" ht="15.75" thickBot="1">
      <c r="A221" s="32"/>
      <c r="B221" s="32"/>
      <c r="C221" s="32"/>
      <c r="D221" s="32"/>
      <c r="E221" s="32"/>
    </row>
    <row r="222" spans="1:5" ht="15.75" thickBot="1">
      <c r="A222" s="32"/>
      <c r="B222" s="32"/>
      <c r="C222" s="32"/>
      <c r="D222" s="32"/>
      <c r="E222" s="32"/>
    </row>
    <row r="223" spans="1:5" ht="15.75" thickBot="1">
      <c r="A223" s="32"/>
      <c r="B223" s="32"/>
      <c r="C223" s="32"/>
      <c r="D223" s="32"/>
      <c r="E223" s="32"/>
    </row>
    <row r="224" spans="1:5" ht="15.75" thickBot="1">
      <c r="A224" s="32"/>
      <c r="B224" s="32"/>
      <c r="C224" s="32"/>
      <c r="D224" s="32"/>
      <c r="E224" s="32"/>
    </row>
    <row r="225" spans="1:5" ht="15.75" thickBot="1">
      <c r="A225" s="32"/>
      <c r="B225" s="32"/>
      <c r="C225" s="32"/>
      <c r="D225" s="32"/>
      <c r="E225" s="32"/>
    </row>
    <row r="226" spans="1:5" ht="15.75" thickBot="1">
      <c r="A226" s="32"/>
      <c r="B226" s="32"/>
      <c r="C226" s="32"/>
      <c r="D226" s="32"/>
      <c r="E226" s="32"/>
    </row>
    <row r="227" spans="1:5" ht="15.75" thickBot="1">
      <c r="A227" s="32"/>
      <c r="B227" s="32"/>
      <c r="C227" s="32"/>
      <c r="D227" s="32"/>
      <c r="E227" s="32"/>
    </row>
    <row r="228" spans="1:5" ht="15.75" thickBot="1">
      <c r="A228" s="32"/>
      <c r="B228" s="32"/>
      <c r="C228" s="32"/>
      <c r="D228" s="32"/>
      <c r="E228" s="32"/>
    </row>
    <row r="229" spans="1:5" ht="15.75" thickBot="1">
      <c r="A229" s="32"/>
      <c r="B229" s="32"/>
      <c r="C229" s="32"/>
      <c r="D229" s="32"/>
      <c r="E229" s="32"/>
    </row>
    <row r="230" spans="1:5" ht="15.75" thickBot="1">
      <c r="A230" s="32"/>
      <c r="B230" s="32"/>
      <c r="C230" s="32"/>
      <c r="D230" s="32"/>
      <c r="E230" s="32"/>
    </row>
    <row r="231" spans="1:5" ht="15.75" thickBot="1">
      <c r="A231" s="32"/>
      <c r="B231" s="32"/>
      <c r="C231" s="32"/>
      <c r="D231" s="32"/>
      <c r="E231" s="32"/>
    </row>
    <row r="232" spans="1:5" ht="15.75" thickBot="1">
      <c r="A232" s="32"/>
      <c r="B232" s="32"/>
      <c r="C232" s="32"/>
      <c r="D232" s="32"/>
      <c r="E232" s="32"/>
    </row>
    <row r="233" spans="1:5" ht="15.75" thickBot="1">
      <c r="A233" s="32"/>
      <c r="B233" s="32"/>
      <c r="C233" s="32"/>
      <c r="D233" s="32"/>
      <c r="E233" s="32"/>
    </row>
    <row r="234" spans="1:5" ht="15.75" thickBot="1">
      <c r="A234" s="32"/>
      <c r="B234" s="32"/>
      <c r="C234" s="32"/>
      <c r="D234" s="32"/>
      <c r="E234" s="32"/>
    </row>
    <row r="235" spans="1:5" ht="15.75" thickBot="1">
      <c r="A235" s="32"/>
      <c r="B235" s="32"/>
      <c r="C235" s="32"/>
      <c r="D235" s="32"/>
      <c r="E235" s="32"/>
    </row>
    <row r="236" spans="1:5" ht="15.75" thickBot="1">
      <c r="A236" s="32"/>
      <c r="B236" s="32"/>
      <c r="C236" s="32"/>
      <c r="D236" s="32"/>
      <c r="E236" s="32"/>
    </row>
    <row r="237" spans="1:5" ht="15.75" thickBot="1">
      <c r="A237" s="32"/>
      <c r="B237" s="32"/>
      <c r="C237" s="32"/>
      <c r="D237" s="32"/>
      <c r="E237" s="32"/>
    </row>
    <row r="238" spans="1:5" ht="15.75" thickBot="1">
      <c r="A238" s="32"/>
      <c r="B238" s="32"/>
      <c r="C238" s="32"/>
      <c r="D238" s="32"/>
      <c r="E238" s="32"/>
    </row>
    <row r="239" spans="1:5" ht="15.75" thickBot="1">
      <c r="A239" s="32"/>
      <c r="B239" s="32"/>
      <c r="C239" s="32"/>
      <c r="D239" s="32"/>
      <c r="E239" s="32"/>
    </row>
    <row r="240" spans="1:5" ht="15.75" thickBot="1">
      <c r="A240" s="32"/>
      <c r="B240" s="32"/>
      <c r="C240" s="32"/>
      <c r="D240" s="32"/>
      <c r="E240" s="32"/>
    </row>
    <row r="241" spans="1:5" ht="15.75" thickBot="1">
      <c r="A241" s="32"/>
      <c r="B241" s="32"/>
      <c r="C241" s="32"/>
      <c r="D241" s="32"/>
      <c r="E241" s="32"/>
    </row>
    <row r="242" spans="1:5" ht="15.75" thickBot="1">
      <c r="A242" s="32"/>
      <c r="B242" s="32"/>
      <c r="C242" s="32"/>
      <c r="D242" s="32"/>
      <c r="E242" s="32"/>
    </row>
    <row r="243" spans="1:5" ht="15.75" thickBot="1">
      <c r="A243" s="32"/>
      <c r="B243" s="32"/>
      <c r="C243" s="32"/>
      <c r="D243" s="32"/>
      <c r="E243" s="32"/>
    </row>
    <row r="244" spans="1:5" ht="15.75" thickBot="1">
      <c r="A244" s="32"/>
      <c r="B244" s="32"/>
      <c r="C244" s="32"/>
      <c r="D244" s="32"/>
      <c r="E244" s="32"/>
    </row>
    <row r="245" spans="1:5" ht="15.75" thickBot="1">
      <c r="A245" s="32"/>
      <c r="B245" s="32"/>
      <c r="C245" s="32"/>
      <c r="D245" s="32"/>
      <c r="E245" s="32"/>
    </row>
    <row r="246" spans="1:5" ht="15.75" thickBot="1">
      <c r="A246" s="32"/>
      <c r="B246" s="32"/>
      <c r="C246" s="32"/>
      <c r="D246" s="32"/>
      <c r="E246" s="32"/>
    </row>
    <row r="247" spans="1:5" ht="15.75" thickBot="1">
      <c r="A247" s="32"/>
      <c r="B247" s="32"/>
      <c r="C247" s="32"/>
      <c r="D247" s="32"/>
      <c r="E247" s="32"/>
    </row>
    <row r="248" spans="1:5" ht="15.75" thickBot="1">
      <c r="A248" s="32"/>
      <c r="B248" s="32"/>
      <c r="C248" s="32"/>
      <c r="D248" s="32"/>
      <c r="E248" s="32"/>
    </row>
    <row r="249" spans="1:5" ht="15.75" thickBot="1">
      <c r="A249" s="32"/>
      <c r="B249" s="32"/>
      <c r="C249" s="32"/>
      <c r="D249" s="32"/>
      <c r="E249" s="32"/>
    </row>
    <row r="250" spans="1:5" ht="15.75" thickBot="1">
      <c r="A250" s="32"/>
      <c r="B250" s="32"/>
      <c r="C250" s="32"/>
      <c r="D250" s="32"/>
      <c r="E250" s="32"/>
    </row>
    <row r="251" spans="1:5" ht="15.75" thickBot="1">
      <c r="A251" s="32"/>
      <c r="B251" s="32"/>
      <c r="C251" s="32"/>
      <c r="D251" s="32"/>
      <c r="E251" s="32"/>
    </row>
    <row r="252" spans="1:5" ht="15.75" thickBot="1">
      <c r="A252" s="32"/>
      <c r="B252" s="32"/>
      <c r="C252" s="32"/>
      <c r="D252" s="32"/>
      <c r="E252" s="32"/>
    </row>
    <row r="253" spans="1:5" ht="15.75" thickBot="1">
      <c r="A253" s="32"/>
      <c r="B253" s="32"/>
      <c r="C253" s="32"/>
      <c r="D253" s="32"/>
      <c r="E253" s="32"/>
    </row>
    <row r="254" spans="1:5" ht="15.75" thickBot="1">
      <c r="A254" s="32"/>
      <c r="B254" s="32"/>
      <c r="C254" s="32"/>
      <c r="D254" s="32"/>
      <c r="E254" s="32"/>
    </row>
    <row r="255" spans="1:5" ht="15.75" thickBot="1">
      <c r="A255" s="32"/>
      <c r="B255" s="32"/>
      <c r="C255" s="32"/>
      <c r="D255" s="32"/>
      <c r="E255" s="32"/>
    </row>
    <row r="256" spans="1:5" ht="15.75" thickBot="1">
      <c r="A256" s="32"/>
      <c r="B256" s="32"/>
      <c r="C256" s="32"/>
      <c r="D256" s="32"/>
      <c r="E256" s="32"/>
    </row>
    <row r="257" spans="1:5" ht="15.75" thickBot="1">
      <c r="A257" s="32"/>
      <c r="B257" s="32"/>
      <c r="C257" s="32"/>
      <c r="D257" s="32"/>
      <c r="E257" s="32"/>
    </row>
    <row r="258" spans="1:5" ht="15.75" thickBot="1">
      <c r="A258" s="32"/>
      <c r="B258" s="32"/>
      <c r="C258" s="32"/>
      <c r="D258" s="32"/>
      <c r="E258" s="32"/>
    </row>
    <row r="259" spans="1:5" ht="15.75" thickBot="1">
      <c r="A259" s="32"/>
      <c r="B259" s="32"/>
      <c r="C259" s="32"/>
      <c r="D259" s="32"/>
      <c r="E259" s="32"/>
    </row>
    <row r="260" spans="1:5" ht="15.75" thickBot="1">
      <c r="A260" s="32"/>
      <c r="B260" s="32"/>
      <c r="C260" s="32"/>
      <c r="D260" s="32"/>
      <c r="E260" s="32"/>
    </row>
    <row r="261" spans="1:5" ht="15.75" thickBot="1">
      <c r="A261" s="32"/>
      <c r="B261" s="32"/>
      <c r="C261" s="32"/>
      <c r="D261" s="32"/>
      <c r="E261" s="32"/>
    </row>
    <row r="262" spans="1:5" ht="15.75" thickBot="1">
      <c r="A262" s="32"/>
      <c r="B262" s="32"/>
      <c r="C262" s="32"/>
      <c r="D262" s="32"/>
      <c r="E262" s="32"/>
    </row>
    <row r="263" spans="1:5" ht="15.75" thickBot="1">
      <c r="A263" s="32"/>
      <c r="B263" s="32"/>
      <c r="C263" s="32"/>
      <c r="D263" s="32"/>
      <c r="E263" s="32"/>
    </row>
    <row r="264" spans="1:5" ht="15.75" thickBot="1">
      <c r="A264" s="32"/>
      <c r="B264" s="32"/>
      <c r="C264" s="32"/>
      <c r="D264" s="32"/>
      <c r="E264" s="32"/>
    </row>
    <row r="265" spans="1:5" ht="15.75" thickBot="1">
      <c r="A265" s="32"/>
      <c r="B265" s="32"/>
      <c r="C265" s="32"/>
      <c r="D265" s="32"/>
      <c r="E265" s="32"/>
    </row>
    <row r="266" spans="1:5" ht="15.75" thickBot="1">
      <c r="A266" s="32"/>
      <c r="B266" s="32"/>
      <c r="C266" s="32"/>
      <c r="D266" s="32"/>
      <c r="E266" s="32"/>
    </row>
    <row r="267" spans="1:5" ht="15.75" thickBot="1">
      <c r="A267" s="32"/>
      <c r="B267" s="32"/>
      <c r="C267" s="32"/>
      <c r="D267" s="32"/>
      <c r="E267" s="32"/>
    </row>
    <row r="268" spans="1:5" ht="15.75" thickBot="1">
      <c r="A268" s="32"/>
      <c r="B268" s="32"/>
      <c r="C268" s="32"/>
      <c r="D268" s="32"/>
      <c r="E268" s="32"/>
    </row>
    <row r="269" spans="1:5" ht="15.75" thickBot="1">
      <c r="A269" s="32"/>
      <c r="B269" s="32"/>
      <c r="C269" s="32"/>
      <c r="D269" s="32"/>
      <c r="E269" s="32"/>
    </row>
    <row r="270" spans="1:5" ht="15.75" thickBot="1">
      <c r="A270" s="32"/>
      <c r="B270" s="32"/>
      <c r="C270" s="32"/>
      <c r="D270" s="32"/>
      <c r="E270" s="32"/>
    </row>
    <row r="271" spans="1:5" ht="15.75" thickBot="1">
      <c r="A271" s="32"/>
      <c r="B271" s="32"/>
      <c r="C271" s="32"/>
      <c r="D271" s="32"/>
      <c r="E271" s="32"/>
    </row>
    <row r="272" spans="1:5" ht="15.75" thickBot="1">
      <c r="A272" s="32"/>
      <c r="B272" s="32"/>
      <c r="C272" s="32"/>
      <c r="D272" s="32"/>
      <c r="E272" s="32"/>
    </row>
    <row r="273" spans="1:5" ht="15.75" thickBot="1">
      <c r="A273" s="32"/>
      <c r="B273" s="32"/>
      <c r="C273" s="32"/>
      <c r="D273" s="32"/>
      <c r="E273" s="32"/>
    </row>
    <row r="274" spans="1:5" ht="15.75" thickBot="1">
      <c r="A274" s="32"/>
      <c r="B274" s="32"/>
      <c r="C274" s="32"/>
      <c r="D274" s="32"/>
      <c r="E274" s="32"/>
    </row>
    <row r="275" spans="1:5" ht="15.75" thickBot="1">
      <c r="A275" s="32"/>
      <c r="B275" s="32"/>
      <c r="C275" s="32"/>
      <c r="D275" s="32"/>
      <c r="E275" s="32"/>
    </row>
    <row r="276" spans="1:5" ht="15.75" thickBot="1">
      <c r="A276" s="32"/>
      <c r="B276" s="32"/>
      <c r="C276" s="32"/>
      <c r="D276" s="32"/>
      <c r="E276" s="32"/>
    </row>
    <row r="277" spans="1:5" ht="15.75" thickBot="1">
      <c r="A277" s="32"/>
      <c r="B277" s="32"/>
      <c r="C277" s="32"/>
      <c r="D277" s="32"/>
      <c r="E277" s="32"/>
    </row>
    <row r="278" spans="1:5" ht="15.75" thickBot="1">
      <c r="A278" s="32"/>
      <c r="B278" s="32"/>
      <c r="C278" s="32"/>
      <c r="D278" s="32"/>
      <c r="E278" s="32"/>
    </row>
    <row r="279" spans="1:5" ht="15.75" thickBot="1">
      <c r="A279" s="32"/>
      <c r="B279" s="32"/>
      <c r="C279" s="32"/>
      <c r="D279" s="32"/>
      <c r="E279" s="32"/>
    </row>
    <row r="280" spans="1:5" ht="15.75" thickBot="1">
      <c r="A280" s="32"/>
      <c r="B280" s="32"/>
      <c r="C280" s="32"/>
      <c r="D280" s="32"/>
      <c r="E280" s="32"/>
    </row>
    <row r="281" spans="1:5" ht="15.75" thickBot="1">
      <c r="A281" s="32"/>
      <c r="B281" s="32"/>
      <c r="C281" s="32"/>
      <c r="D281" s="32"/>
      <c r="E281" s="32"/>
    </row>
    <row r="282" spans="1:5" ht="15.75" thickBot="1">
      <c r="A282" s="32"/>
      <c r="B282" s="32"/>
      <c r="C282" s="32"/>
      <c r="D282" s="32"/>
      <c r="E282" s="32"/>
    </row>
    <row r="283" spans="1:5" ht="15.75" thickBot="1">
      <c r="A283" s="32"/>
      <c r="B283" s="32"/>
      <c r="C283" s="32"/>
      <c r="D283" s="32"/>
      <c r="E283" s="32"/>
    </row>
    <row r="284" spans="1:5" ht="15.75" thickBot="1">
      <c r="A284" s="32"/>
      <c r="B284" s="32"/>
      <c r="C284" s="32"/>
      <c r="D284" s="32"/>
      <c r="E284" s="32"/>
    </row>
    <row r="285" spans="1:5" ht="15.75" thickBot="1">
      <c r="A285" s="32"/>
      <c r="B285" s="32"/>
      <c r="C285" s="32"/>
      <c r="D285" s="32"/>
      <c r="E285" s="32"/>
    </row>
    <row r="286" spans="1:5" ht="15.75" thickBot="1">
      <c r="A286" s="32"/>
      <c r="B286" s="32"/>
      <c r="C286" s="32"/>
      <c r="D286" s="32"/>
      <c r="E286" s="32"/>
    </row>
    <row r="287" spans="1:5" ht="15.75" thickBot="1">
      <c r="A287" s="32"/>
      <c r="B287" s="32"/>
      <c r="C287" s="32"/>
      <c r="D287" s="32"/>
      <c r="E287" s="32"/>
    </row>
    <row r="288" spans="1:5" ht="15.75" thickBot="1">
      <c r="A288" s="32"/>
      <c r="B288" s="32"/>
      <c r="C288" s="32"/>
      <c r="D288" s="32"/>
      <c r="E288" s="32"/>
    </row>
    <row r="289" spans="1:5" ht="15.75" thickBot="1">
      <c r="A289" s="32"/>
      <c r="B289" s="32"/>
      <c r="C289" s="32"/>
      <c r="D289" s="32"/>
      <c r="E289" s="32"/>
    </row>
    <row r="290" spans="1:5" ht="15.75" thickBot="1">
      <c r="A290" s="32"/>
      <c r="B290" s="32"/>
      <c r="C290" s="32"/>
      <c r="D290" s="32"/>
      <c r="E290" s="32"/>
    </row>
    <row r="291" spans="1:5" ht="15.75" thickBot="1">
      <c r="A291" s="32"/>
      <c r="B291" s="32"/>
      <c r="C291" s="32"/>
      <c r="D291" s="32"/>
      <c r="E291" s="32"/>
    </row>
    <row r="292" spans="1:5" ht="15.75" thickBot="1">
      <c r="A292" s="32"/>
      <c r="B292" s="32"/>
      <c r="C292" s="32"/>
      <c r="D292" s="32"/>
      <c r="E292" s="32"/>
    </row>
    <row r="293" spans="1:5" ht="15.75" thickBot="1">
      <c r="A293" s="32"/>
      <c r="B293" s="32"/>
      <c r="C293" s="32"/>
      <c r="D293" s="32"/>
      <c r="E293" s="32"/>
    </row>
    <row r="294" spans="1:5" ht="15.75" thickBot="1">
      <c r="A294" s="32"/>
      <c r="B294" s="32"/>
      <c r="C294" s="32"/>
      <c r="D294" s="32"/>
      <c r="E294" s="32"/>
    </row>
    <row r="295" spans="1:5" ht="15.75" thickBot="1">
      <c r="A295" s="32"/>
      <c r="B295" s="32"/>
      <c r="C295" s="32"/>
      <c r="D295" s="32"/>
      <c r="E295" s="32"/>
    </row>
    <row r="296" spans="1:5" ht="15.75" thickBot="1">
      <c r="A296" s="32"/>
      <c r="B296" s="32"/>
      <c r="C296" s="32"/>
      <c r="D296" s="32"/>
      <c r="E296" s="32"/>
    </row>
    <row r="297" spans="1:5" ht="15.75" thickBot="1">
      <c r="A297" s="32"/>
      <c r="B297" s="32"/>
      <c r="C297" s="32"/>
      <c r="D297" s="32"/>
      <c r="E297" s="32"/>
    </row>
    <row r="298" spans="1:5" ht="15.75" thickBot="1">
      <c r="A298" s="32"/>
      <c r="B298" s="32"/>
      <c r="C298" s="32"/>
      <c r="D298" s="32"/>
      <c r="E298" s="32"/>
    </row>
    <row r="299" spans="1:5" ht="15.75" thickBot="1">
      <c r="A299" s="32"/>
      <c r="B299" s="32"/>
      <c r="C299" s="32"/>
      <c r="D299" s="32"/>
      <c r="E299" s="32"/>
    </row>
    <row r="300" spans="1:5" ht="15.75" thickBot="1">
      <c r="A300" s="32"/>
      <c r="B300" s="32"/>
      <c r="C300" s="32"/>
      <c r="D300" s="32"/>
      <c r="E300" s="32"/>
    </row>
    <row r="301" spans="1:5" ht="15.75" thickBot="1">
      <c r="A301" s="32"/>
      <c r="B301" s="32"/>
      <c r="C301" s="32"/>
      <c r="D301" s="32"/>
      <c r="E301" s="32"/>
    </row>
    <row r="302" spans="1:5" ht="15.75" thickBot="1">
      <c r="A302" s="32"/>
      <c r="B302" s="32"/>
      <c r="C302" s="32"/>
      <c r="D302" s="32"/>
      <c r="E302" s="32"/>
    </row>
    <row r="303" spans="1:5" ht="15.75" thickBot="1">
      <c r="A303" s="32"/>
      <c r="B303" s="32"/>
      <c r="C303" s="32"/>
      <c r="D303" s="32"/>
      <c r="E303" s="32"/>
    </row>
    <row r="304" spans="1:5" ht="15.75" thickBot="1">
      <c r="A304" s="32"/>
      <c r="B304" s="32"/>
      <c r="C304" s="32"/>
      <c r="D304" s="32"/>
      <c r="E304" s="32"/>
    </row>
    <row r="305" spans="1:5" ht="15.75" thickBot="1">
      <c r="A305" s="32"/>
      <c r="B305" s="32"/>
      <c r="C305" s="32"/>
      <c r="D305" s="32"/>
      <c r="E305" s="32"/>
    </row>
    <row r="306" spans="1:5" ht="15.75" thickBot="1">
      <c r="A306" s="32"/>
      <c r="B306" s="32"/>
      <c r="C306" s="32"/>
      <c r="D306" s="32"/>
      <c r="E306" s="32"/>
    </row>
    <row r="307" spans="1:5" ht="15.75" thickBot="1">
      <c r="A307" s="32"/>
      <c r="B307" s="32"/>
      <c r="C307" s="32"/>
      <c r="D307" s="32"/>
      <c r="E307" s="32"/>
    </row>
    <row r="308" spans="1:5" ht="15.75" thickBot="1">
      <c r="A308" s="32"/>
      <c r="B308" s="32"/>
      <c r="C308" s="32"/>
      <c r="D308" s="32"/>
      <c r="E308" s="32"/>
    </row>
    <row r="309" spans="1:5" ht="15.75" thickBot="1">
      <c r="A309" s="32"/>
      <c r="B309" s="32"/>
      <c r="C309" s="32"/>
      <c r="D309" s="32"/>
      <c r="E309" s="32"/>
    </row>
    <row r="310" spans="1:5" ht="15.75" thickBot="1">
      <c r="A310" s="32"/>
      <c r="B310" s="32"/>
      <c r="C310" s="32"/>
      <c r="D310" s="32"/>
      <c r="E310" s="32"/>
    </row>
    <row r="311" spans="1:5" ht="15.75" thickBot="1">
      <c r="A311" s="32"/>
      <c r="B311" s="32"/>
      <c r="C311" s="32"/>
      <c r="D311" s="32"/>
      <c r="E311" s="32"/>
    </row>
    <row r="312" spans="1:5" ht="15.75" thickBot="1">
      <c r="A312" s="32"/>
      <c r="B312" s="32"/>
      <c r="C312" s="32"/>
      <c r="D312" s="32"/>
      <c r="E312" s="32"/>
    </row>
    <row r="313" spans="1:5" ht="15.75" thickBot="1">
      <c r="A313" s="32"/>
      <c r="B313" s="32"/>
      <c r="C313" s="32"/>
      <c r="D313" s="32"/>
      <c r="E313" s="32"/>
    </row>
    <row r="314" spans="1:5" ht="15.75" thickBot="1">
      <c r="A314" s="32"/>
      <c r="B314" s="32"/>
      <c r="C314" s="32"/>
      <c r="D314" s="32"/>
      <c r="E314" s="32"/>
    </row>
    <row r="315" spans="1:5" ht="15.75" thickBot="1">
      <c r="A315" s="32"/>
      <c r="B315" s="32"/>
      <c r="C315" s="32"/>
      <c r="D315" s="32"/>
      <c r="E315" s="32"/>
    </row>
    <row r="316" spans="1:5" ht="15.75" thickBot="1">
      <c r="A316" s="32"/>
      <c r="B316" s="32"/>
      <c r="C316" s="32"/>
      <c r="D316" s="32"/>
      <c r="E316" s="32"/>
    </row>
    <row r="317" spans="1:5" ht="15.75" thickBot="1">
      <c r="A317" s="32"/>
      <c r="B317" s="32"/>
      <c r="C317" s="32"/>
      <c r="D317" s="32"/>
      <c r="E317" s="32"/>
    </row>
    <row r="318" spans="1:5" ht="15.75" thickBot="1">
      <c r="A318" s="32"/>
      <c r="B318" s="32"/>
      <c r="C318" s="32"/>
      <c r="D318" s="32"/>
      <c r="E318" s="32"/>
    </row>
    <row r="319" spans="1:5" ht="15.75" thickBot="1">
      <c r="A319" s="32"/>
      <c r="B319" s="32"/>
      <c r="C319" s="32"/>
      <c r="D319" s="32"/>
      <c r="E319" s="32"/>
    </row>
    <row r="320" spans="1:5" ht="15.75" thickBot="1">
      <c r="A320" s="32"/>
      <c r="B320" s="32"/>
      <c r="C320" s="32"/>
      <c r="D320" s="32"/>
      <c r="E320" s="32"/>
    </row>
    <row r="321" spans="1:5" ht="15.75" thickBot="1">
      <c r="A321" s="32"/>
      <c r="B321" s="32"/>
      <c r="C321" s="32"/>
      <c r="D321" s="32"/>
      <c r="E321" s="32"/>
    </row>
    <row r="322" spans="1:5" ht="15.75" thickBot="1">
      <c r="A322" s="32"/>
      <c r="B322" s="32"/>
      <c r="C322" s="32"/>
      <c r="D322" s="32"/>
      <c r="E322" s="32"/>
    </row>
    <row r="323" spans="1:5" ht="15.75" thickBot="1">
      <c r="A323" s="32"/>
      <c r="B323" s="32"/>
      <c r="C323" s="32"/>
      <c r="D323" s="32"/>
      <c r="E323" s="32"/>
    </row>
    <row r="324" spans="1:5" ht="15.75" thickBot="1">
      <c r="A324" s="32"/>
      <c r="B324" s="32"/>
      <c r="C324" s="32"/>
      <c r="D324" s="32"/>
      <c r="E324" s="32"/>
    </row>
    <row r="325" spans="1:5" ht="15.75" thickBot="1">
      <c r="A325" s="32"/>
      <c r="B325" s="32"/>
      <c r="C325" s="32"/>
      <c r="D325" s="32"/>
      <c r="E325" s="32"/>
    </row>
    <row r="326" spans="1:5" ht="15.75" thickBot="1">
      <c r="A326" s="32"/>
      <c r="B326" s="32"/>
      <c r="C326" s="32"/>
      <c r="D326" s="32"/>
      <c r="E326" s="32"/>
    </row>
    <row r="327" spans="1:5" ht="15.75" thickBot="1">
      <c r="A327" s="32"/>
      <c r="B327" s="32"/>
      <c r="C327" s="32"/>
      <c r="D327" s="32"/>
      <c r="E327" s="32"/>
    </row>
    <row r="328" spans="1:5" ht="15.75" thickBot="1">
      <c r="A328" s="32"/>
      <c r="B328" s="32"/>
      <c r="C328" s="32"/>
      <c r="D328" s="32"/>
      <c r="E328" s="32"/>
    </row>
    <row r="329" spans="1:5" ht="15.75" thickBot="1">
      <c r="A329" s="32"/>
      <c r="B329" s="32"/>
      <c r="C329" s="32"/>
      <c r="D329" s="32"/>
      <c r="E329" s="32"/>
    </row>
    <row r="330" spans="1:5" ht="15.75" thickBot="1">
      <c r="A330" s="32"/>
      <c r="B330" s="32"/>
      <c r="C330" s="32"/>
      <c r="D330" s="32"/>
      <c r="E330" s="32"/>
    </row>
    <row r="331" spans="1:5" ht="15.75" thickBot="1">
      <c r="A331" s="32"/>
      <c r="B331" s="32"/>
      <c r="C331" s="32"/>
      <c r="D331" s="32"/>
      <c r="E331" s="32"/>
    </row>
    <row r="332" spans="1:5" ht="15.75" thickBot="1">
      <c r="A332" s="32"/>
      <c r="B332" s="32"/>
      <c r="C332" s="32"/>
      <c r="D332" s="32"/>
      <c r="E332" s="32"/>
    </row>
    <row r="333" spans="1:5" ht="15.75" thickBot="1">
      <c r="A333" s="32"/>
      <c r="B333" s="32"/>
      <c r="C333" s="32"/>
      <c r="D333" s="32"/>
      <c r="E333" s="32"/>
    </row>
    <row r="334" spans="1:5" ht="15.75" thickBot="1">
      <c r="A334" s="32"/>
      <c r="B334" s="32"/>
      <c r="C334" s="32"/>
      <c r="D334" s="32"/>
      <c r="E334" s="32"/>
    </row>
    <row r="335" spans="1:5" ht="15.75" thickBot="1">
      <c r="A335" s="32"/>
      <c r="B335" s="32"/>
      <c r="C335" s="32"/>
      <c r="D335" s="32"/>
      <c r="E335" s="32"/>
    </row>
    <row r="336" spans="1:5" ht="15.75" thickBot="1">
      <c r="A336" s="32"/>
      <c r="B336" s="32"/>
      <c r="C336" s="32"/>
      <c r="D336" s="32"/>
      <c r="E336" s="32"/>
    </row>
    <row r="337" spans="1:5" ht="15.75" thickBot="1">
      <c r="A337" s="32"/>
      <c r="B337" s="32"/>
      <c r="C337" s="32"/>
      <c r="D337" s="32"/>
      <c r="E337" s="32"/>
    </row>
    <row r="338" spans="1:5" ht="15.75" thickBot="1">
      <c r="A338" s="32"/>
      <c r="B338" s="32"/>
      <c r="C338" s="32"/>
      <c r="D338" s="32"/>
      <c r="E338" s="32"/>
    </row>
    <row r="339" spans="1:5" ht="15.75" thickBot="1">
      <c r="A339" s="32"/>
      <c r="B339" s="32"/>
      <c r="C339" s="32"/>
      <c r="D339" s="32"/>
      <c r="E339" s="32"/>
    </row>
    <row r="340" spans="1:5" ht="15.75" thickBot="1">
      <c r="A340" s="32"/>
      <c r="B340" s="32"/>
      <c r="C340" s="32"/>
      <c r="D340" s="32"/>
      <c r="E340" s="32"/>
    </row>
    <row r="341" spans="1:5" ht="15.75" thickBot="1">
      <c r="A341" s="32"/>
      <c r="B341" s="32"/>
      <c r="C341" s="32"/>
      <c r="D341" s="32"/>
      <c r="E341" s="32"/>
    </row>
    <row r="342" spans="1:5" ht="15.75" thickBot="1">
      <c r="A342" s="32"/>
      <c r="B342" s="32"/>
      <c r="C342" s="32"/>
      <c r="D342" s="32"/>
      <c r="E342" s="32"/>
    </row>
    <row r="343" spans="1:5" ht="15.75" thickBot="1">
      <c r="A343" s="32"/>
      <c r="B343" s="32"/>
      <c r="C343" s="32"/>
      <c r="D343" s="32"/>
      <c r="E343" s="32"/>
    </row>
    <row r="344" spans="1:5" ht="15.75" thickBot="1">
      <c r="A344" s="32"/>
      <c r="B344" s="32"/>
      <c r="C344" s="32"/>
      <c r="D344" s="32"/>
      <c r="E344" s="32"/>
    </row>
    <row r="345" spans="1:5" ht="15.75" thickBot="1">
      <c r="A345" s="32"/>
      <c r="B345" s="32"/>
      <c r="C345" s="32"/>
      <c r="D345" s="32"/>
      <c r="E345" s="32"/>
    </row>
    <row r="346" spans="1:5" ht="15.75" thickBot="1">
      <c r="A346" s="32"/>
      <c r="B346" s="32"/>
      <c r="C346" s="32"/>
      <c r="D346" s="32"/>
      <c r="E346" s="32"/>
    </row>
    <row r="347" spans="1:5" ht="15.75" thickBot="1">
      <c r="A347" s="32"/>
      <c r="B347" s="32"/>
      <c r="C347" s="32"/>
      <c r="D347" s="32"/>
      <c r="E347" s="32"/>
    </row>
    <row r="348" spans="1:5" ht="15.75" thickBot="1">
      <c r="A348" s="32"/>
      <c r="B348" s="32"/>
      <c r="C348" s="32"/>
      <c r="D348" s="32"/>
      <c r="E348" s="32"/>
    </row>
    <row r="349" spans="1:5" ht="15.75" thickBot="1">
      <c r="A349" s="32"/>
      <c r="B349" s="32"/>
      <c r="C349" s="32"/>
      <c r="D349" s="32"/>
      <c r="E349" s="32"/>
    </row>
    <row r="350" spans="1:5" ht="15.75" thickBot="1">
      <c r="A350" s="32"/>
      <c r="B350" s="32"/>
      <c r="C350" s="32"/>
      <c r="D350" s="32"/>
      <c r="E350" s="32"/>
    </row>
    <row r="351" spans="1:5" ht="15.75" thickBot="1">
      <c r="A351" s="32"/>
      <c r="B351" s="32"/>
      <c r="C351" s="32"/>
      <c r="D351" s="32"/>
      <c r="E351" s="32"/>
    </row>
    <row r="352" spans="1:5" ht="15.75" thickBot="1">
      <c r="A352" s="32"/>
      <c r="B352" s="32"/>
      <c r="C352" s="32"/>
      <c r="D352" s="32"/>
      <c r="E352" s="32"/>
    </row>
    <row r="353" spans="1:5" ht="15.75" thickBot="1">
      <c r="A353" s="32"/>
      <c r="B353" s="32"/>
      <c r="C353" s="32"/>
      <c r="D353" s="32"/>
      <c r="E353" s="32"/>
    </row>
    <row r="354" spans="1:5" ht="15.75" thickBot="1">
      <c r="A354" s="32"/>
      <c r="B354" s="32"/>
      <c r="C354" s="32"/>
      <c r="D354" s="32"/>
      <c r="E354" s="32"/>
    </row>
    <row r="355" spans="1:5" ht="15.75" thickBot="1">
      <c r="A355" s="32"/>
      <c r="B355" s="32"/>
      <c r="C355" s="32"/>
      <c r="D355" s="32"/>
      <c r="E355" s="32"/>
    </row>
    <row r="356" spans="1:5" ht="15.75" thickBot="1">
      <c r="A356" s="32"/>
      <c r="B356" s="32"/>
      <c r="C356" s="32"/>
      <c r="D356" s="32"/>
      <c r="E356" s="32"/>
    </row>
    <row r="357" spans="1:5" ht="15.75" thickBot="1">
      <c r="A357" s="32"/>
      <c r="B357" s="32"/>
      <c r="C357" s="32"/>
      <c r="D357" s="32"/>
      <c r="E357" s="32"/>
    </row>
    <row r="358" spans="1:5" ht="15.75" thickBot="1">
      <c r="A358" s="32"/>
      <c r="B358" s="32"/>
      <c r="C358" s="32"/>
      <c r="D358" s="32"/>
      <c r="E358" s="32"/>
    </row>
    <row r="359" spans="1:5" ht="15.75" thickBot="1">
      <c r="A359" s="32"/>
      <c r="B359" s="32"/>
      <c r="C359" s="32"/>
      <c r="D359" s="32"/>
      <c r="E359" s="32"/>
    </row>
    <row r="360" spans="1:5" ht="15.75" thickBot="1">
      <c r="A360" s="32"/>
      <c r="B360" s="32"/>
      <c r="C360" s="32"/>
      <c r="D360" s="32"/>
      <c r="E360" s="32"/>
    </row>
    <row r="361" spans="1:5" ht="15.75" thickBot="1">
      <c r="A361" s="32"/>
      <c r="B361" s="32"/>
      <c r="C361" s="32"/>
      <c r="D361" s="32"/>
      <c r="E361" s="32"/>
    </row>
    <row r="362" spans="1:5" ht="15.75" thickBot="1">
      <c r="A362" s="32"/>
      <c r="B362" s="32"/>
      <c r="C362" s="32"/>
      <c r="D362" s="32"/>
      <c r="E362" s="32"/>
    </row>
    <row r="363" spans="1:5" ht="15.75" thickBot="1">
      <c r="A363" s="32"/>
      <c r="B363" s="32"/>
      <c r="C363" s="32"/>
      <c r="D363" s="32"/>
      <c r="E363" s="32"/>
    </row>
    <row r="364" spans="1:5" ht="15.75" thickBot="1">
      <c r="A364" s="32"/>
      <c r="B364" s="32"/>
      <c r="C364" s="32"/>
      <c r="D364" s="32"/>
      <c r="E364" s="32"/>
    </row>
    <row r="365" spans="1:5" ht="15.75" thickBot="1">
      <c r="A365" s="32"/>
      <c r="B365" s="32"/>
      <c r="C365" s="32"/>
      <c r="D365" s="32"/>
      <c r="E365" s="32"/>
    </row>
    <row r="366" spans="1:5" ht="15.75" thickBot="1">
      <c r="A366" s="32"/>
      <c r="B366" s="32"/>
      <c r="C366" s="32"/>
      <c r="D366" s="32"/>
      <c r="E366" s="32"/>
    </row>
    <row r="367" spans="1:5" ht="15.75" thickBot="1">
      <c r="A367" s="32"/>
      <c r="B367" s="32"/>
      <c r="C367" s="32"/>
      <c r="D367" s="32"/>
      <c r="E367" s="32"/>
    </row>
    <row r="368" spans="1:5" ht="15.75" thickBot="1">
      <c r="A368" s="32"/>
      <c r="B368" s="32"/>
      <c r="C368" s="32"/>
      <c r="D368" s="32"/>
      <c r="E368" s="32"/>
    </row>
    <row r="369" spans="1:5" ht="15.75" thickBot="1">
      <c r="A369" s="32"/>
      <c r="B369" s="32"/>
      <c r="C369" s="32"/>
      <c r="D369" s="32"/>
      <c r="E369" s="32"/>
    </row>
    <row r="370" spans="1:5" ht="15.75" thickBot="1">
      <c r="A370" s="32"/>
      <c r="B370" s="32"/>
      <c r="C370" s="32"/>
      <c r="D370" s="32"/>
      <c r="E370" s="32"/>
    </row>
    <row r="371" spans="1:5" ht="15.75" thickBot="1">
      <c r="A371" s="32"/>
      <c r="B371" s="32"/>
      <c r="C371" s="32"/>
      <c r="D371" s="32"/>
      <c r="E371" s="32"/>
    </row>
    <row r="372" spans="1:5" ht="15.75" thickBot="1">
      <c r="A372" s="32"/>
      <c r="B372" s="32"/>
      <c r="C372" s="32"/>
      <c r="D372" s="32"/>
      <c r="E372" s="32"/>
    </row>
    <row r="373" spans="1:5" ht="15.75" thickBot="1">
      <c r="A373" s="32"/>
      <c r="B373" s="32"/>
      <c r="C373" s="32"/>
      <c r="D373" s="32"/>
      <c r="E373" s="32"/>
    </row>
    <row r="374" spans="1:5" ht="15.75" thickBot="1">
      <c r="A374" s="32"/>
      <c r="B374" s="32"/>
      <c r="C374" s="32"/>
      <c r="D374" s="32"/>
      <c r="E374" s="32"/>
    </row>
    <row r="375" spans="1:5" ht="15.75" thickBot="1">
      <c r="A375" s="32"/>
      <c r="B375" s="32"/>
      <c r="C375" s="32"/>
      <c r="D375" s="32"/>
      <c r="E375" s="32"/>
    </row>
    <row r="376" spans="1:5" ht="15.75" thickBot="1">
      <c r="A376" s="32"/>
      <c r="B376" s="32"/>
      <c r="C376" s="32"/>
      <c r="D376" s="32"/>
      <c r="E376" s="32"/>
    </row>
    <row r="377" spans="1:5" ht="15.75" thickBot="1">
      <c r="A377" s="32"/>
      <c r="B377" s="32"/>
      <c r="C377" s="32"/>
      <c r="D377" s="32"/>
      <c r="E377" s="32"/>
    </row>
    <row r="378" spans="1:5" ht="15.75" thickBot="1">
      <c r="A378" s="32"/>
      <c r="B378" s="32"/>
      <c r="C378" s="32"/>
      <c r="D378" s="32"/>
      <c r="E378" s="32"/>
    </row>
    <row r="379" spans="1:5" ht="15.75" thickBot="1">
      <c r="A379" s="32"/>
      <c r="B379" s="32"/>
      <c r="C379" s="32"/>
      <c r="D379" s="32"/>
      <c r="E379" s="32"/>
    </row>
    <row r="380" spans="1:5" ht="15.75" thickBot="1">
      <c r="A380" s="32"/>
      <c r="B380" s="32"/>
      <c r="C380" s="32"/>
      <c r="D380" s="32"/>
      <c r="E380" s="32"/>
    </row>
    <row r="381" spans="1:5" ht="15.75" thickBot="1">
      <c r="A381" s="32"/>
      <c r="B381" s="32"/>
      <c r="C381" s="32"/>
      <c r="D381" s="32"/>
      <c r="E381" s="32"/>
    </row>
    <row r="382" spans="1:5" ht="15.75" thickBot="1">
      <c r="A382" s="32"/>
      <c r="B382" s="32"/>
      <c r="C382" s="32"/>
      <c r="D382" s="32"/>
      <c r="E382" s="32"/>
    </row>
    <row r="383" spans="1:5" ht="15.75" thickBot="1">
      <c r="A383" s="32"/>
      <c r="B383" s="32"/>
      <c r="C383" s="32"/>
      <c r="D383" s="32"/>
      <c r="E383" s="32"/>
    </row>
    <row r="384" spans="1:5" ht="15.75" thickBot="1">
      <c r="A384" s="32"/>
      <c r="B384" s="32"/>
      <c r="C384" s="32"/>
      <c r="D384" s="32"/>
      <c r="E384" s="32"/>
    </row>
    <row r="385" spans="1:5" ht="15.75" thickBot="1">
      <c r="A385" s="32"/>
      <c r="B385" s="32"/>
      <c r="C385" s="32"/>
      <c r="D385" s="32"/>
      <c r="E385" s="32"/>
    </row>
    <row r="386" spans="1:5" ht="15.75" thickBot="1">
      <c r="A386" s="32"/>
      <c r="B386" s="32"/>
      <c r="C386" s="32"/>
      <c r="D386" s="32"/>
      <c r="E386" s="32"/>
    </row>
    <row r="387" spans="1:5" ht="15.75" thickBot="1">
      <c r="A387" s="32"/>
      <c r="B387" s="32"/>
      <c r="C387" s="32"/>
      <c r="D387" s="32"/>
      <c r="E387" s="32"/>
    </row>
    <row r="388" spans="1:5" ht="15.75" thickBot="1">
      <c r="A388" s="32"/>
      <c r="B388" s="32"/>
      <c r="C388" s="32"/>
      <c r="D388" s="32"/>
      <c r="E388" s="32"/>
    </row>
    <row r="389" spans="1:5" ht="15.75" thickBot="1">
      <c r="A389" s="32"/>
      <c r="B389" s="32"/>
      <c r="C389" s="32"/>
      <c r="D389" s="32"/>
      <c r="E389" s="32"/>
    </row>
    <row r="390" spans="1:5" ht="15.75" thickBot="1">
      <c r="A390" s="32"/>
      <c r="B390" s="32"/>
      <c r="C390" s="32"/>
      <c r="D390" s="32"/>
      <c r="E390" s="32"/>
    </row>
    <row r="391" spans="1:5" ht="15.75" thickBot="1">
      <c r="A391" s="32"/>
      <c r="B391" s="32"/>
      <c r="C391" s="32"/>
      <c r="D391" s="32"/>
      <c r="E391" s="32"/>
    </row>
    <row r="392" spans="1:5" ht="15.75" thickBot="1">
      <c r="A392" s="32"/>
      <c r="B392" s="32"/>
      <c r="C392" s="32"/>
      <c r="D392" s="32"/>
      <c r="E392" s="32"/>
    </row>
    <row r="393" spans="1:5" ht="15.75" thickBot="1">
      <c r="A393" s="32"/>
      <c r="B393" s="32"/>
      <c r="C393" s="32"/>
      <c r="D393" s="32"/>
      <c r="E393" s="32"/>
    </row>
    <row r="394" spans="1:5" ht="15.75" thickBot="1">
      <c r="A394" s="32"/>
      <c r="B394" s="32"/>
      <c r="C394" s="32"/>
      <c r="D394" s="32"/>
      <c r="E394" s="32"/>
    </row>
    <row r="395" spans="1:5" ht="15.75" thickBot="1">
      <c r="A395" s="32"/>
      <c r="B395" s="32"/>
      <c r="C395" s="32"/>
      <c r="D395" s="32"/>
      <c r="E395" s="32"/>
    </row>
    <row r="396" spans="1:5" ht="15.75" thickBot="1">
      <c r="A396" s="32"/>
      <c r="B396" s="32"/>
      <c r="C396" s="32"/>
      <c r="D396" s="32"/>
      <c r="E396" s="32"/>
    </row>
    <row r="397" spans="1:5" ht="15.75" thickBot="1">
      <c r="A397" s="32"/>
      <c r="B397" s="32"/>
      <c r="C397" s="32"/>
      <c r="D397" s="32"/>
      <c r="E397" s="32"/>
    </row>
    <row r="398" spans="1:5" ht="15.75" thickBot="1">
      <c r="A398" s="32"/>
      <c r="B398" s="32"/>
      <c r="C398" s="32"/>
      <c r="D398" s="32"/>
      <c r="E398" s="32"/>
    </row>
    <row r="399" spans="1:5" ht="15.75" thickBot="1">
      <c r="A399" s="32"/>
      <c r="B399" s="32"/>
      <c r="C399" s="32"/>
      <c r="D399" s="32"/>
      <c r="E399" s="32"/>
    </row>
    <row r="400" spans="1:5" ht="15.75" thickBot="1">
      <c r="A400" s="32"/>
      <c r="B400" s="32"/>
      <c r="C400" s="32"/>
      <c r="D400" s="32"/>
      <c r="E400" s="32"/>
    </row>
    <row r="401" spans="1:5" ht="15.75" thickBot="1">
      <c r="A401" s="32"/>
      <c r="B401" s="32"/>
      <c r="C401" s="32"/>
      <c r="D401" s="32"/>
      <c r="E401" s="32"/>
    </row>
    <row r="402" spans="1:5" ht="15.75" thickBot="1">
      <c r="A402" s="32"/>
      <c r="B402" s="32"/>
      <c r="C402" s="32"/>
      <c r="D402" s="32"/>
      <c r="E402" s="32"/>
    </row>
    <row r="403" spans="1:5" ht="15.75" thickBot="1">
      <c r="A403" s="32"/>
      <c r="B403" s="32"/>
      <c r="C403" s="32"/>
      <c r="D403" s="32"/>
      <c r="E403" s="32"/>
    </row>
    <row r="404" spans="1:5" ht="15.75" thickBot="1">
      <c r="A404" s="32"/>
      <c r="B404" s="32"/>
      <c r="C404" s="32"/>
      <c r="D404" s="32"/>
      <c r="E404" s="32"/>
    </row>
    <row r="405" spans="1:5" ht="15.75" thickBot="1">
      <c r="A405" s="32"/>
      <c r="B405" s="32"/>
      <c r="C405" s="32"/>
      <c r="D405" s="32"/>
      <c r="E405" s="32"/>
    </row>
    <row r="406" spans="1:5" ht="15.75" thickBot="1">
      <c r="A406" s="32"/>
      <c r="B406" s="32"/>
      <c r="C406" s="32"/>
      <c r="D406" s="32"/>
      <c r="E406" s="32"/>
    </row>
    <row r="407" spans="1:5" ht="15.75" thickBot="1">
      <c r="A407" s="32"/>
      <c r="B407" s="32"/>
      <c r="C407" s="32"/>
      <c r="D407" s="32"/>
      <c r="E407" s="32"/>
    </row>
    <row r="408" spans="1:5" ht="15.75" thickBot="1">
      <c r="A408" s="32"/>
      <c r="B408" s="32"/>
      <c r="C408" s="32"/>
      <c r="D408" s="32"/>
      <c r="E408" s="32"/>
    </row>
    <row r="409" spans="1:5" ht="15.75" thickBot="1">
      <c r="A409" s="32"/>
      <c r="B409" s="32"/>
      <c r="C409" s="32"/>
      <c r="D409" s="32"/>
      <c r="E409" s="32"/>
    </row>
    <row r="410" spans="1:5" ht="15.75" thickBot="1">
      <c r="A410" s="32"/>
      <c r="B410" s="32"/>
      <c r="C410" s="32"/>
      <c r="D410" s="32"/>
      <c r="E410" s="32"/>
    </row>
    <row r="411" spans="1:5" ht="15.75" thickBot="1">
      <c r="A411" s="32"/>
      <c r="B411" s="32"/>
      <c r="C411" s="32"/>
      <c r="D411" s="32"/>
      <c r="E411" s="32"/>
    </row>
    <row r="412" spans="1:5" ht="15.75" thickBot="1">
      <c r="A412" s="32"/>
      <c r="B412" s="32"/>
      <c r="C412" s="32"/>
      <c r="D412" s="32"/>
      <c r="E412" s="32"/>
    </row>
    <row r="413" spans="1:5" ht="15.75" thickBot="1">
      <c r="A413" s="32"/>
      <c r="B413" s="32"/>
      <c r="C413" s="32"/>
      <c r="D413" s="32"/>
      <c r="E413" s="32"/>
    </row>
    <row r="414" spans="1:5" ht="15.75" thickBot="1">
      <c r="A414" s="32"/>
      <c r="B414" s="32"/>
      <c r="C414" s="32"/>
      <c r="D414" s="32"/>
      <c r="E414" s="32"/>
    </row>
    <row r="415" spans="1:5" ht="15.75" thickBot="1">
      <c r="A415" s="32"/>
      <c r="B415" s="32"/>
      <c r="C415" s="32"/>
      <c r="D415" s="32"/>
      <c r="E415" s="32"/>
    </row>
    <row r="416" spans="1:5" ht="15.75" thickBot="1">
      <c r="A416" s="32"/>
      <c r="B416" s="32"/>
      <c r="C416" s="32"/>
      <c r="D416" s="32"/>
      <c r="E416" s="32"/>
    </row>
    <row r="417" spans="1:5" ht="15.75" thickBot="1">
      <c r="A417" s="32"/>
      <c r="B417" s="32"/>
      <c r="C417" s="32"/>
      <c r="D417" s="32"/>
      <c r="E417" s="32"/>
    </row>
    <row r="418" spans="1:5" ht="15.75" thickBot="1">
      <c r="A418" s="32"/>
      <c r="B418" s="32"/>
      <c r="C418" s="32"/>
      <c r="D418" s="32"/>
      <c r="E418" s="32"/>
    </row>
    <row r="419" spans="1:5" ht="15.75" thickBot="1">
      <c r="A419" s="32"/>
      <c r="B419" s="32"/>
      <c r="C419" s="32"/>
      <c r="D419" s="32"/>
      <c r="E419" s="32"/>
    </row>
    <row r="420" spans="1:5" ht="15.75" thickBot="1">
      <c r="A420" s="32"/>
      <c r="B420" s="32"/>
      <c r="C420" s="32"/>
      <c r="D420" s="32"/>
      <c r="E420" s="32"/>
    </row>
    <row r="421" spans="1:5" ht="15.75" thickBot="1">
      <c r="A421" s="32"/>
      <c r="B421" s="32"/>
      <c r="C421" s="32"/>
      <c r="D421" s="32"/>
      <c r="E421" s="32"/>
    </row>
    <row r="422" spans="1:5" ht="15.75" thickBot="1">
      <c r="A422" s="32"/>
      <c r="B422" s="32"/>
      <c r="C422" s="32"/>
      <c r="D422" s="32"/>
      <c r="E422" s="32"/>
    </row>
    <row r="423" spans="1:5" ht="15.75" thickBot="1">
      <c r="A423" s="32"/>
      <c r="B423" s="32"/>
      <c r="C423" s="32"/>
      <c r="D423" s="32"/>
      <c r="E423" s="32"/>
    </row>
    <row r="424" spans="1:5" ht="15.75" thickBot="1">
      <c r="A424" s="32"/>
      <c r="B424" s="32"/>
      <c r="C424" s="32"/>
      <c r="D424" s="32"/>
      <c r="E424" s="32"/>
    </row>
    <row r="425" spans="1:5" ht="15.75" thickBot="1">
      <c r="A425" s="32"/>
      <c r="B425" s="32"/>
      <c r="C425" s="32"/>
      <c r="D425" s="32"/>
      <c r="E425" s="32"/>
    </row>
    <row r="426" spans="1:5" ht="15.75" thickBot="1">
      <c r="A426" s="32"/>
      <c r="B426" s="32"/>
      <c r="C426" s="32"/>
      <c r="D426" s="32"/>
      <c r="E426" s="32"/>
    </row>
    <row r="427" spans="1:5" ht="15.75" thickBot="1">
      <c r="A427" s="32"/>
      <c r="B427" s="32"/>
      <c r="C427" s="32"/>
      <c r="D427" s="32"/>
      <c r="E427" s="32"/>
    </row>
    <row r="428" spans="1:5" ht="15.75" thickBot="1">
      <c r="A428" s="32"/>
      <c r="B428" s="32"/>
      <c r="C428" s="32"/>
      <c r="D428" s="32"/>
      <c r="E428" s="32"/>
    </row>
    <row r="429" spans="1:5" ht="15.75" thickBot="1">
      <c r="A429" s="32"/>
      <c r="B429" s="32"/>
      <c r="C429" s="32"/>
      <c r="D429" s="32"/>
      <c r="E429" s="32"/>
    </row>
    <row r="430" spans="1:5" ht="15.75" thickBot="1">
      <c r="A430" s="32"/>
      <c r="B430" s="32"/>
      <c r="C430" s="32"/>
      <c r="D430" s="32"/>
      <c r="E430" s="32"/>
    </row>
    <row r="431" spans="1:5" ht="15.75" thickBot="1">
      <c r="A431" s="32"/>
      <c r="B431" s="32"/>
      <c r="C431" s="32"/>
      <c r="D431" s="32"/>
      <c r="E431" s="32"/>
    </row>
    <row r="432" spans="1:5" ht="15.75" thickBot="1">
      <c r="A432" s="32"/>
      <c r="B432" s="32"/>
      <c r="C432" s="32"/>
      <c r="D432" s="32"/>
      <c r="E432" s="32"/>
    </row>
    <row r="433" spans="1:5" ht="15.75" thickBot="1">
      <c r="A433" s="32"/>
      <c r="B433" s="32"/>
      <c r="C433" s="32"/>
      <c r="D433" s="32"/>
      <c r="E433" s="32"/>
    </row>
    <row r="434" spans="1:5" ht="15.75" thickBot="1">
      <c r="A434" s="32"/>
      <c r="B434" s="32"/>
      <c r="C434" s="32"/>
      <c r="D434" s="32"/>
      <c r="E434" s="32"/>
    </row>
    <row r="435" spans="1:5" ht="15.75" thickBot="1">
      <c r="A435" s="32"/>
      <c r="B435" s="32"/>
      <c r="C435" s="32"/>
      <c r="D435" s="32"/>
      <c r="E435" s="32"/>
    </row>
    <row r="436" spans="1:5" ht="15.75" thickBot="1">
      <c r="A436" s="32"/>
      <c r="B436" s="32"/>
      <c r="C436" s="32"/>
      <c r="D436" s="32"/>
      <c r="E436" s="32"/>
    </row>
    <row r="437" spans="1:5" ht="15.75" thickBot="1">
      <c r="A437" s="32"/>
      <c r="B437" s="32"/>
      <c r="C437" s="32"/>
      <c r="D437" s="32"/>
      <c r="E437" s="32"/>
    </row>
    <row r="438" spans="1:5" ht="15.75" thickBot="1">
      <c r="A438" s="32"/>
      <c r="B438" s="32"/>
      <c r="C438" s="32"/>
      <c r="D438" s="32"/>
      <c r="E438" s="32"/>
    </row>
    <row r="439" spans="1:5" ht="15.75" thickBot="1">
      <c r="A439" s="32"/>
      <c r="B439" s="32"/>
      <c r="C439" s="32"/>
      <c r="D439" s="32"/>
      <c r="E439" s="32"/>
    </row>
    <row r="440" spans="1:5" ht="15.75" thickBot="1">
      <c r="A440" s="32"/>
      <c r="B440" s="32"/>
      <c r="C440" s="32"/>
      <c r="D440" s="32"/>
      <c r="E440" s="32"/>
    </row>
    <row r="441" spans="1:5" ht="15.75" thickBot="1">
      <c r="A441" s="32"/>
      <c r="B441" s="32"/>
      <c r="C441" s="32"/>
      <c r="D441" s="32"/>
      <c r="E441" s="32"/>
    </row>
    <row r="442" spans="1:5" ht="15.75" thickBot="1">
      <c r="A442" s="32"/>
      <c r="B442" s="32"/>
      <c r="C442" s="32"/>
      <c r="D442" s="32"/>
      <c r="E442" s="32"/>
    </row>
    <row r="443" spans="1:5" ht="15.75" thickBot="1">
      <c r="A443" s="32"/>
      <c r="B443" s="32"/>
      <c r="C443" s="32"/>
      <c r="D443" s="32"/>
      <c r="E443" s="32"/>
    </row>
    <row r="444" spans="1:5" ht="15.75" thickBot="1">
      <c r="A444" s="32"/>
      <c r="B444" s="32"/>
      <c r="C444" s="32"/>
      <c r="D444" s="32"/>
      <c r="E444" s="32"/>
    </row>
    <row r="445" spans="1:5" ht="15.75" thickBot="1">
      <c r="A445" s="32"/>
      <c r="B445" s="32"/>
      <c r="C445" s="32"/>
      <c r="D445" s="32"/>
      <c r="E445" s="32"/>
    </row>
    <row r="446" spans="1:5" ht="15.75" thickBot="1">
      <c r="A446" s="32"/>
      <c r="B446" s="32"/>
      <c r="C446" s="32"/>
      <c r="D446" s="32"/>
      <c r="E446" s="32"/>
    </row>
    <row r="447" spans="1:5" ht="15.75" thickBot="1">
      <c r="A447" s="32"/>
      <c r="B447" s="32"/>
      <c r="C447" s="32"/>
      <c r="D447" s="32"/>
      <c r="E447" s="32"/>
    </row>
    <row r="448" spans="1:5" ht="15.75" thickBot="1">
      <c r="A448" s="32"/>
      <c r="B448" s="32"/>
      <c r="C448" s="32"/>
      <c r="D448" s="32"/>
      <c r="E448" s="32"/>
    </row>
    <row r="449" spans="1:5" ht="15.75" thickBot="1">
      <c r="A449" s="32"/>
      <c r="B449" s="32"/>
      <c r="C449" s="32"/>
      <c r="D449" s="32"/>
      <c r="E449" s="32"/>
    </row>
    <row r="450" spans="1:5" ht="15.75" thickBot="1">
      <c r="A450" s="32"/>
      <c r="B450" s="32"/>
      <c r="C450" s="32"/>
      <c r="D450" s="32"/>
      <c r="E450" s="32"/>
    </row>
    <row r="451" spans="1:5" ht="15.75" thickBot="1">
      <c r="A451" s="32"/>
      <c r="B451" s="32"/>
      <c r="C451" s="32"/>
      <c r="D451" s="32"/>
      <c r="E451" s="32"/>
    </row>
    <row r="452" spans="1:5" ht="15.75" thickBot="1">
      <c r="A452" s="32"/>
      <c r="B452" s="32"/>
      <c r="C452" s="32"/>
      <c r="D452" s="32"/>
      <c r="E452" s="32"/>
    </row>
    <row r="453" spans="1:5" ht="15.75" thickBot="1">
      <c r="A453" s="32"/>
      <c r="B453" s="32"/>
      <c r="C453" s="32"/>
      <c r="D453" s="32"/>
      <c r="E453" s="32"/>
    </row>
    <row r="454" spans="1:5" ht="15.75" thickBot="1">
      <c r="A454" s="32"/>
      <c r="B454" s="32"/>
      <c r="C454" s="32"/>
      <c r="D454" s="32"/>
      <c r="E454" s="32"/>
    </row>
    <row r="455" spans="1:5" ht="15.75" thickBot="1">
      <c r="A455" s="32"/>
      <c r="B455" s="32"/>
      <c r="C455" s="32"/>
      <c r="D455" s="32"/>
      <c r="E455" s="32"/>
    </row>
    <row r="456" spans="1:5" ht="15.75" thickBot="1">
      <c r="A456" s="32"/>
      <c r="B456" s="32"/>
      <c r="C456" s="32"/>
      <c r="D456" s="32"/>
      <c r="E456" s="32"/>
    </row>
    <row r="457" spans="1:5" ht="15.75" thickBot="1">
      <c r="A457" s="32"/>
      <c r="B457" s="32"/>
      <c r="C457" s="32"/>
      <c r="D457" s="32"/>
      <c r="E457" s="32"/>
    </row>
    <row r="458" spans="1:5" ht="15.75" thickBot="1">
      <c r="A458" s="32"/>
      <c r="B458" s="32"/>
      <c r="C458" s="32"/>
      <c r="D458" s="32"/>
      <c r="E458" s="32"/>
    </row>
    <row r="459" spans="1:5" ht="15.75" thickBot="1">
      <c r="A459" s="32"/>
      <c r="B459" s="32"/>
      <c r="C459" s="32"/>
      <c r="D459" s="32"/>
      <c r="E459" s="32"/>
    </row>
    <row r="460" spans="1:5" ht="15.75" thickBot="1">
      <c r="A460" s="32"/>
      <c r="B460" s="32"/>
      <c r="C460" s="32"/>
      <c r="D460" s="32"/>
      <c r="E460" s="32"/>
    </row>
    <row r="461" spans="1:5" ht="15.75" thickBot="1">
      <c r="A461" s="32"/>
      <c r="B461" s="32"/>
      <c r="C461" s="32"/>
      <c r="D461" s="32"/>
      <c r="E461" s="32"/>
    </row>
    <row r="462" spans="1:5" ht="15.75" thickBot="1">
      <c r="A462" s="32"/>
      <c r="B462" s="32"/>
      <c r="C462" s="32"/>
      <c r="D462" s="32"/>
      <c r="E462" s="32"/>
    </row>
    <row r="463" spans="1:5" ht="15.75" thickBot="1">
      <c r="A463" s="32"/>
      <c r="B463" s="32"/>
      <c r="C463" s="32"/>
      <c r="D463" s="32"/>
      <c r="E463" s="32"/>
    </row>
    <row r="464" spans="1:5" ht="15.75" thickBot="1">
      <c r="A464" s="32"/>
      <c r="B464" s="32"/>
      <c r="C464" s="32"/>
      <c r="D464" s="32"/>
      <c r="E464" s="32"/>
    </row>
    <row r="465" spans="1:5" ht="15.75" thickBot="1">
      <c r="A465" s="32"/>
      <c r="B465" s="32"/>
      <c r="C465" s="32"/>
      <c r="D465" s="32"/>
      <c r="E465" s="32"/>
    </row>
    <row r="466" spans="1:5" ht="15.75" thickBot="1">
      <c r="A466" s="32"/>
      <c r="B466" s="32"/>
      <c r="C466" s="32"/>
      <c r="D466" s="32"/>
      <c r="E466" s="32"/>
    </row>
    <row r="467" spans="1:5" ht="15.75" thickBot="1">
      <c r="A467" s="32"/>
      <c r="B467" s="32"/>
      <c r="C467" s="32"/>
      <c r="D467" s="32"/>
      <c r="E467" s="32"/>
    </row>
    <row r="468" spans="1:5" ht="15.75" thickBot="1">
      <c r="A468" s="32"/>
      <c r="B468" s="32"/>
      <c r="C468" s="32"/>
      <c r="D468" s="32"/>
      <c r="E468" s="32"/>
    </row>
    <row r="469" spans="1:5" ht="15.75" thickBot="1">
      <c r="A469" s="32"/>
      <c r="B469" s="32"/>
      <c r="C469" s="32"/>
      <c r="D469" s="32"/>
      <c r="E469" s="32"/>
    </row>
    <row r="470" spans="1:5" ht="15.75" thickBot="1">
      <c r="A470" s="32"/>
      <c r="B470" s="32"/>
      <c r="C470" s="32"/>
      <c r="D470" s="32"/>
      <c r="E470" s="32"/>
    </row>
    <row r="471" spans="1:5" ht="15.75" thickBot="1">
      <c r="A471" s="32"/>
      <c r="B471" s="32"/>
      <c r="C471" s="32"/>
      <c r="D471" s="32"/>
      <c r="E471" s="32"/>
    </row>
    <row r="472" spans="1:5" ht="15.75" thickBot="1">
      <c r="A472" s="32"/>
      <c r="B472" s="32"/>
      <c r="C472" s="32"/>
      <c r="D472" s="32"/>
      <c r="E472" s="32"/>
    </row>
    <row r="473" spans="1:5" ht="15.75" thickBot="1">
      <c r="A473" s="32"/>
      <c r="B473" s="32"/>
      <c r="C473" s="32"/>
      <c r="D473" s="32"/>
      <c r="E473" s="32"/>
    </row>
    <row r="474" spans="1:5" ht="15.75" thickBot="1">
      <c r="A474" s="32"/>
      <c r="B474" s="32"/>
      <c r="C474" s="32"/>
      <c r="D474" s="32"/>
      <c r="E474" s="32"/>
    </row>
    <row r="475" spans="1:5" ht="15.75" thickBot="1">
      <c r="A475" s="32"/>
      <c r="B475" s="32"/>
      <c r="C475" s="32"/>
      <c r="D475" s="32"/>
      <c r="E475" s="32"/>
    </row>
    <row r="476" spans="1:5" ht="15.75" thickBot="1">
      <c r="A476" s="32"/>
      <c r="B476" s="32"/>
      <c r="C476" s="32"/>
      <c r="D476" s="32"/>
      <c r="E476" s="32"/>
    </row>
    <row r="477" spans="1:5" ht="15.75" thickBot="1">
      <c r="A477" s="32"/>
      <c r="B477" s="32"/>
      <c r="C477" s="32"/>
      <c r="D477" s="32"/>
      <c r="E477" s="32"/>
    </row>
    <row r="478" spans="1:5" ht="15.75" thickBot="1">
      <c r="A478" s="32"/>
      <c r="B478" s="32"/>
      <c r="C478" s="32"/>
      <c r="D478" s="32"/>
      <c r="E478" s="32"/>
    </row>
    <row r="479" spans="1:5" ht="15.75" thickBot="1">
      <c r="A479" s="32"/>
      <c r="B479" s="32"/>
      <c r="C479" s="32"/>
      <c r="D479" s="32"/>
      <c r="E479" s="32"/>
    </row>
    <row r="480" spans="1:5" ht="15.75" thickBot="1">
      <c r="A480" s="32"/>
      <c r="B480" s="32"/>
      <c r="C480" s="32"/>
      <c r="D480" s="32"/>
      <c r="E480" s="32"/>
    </row>
    <row r="481" spans="1:5" ht="15.75" thickBot="1">
      <c r="A481" s="32"/>
      <c r="B481" s="32"/>
      <c r="C481" s="32"/>
      <c r="D481" s="32"/>
      <c r="E481" s="32"/>
    </row>
    <row r="482" spans="1:5" ht="15.75" thickBot="1">
      <c r="A482" s="32"/>
      <c r="B482" s="32"/>
      <c r="C482" s="32"/>
      <c r="D482" s="32"/>
      <c r="E482" s="32"/>
    </row>
    <row r="483" spans="1:5" ht="15.75" thickBot="1">
      <c r="A483" s="32"/>
      <c r="B483" s="32"/>
      <c r="C483" s="32"/>
      <c r="D483" s="32"/>
      <c r="E483" s="32"/>
    </row>
    <row r="484" spans="1:5" ht="15.75" thickBot="1">
      <c r="A484" s="32"/>
      <c r="B484" s="32"/>
      <c r="C484" s="32"/>
      <c r="D484" s="32"/>
      <c r="E484" s="32"/>
    </row>
    <row r="485" spans="1:5" ht="15.75" thickBot="1">
      <c r="A485" s="32"/>
      <c r="B485" s="32"/>
      <c r="C485" s="32"/>
      <c r="D485" s="32"/>
      <c r="E485" s="32"/>
    </row>
    <row r="486" spans="1:5" ht="15.75" thickBot="1">
      <c r="A486" s="32"/>
      <c r="B486" s="32"/>
      <c r="C486" s="32"/>
      <c r="D486" s="32"/>
      <c r="E486" s="32"/>
    </row>
    <row r="487" spans="1:5" ht="15.75" thickBot="1">
      <c r="A487" s="32"/>
      <c r="B487" s="32"/>
      <c r="C487" s="32"/>
      <c r="D487" s="32"/>
      <c r="E487" s="32"/>
    </row>
    <row r="488" spans="1:5" ht="15.75" thickBot="1">
      <c r="A488" s="32"/>
      <c r="B488" s="32"/>
      <c r="C488" s="32"/>
      <c r="D488" s="32"/>
      <c r="E488" s="32"/>
    </row>
    <row r="489" spans="1:5" ht="15.75" thickBot="1">
      <c r="A489" s="32"/>
      <c r="B489" s="32"/>
      <c r="C489" s="32"/>
      <c r="D489" s="32"/>
      <c r="E489" s="32"/>
    </row>
    <row r="490" spans="1:5" ht="15.75" thickBot="1">
      <c r="A490" s="32"/>
      <c r="B490" s="32"/>
      <c r="C490" s="32"/>
      <c r="D490" s="32"/>
      <c r="E490" s="32"/>
    </row>
    <row r="491" spans="1:5" ht="15.75" thickBot="1">
      <c r="A491" s="32"/>
      <c r="B491" s="32"/>
      <c r="C491" s="32"/>
      <c r="D491" s="32"/>
      <c r="E491" s="32"/>
    </row>
    <row r="492" spans="1:5" ht="15.75" thickBot="1">
      <c r="A492" s="32"/>
      <c r="B492" s="32"/>
      <c r="C492" s="32"/>
      <c r="D492" s="32"/>
      <c r="E492" s="32"/>
    </row>
    <row r="493" spans="1:5" ht="15.75" thickBot="1">
      <c r="A493" s="32"/>
      <c r="B493" s="32"/>
      <c r="C493" s="32"/>
      <c r="D493" s="32"/>
      <c r="E493" s="32"/>
    </row>
    <row r="494" spans="1:5" ht="15.75" thickBot="1">
      <c r="A494" s="32"/>
      <c r="B494" s="32"/>
      <c r="C494" s="32"/>
      <c r="D494" s="32"/>
      <c r="E494" s="32"/>
    </row>
    <row r="495" spans="1:5" ht="15.75" thickBot="1">
      <c r="A495" s="32"/>
      <c r="B495" s="32"/>
      <c r="C495" s="32"/>
      <c r="D495" s="32"/>
      <c r="E495" s="32"/>
    </row>
    <row r="496" spans="1:5" ht="15.75" thickBot="1">
      <c r="A496" s="32"/>
      <c r="B496" s="32"/>
      <c r="C496" s="32"/>
      <c r="D496" s="32"/>
      <c r="E496" s="32"/>
    </row>
    <row r="497" spans="1:5" ht="15.75" thickBot="1">
      <c r="A497" s="32"/>
      <c r="B497" s="32"/>
      <c r="C497" s="32"/>
      <c r="D497" s="32"/>
      <c r="E497" s="32"/>
    </row>
    <row r="498" spans="1:5" ht="15.75" thickBot="1">
      <c r="A498" s="32"/>
      <c r="B498" s="32"/>
      <c r="C498" s="32"/>
      <c r="D498" s="32"/>
      <c r="E498" s="32"/>
    </row>
    <row r="499" spans="1:5" ht="15.75" thickBot="1">
      <c r="A499" s="32"/>
      <c r="B499" s="32"/>
      <c r="C499" s="32"/>
      <c r="D499" s="32"/>
      <c r="E499" s="32"/>
    </row>
    <row r="500" spans="1:5" ht="15.75" thickBot="1">
      <c r="A500" s="32"/>
      <c r="B500" s="32"/>
      <c r="C500" s="32"/>
      <c r="D500" s="32"/>
      <c r="E500" s="32"/>
    </row>
    <row r="501" spans="1:5" ht="15.75" thickBot="1">
      <c r="A501" s="32"/>
      <c r="B501" s="32"/>
      <c r="C501" s="32"/>
      <c r="D501" s="32"/>
      <c r="E501" s="32"/>
    </row>
    <row r="502" spans="1:5" ht="15.75" thickBot="1">
      <c r="A502" s="32"/>
      <c r="B502" s="32"/>
      <c r="C502" s="32"/>
      <c r="D502" s="32"/>
      <c r="E502" s="32"/>
    </row>
    <row r="503" spans="1:5" ht="15.75" thickBot="1">
      <c r="A503" s="32"/>
      <c r="B503" s="32"/>
      <c r="C503" s="32"/>
      <c r="D503" s="32"/>
      <c r="E503" s="32"/>
    </row>
    <row r="504" spans="1:5" ht="15.75" thickBot="1">
      <c r="A504" s="32"/>
      <c r="B504" s="32"/>
      <c r="C504" s="32"/>
      <c r="D504" s="32"/>
      <c r="E504" s="32"/>
    </row>
    <row r="505" spans="1:5" ht="15.75" thickBot="1">
      <c r="A505" s="32"/>
      <c r="B505" s="32"/>
      <c r="C505" s="32"/>
      <c r="D505" s="32"/>
      <c r="E505" s="32"/>
    </row>
    <row r="506" spans="1:5" ht="15.75" thickBot="1">
      <c r="A506" s="32"/>
      <c r="B506" s="32"/>
      <c r="C506" s="32"/>
      <c r="D506" s="32"/>
      <c r="E506" s="32"/>
    </row>
    <row r="507" spans="1:5" ht="15.75" thickBot="1">
      <c r="A507" s="32"/>
      <c r="B507" s="32"/>
      <c r="C507" s="32"/>
      <c r="D507" s="32"/>
      <c r="E507" s="32"/>
    </row>
    <row r="508" spans="1:5" ht="15.75" thickBot="1">
      <c r="A508" s="32"/>
      <c r="B508" s="32"/>
      <c r="C508" s="32"/>
      <c r="D508" s="32"/>
      <c r="E508" s="32"/>
    </row>
    <row r="509" spans="1:5" ht="15.75" thickBot="1">
      <c r="A509" s="32"/>
      <c r="B509" s="32"/>
      <c r="C509" s="32"/>
      <c r="D509" s="32"/>
      <c r="E509" s="32"/>
    </row>
    <row r="510" spans="1:5" ht="15.75" thickBot="1">
      <c r="A510" s="32"/>
      <c r="B510" s="32"/>
      <c r="C510" s="32"/>
      <c r="D510" s="32"/>
      <c r="E510" s="32"/>
    </row>
    <row r="511" spans="1:5" ht="15.75" thickBot="1">
      <c r="A511" s="32"/>
      <c r="B511" s="32"/>
      <c r="C511" s="32"/>
      <c r="D511" s="32"/>
      <c r="E511" s="32"/>
    </row>
    <row r="512" spans="1:5" ht="15.75" thickBot="1">
      <c r="A512" s="32"/>
      <c r="B512" s="32"/>
      <c r="C512" s="32"/>
      <c r="D512" s="32"/>
      <c r="E512" s="32"/>
    </row>
    <row r="513" spans="1:5" ht="15.75" thickBot="1">
      <c r="A513" s="32"/>
      <c r="B513" s="32"/>
      <c r="C513" s="32"/>
      <c r="D513" s="32"/>
      <c r="E513" s="32"/>
    </row>
    <row r="514" spans="1:5" ht="15.75" thickBot="1">
      <c r="A514" s="32"/>
      <c r="B514" s="32"/>
      <c r="C514" s="32"/>
      <c r="D514" s="32"/>
      <c r="E514" s="32"/>
    </row>
    <row r="515" spans="1:5" ht="15.75" thickBot="1">
      <c r="A515" s="32"/>
      <c r="B515" s="32"/>
      <c r="C515" s="32"/>
      <c r="D515" s="32"/>
      <c r="E515" s="32"/>
    </row>
    <row r="516" spans="1:5" ht="15.75" thickBot="1">
      <c r="A516" s="32"/>
      <c r="B516" s="32"/>
      <c r="C516" s="32"/>
      <c r="D516" s="32"/>
      <c r="E516" s="32"/>
    </row>
    <row r="517" spans="1:5" ht="15.75" thickBot="1">
      <c r="A517" s="32"/>
      <c r="B517" s="32"/>
      <c r="C517" s="32"/>
      <c r="D517" s="32"/>
      <c r="E517" s="32"/>
    </row>
    <row r="518" spans="1:5" ht="15.75" thickBot="1">
      <c r="A518" s="32"/>
      <c r="B518" s="32"/>
      <c r="C518" s="32"/>
      <c r="D518" s="32"/>
      <c r="E518" s="32"/>
    </row>
    <row r="519" spans="1:5" ht="15.75" thickBot="1">
      <c r="A519" s="32"/>
      <c r="B519" s="32"/>
      <c r="C519" s="32"/>
      <c r="D519" s="32"/>
      <c r="E519" s="32"/>
    </row>
    <row r="520" spans="1:5" ht="15.75" thickBot="1">
      <c r="A520" s="32"/>
      <c r="B520" s="32"/>
      <c r="C520" s="32"/>
      <c r="D520" s="32"/>
      <c r="E520" s="32"/>
    </row>
    <row r="521" spans="1:5" ht="15.75" thickBot="1">
      <c r="A521" s="32"/>
      <c r="B521" s="32"/>
      <c r="C521" s="32"/>
      <c r="D521" s="32"/>
      <c r="E521" s="32"/>
    </row>
    <row r="522" spans="1:5" ht="15.75" thickBot="1">
      <c r="A522" s="32"/>
      <c r="B522" s="32"/>
      <c r="C522" s="32"/>
      <c r="D522" s="32"/>
      <c r="E522" s="32"/>
    </row>
    <row r="523" spans="1:5" ht="15.75" thickBot="1">
      <c r="A523" s="32"/>
      <c r="B523" s="32"/>
      <c r="C523" s="32"/>
      <c r="D523" s="32"/>
      <c r="E523" s="32"/>
    </row>
    <row r="524" spans="1:5" ht="15.75" thickBot="1">
      <c r="A524" s="32"/>
      <c r="B524" s="32"/>
      <c r="C524" s="32"/>
      <c r="D524" s="32"/>
      <c r="E524" s="32"/>
    </row>
    <row r="525" spans="1:5" ht="15.75" thickBot="1">
      <c r="A525" s="32"/>
      <c r="B525" s="32"/>
      <c r="C525" s="32"/>
      <c r="D525" s="32"/>
      <c r="E525" s="32"/>
    </row>
    <row r="526" spans="1:5" ht="15.75" thickBot="1">
      <c r="A526" s="32"/>
      <c r="B526" s="32"/>
      <c r="C526" s="32"/>
      <c r="D526" s="32"/>
      <c r="E526" s="32"/>
    </row>
    <row r="527" spans="1:5" ht="15.75" thickBot="1">
      <c r="A527" s="32"/>
      <c r="B527" s="32"/>
      <c r="C527" s="32"/>
      <c r="D527" s="32"/>
      <c r="E527" s="32"/>
    </row>
    <row r="528" spans="1:5" ht="15.75" thickBot="1">
      <c r="A528" s="32"/>
      <c r="B528" s="32"/>
      <c r="C528" s="32"/>
      <c r="D528" s="32"/>
      <c r="E528" s="32"/>
    </row>
    <row r="529" spans="1:5" ht="15.75" thickBot="1">
      <c r="A529" s="32"/>
      <c r="B529" s="32"/>
      <c r="C529" s="32"/>
      <c r="D529" s="32"/>
      <c r="E529" s="32"/>
    </row>
    <row r="530" spans="1:5" ht="15.75" thickBot="1">
      <c r="A530" s="32"/>
      <c r="B530" s="32"/>
      <c r="C530" s="32"/>
      <c r="D530" s="32"/>
      <c r="E530" s="32"/>
    </row>
    <row r="531" spans="1:5" ht="15.75" thickBot="1">
      <c r="A531" s="32"/>
      <c r="B531" s="32"/>
      <c r="C531" s="32"/>
      <c r="D531" s="32"/>
      <c r="E531" s="32"/>
    </row>
    <row r="532" spans="1:5" ht="15.75" thickBot="1">
      <c r="A532" s="32"/>
      <c r="B532" s="32"/>
      <c r="C532" s="32"/>
      <c r="D532" s="32"/>
      <c r="E532" s="32"/>
    </row>
    <row r="533" spans="1:5" ht="15.75" thickBot="1">
      <c r="A533" s="32"/>
      <c r="B533" s="32"/>
      <c r="C533" s="32"/>
      <c r="D533" s="32"/>
      <c r="E533" s="32"/>
    </row>
    <row r="534" spans="1:5" ht="15.75" thickBot="1">
      <c r="A534" s="32"/>
      <c r="B534" s="32"/>
      <c r="C534" s="32"/>
      <c r="D534" s="32"/>
      <c r="E534" s="32"/>
    </row>
    <row r="535" spans="1:5" ht="15.75" thickBot="1">
      <c r="A535" s="32"/>
      <c r="B535" s="32"/>
      <c r="C535" s="32"/>
      <c r="D535" s="32"/>
      <c r="E535" s="32"/>
    </row>
    <row r="536" spans="1:5" ht="15.75" thickBot="1">
      <c r="A536" s="32"/>
      <c r="B536" s="32"/>
      <c r="C536" s="32"/>
      <c r="D536" s="32"/>
      <c r="E536" s="32"/>
    </row>
    <row r="537" spans="1:5" ht="15.75" thickBot="1">
      <c r="A537" s="32"/>
      <c r="B537" s="32"/>
      <c r="C537" s="32"/>
      <c r="D537" s="32"/>
      <c r="E537" s="32"/>
    </row>
    <row r="538" spans="1:5" ht="15.75" thickBot="1">
      <c r="A538" s="32"/>
      <c r="B538" s="32"/>
      <c r="C538" s="32"/>
      <c r="D538" s="32"/>
      <c r="E538" s="32"/>
    </row>
    <row r="539" spans="1:5" ht="15.75" thickBot="1">
      <c r="A539" s="32"/>
      <c r="B539" s="32"/>
      <c r="C539" s="32"/>
      <c r="D539" s="32"/>
      <c r="E539" s="32"/>
    </row>
    <row r="540" spans="1:5" ht="15.75" thickBot="1">
      <c r="A540" s="32"/>
      <c r="B540" s="32"/>
      <c r="C540" s="32"/>
      <c r="D540" s="32"/>
      <c r="E540" s="32"/>
    </row>
    <row r="541" spans="1:5" ht="15.75" thickBot="1">
      <c r="A541" s="32"/>
      <c r="B541" s="32"/>
      <c r="C541" s="32"/>
      <c r="D541" s="32"/>
      <c r="E541" s="32"/>
    </row>
    <row r="542" spans="1:5" ht="15.75" thickBot="1">
      <c r="A542" s="32"/>
      <c r="B542" s="32"/>
      <c r="C542" s="32"/>
      <c r="D542" s="32"/>
      <c r="E542" s="32"/>
    </row>
    <row r="543" spans="1:5" ht="15.75" thickBot="1">
      <c r="A543" s="32"/>
      <c r="B543" s="32"/>
      <c r="C543" s="32"/>
      <c r="D543" s="32"/>
      <c r="E543" s="32"/>
    </row>
    <row r="544" spans="1:5" ht="15.75" thickBot="1">
      <c r="A544" s="32"/>
      <c r="B544" s="32"/>
      <c r="C544" s="32"/>
      <c r="D544" s="32"/>
      <c r="E544" s="32"/>
    </row>
    <row r="545" spans="1:5" ht="15.75" thickBot="1">
      <c r="A545" s="32"/>
      <c r="B545" s="32"/>
      <c r="C545" s="32"/>
      <c r="D545" s="32"/>
      <c r="E545" s="32"/>
    </row>
    <row r="546" spans="1:5" ht="15.75" thickBot="1">
      <c r="A546" s="32"/>
      <c r="B546" s="32"/>
      <c r="C546" s="32"/>
      <c r="D546" s="32"/>
      <c r="E546" s="32"/>
    </row>
    <row r="547" spans="1:5" ht="15.75" thickBot="1">
      <c r="A547" s="32"/>
      <c r="B547" s="32"/>
      <c r="C547" s="32"/>
      <c r="D547" s="32"/>
      <c r="E547" s="32"/>
    </row>
    <row r="548" spans="1:5" ht="15.75" thickBot="1">
      <c r="A548" s="32"/>
      <c r="B548" s="32"/>
      <c r="C548" s="32"/>
      <c r="D548" s="32"/>
      <c r="E548" s="32"/>
    </row>
    <row r="549" spans="1:5" ht="15.75" thickBot="1">
      <c r="A549" s="32"/>
      <c r="B549" s="32"/>
      <c r="C549" s="32"/>
      <c r="D549" s="32"/>
      <c r="E549" s="32"/>
    </row>
    <row r="550" spans="1:5" ht="15.75" thickBot="1">
      <c r="A550" s="32"/>
      <c r="B550" s="32"/>
      <c r="C550" s="32"/>
      <c r="D550" s="32"/>
      <c r="E550" s="32"/>
    </row>
    <row r="551" spans="1:5" ht="15.75" thickBot="1">
      <c r="A551" s="32"/>
      <c r="B551" s="32"/>
      <c r="C551" s="32"/>
      <c r="D551" s="32"/>
      <c r="E551" s="32"/>
    </row>
    <row r="552" spans="1:5" ht="15.75" thickBot="1">
      <c r="A552" s="32"/>
      <c r="B552" s="32"/>
      <c r="C552" s="32"/>
      <c r="D552" s="32"/>
      <c r="E552" s="32"/>
    </row>
    <row r="553" spans="1:5" ht="15.75" thickBot="1">
      <c r="A553" s="32"/>
      <c r="B553" s="32"/>
      <c r="C553" s="32"/>
      <c r="D553" s="32"/>
      <c r="E553" s="32"/>
    </row>
    <row r="554" spans="1:5" ht="15.75" thickBot="1">
      <c r="A554" s="32"/>
      <c r="B554" s="32"/>
      <c r="C554" s="32"/>
      <c r="D554" s="32"/>
      <c r="E554" s="32"/>
    </row>
    <row r="555" spans="1:5" ht="15.75" thickBot="1">
      <c r="A555" s="32"/>
      <c r="B555" s="32"/>
      <c r="C555" s="32"/>
      <c r="D555" s="32"/>
      <c r="E555" s="32"/>
    </row>
    <row r="556" spans="1:5" ht="15.75" thickBot="1">
      <c r="A556" s="32"/>
      <c r="B556" s="32"/>
      <c r="C556" s="32"/>
      <c r="D556" s="32"/>
      <c r="E556" s="32"/>
    </row>
    <row r="557" spans="1:5" ht="15.75" thickBot="1">
      <c r="A557" s="32"/>
      <c r="B557" s="32"/>
      <c r="C557" s="32"/>
      <c r="D557" s="32"/>
      <c r="E557" s="32"/>
    </row>
    <row r="558" spans="1:5" ht="15.75" thickBot="1">
      <c r="A558" s="32"/>
      <c r="B558" s="32"/>
      <c r="C558" s="32"/>
      <c r="D558" s="32"/>
      <c r="E558" s="32"/>
    </row>
    <row r="559" spans="1:5" ht="15.75" thickBot="1">
      <c r="A559" s="32"/>
      <c r="B559" s="32"/>
      <c r="C559" s="32"/>
      <c r="D559" s="32"/>
      <c r="E559" s="32"/>
    </row>
    <row r="560" spans="1:5" ht="15.75" thickBot="1">
      <c r="A560" s="32"/>
      <c r="B560" s="32"/>
      <c r="C560" s="32"/>
      <c r="D560" s="32"/>
      <c r="E560" s="32"/>
    </row>
    <row r="561" spans="1:5" ht="15.75" thickBot="1">
      <c r="A561" s="32"/>
      <c r="B561" s="32"/>
      <c r="C561" s="32"/>
      <c r="D561" s="32"/>
      <c r="E561" s="32"/>
    </row>
    <row r="562" spans="1:5" ht="15.75" thickBot="1">
      <c r="A562" s="32"/>
      <c r="B562" s="32"/>
      <c r="C562" s="32"/>
      <c r="D562" s="32"/>
      <c r="E562" s="32"/>
    </row>
    <row r="563" spans="1:5" ht="15.75" thickBot="1">
      <c r="A563" s="32"/>
      <c r="B563" s="32"/>
      <c r="C563" s="32"/>
      <c r="D563" s="32"/>
      <c r="E563" s="32"/>
    </row>
    <row r="564" spans="1:5" ht="15.75" thickBot="1">
      <c r="A564" s="32"/>
      <c r="B564" s="32"/>
      <c r="C564" s="32"/>
      <c r="D564" s="32"/>
      <c r="E564" s="32"/>
    </row>
    <row r="565" spans="1:5" ht="15.75" thickBot="1">
      <c r="A565" s="32"/>
      <c r="B565" s="32"/>
      <c r="C565" s="32"/>
      <c r="D565" s="32"/>
      <c r="E565" s="32"/>
    </row>
    <row r="566" spans="1:5" ht="15.75" thickBot="1">
      <c r="A566" s="32"/>
      <c r="B566" s="32"/>
      <c r="C566" s="32"/>
      <c r="D566" s="32"/>
      <c r="E566" s="32"/>
    </row>
    <row r="567" spans="1:5" ht="15.75" thickBot="1">
      <c r="A567" s="32"/>
      <c r="B567" s="32"/>
      <c r="C567" s="32"/>
      <c r="D567" s="32"/>
      <c r="E567" s="32"/>
    </row>
    <row r="568" spans="1:5" ht="15.75" thickBot="1">
      <c r="A568" s="32"/>
      <c r="B568" s="32"/>
      <c r="C568" s="32"/>
      <c r="D568" s="32"/>
      <c r="E568" s="32"/>
    </row>
    <row r="569" spans="1:5" ht="15.75" thickBot="1">
      <c r="A569" s="32"/>
      <c r="B569" s="32"/>
      <c r="C569" s="32"/>
      <c r="D569" s="32"/>
      <c r="E569" s="32"/>
    </row>
    <row r="570" spans="1:5" ht="15.75" thickBot="1">
      <c r="A570" s="32"/>
      <c r="B570" s="32"/>
      <c r="C570" s="32"/>
      <c r="D570" s="32"/>
      <c r="E570" s="32"/>
    </row>
    <row r="571" spans="1:5" ht="15.75" thickBot="1">
      <c r="A571" s="32"/>
      <c r="B571" s="32"/>
      <c r="C571" s="32"/>
      <c r="D571" s="32"/>
      <c r="E571" s="32"/>
    </row>
    <row r="572" spans="1:5" ht="15.75" thickBot="1">
      <c r="A572" s="32"/>
      <c r="B572" s="32"/>
      <c r="C572" s="32"/>
      <c r="D572" s="32"/>
      <c r="E572" s="32"/>
    </row>
    <row r="573" spans="1:5" ht="15.75" thickBot="1">
      <c r="A573" s="32"/>
      <c r="B573" s="32"/>
      <c r="C573" s="32"/>
      <c r="D573" s="32"/>
      <c r="E573" s="32"/>
    </row>
    <row r="574" spans="1:5" ht="15.75" thickBot="1">
      <c r="A574" s="32"/>
      <c r="B574" s="32"/>
      <c r="C574" s="32"/>
      <c r="D574" s="32"/>
      <c r="E574" s="32"/>
    </row>
    <row r="575" spans="1:5" ht="15.75" thickBot="1">
      <c r="A575" s="32"/>
      <c r="B575" s="32"/>
      <c r="C575" s="32"/>
      <c r="D575" s="32"/>
      <c r="E575" s="32"/>
    </row>
    <row r="576" spans="1:5" ht="15.75" thickBot="1">
      <c r="A576" s="32"/>
      <c r="B576" s="32"/>
      <c r="C576" s="32"/>
      <c r="D576" s="32"/>
      <c r="E576" s="32"/>
    </row>
    <row r="577" spans="1:5" ht="15.75" thickBot="1">
      <c r="A577" s="32"/>
      <c r="B577" s="32"/>
      <c r="C577" s="32"/>
      <c r="D577" s="32"/>
      <c r="E577" s="32"/>
    </row>
    <row r="578" spans="1:5" ht="15.75" thickBot="1">
      <c r="A578" s="32"/>
      <c r="B578" s="32"/>
      <c r="C578" s="32"/>
      <c r="D578" s="32"/>
      <c r="E578" s="32"/>
    </row>
    <row r="579" spans="1:5" ht="15.75" thickBot="1">
      <c r="A579" s="32"/>
      <c r="B579" s="32"/>
      <c r="C579" s="32"/>
      <c r="D579" s="32"/>
      <c r="E579" s="32"/>
    </row>
    <row r="580" spans="1:5" ht="15.75" thickBot="1">
      <c r="A580" s="32"/>
      <c r="B580" s="32"/>
      <c r="C580" s="32"/>
      <c r="D580" s="32"/>
      <c r="E580" s="32"/>
    </row>
    <row r="581" spans="1:5" ht="15.75" thickBot="1">
      <c r="A581" s="32"/>
      <c r="B581" s="32"/>
      <c r="C581" s="32"/>
      <c r="D581" s="32"/>
      <c r="E581" s="32"/>
    </row>
    <row r="582" spans="1:5" ht="15.75" thickBot="1">
      <c r="A582" s="32"/>
      <c r="B582" s="32"/>
      <c r="C582" s="32"/>
      <c r="D582" s="32"/>
      <c r="E582" s="32"/>
    </row>
    <row r="583" spans="1:5" ht="15.75" thickBot="1">
      <c r="A583" s="32"/>
      <c r="B583" s="32"/>
      <c r="C583" s="32"/>
      <c r="D583" s="32"/>
      <c r="E583" s="32"/>
    </row>
    <row r="584" spans="1:5" ht="15.75" thickBot="1">
      <c r="A584" s="32"/>
      <c r="B584" s="32"/>
      <c r="C584" s="32"/>
      <c r="D584" s="32"/>
      <c r="E584" s="32"/>
    </row>
    <row r="585" spans="1:5" ht="15.75" thickBot="1">
      <c r="A585" s="32"/>
      <c r="B585" s="32"/>
      <c r="C585" s="32"/>
      <c r="D585" s="32"/>
      <c r="E585" s="32"/>
    </row>
    <row r="586" spans="1:5" ht="15.75" thickBot="1">
      <c r="A586" s="32"/>
      <c r="B586" s="32"/>
      <c r="C586" s="32"/>
      <c r="D586" s="32"/>
      <c r="E586" s="32"/>
    </row>
    <row r="587" spans="1:5" ht="15.75" thickBot="1">
      <c r="A587" s="32"/>
      <c r="B587" s="32"/>
      <c r="C587" s="32"/>
      <c r="D587" s="32"/>
      <c r="E587" s="32"/>
    </row>
    <row r="588" spans="1:5" ht="15.75" thickBot="1">
      <c r="A588" s="32"/>
      <c r="B588" s="32"/>
      <c r="C588" s="32"/>
      <c r="D588" s="32"/>
      <c r="E588" s="32"/>
    </row>
    <row r="589" spans="1:5" ht="15.75" thickBot="1">
      <c r="A589" s="32"/>
      <c r="B589" s="32"/>
      <c r="C589" s="32"/>
      <c r="D589" s="32"/>
      <c r="E589" s="32"/>
    </row>
    <row r="590" spans="1:5" ht="15.75" thickBot="1">
      <c r="A590" s="32"/>
      <c r="B590" s="32"/>
      <c r="C590" s="32"/>
      <c r="D590" s="32"/>
      <c r="E590" s="32"/>
    </row>
    <row r="591" spans="1:5" ht="15.75" thickBot="1">
      <c r="A591" s="32"/>
      <c r="B591" s="32"/>
      <c r="C591" s="32"/>
      <c r="D591" s="32"/>
      <c r="E591" s="32"/>
    </row>
    <row r="592" spans="1:5" ht="15.75" thickBot="1">
      <c r="A592" s="32"/>
      <c r="B592" s="32"/>
      <c r="C592" s="32"/>
      <c r="D592" s="32"/>
      <c r="E592" s="32"/>
    </row>
    <row r="593" spans="1:5" ht="15.75" thickBot="1">
      <c r="A593" s="32"/>
      <c r="B593" s="32"/>
      <c r="C593" s="32"/>
      <c r="D593" s="32"/>
      <c r="E593" s="32"/>
    </row>
    <row r="594" spans="1:5" ht="15.75" thickBot="1">
      <c r="A594" s="32"/>
      <c r="B594" s="32"/>
      <c r="C594" s="32"/>
      <c r="D594" s="32"/>
      <c r="E594" s="32"/>
    </row>
    <row r="595" spans="1:5" ht="15.75" thickBot="1">
      <c r="A595" s="32"/>
      <c r="B595" s="32"/>
      <c r="C595" s="32"/>
      <c r="D595" s="32"/>
      <c r="E595" s="32"/>
    </row>
    <row r="596" spans="1:5" ht="15.75" thickBot="1">
      <c r="A596" s="32"/>
      <c r="B596" s="32"/>
      <c r="C596" s="32"/>
      <c r="D596" s="32"/>
      <c r="E596" s="32"/>
    </row>
    <row r="597" spans="1:5" ht="15.75" thickBot="1">
      <c r="A597" s="32"/>
      <c r="B597" s="32"/>
      <c r="C597" s="32"/>
      <c r="D597" s="32"/>
      <c r="E597" s="32"/>
    </row>
    <row r="598" spans="1:5" ht="15.75" thickBot="1">
      <c r="A598" s="32"/>
      <c r="B598" s="32"/>
      <c r="C598" s="32"/>
      <c r="D598" s="32"/>
      <c r="E598" s="32"/>
    </row>
    <row r="599" spans="1:5" ht="15.75" thickBot="1">
      <c r="A599" s="32"/>
      <c r="B599" s="32"/>
      <c r="C599" s="32"/>
      <c r="D599" s="32"/>
      <c r="E599" s="32"/>
    </row>
    <row r="600" spans="1:5" ht="15.75" thickBot="1">
      <c r="A600" s="32"/>
      <c r="B600" s="32"/>
      <c r="C600" s="32"/>
      <c r="D600" s="32"/>
      <c r="E600" s="32"/>
    </row>
    <row r="601" spans="1:5" ht="15.75" thickBot="1">
      <c r="A601" s="32"/>
      <c r="B601" s="32"/>
      <c r="C601" s="32"/>
      <c r="D601" s="32"/>
      <c r="E601" s="32"/>
    </row>
    <row r="602" spans="1:5" ht="15.75" thickBot="1">
      <c r="A602" s="32"/>
      <c r="B602" s="32"/>
      <c r="C602" s="32"/>
      <c r="D602" s="32"/>
      <c r="E602" s="32"/>
    </row>
    <row r="603" spans="1:5" ht="15.75" thickBot="1">
      <c r="A603" s="32"/>
      <c r="B603" s="32"/>
      <c r="C603" s="32"/>
      <c r="D603" s="32"/>
      <c r="E603" s="32"/>
    </row>
    <row r="604" spans="1:5" ht="15.75" thickBot="1">
      <c r="A604" s="32"/>
      <c r="B604" s="32"/>
      <c r="C604" s="32"/>
      <c r="D604" s="32"/>
      <c r="E604" s="32"/>
    </row>
    <row r="605" spans="1:5" ht="15.75" thickBot="1">
      <c r="A605" s="32"/>
      <c r="B605" s="32"/>
      <c r="C605" s="32"/>
      <c r="D605" s="32"/>
      <c r="E605" s="32"/>
    </row>
    <row r="606" spans="1:5" ht="15.75" thickBot="1">
      <c r="A606" s="32"/>
      <c r="B606" s="32"/>
      <c r="C606" s="32"/>
      <c r="D606" s="32"/>
      <c r="E606" s="32"/>
    </row>
    <row r="607" spans="1:5" ht="15.75" thickBot="1">
      <c r="A607" s="32"/>
      <c r="B607" s="32"/>
      <c r="C607" s="32"/>
      <c r="D607" s="32"/>
      <c r="E607" s="32"/>
    </row>
    <row r="608" spans="1:5" ht="15.75" thickBot="1">
      <c r="A608" s="32"/>
      <c r="B608" s="32"/>
      <c r="C608" s="32"/>
      <c r="D608" s="32"/>
      <c r="E608" s="32"/>
    </row>
    <row r="609" spans="1:5" ht="15.75" thickBot="1">
      <c r="A609" s="32"/>
      <c r="B609" s="32"/>
      <c r="C609" s="32"/>
      <c r="D609" s="32"/>
      <c r="E609" s="32"/>
    </row>
    <row r="610" spans="1:5" ht="15.75" thickBot="1">
      <c r="A610" s="32"/>
      <c r="B610" s="32"/>
      <c r="C610" s="32"/>
      <c r="D610" s="32"/>
      <c r="E610" s="32"/>
    </row>
    <row r="611" spans="1:5" ht="15.75" thickBot="1">
      <c r="A611" s="32"/>
      <c r="B611" s="32"/>
      <c r="C611" s="32"/>
      <c r="D611" s="32"/>
      <c r="E611" s="32"/>
    </row>
    <row r="612" spans="1:5" ht="15.75" thickBot="1">
      <c r="A612" s="32"/>
      <c r="B612" s="32"/>
      <c r="C612" s="32"/>
      <c r="D612" s="32"/>
      <c r="E612" s="32"/>
    </row>
    <row r="613" spans="1:5" ht="15.75" thickBot="1">
      <c r="A613" s="32"/>
      <c r="B613" s="32"/>
      <c r="C613" s="32"/>
      <c r="D613" s="32"/>
      <c r="E613" s="32"/>
    </row>
    <row r="614" spans="1:5" ht="15.75" thickBot="1">
      <c r="A614" s="32"/>
      <c r="B614" s="32"/>
      <c r="C614" s="32"/>
      <c r="D614" s="32"/>
      <c r="E614" s="32"/>
    </row>
    <row r="615" spans="1:5" ht="15.75" thickBot="1">
      <c r="A615" s="32"/>
      <c r="B615" s="32"/>
      <c r="C615" s="32"/>
      <c r="D615" s="32"/>
      <c r="E615" s="32"/>
    </row>
    <row r="616" spans="1:5" ht="15.75" thickBot="1">
      <c r="A616" s="32"/>
      <c r="B616" s="32"/>
      <c r="C616" s="32"/>
      <c r="D616" s="32"/>
      <c r="E616" s="32"/>
    </row>
    <row r="617" spans="1:5" ht="15.75" thickBot="1">
      <c r="A617" s="32"/>
      <c r="B617" s="32"/>
      <c r="C617" s="32"/>
      <c r="D617" s="32"/>
      <c r="E617" s="32"/>
    </row>
    <row r="618" spans="1:5" ht="15.75" thickBot="1">
      <c r="A618" s="32"/>
      <c r="B618" s="32"/>
      <c r="C618" s="32"/>
      <c r="D618" s="32"/>
      <c r="E618" s="32"/>
    </row>
    <row r="619" spans="1:5" ht="15.75" thickBot="1">
      <c r="A619" s="32"/>
      <c r="B619" s="32"/>
      <c r="C619" s="32"/>
      <c r="D619" s="32"/>
      <c r="E619" s="32"/>
    </row>
    <row r="620" spans="1:5" ht="15.75" thickBot="1">
      <c r="A620" s="32"/>
      <c r="B620" s="32"/>
      <c r="C620" s="32"/>
      <c r="D620" s="32"/>
      <c r="E620" s="32"/>
    </row>
    <row r="621" spans="1:5" ht="15.75" thickBot="1">
      <c r="A621" s="32"/>
      <c r="B621" s="32"/>
      <c r="C621" s="32"/>
      <c r="D621" s="32"/>
      <c r="E621" s="32"/>
    </row>
    <row r="622" spans="1:5" ht="15.75" thickBot="1">
      <c r="A622" s="32"/>
      <c r="B622" s="32"/>
      <c r="C622" s="32"/>
      <c r="D622" s="32"/>
      <c r="E622" s="32"/>
    </row>
    <row r="623" spans="1:5" ht="15.75" thickBot="1">
      <c r="A623" s="32"/>
      <c r="B623" s="32"/>
      <c r="C623" s="32"/>
      <c r="D623" s="32"/>
      <c r="E623" s="32"/>
    </row>
    <row r="624" spans="1:5" ht="15.75" thickBot="1">
      <c r="A624" s="32"/>
      <c r="B624" s="32"/>
      <c r="C624" s="32"/>
      <c r="D624" s="32"/>
      <c r="E624" s="32"/>
    </row>
    <row r="625" spans="1:5" ht="15.75" thickBot="1">
      <c r="A625" s="32"/>
      <c r="B625" s="32"/>
      <c r="C625" s="32"/>
      <c r="D625" s="32"/>
      <c r="E625" s="32"/>
    </row>
    <row r="626" spans="1:5" ht="15.75" thickBot="1">
      <c r="A626" s="32"/>
      <c r="B626" s="32"/>
      <c r="C626" s="32"/>
      <c r="D626" s="32"/>
      <c r="E626" s="32"/>
    </row>
    <row r="627" spans="1:5" ht="15.75" thickBot="1">
      <c r="A627" s="32"/>
      <c r="B627" s="32"/>
      <c r="C627" s="32"/>
      <c r="D627" s="32"/>
      <c r="E627" s="32"/>
    </row>
    <row r="628" spans="1:5" ht="15.75" thickBot="1">
      <c r="A628" s="32"/>
      <c r="B628" s="32"/>
      <c r="C628" s="32"/>
      <c r="D628" s="32"/>
      <c r="E628" s="32"/>
    </row>
    <row r="629" spans="1:5" ht="15.75" thickBot="1">
      <c r="A629" s="32"/>
      <c r="B629" s="32"/>
      <c r="C629" s="32"/>
      <c r="D629" s="32"/>
      <c r="E629" s="32"/>
    </row>
    <row r="630" spans="1:5" ht="15.75" thickBot="1">
      <c r="A630" s="32"/>
      <c r="B630" s="32"/>
      <c r="C630" s="32"/>
      <c r="D630" s="32"/>
      <c r="E630" s="32"/>
    </row>
    <row r="631" spans="1:5" ht="15.75" thickBot="1">
      <c r="A631" s="32"/>
      <c r="B631" s="32"/>
      <c r="C631" s="32"/>
      <c r="D631" s="32"/>
      <c r="E631" s="32"/>
    </row>
    <row r="632" spans="1:5" ht="15.75" thickBot="1">
      <c r="A632" s="32"/>
      <c r="B632" s="32"/>
      <c r="C632" s="32"/>
      <c r="D632" s="32"/>
      <c r="E632" s="32"/>
    </row>
    <row r="633" spans="1:5" ht="15.75" thickBot="1">
      <c r="A633" s="32"/>
      <c r="B633" s="32"/>
      <c r="C633" s="32"/>
      <c r="D633" s="32"/>
      <c r="E633" s="32"/>
    </row>
    <row r="634" spans="1:5" ht="15.75" thickBot="1">
      <c r="A634" s="32"/>
      <c r="B634" s="32"/>
      <c r="C634" s="32"/>
      <c r="D634" s="32"/>
      <c r="E634" s="32"/>
    </row>
    <row r="635" spans="1:5" ht="15.75" thickBot="1">
      <c r="A635" s="32"/>
      <c r="B635" s="32"/>
      <c r="C635" s="32"/>
      <c r="D635" s="32"/>
      <c r="E635" s="32"/>
    </row>
    <row r="636" spans="1:5" ht="15.75" thickBot="1">
      <c r="A636" s="32"/>
      <c r="B636" s="32"/>
      <c r="C636" s="32"/>
      <c r="D636" s="32"/>
      <c r="E636" s="32"/>
    </row>
    <row r="637" spans="1:5" ht="15.75" thickBot="1">
      <c r="A637" s="32"/>
      <c r="B637" s="32"/>
      <c r="C637" s="32"/>
      <c r="D637" s="32"/>
      <c r="E637" s="32"/>
    </row>
    <row r="638" spans="1:5" ht="15.75" thickBot="1">
      <c r="A638" s="32"/>
      <c r="B638" s="32"/>
      <c r="C638" s="32"/>
      <c r="D638" s="32"/>
      <c r="E638" s="32"/>
    </row>
    <row r="639" spans="1:5" ht="15.75" thickBot="1">
      <c r="A639" s="32"/>
      <c r="B639" s="32"/>
      <c r="C639" s="32"/>
      <c r="D639" s="32"/>
      <c r="E639" s="32"/>
    </row>
    <row r="640" spans="1:5" ht="15.75" thickBot="1">
      <c r="A640" s="32"/>
      <c r="B640" s="32"/>
      <c r="C640" s="32"/>
      <c r="D640" s="32"/>
      <c r="E640" s="32"/>
    </row>
    <row r="641" spans="1:5" ht="15.75" thickBot="1">
      <c r="A641" s="32"/>
      <c r="B641" s="32"/>
      <c r="C641" s="32"/>
      <c r="D641" s="32"/>
      <c r="E641" s="32"/>
    </row>
    <row r="642" spans="1:5" ht="15.75" thickBot="1">
      <c r="A642" s="32"/>
      <c r="B642" s="32"/>
      <c r="C642" s="32"/>
      <c r="D642" s="32"/>
      <c r="E642" s="32"/>
    </row>
    <row r="643" spans="1:5" ht="15.75" thickBot="1">
      <c r="A643" s="32"/>
      <c r="B643" s="32"/>
      <c r="C643" s="32"/>
      <c r="D643" s="32"/>
      <c r="E643" s="32"/>
    </row>
    <row r="644" spans="1:5" ht="15.75" thickBot="1">
      <c r="A644" s="32"/>
      <c r="B644" s="32"/>
      <c r="C644" s="32"/>
      <c r="D644" s="32"/>
      <c r="E644" s="32"/>
    </row>
    <row r="645" spans="1:5" ht="15.75" thickBot="1">
      <c r="A645" s="32"/>
      <c r="B645" s="32"/>
      <c r="C645" s="32"/>
      <c r="D645" s="32"/>
      <c r="E645" s="32"/>
    </row>
    <row r="646" spans="1:5" ht="15.75" thickBot="1">
      <c r="A646" s="32"/>
      <c r="B646" s="32"/>
      <c r="C646" s="32"/>
      <c r="D646" s="32"/>
      <c r="E646" s="32"/>
    </row>
    <row r="647" spans="1:5" ht="15.75" thickBot="1">
      <c r="A647" s="32"/>
      <c r="B647" s="32"/>
      <c r="C647" s="32"/>
      <c r="D647" s="32"/>
      <c r="E647" s="32"/>
    </row>
    <row r="648" spans="1:5" ht="15.75" thickBot="1">
      <c r="A648" s="32"/>
      <c r="B648" s="32"/>
      <c r="C648" s="32"/>
      <c r="D648" s="32"/>
      <c r="E648" s="32"/>
    </row>
    <row r="649" spans="1:5" ht="15.75" thickBot="1">
      <c r="A649" s="32"/>
      <c r="B649" s="32"/>
      <c r="C649" s="32"/>
      <c r="D649" s="32"/>
      <c r="E649" s="32"/>
    </row>
    <row r="650" spans="1:5" ht="15.75" thickBot="1">
      <c r="A650" s="32"/>
      <c r="B650" s="32"/>
      <c r="C650" s="32"/>
      <c r="D650" s="32"/>
      <c r="E650" s="32"/>
    </row>
    <row r="651" spans="1:5" ht="15.75" thickBot="1">
      <c r="A651" s="32"/>
      <c r="B651" s="32"/>
      <c r="C651" s="32"/>
      <c r="D651" s="32"/>
      <c r="E651" s="32"/>
    </row>
    <row r="652" spans="1:5" ht="15.75" thickBot="1">
      <c r="A652" s="32"/>
      <c r="B652" s="32"/>
      <c r="C652" s="32"/>
      <c r="D652" s="32"/>
      <c r="E652" s="32"/>
    </row>
    <row r="653" spans="1:5" ht="15.75" thickBot="1">
      <c r="A653" s="32"/>
      <c r="B653" s="32"/>
      <c r="C653" s="32"/>
      <c r="D653" s="32"/>
      <c r="E653" s="32"/>
    </row>
    <row r="654" spans="1:5" ht="15.75" thickBot="1">
      <c r="A654" s="32"/>
      <c r="B654" s="32"/>
      <c r="C654" s="32"/>
      <c r="D654" s="32"/>
      <c r="E654" s="32"/>
    </row>
    <row r="655" spans="1:5" ht="15.75" thickBot="1">
      <c r="A655" s="32"/>
      <c r="B655" s="32"/>
      <c r="C655" s="32"/>
      <c r="D655" s="32"/>
      <c r="E655" s="32"/>
    </row>
    <row r="656" spans="1:5" ht="15.75" thickBot="1">
      <c r="A656" s="32"/>
      <c r="B656" s="32"/>
      <c r="C656" s="32"/>
      <c r="D656" s="32"/>
      <c r="E656" s="32"/>
    </row>
    <row r="657" spans="1:5" ht="15.75" thickBot="1">
      <c r="A657" s="32"/>
      <c r="B657" s="32"/>
      <c r="C657" s="32"/>
      <c r="D657" s="32"/>
      <c r="E657" s="32"/>
    </row>
    <row r="658" spans="1:5" ht="15.75" thickBot="1">
      <c r="A658" s="32"/>
      <c r="B658" s="32"/>
      <c r="C658" s="32"/>
      <c r="D658" s="32"/>
      <c r="E658" s="32"/>
    </row>
    <row r="659" spans="1:5" ht="15.75" thickBot="1">
      <c r="A659" s="32"/>
      <c r="B659" s="32"/>
      <c r="C659" s="32"/>
      <c r="D659" s="32"/>
      <c r="E659" s="32"/>
    </row>
    <row r="660" spans="1:5" ht="15.75" thickBot="1">
      <c r="A660" s="32"/>
      <c r="B660" s="32"/>
      <c r="C660" s="32"/>
      <c r="D660" s="32"/>
      <c r="E660" s="32"/>
    </row>
    <row r="661" spans="1:5" ht="15.75" thickBot="1">
      <c r="A661" s="32"/>
      <c r="B661" s="32"/>
      <c r="C661" s="32"/>
      <c r="D661" s="32"/>
      <c r="E661" s="32"/>
    </row>
    <row r="662" spans="1:5" ht="15.75" thickBot="1">
      <c r="A662" s="32"/>
      <c r="B662" s="32"/>
      <c r="C662" s="32"/>
      <c r="D662" s="32"/>
      <c r="E662" s="32"/>
    </row>
    <row r="663" spans="1:5" ht="15.75" thickBot="1">
      <c r="A663" s="32"/>
      <c r="B663" s="32"/>
      <c r="C663" s="32"/>
      <c r="D663" s="32"/>
      <c r="E663" s="32"/>
    </row>
    <row r="664" spans="1:5" ht="15.75" thickBot="1">
      <c r="A664" s="32"/>
      <c r="B664" s="32"/>
      <c r="C664" s="32"/>
      <c r="D664" s="32"/>
      <c r="E664" s="32"/>
    </row>
    <row r="665" spans="1:5" ht="15.75" thickBot="1">
      <c r="A665" s="32"/>
      <c r="B665" s="32"/>
      <c r="C665" s="32"/>
      <c r="D665" s="32"/>
      <c r="E665" s="32"/>
    </row>
    <row r="666" spans="1:5" ht="15.75" thickBot="1">
      <c r="A666" s="32"/>
      <c r="B666" s="32"/>
      <c r="C666" s="32"/>
      <c r="D666" s="32"/>
      <c r="E666" s="32"/>
    </row>
    <row r="667" spans="1:5" ht="15.75" thickBot="1">
      <c r="A667" s="32"/>
      <c r="B667" s="32"/>
      <c r="C667" s="32"/>
      <c r="D667" s="32"/>
      <c r="E667" s="32"/>
    </row>
    <row r="668" spans="1:5" ht="15.75" thickBot="1">
      <c r="A668" s="32"/>
      <c r="B668" s="32"/>
      <c r="C668" s="32"/>
      <c r="D668" s="32"/>
      <c r="E668" s="32"/>
    </row>
    <row r="669" spans="1:5" ht="15.75" thickBot="1">
      <c r="A669" s="32"/>
      <c r="B669" s="32"/>
      <c r="C669" s="32"/>
      <c r="D669" s="32"/>
      <c r="E669" s="32"/>
    </row>
    <row r="670" spans="1:5" ht="15.75" thickBot="1">
      <c r="A670" s="32"/>
      <c r="B670" s="32"/>
      <c r="C670" s="32"/>
      <c r="D670" s="32"/>
      <c r="E670" s="32"/>
    </row>
    <row r="671" spans="1:5" ht="15.75" thickBot="1">
      <c r="A671" s="32"/>
      <c r="B671" s="32"/>
      <c r="C671" s="32"/>
      <c r="D671" s="32"/>
      <c r="E671" s="32"/>
    </row>
    <row r="672" spans="1:5" ht="15.75" thickBot="1">
      <c r="A672" s="32"/>
      <c r="B672" s="32"/>
      <c r="C672" s="32"/>
      <c r="D672" s="32"/>
      <c r="E672" s="32"/>
    </row>
    <row r="673" spans="1:5" ht="15.75" thickBot="1">
      <c r="A673" s="32"/>
      <c r="B673" s="32"/>
      <c r="C673" s="32"/>
      <c r="D673" s="32"/>
      <c r="E673" s="32"/>
    </row>
    <row r="674" spans="1:5" ht="15.75" thickBot="1">
      <c r="A674" s="32"/>
      <c r="B674" s="32"/>
      <c r="C674" s="32"/>
      <c r="D674" s="32"/>
      <c r="E674" s="32"/>
    </row>
    <row r="675" spans="1:5" ht="15.75" thickBot="1">
      <c r="A675" s="32"/>
      <c r="B675" s="32"/>
      <c r="C675" s="32"/>
      <c r="D675" s="32"/>
      <c r="E675" s="32"/>
    </row>
    <row r="676" spans="1:5" ht="15.75" thickBot="1">
      <c r="A676" s="32"/>
      <c r="B676" s="32"/>
      <c r="C676" s="32"/>
      <c r="D676" s="32"/>
      <c r="E676" s="32"/>
    </row>
    <row r="677" spans="1:5" ht="15.75" thickBot="1">
      <c r="A677" s="32"/>
      <c r="B677" s="32"/>
      <c r="C677" s="32"/>
      <c r="D677" s="32"/>
      <c r="E677" s="32"/>
    </row>
    <row r="678" spans="1:5" ht="15.75" thickBot="1">
      <c r="A678" s="32"/>
      <c r="B678" s="32"/>
      <c r="C678" s="32"/>
      <c r="D678" s="32"/>
      <c r="E678" s="32"/>
    </row>
    <row r="679" spans="1:5" ht="15.75" thickBot="1">
      <c r="A679" s="32"/>
      <c r="B679" s="32"/>
      <c r="C679" s="32"/>
      <c r="D679" s="32"/>
      <c r="E679" s="32"/>
    </row>
    <row r="680" spans="1:5" ht="15.75" thickBot="1">
      <c r="A680" s="32"/>
      <c r="B680" s="32"/>
      <c r="C680" s="32"/>
      <c r="D680" s="32"/>
      <c r="E680" s="32"/>
    </row>
    <row r="681" spans="1:5" ht="15.75" thickBot="1">
      <c r="A681" s="32"/>
      <c r="B681" s="32"/>
      <c r="C681" s="32"/>
      <c r="D681" s="32"/>
      <c r="E681" s="32"/>
    </row>
    <row r="682" spans="1:5" ht="15.75" thickBot="1">
      <c r="A682" s="32"/>
      <c r="B682" s="32"/>
      <c r="C682" s="32"/>
      <c r="D682" s="32"/>
      <c r="E682" s="32"/>
    </row>
    <row r="683" spans="1:5" ht="15.75" thickBot="1">
      <c r="A683" s="32"/>
      <c r="B683" s="32"/>
      <c r="C683" s="32"/>
      <c r="D683" s="32"/>
      <c r="E683" s="32"/>
    </row>
    <row r="684" spans="1:5" ht="15.75" thickBot="1">
      <c r="A684" s="32"/>
      <c r="B684" s="32"/>
      <c r="C684" s="32"/>
      <c r="D684" s="32"/>
      <c r="E684" s="32"/>
    </row>
    <row r="685" spans="1:5" ht="15.75" thickBot="1">
      <c r="A685" s="32"/>
      <c r="B685" s="32"/>
      <c r="C685" s="32"/>
      <c r="D685" s="32"/>
      <c r="E685" s="32"/>
    </row>
    <row r="686" spans="1:5" ht="15.75" thickBot="1">
      <c r="A686" s="32"/>
      <c r="B686" s="32"/>
      <c r="C686" s="32"/>
      <c r="D686" s="32"/>
      <c r="E686" s="32"/>
    </row>
    <row r="687" spans="1:5" ht="15.75" thickBot="1">
      <c r="A687" s="32"/>
      <c r="B687" s="32"/>
      <c r="C687" s="32"/>
      <c r="D687" s="32"/>
      <c r="E687" s="32"/>
    </row>
    <row r="688" spans="1:5" ht="15.75" thickBot="1">
      <c r="A688" s="32"/>
      <c r="B688" s="32"/>
      <c r="C688" s="32"/>
      <c r="D688" s="32"/>
      <c r="E688" s="32"/>
    </row>
    <row r="689" spans="1:5" ht="15.75" thickBot="1">
      <c r="A689" s="32"/>
      <c r="B689" s="32"/>
      <c r="C689" s="32"/>
      <c r="D689" s="32"/>
      <c r="E689" s="32"/>
    </row>
    <row r="690" spans="1:5" ht="15.75" thickBot="1">
      <c r="A690" s="32"/>
      <c r="B690" s="32"/>
      <c r="C690" s="32"/>
      <c r="D690" s="32"/>
      <c r="E690" s="32"/>
    </row>
    <row r="691" spans="1:5" ht="15.75" thickBot="1">
      <c r="A691" s="32"/>
      <c r="B691" s="32"/>
      <c r="C691" s="32"/>
      <c r="D691" s="32"/>
      <c r="E691" s="32"/>
    </row>
    <row r="692" spans="1:5" ht="15.75" thickBot="1">
      <c r="A692" s="32"/>
      <c r="B692" s="32"/>
      <c r="C692" s="32"/>
      <c r="D692" s="32"/>
      <c r="E692" s="32"/>
    </row>
    <row r="693" spans="1:5" ht="15.75" thickBot="1">
      <c r="A693" s="32"/>
      <c r="B693" s="32"/>
      <c r="C693" s="32"/>
      <c r="D693" s="32"/>
      <c r="E693" s="32"/>
    </row>
    <row r="694" spans="1:5" ht="15.75" thickBot="1">
      <c r="A694" s="32"/>
      <c r="B694" s="32"/>
      <c r="C694" s="32"/>
      <c r="D694" s="32"/>
      <c r="E694" s="32"/>
    </row>
    <row r="695" spans="1:5" ht="15.75" thickBot="1">
      <c r="A695" s="32"/>
      <c r="B695" s="32"/>
      <c r="C695" s="32"/>
      <c r="D695" s="32"/>
      <c r="E695" s="32"/>
    </row>
    <row r="696" spans="1:5" ht="15.75" thickBot="1">
      <c r="A696" s="32"/>
      <c r="B696" s="32"/>
      <c r="C696" s="32"/>
      <c r="D696" s="32"/>
      <c r="E696" s="32"/>
    </row>
    <row r="697" spans="1:5" ht="15.75" thickBot="1">
      <c r="A697" s="32"/>
      <c r="B697" s="32"/>
      <c r="C697" s="32"/>
      <c r="D697" s="32"/>
      <c r="E697" s="32"/>
    </row>
    <row r="698" spans="1:5" ht="15.75" thickBot="1">
      <c r="A698" s="32"/>
      <c r="B698" s="32"/>
      <c r="C698" s="32"/>
      <c r="D698" s="32"/>
      <c r="E698" s="32"/>
    </row>
    <row r="699" spans="1:5" ht="15.75" thickBot="1">
      <c r="A699" s="32"/>
      <c r="B699" s="32"/>
      <c r="C699" s="32"/>
      <c r="D699" s="32"/>
      <c r="E699" s="32"/>
    </row>
    <row r="700" spans="1:5" ht="15.75" thickBot="1">
      <c r="A700" s="32"/>
      <c r="B700" s="32"/>
      <c r="C700" s="32"/>
      <c r="D700" s="32"/>
      <c r="E700" s="32"/>
    </row>
    <row r="701" spans="1:5" ht="15.75" thickBot="1">
      <c r="A701" s="32"/>
      <c r="B701" s="32"/>
      <c r="C701" s="32"/>
      <c r="D701" s="32"/>
      <c r="E701" s="32"/>
    </row>
    <row r="702" spans="1:5" ht="15.75" thickBot="1">
      <c r="A702" s="32"/>
      <c r="B702" s="32"/>
      <c r="C702" s="32"/>
      <c r="D702" s="32"/>
      <c r="E702" s="32"/>
    </row>
    <row r="703" spans="1:5" ht="15.75" thickBot="1">
      <c r="A703" s="32"/>
      <c r="B703" s="32"/>
      <c r="C703" s="32"/>
      <c r="D703" s="32"/>
      <c r="E703" s="32"/>
    </row>
    <row r="704" spans="1:5" ht="15.75" thickBot="1">
      <c r="A704" s="32"/>
      <c r="B704" s="32"/>
      <c r="C704" s="32"/>
      <c r="D704" s="32"/>
      <c r="E704" s="32"/>
    </row>
    <row r="705" spans="1:5" ht="15.75" thickBot="1">
      <c r="A705" s="32"/>
      <c r="B705" s="32"/>
      <c r="C705" s="32"/>
      <c r="D705" s="32"/>
      <c r="E705" s="32"/>
    </row>
    <row r="706" spans="1:5" ht="15.75" thickBot="1">
      <c r="A706" s="32"/>
      <c r="B706" s="32"/>
      <c r="C706" s="32"/>
      <c r="D706" s="32"/>
      <c r="E706" s="32"/>
    </row>
    <row r="707" spans="1:5" ht="15.75" thickBot="1">
      <c r="A707" s="32"/>
      <c r="B707" s="32"/>
      <c r="C707" s="32"/>
      <c r="D707" s="32"/>
      <c r="E707" s="32"/>
    </row>
    <row r="708" spans="1:5" ht="15.75" thickBot="1">
      <c r="A708" s="32"/>
      <c r="B708" s="32"/>
      <c r="C708" s="32"/>
      <c r="D708" s="32"/>
      <c r="E708" s="32"/>
    </row>
    <row r="709" spans="1:5" ht="15.75" thickBot="1">
      <c r="A709" s="32"/>
      <c r="B709" s="32"/>
      <c r="C709" s="32"/>
      <c r="D709" s="32"/>
      <c r="E709" s="32"/>
    </row>
    <row r="710" spans="1:5" ht="15.75" thickBot="1">
      <c r="A710" s="32"/>
      <c r="B710" s="32"/>
      <c r="C710" s="32"/>
      <c r="D710" s="32"/>
      <c r="E710" s="32"/>
    </row>
    <row r="711" spans="1:5" ht="15.75" thickBot="1">
      <c r="A711" s="32"/>
      <c r="B711" s="32"/>
      <c r="C711" s="32"/>
      <c r="D711" s="32"/>
      <c r="E711" s="32"/>
    </row>
    <row r="712" spans="1:5" ht="15.75" thickBot="1">
      <c r="A712" s="32"/>
      <c r="B712" s="32"/>
      <c r="C712" s="32"/>
      <c r="D712" s="32"/>
      <c r="E712" s="32"/>
    </row>
    <row r="713" spans="1:5" ht="15.75" thickBot="1">
      <c r="A713" s="32"/>
      <c r="B713" s="32"/>
      <c r="C713" s="32"/>
      <c r="D713" s="32"/>
      <c r="E713" s="32"/>
    </row>
    <row r="714" spans="1:5" ht="15.75" thickBot="1">
      <c r="A714" s="32"/>
      <c r="B714" s="32"/>
      <c r="C714" s="32"/>
      <c r="D714" s="32"/>
      <c r="E714" s="32"/>
    </row>
    <row r="715" spans="1:5" ht="15.75" thickBot="1">
      <c r="A715" s="32"/>
      <c r="B715" s="32"/>
      <c r="C715" s="32"/>
      <c r="D715" s="32"/>
      <c r="E715" s="32"/>
    </row>
    <row r="716" spans="1:5" ht="15.75" thickBot="1">
      <c r="A716" s="32"/>
      <c r="B716" s="32"/>
      <c r="C716" s="32"/>
      <c r="D716" s="32"/>
      <c r="E716" s="32"/>
    </row>
    <row r="717" spans="1:5" ht="15.75" thickBot="1">
      <c r="A717" s="32"/>
      <c r="B717" s="32"/>
      <c r="C717" s="32"/>
      <c r="D717" s="32"/>
      <c r="E717" s="32"/>
    </row>
    <row r="718" spans="1:5" ht="15.75" thickBot="1">
      <c r="A718" s="32"/>
      <c r="B718" s="32"/>
      <c r="C718" s="32"/>
      <c r="D718" s="32"/>
      <c r="E718" s="32"/>
    </row>
    <row r="719" spans="1:5" ht="15.75" thickBot="1">
      <c r="A719" s="32"/>
      <c r="B719" s="32"/>
      <c r="C719" s="32"/>
      <c r="D719" s="32"/>
      <c r="E719" s="32"/>
    </row>
    <row r="720" spans="1:5" ht="15.75" thickBot="1">
      <c r="A720" s="32"/>
      <c r="B720" s="32"/>
      <c r="C720" s="32"/>
      <c r="D720" s="32"/>
      <c r="E720" s="32"/>
    </row>
    <row r="721" spans="1:5" ht="15.75" thickBot="1">
      <c r="A721" s="32"/>
      <c r="B721" s="32"/>
      <c r="C721" s="32"/>
      <c r="D721" s="32"/>
      <c r="E721" s="32"/>
    </row>
    <row r="722" spans="1:5" ht="15.75" thickBot="1">
      <c r="A722" s="32"/>
      <c r="B722" s="32"/>
      <c r="C722" s="32"/>
      <c r="D722" s="32"/>
      <c r="E722" s="32"/>
    </row>
    <row r="723" spans="1:5" ht="15.75" thickBot="1">
      <c r="A723" s="32"/>
      <c r="B723" s="32"/>
      <c r="C723" s="32"/>
      <c r="D723" s="32"/>
      <c r="E723" s="32"/>
    </row>
    <row r="724" spans="1:5" ht="15.75" thickBot="1">
      <c r="A724" s="32"/>
      <c r="B724" s="32"/>
      <c r="C724" s="32"/>
      <c r="D724" s="32"/>
      <c r="E724" s="32"/>
    </row>
    <row r="725" spans="1:5" ht="15.75" thickBot="1">
      <c r="A725" s="32"/>
      <c r="B725" s="32"/>
      <c r="C725" s="32"/>
      <c r="D725" s="32"/>
      <c r="E725" s="32"/>
    </row>
    <row r="726" spans="1:5" ht="15.75" thickBot="1">
      <c r="A726" s="32"/>
      <c r="B726" s="32"/>
      <c r="C726" s="32"/>
      <c r="D726" s="32"/>
      <c r="E726" s="32"/>
    </row>
    <row r="727" spans="1:5" ht="15.75" thickBot="1">
      <c r="A727" s="32"/>
      <c r="B727" s="32"/>
      <c r="C727" s="32"/>
      <c r="D727" s="32"/>
      <c r="E727" s="32"/>
    </row>
    <row r="728" spans="1:5" ht="15.75" thickBot="1">
      <c r="A728" s="32"/>
      <c r="B728" s="32"/>
      <c r="C728" s="32"/>
      <c r="D728" s="32"/>
      <c r="E728" s="32"/>
    </row>
    <row r="729" spans="1:5" ht="15.75" thickBot="1">
      <c r="A729" s="32"/>
      <c r="B729" s="32"/>
      <c r="C729" s="32"/>
      <c r="D729" s="32"/>
      <c r="E729" s="32"/>
    </row>
    <row r="730" spans="1:5" ht="15.75" thickBot="1">
      <c r="A730" s="32"/>
      <c r="B730" s="32"/>
      <c r="C730" s="32"/>
      <c r="D730" s="32"/>
      <c r="E730" s="32"/>
    </row>
    <row r="731" spans="1:5" ht="15.75" thickBot="1">
      <c r="A731" s="32"/>
      <c r="B731" s="32"/>
      <c r="C731" s="32"/>
      <c r="D731" s="32"/>
      <c r="E731" s="32"/>
    </row>
    <row r="732" spans="1:5" ht="15.75" thickBot="1">
      <c r="A732" s="32"/>
      <c r="B732" s="32"/>
      <c r="C732" s="32"/>
      <c r="D732" s="32"/>
      <c r="E732" s="32"/>
    </row>
    <row r="733" spans="1:5" ht="15.75" thickBot="1">
      <c r="A733" s="32"/>
      <c r="B733" s="32"/>
      <c r="C733" s="32"/>
      <c r="D733" s="32"/>
      <c r="E733" s="32"/>
    </row>
    <row r="734" spans="1:5" ht="15.75" thickBot="1">
      <c r="A734" s="32"/>
      <c r="B734" s="32"/>
      <c r="C734" s="32"/>
      <c r="D734" s="32"/>
      <c r="E734" s="32"/>
    </row>
    <row r="735" spans="1:5" ht="15.75" thickBot="1">
      <c r="A735" s="32"/>
      <c r="B735" s="32"/>
      <c r="C735" s="32"/>
      <c r="D735" s="32"/>
      <c r="E735" s="32"/>
    </row>
    <row r="736" spans="1:5" ht="15.75" thickBot="1">
      <c r="A736" s="32"/>
      <c r="B736" s="32"/>
      <c r="C736" s="32"/>
      <c r="D736" s="32"/>
      <c r="E736" s="32"/>
    </row>
    <row r="737" spans="1:5" ht="15.75" thickBot="1">
      <c r="A737" s="32"/>
      <c r="B737" s="32"/>
      <c r="C737" s="32"/>
      <c r="D737" s="32"/>
      <c r="E737" s="32"/>
    </row>
    <row r="738" spans="1:5" ht="15.75" thickBot="1">
      <c r="A738" s="32"/>
      <c r="B738" s="32"/>
      <c r="C738" s="32"/>
      <c r="D738" s="32"/>
      <c r="E738" s="32"/>
    </row>
    <row r="739" spans="1:5" ht="15.75" thickBot="1">
      <c r="A739" s="32"/>
      <c r="B739" s="32"/>
      <c r="C739" s="32"/>
      <c r="D739" s="32"/>
      <c r="E739" s="32"/>
    </row>
    <row r="740" spans="1:5" ht="15.75" thickBot="1">
      <c r="A740" s="32"/>
      <c r="B740" s="32"/>
      <c r="C740" s="32"/>
      <c r="D740" s="32"/>
      <c r="E740" s="32"/>
    </row>
    <row r="741" spans="1:5" ht="15.75" thickBot="1">
      <c r="A741" s="32"/>
      <c r="B741" s="32"/>
      <c r="C741" s="32"/>
      <c r="D741" s="32"/>
      <c r="E741" s="32"/>
    </row>
    <row r="742" spans="1:5" ht="15.75" thickBot="1">
      <c r="A742" s="32"/>
      <c r="B742" s="32"/>
      <c r="C742" s="32"/>
      <c r="D742" s="32"/>
      <c r="E742" s="32"/>
    </row>
    <row r="743" spans="1:5" ht="15.75" thickBot="1">
      <c r="A743" s="32"/>
      <c r="B743" s="32"/>
      <c r="C743" s="32"/>
      <c r="D743" s="32"/>
      <c r="E743" s="32"/>
    </row>
    <row r="744" spans="1:5" ht="15.75" thickBot="1">
      <c r="A744" s="32"/>
      <c r="B744" s="32"/>
      <c r="C744" s="32"/>
      <c r="D744" s="32"/>
      <c r="E744" s="32"/>
    </row>
    <row r="745" spans="1:5" ht="15.75" thickBot="1">
      <c r="A745" s="32"/>
      <c r="B745" s="32"/>
      <c r="C745" s="32"/>
      <c r="D745" s="32"/>
      <c r="E745" s="32"/>
    </row>
    <row r="746" spans="1:5" ht="15.75" thickBot="1">
      <c r="A746" s="32"/>
      <c r="B746" s="32"/>
      <c r="C746" s="32"/>
      <c r="D746" s="32"/>
      <c r="E746" s="32"/>
    </row>
    <row r="747" spans="1:5" ht="15.75" thickBot="1">
      <c r="A747" s="32"/>
      <c r="B747" s="32"/>
      <c r="C747" s="32"/>
      <c r="D747" s="32"/>
      <c r="E747" s="32"/>
    </row>
    <row r="748" spans="1:5" ht="15.75" thickBot="1">
      <c r="A748" s="32"/>
      <c r="B748" s="32"/>
      <c r="C748" s="32"/>
      <c r="D748" s="32"/>
      <c r="E748" s="32"/>
    </row>
    <row r="749" spans="1:5" ht="15.75" thickBot="1">
      <c r="A749" s="32"/>
      <c r="B749" s="32"/>
      <c r="C749" s="32"/>
      <c r="D749" s="32"/>
      <c r="E749" s="32"/>
    </row>
    <row r="750" spans="1:5" ht="15.75" thickBot="1">
      <c r="A750" s="32"/>
      <c r="B750" s="32"/>
      <c r="C750" s="32"/>
      <c r="D750" s="32"/>
      <c r="E750" s="32"/>
    </row>
    <row r="751" spans="1:5" ht="15.75" thickBot="1">
      <c r="A751" s="32"/>
      <c r="B751" s="32"/>
      <c r="C751" s="32"/>
      <c r="D751" s="32"/>
      <c r="E751" s="32"/>
    </row>
    <row r="752" spans="1:5" ht="15.75" thickBot="1">
      <c r="A752" s="32"/>
      <c r="B752" s="32"/>
      <c r="C752" s="32"/>
      <c r="D752" s="32"/>
      <c r="E752" s="32"/>
    </row>
    <row r="753" spans="1:5" ht="15.75" thickBot="1">
      <c r="A753" s="32"/>
      <c r="B753" s="32"/>
      <c r="C753" s="32"/>
      <c r="D753" s="32"/>
      <c r="E753" s="32"/>
    </row>
    <row r="754" spans="1:5" ht="15.75" thickBot="1">
      <c r="A754" s="32"/>
      <c r="B754" s="32"/>
      <c r="C754" s="32"/>
      <c r="D754" s="32"/>
      <c r="E754" s="32"/>
    </row>
    <row r="755" spans="1:5" ht="15.75" thickBot="1">
      <c r="A755" s="32"/>
      <c r="B755" s="32"/>
      <c r="C755" s="32"/>
      <c r="D755" s="32"/>
      <c r="E755" s="32"/>
    </row>
    <row r="756" spans="1:5" ht="15.75" thickBot="1">
      <c r="A756" s="32"/>
      <c r="B756" s="32"/>
      <c r="C756" s="32"/>
      <c r="D756" s="32"/>
      <c r="E756" s="32"/>
    </row>
    <row r="757" spans="1:5" ht="15.75" thickBot="1">
      <c r="A757" s="32"/>
      <c r="B757" s="32"/>
      <c r="C757" s="32"/>
      <c r="D757" s="32"/>
      <c r="E757" s="32"/>
    </row>
    <row r="758" spans="1:5" ht="15.75" thickBot="1">
      <c r="A758" s="32"/>
      <c r="B758" s="32"/>
      <c r="C758" s="32"/>
      <c r="D758" s="32"/>
      <c r="E758" s="32"/>
    </row>
    <row r="759" spans="1:5" ht="15.75" thickBot="1">
      <c r="A759" s="32"/>
      <c r="B759" s="32"/>
      <c r="C759" s="32"/>
      <c r="D759" s="32"/>
      <c r="E759" s="32"/>
    </row>
    <row r="760" spans="1:5" ht="15.75" thickBot="1">
      <c r="A760" s="32"/>
      <c r="B760" s="32"/>
      <c r="C760" s="32"/>
      <c r="D760" s="32"/>
      <c r="E760" s="32"/>
    </row>
    <row r="761" spans="1:5" ht="15.75" thickBot="1">
      <c r="A761" s="32"/>
      <c r="B761" s="32"/>
      <c r="C761" s="32"/>
      <c r="D761" s="32"/>
      <c r="E761" s="32"/>
    </row>
    <row r="762" spans="1:5" ht="15.75" thickBot="1">
      <c r="A762" s="32"/>
      <c r="B762" s="32"/>
      <c r="C762" s="32"/>
      <c r="D762" s="32"/>
      <c r="E762" s="32"/>
    </row>
    <row r="763" spans="1:5" ht="15.75" thickBot="1">
      <c r="A763" s="32"/>
      <c r="B763" s="32"/>
      <c r="C763" s="32"/>
      <c r="D763" s="32"/>
      <c r="E763" s="32"/>
    </row>
    <row r="764" spans="1:5" ht="15.75" thickBot="1">
      <c r="A764" s="32"/>
      <c r="B764" s="32"/>
      <c r="C764" s="32"/>
      <c r="D764" s="32"/>
      <c r="E764" s="32"/>
    </row>
    <row r="765" spans="1:5" ht="15.75" thickBot="1">
      <c r="A765" s="32"/>
      <c r="B765" s="32"/>
      <c r="C765" s="32"/>
      <c r="D765" s="32"/>
      <c r="E765" s="32"/>
    </row>
    <row r="766" spans="1:5" ht="15.75" thickBot="1">
      <c r="A766" s="32"/>
      <c r="B766" s="32"/>
      <c r="C766" s="32"/>
      <c r="D766" s="32"/>
      <c r="E766" s="32"/>
    </row>
    <row r="767" spans="1:5" ht="15.75" thickBot="1">
      <c r="A767" s="32"/>
      <c r="B767" s="32"/>
      <c r="C767" s="32"/>
      <c r="D767" s="32"/>
      <c r="E767" s="32"/>
    </row>
    <row r="768" spans="1:5" ht="15.75" thickBot="1">
      <c r="A768" s="32"/>
      <c r="B768" s="32"/>
      <c r="C768" s="32"/>
      <c r="D768" s="32"/>
      <c r="E768" s="32"/>
    </row>
    <row r="769" spans="1:5" ht="15.75" thickBot="1">
      <c r="A769" s="32"/>
      <c r="B769" s="32"/>
      <c r="C769" s="32"/>
      <c r="D769" s="32"/>
      <c r="E769" s="32"/>
    </row>
    <row r="770" spans="1:5" ht="15.75" thickBot="1">
      <c r="A770" s="32"/>
      <c r="B770" s="32"/>
      <c r="C770" s="32"/>
      <c r="D770" s="32"/>
      <c r="E770" s="32"/>
    </row>
    <row r="771" spans="1:5" ht="15.75" thickBot="1">
      <c r="A771" s="32"/>
      <c r="B771" s="32"/>
      <c r="C771" s="32"/>
      <c r="D771" s="32"/>
      <c r="E771" s="32"/>
    </row>
    <row r="772" spans="1:5" ht="15.75" thickBot="1">
      <c r="A772" s="32"/>
      <c r="B772" s="32"/>
      <c r="C772" s="32"/>
      <c r="D772" s="32"/>
      <c r="E772" s="32"/>
    </row>
    <row r="773" spans="1:5" ht="15.75" thickBot="1">
      <c r="A773" s="32"/>
      <c r="B773" s="32"/>
      <c r="C773" s="32"/>
      <c r="D773" s="32"/>
      <c r="E773" s="32"/>
    </row>
    <row r="774" spans="1:5" ht="15.75" thickBot="1">
      <c r="A774" s="32"/>
      <c r="B774" s="32"/>
      <c r="C774" s="32"/>
      <c r="D774" s="32"/>
      <c r="E774" s="32"/>
    </row>
    <row r="775" spans="1:5" ht="15.75" thickBot="1">
      <c r="A775" s="32"/>
      <c r="B775" s="32"/>
      <c r="C775" s="32"/>
      <c r="D775" s="32"/>
      <c r="E775" s="32"/>
    </row>
    <row r="776" spans="1:5" ht="15.75" thickBot="1">
      <c r="A776" s="32"/>
      <c r="B776" s="32"/>
      <c r="C776" s="32"/>
      <c r="D776" s="32"/>
      <c r="E776" s="32"/>
    </row>
    <row r="777" spans="1:5" ht="15.75" thickBot="1">
      <c r="A777" s="32"/>
      <c r="B777" s="32"/>
      <c r="C777" s="32"/>
      <c r="D777" s="32"/>
      <c r="E777" s="32"/>
    </row>
    <row r="778" spans="1:5" ht="15.75" thickBot="1">
      <c r="A778" s="32"/>
      <c r="B778" s="32"/>
      <c r="C778" s="32"/>
      <c r="D778" s="32"/>
      <c r="E778" s="32"/>
    </row>
    <row r="779" spans="1:5" ht="15.75" thickBot="1">
      <c r="A779" s="32"/>
      <c r="B779" s="32"/>
      <c r="C779" s="32"/>
      <c r="D779" s="32"/>
      <c r="E779" s="32"/>
    </row>
    <row r="780" spans="1:5" ht="15.75" thickBot="1">
      <c r="A780" s="32"/>
      <c r="B780" s="32"/>
      <c r="C780" s="32"/>
      <c r="D780" s="32"/>
      <c r="E780" s="32"/>
    </row>
    <row r="781" spans="1:5" ht="15.75" thickBot="1">
      <c r="A781" s="32"/>
      <c r="B781" s="32"/>
      <c r="C781" s="32"/>
      <c r="D781" s="32"/>
      <c r="E781" s="32"/>
    </row>
    <row r="782" spans="1:5" ht="15.75" thickBot="1">
      <c r="A782" s="32"/>
      <c r="B782" s="32"/>
      <c r="C782" s="32"/>
      <c r="D782" s="32"/>
      <c r="E782" s="32"/>
    </row>
    <row r="783" spans="1:5" ht="15.75" thickBot="1">
      <c r="A783" s="32"/>
      <c r="B783" s="32"/>
      <c r="C783" s="32"/>
      <c r="D783" s="32"/>
      <c r="E783" s="32"/>
    </row>
    <row r="784" spans="1:5" ht="15.75" thickBot="1">
      <c r="A784" s="32"/>
      <c r="B784" s="32"/>
      <c r="C784" s="32"/>
      <c r="D784" s="32"/>
      <c r="E784" s="32"/>
    </row>
    <row r="785" spans="1:5" ht="15.75" thickBot="1">
      <c r="A785" s="32"/>
      <c r="B785" s="32"/>
      <c r="C785" s="32"/>
      <c r="D785" s="32"/>
      <c r="E785" s="32"/>
    </row>
    <row r="786" spans="1:5" ht="15.75" thickBot="1">
      <c r="A786" s="32"/>
      <c r="B786" s="32"/>
      <c r="C786" s="32"/>
      <c r="D786" s="32"/>
      <c r="E786" s="32"/>
    </row>
    <row r="787" spans="1:5" ht="15.75" thickBot="1">
      <c r="A787" s="32"/>
      <c r="B787" s="32"/>
      <c r="C787" s="32"/>
      <c r="D787" s="32"/>
      <c r="E787" s="32"/>
    </row>
    <row r="788" spans="1:5" ht="15.75" thickBot="1">
      <c r="A788" s="32"/>
      <c r="B788" s="32"/>
      <c r="C788" s="32"/>
      <c r="D788" s="32"/>
      <c r="E788" s="32"/>
    </row>
    <row r="789" spans="1:5" ht="15.75" thickBot="1">
      <c r="A789" s="32"/>
      <c r="B789" s="32"/>
      <c r="C789" s="32"/>
      <c r="D789" s="32"/>
      <c r="E789" s="32"/>
    </row>
    <row r="790" spans="1:5" ht="15.75" thickBot="1">
      <c r="A790" s="32"/>
      <c r="B790" s="32"/>
      <c r="C790" s="32"/>
      <c r="D790" s="32"/>
      <c r="E790" s="32"/>
    </row>
    <row r="791" spans="1:5" ht="15.75" thickBot="1">
      <c r="A791" s="32"/>
      <c r="B791" s="32"/>
      <c r="C791" s="32"/>
      <c r="D791" s="32"/>
      <c r="E791" s="32"/>
    </row>
    <row r="792" spans="1:5" ht="15.75" thickBot="1">
      <c r="A792" s="32"/>
      <c r="B792" s="32"/>
      <c r="C792" s="32"/>
      <c r="D792" s="32"/>
      <c r="E792" s="32"/>
    </row>
    <row r="793" spans="1:5" ht="15.75" thickBot="1">
      <c r="A793" s="32"/>
      <c r="B793" s="32"/>
      <c r="C793" s="32"/>
      <c r="D793" s="32"/>
      <c r="E793" s="32"/>
    </row>
    <row r="794" spans="1:5" ht="15.75" thickBot="1">
      <c r="A794" s="32"/>
      <c r="B794" s="32"/>
      <c r="C794" s="32"/>
      <c r="D794" s="32"/>
      <c r="E794" s="32"/>
    </row>
    <row r="795" spans="1:5" ht="15.75" thickBot="1">
      <c r="A795" s="32"/>
      <c r="B795" s="32"/>
      <c r="C795" s="32"/>
      <c r="D795" s="32"/>
      <c r="E795" s="32"/>
    </row>
    <row r="796" spans="1:5" ht="15.75" thickBot="1">
      <c r="A796" s="32"/>
      <c r="B796" s="32"/>
      <c r="C796" s="32"/>
      <c r="D796" s="32"/>
      <c r="E796" s="32"/>
    </row>
    <row r="797" spans="1:5" ht="15.75" thickBot="1">
      <c r="A797" s="32"/>
      <c r="B797" s="32"/>
      <c r="C797" s="32"/>
      <c r="D797" s="32"/>
      <c r="E797" s="32"/>
    </row>
    <row r="798" spans="1:5" ht="15.75" thickBot="1">
      <c r="A798" s="32"/>
      <c r="B798" s="32"/>
      <c r="C798" s="32"/>
      <c r="D798" s="32"/>
      <c r="E798" s="32"/>
    </row>
    <row r="799" spans="1:5" ht="15.75" thickBot="1">
      <c r="A799" s="32"/>
      <c r="B799" s="32"/>
      <c r="C799" s="32"/>
      <c r="D799" s="32"/>
      <c r="E799" s="32"/>
    </row>
    <row r="800" spans="1:5" ht="15.75" thickBot="1">
      <c r="A800" s="32"/>
      <c r="B800" s="32"/>
      <c r="C800" s="32"/>
      <c r="D800" s="32"/>
      <c r="E800" s="32"/>
    </row>
    <row r="801" spans="1:5" ht="15.75" thickBot="1">
      <c r="A801" s="32"/>
      <c r="B801" s="32"/>
      <c r="C801" s="32"/>
      <c r="D801" s="32"/>
      <c r="E801" s="32"/>
    </row>
    <row r="802" spans="1:5" ht="15.75" thickBot="1">
      <c r="A802" s="32"/>
      <c r="B802" s="32"/>
      <c r="C802" s="32"/>
      <c r="D802" s="32"/>
      <c r="E802" s="32"/>
    </row>
    <row r="803" spans="1:5" ht="15.75" thickBot="1">
      <c r="A803" s="32"/>
      <c r="B803" s="32"/>
      <c r="C803" s="32"/>
      <c r="D803" s="32"/>
      <c r="E803" s="32"/>
    </row>
    <row r="804" spans="1:5" ht="15.75" thickBot="1">
      <c r="A804" s="32"/>
      <c r="B804" s="32"/>
      <c r="C804" s="32"/>
      <c r="D804" s="32"/>
      <c r="E804" s="32"/>
    </row>
    <row r="805" spans="1:5" ht="15.75" thickBot="1">
      <c r="A805" s="32"/>
      <c r="B805" s="32"/>
      <c r="C805" s="32"/>
      <c r="D805" s="32"/>
      <c r="E805" s="32"/>
    </row>
    <row r="806" spans="1:5" ht="15.75" thickBot="1">
      <c r="A806" s="32"/>
      <c r="B806" s="32"/>
      <c r="C806" s="32"/>
      <c r="D806" s="32"/>
      <c r="E806" s="32"/>
    </row>
    <row r="807" spans="1:5" ht="15.75" thickBot="1">
      <c r="A807" s="32"/>
      <c r="B807" s="32"/>
      <c r="C807" s="32"/>
      <c r="D807" s="32"/>
      <c r="E807" s="32"/>
    </row>
    <row r="808" spans="1:5" ht="15.75" thickBot="1">
      <c r="A808" s="32"/>
      <c r="B808" s="32"/>
      <c r="C808" s="32"/>
      <c r="D808" s="32"/>
      <c r="E808" s="32"/>
    </row>
    <row r="809" spans="1:5" ht="15.75" thickBot="1">
      <c r="A809" s="32"/>
      <c r="B809" s="32"/>
      <c r="C809" s="32"/>
      <c r="D809" s="32"/>
      <c r="E809" s="32"/>
    </row>
    <row r="810" spans="1:5" ht="15.75" thickBot="1">
      <c r="A810" s="32"/>
      <c r="B810" s="32"/>
      <c r="C810" s="32"/>
      <c r="D810" s="32"/>
      <c r="E810" s="32"/>
    </row>
    <row r="811" spans="1:5" ht="15.75" thickBot="1">
      <c r="A811" s="32"/>
      <c r="B811" s="32"/>
      <c r="C811" s="32"/>
      <c r="D811" s="32"/>
      <c r="E811" s="32"/>
    </row>
    <row r="812" spans="1:5" ht="15.75" thickBot="1">
      <c r="A812" s="32"/>
      <c r="B812" s="32"/>
      <c r="C812" s="32"/>
      <c r="D812" s="32"/>
      <c r="E812" s="32"/>
    </row>
    <row r="813" spans="1:5" ht="15.75" thickBot="1">
      <c r="A813" s="32"/>
      <c r="B813" s="32"/>
      <c r="C813" s="32"/>
      <c r="D813" s="32"/>
      <c r="E813" s="32"/>
    </row>
    <row r="814" spans="1:5" ht="15.75" thickBot="1">
      <c r="A814" s="32"/>
      <c r="B814" s="32"/>
      <c r="C814" s="32"/>
      <c r="D814" s="32"/>
      <c r="E814" s="32"/>
    </row>
    <row r="815" spans="1:5" ht="15.75" thickBot="1">
      <c r="A815" s="32"/>
      <c r="B815" s="32"/>
      <c r="C815" s="32"/>
      <c r="D815" s="32"/>
      <c r="E815" s="32"/>
    </row>
    <row r="816" spans="1:5" ht="15.75" thickBot="1">
      <c r="A816" s="32"/>
      <c r="B816" s="32"/>
      <c r="C816" s="32"/>
      <c r="D816" s="32"/>
      <c r="E816" s="32"/>
    </row>
    <row r="817" spans="1:5" ht="15.75" thickBot="1">
      <c r="A817" s="32"/>
      <c r="B817" s="32"/>
      <c r="C817" s="32"/>
      <c r="D817" s="32"/>
      <c r="E817" s="32"/>
    </row>
    <row r="818" spans="1:5" ht="15.75" thickBot="1">
      <c r="A818" s="32"/>
      <c r="B818" s="32"/>
      <c r="C818" s="32"/>
      <c r="D818" s="32"/>
      <c r="E818" s="32"/>
    </row>
    <row r="819" spans="1:5" ht="15.75" thickBot="1">
      <c r="A819" s="32"/>
      <c r="B819" s="32"/>
      <c r="C819" s="32"/>
      <c r="D819" s="32"/>
      <c r="E819" s="32"/>
    </row>
    <row r="820" spans="1:5" ht="15.75" thickBot="1">
      <c r="A820" s="32"/>
      <c r="B820" s="32"/>
      <c r="C820" s="32"/>
      <c r="D820" s="32"/>
      <c r="E820" s="32"/>
    </row>
    <row r="821" spans="1:5" ht="15.75" thickBot="1">
      <c r="A821" s="32"/>
      <c r="B821" s="32"/>
      <c r="C821" s="32"/>
      <c r="D821" s="32"/>
      <c r="E821" s="32"/>
    </row>
    <row r="822" spans="1:5" ht="15.75" thickBot="1">
      <c r="A822" s="32"/>
      <c r="B822" s="32"/>
      <c r="C822" s="32"/>
      <c r="D822" s="32"/>
      <c r="E822" s="32"/>
    </row>
    <row r="823" spans="1:5" ht="15.75" thickBot="1">
      <c r="A823" s="32"/>
      <c r="B823" s="32"/>
      <c r="C823" s="32"/>
      <c r="D823" s="32"/>
      <c r="E823" s="32"/>
    </row>
    <row r="824" spans="1:5" ht="15.75" thickBot="1">
      <c r="A824" s="32"/>
      <c r="B824" s="32"/>
      <c r="C824" s="32"/>
      <c r="D824" s="32"/>
      <c r="E824" s="32"/>
    </row>
    <row r="825" spans="1:5" ht="15.75" thickBot="1">
      <c r="A825" s="32"/>
      <c r="B825" s="32"/>
      <c r="C825" s="32"/>
      <c r="D825" s="32"/>
      <c r="E825" s="32"/>
    </row>
    <row r="826" spans="1:5" ht="15.75" thickBot="1">
      <c r="A826" s="32"/>
      <c r="B826" s="32"/>
      <c r="C826" s="32"/>
      <c r="D826" s="32"/>
      <c r="E826" s="32"/>
    </row>
    <row r="827" spans="1:5" ht="15.75" thickBot="1">
      <c r="A827" s="32"/>
      <c r="B827" s="32"/>
      <c r="C827" s="32"/>
      <c r="D827" s="32"/>
      <c r="E827" s="32"/>
    </row>
    <row r="828" spans="1:5" ht="15.75" thickBot="1">
      <c r="A828" s="32"/>
      <c r="B828" s="32"/>
      <c r="C828" s="32"/>
      <c r="D828" s="32"/>
      <c r="E828" s="32"/>
    </row>
    <row r="829" spans="1:5" ht="15.75" thickBot="1">
      <c r="A829" s="32"/>
      <c r="B829" s="32"/>
      <c r="C829" s="32"/>
      <c r="D829" s="32"/>
      <c r="E829" s="32"/>
    </row>
    <row r="830" spans="1:5" ht="15.75" thickBot="1">
      <c r="A830" s="32"/>
      <c r="B830" s="32"/>
      <c r="C830" s="32"/>
      <c r="D830" s="32"/>
      <c r="E830" s="32"/>
    </row>
    <row r="831" spans="1:5" ht="15.75" thickBot="1">
      <c r="A831" s="32"/>
      <c r="B831" s="32"/>
      <c r="C831" s="32"/>
      <c r="D831" s="32"/>
      <c r="E831" s="32"/>
    </row>
    <row r="832" spans="1:5" ht="15.75" thickBot="1">
      <c r="A832" s="32"/>
      <c r="B832" s="32"/>
      <c r="C832" s="32"/>
      <c r="D832" s="32"/>
      <c r="E832" s="32"/>
    </row>
    <row r="833" spans="1:5" ht="15.75" thickBot="1">
      <c r="A833" s="32"/>
      <c r="B833" s="32"/>
      <c r="C833" s="32"/>
      <c r="D833" s="32"/>
      <c r="E833" s="32"/>
    </row>
    <row r="834" spans="1:5" ht="15.75" thickBot="1">
      <c r="A834" s="32"/>
      <c r="B834" s="32"/>
      <c r="C834" s="32"/>
      <c r="D834" s="32"/>
      <c r="E834" s="32"/>
    </row>
    <row r="835" spans="1:5" ht="15.75" thickBot="1">
      <c r="A835" s="32"/>
      <c r="B835" s="32"/>
      <c r="C835" s="32"/>
      <c r="D835" s="32"/>
      <c r="E835" s="32"/>
    </row>
    <row r="836" spans="1:5" ht="15.75" thickBot="1">
      <c r="A836" s="32"/>
      <c r="B836" s="32"/>
      <c r="C836" s="32"/>
      <c r="D836" s="32"/>
      <c r="E836" s="32"/>
    </row>
    <row r="837" spans="1:5" ht="15.75" thickBot="1">
      <c r="A837" s="32"/>
      <c r="B837" s="32"/>
      <c r="C837" s="32"/>
      <c r="D837" s="32"/>
      <c r="E837" s="32"/>
    </row>
    <row r="838" spans="1:5" ht="15.75" thickBot="1">
      <c r="A838" s="32"/>
      <c r="B838" s="32"/>
      <c r="C838" s="32"/>
      <c r="D838" s="32"/>
      <c r="E838" s="32"/>
    </row>
    <row r="839" spans="1:5" ht="15.75" thickBot="1">
      <c r="A839" s="32"/>
      <c r="B839" s="32"/>
      <c r="C839" s="32"/>
      <c r="D839" s="32"/>
      <c r="E839" s="32"/>
    </row>
    <row r="840" spans="1:5" ht="15.75" thickBot="1">
      <c r="A840" s="32"/>
      <c r="B840" s="32"/>
      <c r="C840" s="32"/>
      <c r="D840" s="32"/>
      <c r="E840" s="32"/>
    </row>
    <row r="841" spans="1:5" ht="15.75" thickBot="1">
      <c r="A841" s="32"/>
      <c r="B841" s="32"/>
      <c r="C841" s="32"/>
      <c r="D841" s="32"/>
      <c r="E841" s="32"/>
    </row>
    <row r="842" spans="1:5" ht="15.75" thickBot="1">
      <c r="A842" s="32"/>
      <c r="B842" s="32"/>
      <c r="C842" s="32"/>
      <c r="D842" s="32"/>
      <c r="E842" s="32"/>
    </row>
    <row r="843" spans="1:5" ht="15.75" thickBot="1">
      <c r="A843" s="32"/>
      <c r="B843" s="32"/>
      <c r="C843" s="32"/>
      <c r="D843" s="32"/>
      <c r="E843" s="32"/>
    </row>
    <row r="844" spans="1:5" ht="15.75" thickBot="1">
      <c r="A844" s="32"/>
      <c r="B844" s="32"/>
      <c r="C844" s="32"/>
      <c r="D844" s="32"/>
      <c r="E844" s="32"/>
    </row>
    <row r="845" spans="1:5" ht="15.75" thickBot="1">
      <c r="A845" s="32"/>
      <c r="B845" s="32"/>
      <c r="C845" s="32"/>
      <c r="D845" s="32"/>
      <c r="E845" s="32"/>
    </row>
    <row r="846" spans="1:5" ht="15.75" thickBot="1">
      <c r="A846" s="32"/>
      <c r="B846" s="32"/>
      <c r="C846" s="32"/>
      <c r="D846" s="32"/>
      <c r="E846" s="32"/>
    </row>
    <row r="847" spans="1:5" ht="15.75" thickBot="1">
      <c r="A847" s="32"/>
      <c r="B847" s="32"/>
      <c r="C847" s="32"/>
      <c r="D847" s="32"/>
      <c r="E847" s="32"/>
    </row>
    <row r="848" spans="1:5" ht="15.75" thickBot="1">
      <c r="A848" s="32"/>
      <c r="B848" s="32"/>
      <c r="C848" s="32"/>
      <c r="D848" s="32"/>
      <c r="E848" s="32"/>
    </row>
    <row r="849" spans="1:5" ht="15.75" thickBot="1">
      <c r="A849" s="32"/>
      <c r="B849" s="32"/>
      <c r="C849" s="32"/>
      <c r="D849" s="32"/>
      <c r="E849" s="32"/>
    </row>
    <row r="850" spans="1:5" ht="15.75" thickBot="1">
      <c r="A850" s="32"/>
      <c r="B850" s="32"/>
      <c r="C850" s="32"/>
      <c r="D850" s="32"/>
      <c r="E850" s="32"/>
    </row>
    <row r="851" spans="1:5" ht="15.75" thickBot="1">
      <c r="A851" s="32"/>
      <c r="B851" s="32"/>
      <c r="C851" s="32"/>
      <c r="D851" s="32"/>
      <c r="E851" s="32"/>
    </row>
    <row r="852" spans="1:5" ht="15.75" thickBot="1">
      <c r="A852" s="32"/>
      <c r="B852" s="32"/>
      <c r="C852" s="32"/>
      <c r="D852" s="32"/>
      <c r="E852" s="32"/>
    </row>
    <row r="853" spans="1:5" ht="15.75" thickBot="1">
      <c r="A853" s="32"/>
      <c r="B853" s="32"/>
      <c r="C853" s="32"/>
      <c r="D853" s="32"/>
      <c r="E853" s="32"/>
    </row>
    <row r="854" spans="1:5" ht="15.75" thickBot="1">
      <c r="A854" s="32"/>
      <c r="B854" s="32"/>
      <c r="C854" s="32"/>
      <c r="D854" s="32"/>
      <c r="E854" s="32"/>
    </row>
    <row r="855" spans="1:5" ht="15.75" thickBot="1">
      <c r="A855" s="32"/>
      <c r="B855" s="32"/>
      <c r="C855" s="32"/>
      <c r="D855" s="32"/>
      <c r="E855" s="32"/>
    </row>
    <row r="856" spans="1:5" ht="15.75" thickBot="1">
      <c r="A856" s="32"/>
      <c r="B856" s="32"/>
      <c r="C856" s="32"/>
      <c r="D856" s="32"/>
      <c r="E856" s="32"/>
    </row>
    <row r="857" spans="1:5" ht="15.75" thickBot="1">
      <c r="A857" s="32"/>
      <c r="B857" s="32"/>
      <c r="C857" s="32"/>
      <c r="D857" s="32"/>
      <c r="E857" s="32"/>
    </row>
    <row r="858" spans="1:5" ht="15.75" thickBot="1">
      <c r="A858" s="32"/>
      <c r="B858" s="32"/>
      <c r="C858" s="32"/>
      <c r="D858" s="32"/>
      <c r="E858" s="32"/>
    </row>
    <row r="859" spans="1:5" ht="15.75" thickBot="1">
      <c r="A859" s="32"/>
      <c r="B859" s="32"/>
      <c r="C859" s="32"/>
      <c r="D859" s="32"/>
      <c r="E859" s="32"/>
    </row>
    <row r="860" spans="1:5" ht="15.75" thickBot="1">
      <c r="A860" s="32"/>
      <c r="B860" s="32"/>
      <c r="C860" s="32"/>
      <c r="D860" s="32"/>
      <c r="E860" s="32"/>
    </row>
    <row r="861" spans="1:5" ht="15.75" thickBot="1">
      <c r="A861" s="32"/>
      <c r="B861" s="32"/>
      <c r="C861" s="32"/>
      <c r="D861" s="32"/>
      <c r="E861" s="32"/>
    </row>
    <row r="862" spans="1:5" ht="15.75" thickBot="1">
      <c r="A862" s="32"/>
      <c r="B862" s="32"/>
      <c r="C862" s="32"/>
      <c r="D862" s="32"/>
      <c r="E862" s="32"/>
    </row>
    <row r="863" spans="1:5" ht="15.75" thickBot="1">
      <c r="A863" s="32"/>
      <c r="B863" s="32"/>
      <c r="C863" s="32"/>
      <c r="D863" s="32"/>
      <c r="E863" s="32"/>
    </row>
    <row r="864" spans="1:5" ht="15.75" thickBot="1">
      <c r="A864" s="32"/>
      <c r="B864" s="32"/>
      <c r="C864" s="32"/>
      <c r="D864" s="32"/>
      <c r="E864" s="32"/>
    </row>
    <row r="865" spans="1:5" ht="15.75" thickBot="1">
      <c r="A865" s="32"/>
      <c r="B865" s="32"/>
      <c r="C865" s="32"/>
      <c r="D865" s="32"/>
      <c r="E865" s="32"/>
    </row>
    <row r="866" spans="1:5" ht="15.75" thickBot="1">
      <c r="A866" s="32"/>
      <c r="B866" s="32"/>
      <c r="C866" s="32"/>
      <c r="D866" s="32"/>
      <c r="E866" s="32"/>
    </row>
    <row r="867" spans="1:5" ht="15.75" thickBot="1">
      <c r="A867" s="32"/>
      <c r="B867" s="32"/>
      <c r="C867" s="32"/>
      <c r="D867" s="32"/>
      <c r="E867" s="32"/>
    </row>
    <row r="868" spans="1:5" ht="15.75" thickBot="1">
      <c r="A868" s="32"/>
      <c r="B868" s="32"/>
      <c r="C868" s="32"/>
      <c r="D868" s="32"/>
      <c r="E868" s="32"/>
    </row>
    <row r="869" spans="1:5" ht="15.75" thickBot="1">
      <c r="A869" s="32"/>
      <c r="B869" s="32"/>
      <c r="C869" s="32"/>
      <c r="D869" s="32"/>
      <c r="E869" s="32"/>
    </row>
    <row r="870" spans="1:5" ht="15.75" thickBot="1">
      <c r="A870" s="32"/>
      <c r="B870" s="32"/>
      <c r="C870" s="32"/>
      <c r="D870" s="32"/>
      <c r="E870" s="32"/>
    </row>
    <row r="871" spans="1:5" ht="15.75" thickBot="1">
      <c r="A871" s="32"/>
      <c r="B871" s="32"/>
      <c r="C871" s="32"/>
      <c r="D871" s="32"/>
      <c r="E871" s="32"/>
    </row>
    <row r="872" spans="1:5" ht="15.75" thickBot="1">
      <c r="A872" s="32"/>
      <c r="B872" s="32"/>
      <c r="C872" s="32"/>
      <c r="D872" s="32"/>
      <c r="E872" s="32"/>
    </row>
    <row r="873" spans="1:5" ht="15.75" thickBot="1">
      <c r="A873" s="32"/>
      <c r="B873" s="32"/>
      <c r="C873" s="32"/>
      <c r="D873" s="32"/>
      <c r="E873" s="32"/>
    </row>
    <row r="874" spans="1:5" ht="15.75" thickBot="1">
      <c r="A874" s="32"/>
      <c r="B874" s="32"/>
      <c r="C874" s="32"/>
      <c r="D874" s="32"/>
      <c r="E874" s="32"/>
    </row>
    <row r="875" spans="1:5" ht="15.75" thickBot="1">
      <c r="A875" s="32"/>
      <c r="B875" s="32"/>
      <c r="C875" s="32"/>
      <c r="D875" s="32"/>
      <c r="E875" s="32"/>
    </row>
    <row r="876" spans="1:5" ht="15.75" thickBot="1">
      <c r="A876" s="32"/>
      <c r="B876" s="32"/>
      <c r="C876" s="32"/>
      <c r="D876" s="32"/>
      <c r="E876" s="32"/>
    </row>
    <row r="877" spans="1:5" ht="15.75" thickBot="1">
      <c r="A877" s="32"/>
      <c r="B877" s="32"/>
      <c r="C877" s="32"/>
      <c r="D877" s="32"/>
      <c r="E877" s="32"/>
    </row>
    <row r="878" spans="1:5" ht="15.75" thickBot="1">
      <c r="A878" s="32"/>
      <c r="B878" s="32"/>
      <c r="C878" s="32"/>
      <c r="D878" s="32"/>
      <c r="E878" s="32"/>
    </row>
    <row r="879" spans="1:5" ht="15.75" thickBot="1">
      <c r="A879" s="32"/>
      <c r="B879" s="32"/>
      <c r="C879" s="32"/>
      <c r="D879" s="32"/>
      <c r="E879" s="32"/>
    </row>
    <row r="880" spans="1:5" ht="15.75" thickBot="1">
      <c r="A880" s="32"/>
      <c r="B880" s="32"/>
      <c r="C880" s="32"/>
      <c r="D880" s="32"/>
      <c r="E880" s="32"/>
    </row>
    <row r="881" spans="1:5" ht="15.75" thickBot="1">
      <c r="A881" s="32"/>
      <c r="B881" s="32"/>
      <c r="C881" s="32"/>
      <c r="D881" s="32"/>
      <c r="E881" s="32"/>
    </row>
    <row r="882" spans="1:5" ht="15.75" thickBot="1">
      <c r="A882" s="32"/>
      <c r="B882" s="32"/>
      <c r="C882" s="32"/>
      <c r="D882" s="32"/>
      <c r="E882" s="32"/>
    </row>
    <row r="883" spans="1:5" ht="15.75" thickBot="1">
      <c r="A883" s="32"/>
      <c r="B883" s="32"/>
      <c r="C883" s="32"/>
      <c r="D883" s="32"/>
      <c r="E883" s="32"/>
    </row>
    <row r="884" spans="1:5" ht="15.75" thickBot="1">
      <c r="A884" s="32"/>
      <c r="B884" s="32"/>
      <c r="C884" s="32"/>
      <c r="D884" s="32"/>
      <c r="E884" s="32"/>
    </row>
    <row r="885" spans="1:5" ht="15.75" thickBot="1">
      <c r="A885" s="32"/>
      <c r="B885" s="32"/>
      <c r="C885" s="32"/>
      <c r="D885" s="32"/>
      <c r="E885" s="32"/>
    </row>
    <row r="886" spans="1:5" ht="15.75" thickBot="1">
      <c r="A886" s="32"/>
      <c r="B886" s="32"/>
      <c r="C886" s="32"/>
      <c r="D886" s="32"/>
      <c r="E886" s="32"/>
    </row>
    <row r="887" spans="1:5" ht="15.75" thickBot="1">
      <c r="A887" s="32"/>
      <c r="B887" s="32"/>
      <c r="C887" s="32"/>
      <c r="D887" s="32"/>
      <c r="E887" s="32"/>
    </row>
    <row r="888" spans="1:5" ht="15.75" thickBot="1">
      <c r="A888" s="32"/>
      <c r="B888" s="32"/>
      <c r="C888" s="32"/>
      <c r="D888" s="32"/>
      <c r="E888" s="32"/>
    </row>
    <row r="889" spans="1:5" ht="15.75" thickBot="1">
      <c r="A889" s="32"/>
      <c r="B889" s="32"/>
      <c r="C889" s="32"/>
      <c r="D889" s="32"/>
      <c r="E889" s="32"/>
    </row>
    <row r="890" spans="1:5" ht="15.75" thickBot="1">
      <c r="A890" s="32"/>
      <c r="B890" s="32"/>
      <c r="C890" s="32"/>
      <c r="D890" s="32"/>
      <c r="E890" s="32"/>
    </row>
    <row r="891" spans="1:5" ht="15.75" thickBot="1">
      <c r="A891" s="32"/>
      <c r="B891" s="32"/>
      <c r="C891" s="32"/>
      <c r="D891" s="32"/>
      <c r="E891" s="32"/>
    </row>
    <row r="892" spans="1:5" ht="15.75" thickBot="1">
      <c r="A892" s="32"/>
      <c r="B892" s="32"/>
      <c r="C892" s="32"/>
      <c r="D892" s="32"/>
      <c r="E892" s="32"/>
    </row>
    <row r="893" spans="1:5" ht="15.75" thickBot="1">
      <c r="A893" s="32"/>
      <c r="B893" s="32"/>
      <c r="C893" s="32"/>
      <c r="D893" s="32"/>
      <c r="E893" s="32"/>
    </row>
    <row r="894" spans="1:5" ht="15.75" thickBot="1">
      <c r="A894" s="32"/>
      <c r="B894" s="32"/>
      <c r="C894" s="32"/>
      <c r="D894" s="32"/>
      <c r="E894" s="32"/>
    </row>
    <row r="895" spans="1:5" ht="15.75" thickBot="1">
      <c r="A895" s="32"/>
      <c r="B895" s="32"/>
      <c r="C895" s="32"/>
      <c r="D895" s="32"/>
      <c r="E895" s="32"/>
    </row>
    <row r="896" spans="1:5" ht="15.75" thickBot="1">
      <c r="A896" s="32"/>
      <c r="B896" s="32"/>
      <c r="C896" s="32"/>
      <c r="D896" s="32"/>
      <c r="E896" s="32"/>
    </row>
    <row r="897" spans="1:5" ht="15.75" thickBot="1">
      <c r="A897" s="32"/>
      <c r="B897" s="32"/>
      <c r="C897" s="32"/>
      <c r="D897" s="32"/>
      <c r="E897" s="32"/>
    </row>
    <row r="898" spans="1:5" ht="15.75" thickBot="1">
      <c r="A898" s="32"/>
      <c r="B898" s="32"/>
      <c r="C898" s="32"/>
      <c r="D898" s="32"/>
      <c r="E898" s="32"/>
    </row>
    <row r="899" spans="1:5" ht="15.75" thickBot="1">
      <c r="A899" s="32"/>
      <c r="B899" s="32"/>
      <c r="C899" s="32"/>
      <c r="D899" s="32"/>
      <c r="E899" s="32"/>
    </row>
    <row r="900" spans="1:5" ht="15.75" thickBot="1">
      <c r="A900" s="32"/>
      <c r="B900" s="32"/>
      <c r="C900" s="32"/>
      <c r="D900" s="32"/>
      <c r="E900" s="32"/>
    </row>
    <row r="901" spans="1:5" ht="15.75" thickBot="1">
      <c r="A901" s="32"/>
      <c r="B901" s="32"/>
      <c r="C901" s="32"/>
      <c r="D901" s="32"/>
      <c r="E901" s="32"/>
    </row>
    <row r="902" spans="1:5" ht="15.75" thickBot="1">
      <c r="A902" s="32"/>
      <c r="B902" s="32"/>
      <c r="C902" s="32"/>
      <c r="D902" s="32"/>
      <c r="E902" s="32"/>
    </row>
    <row r="903" spans="1:5" ht="15.75" thickBot="1">
      <c r="A903" s="32"/>
      <c r="B903" s="32"/>
      <c r="C903" s="32"/>
      <c r="D903" s="32"/>
      <c r="E903" s="32"/>
    </row>
    <row r="904" spans="1:5" ht="15.75" thickBot="1">
      <c r="A904" s="32"/>
      <c r="B904" s="32"/>
      <c r="C904" s="32"/>
      <c r="D904" s="32"/>
      <c r="E904" s="32"/>
    </row>
    <row r="905" spans="1:5" ht="15.75" thickBot="1">
      <c r="A905" s="32"/>
      <c r="B905" s="32"/>
      <c r="C905" s="32"/>
      <c r="D905" s="32"/>
      <c r="E905" s="32"/>
    </row>
    <row r="906" spans="1:5" ht="15.75" thickBot="1">
      <c r="A906" s="32"/>
      <c r="B906" s="32"/>
      <c r="C906" s="32"/>
      <c r="D906" s="32"/>
      <c r="E906" s="32"/>
    </row>
    <row r="907" spans="1:5" ht="15.75" thickBot="1">
      <c r="A907" s="32"/>
      <c r="B907" s="32"/>
      <c r="C907" s="32"/>
      <c r="D907" s="32"/>
      <c r="E907" s="32"/>
    </row>
    <row r="908" spans="1:5" ht="15.75" thickBot="1">
      <c r="A908" s="32"/>
      <c r="B908" s="32"/>
      <c r="C908" s="32"/>
      <c r="D908" s="32"/>
      <c r="E908" s="32"/>
    </row>
    <row r="909" spans="1:5" ht="15.75" thickBot="1">
      <c r="A909" s="32"/>
      <c r="B909" s="32"/>
      <c r="C909" s="32"/>
      <c r="D909" s="32"/>
      <c r="E909" s="32"/>
    </row>
    <row r="910" spans="1:5" ht="15.75" thickBot="1">
      <c r="A910" s="32"/>
      <c r="B910" s="32"/>
      <c r="C910" s="32"/>
      <c r="D910" s="32"/>
      <c r="E910" s="32"/>
    </row>
    <row r="911" spans="1:5" ht="15.75" thickBot="1">
      <c r="A911" s="32"/>
      <c r="B911" s="32"/>
      <c r="C911" s="32"/>
      <c r="D911" s="32"/>
      <c r="E911" s="32"/>
    </row>
    <row r="912" spans="1:5" ht="15.75" thickBot="1">
      <c r="A912" s="32"/>
      <c r="B912" s="32"/>
      <c r="C912" s="32"/>
      <c r="D912" s="32"/>
      <c r="E912" s="32"/>
    </row>
    <row r="913" spans="1:5" ht="15.75" thickBot="1">
      <c r="A913" s="32"/>
      <c r="B913" s="32"/>
      <c r="C913" s="32"/>
      <c r="D913" s="32"/>
      <c r="E913" s="32"/>
    </row>
    <row r="914" spans="1:5" ht="15.75" thickBot="1">
      <c r="A914" s="32"/>
      <c r="B914" s="32"/>
      <c r="C914" s="32"/>
      <c r="D914" s="32"/>
      <c r="E914" s="32"/>
    </row>
    <row r="915" spans="1:5" ht="15.75" thickBot="1">
      <c r="A915" s="32"/>
      <c r="B915" s="32"/>
      <c r="C915" s="32"/>
      <c r="D915" s="32"/>
      <c r="E915" s="32"/>
    </row>
    <row r="916" spans="1:5" ht="15.75" thickBot="1">
      <c r="A916" s="32"/>
      <c r="B916" s="32"/>
      <c r="C916" s="32"/>
      <c r="D916" s="32"/>
      <c r="E916" s="32"/>
    </row>
    <row r="917" spans="1:5" ht="15.75" thickBot="1">
      <c r="A917" s="32"/>
      <c r="B917" s="32"/>
      <c r="C917" s="32"/>
      <c r="D917" s="32"/>
      <c r="E917" s="32"/>
    </row>
    <row r="918" spans="1:5" ht="15.75" thickBot="1">
      <c r="A918" s="32"/>
      <c r="B918" s="32"/>
      <c r="C918" s="32"/>
      <c r="D918" s="32"/>
      <c r="E918" s="32"/>
    </row>
    <row r="919" spans="1:5" ht="15.75" thickBot="1">
      <c r="A919" s="32"/>
      <c r="B919" s="32"/>
      <c r="C919" s="32"/>
      <c r="D919" s="32"/>
      <c r="E919" s="32"/>
    </row>
    <row r="920" spans="1:5" ht="15.75" thickBot="1">
      <c r="A920" s="32"/>
      <c r="B920" s="32"/>
      <c r="C920" s="32"/>
      <c r="D920" s="32"/>
      <c r="E920" s="32"/>
    </row>
    <row r="921" spans="1:5" ht="15.75" thickBot="1">
      <c r="A921" s="32"/>
      <c r="B921" s="32"/>
      <c r="C921" s="32"/>
      <c r="D921" s="32"/>
      <c r="E921" s="32"/>
    </row>
    <row r="922" spans="1:5" ht="15.75" thickBot="1">
      <c r="A922" s="32"/>
      <c r="B922" s="32"/>
      <c r="C922" s="32"/>
      <c r="D922" s="32"/>
      <c r="E922" s="32"/>
    </row>
    <row r="923" spans="1:5" ht="15.75" thickBot="1">
      <c r="A923" s="32"/>
      <c r="B923" s="32"/>
      <c r="C923" s="32"/>
      <c r="D923" s="32"/>
      <c r="E923" s="32"/>
    </row>
    <row r="924" spans="1:5" ht="15.75" thickBot="1">
      <c r="A924" s="32"/>
      <c r="B924" s="32"/>
      <c r="C924" s="32"/>
      <c r="D924" s="32"/>
      <c r="E924" s="32"/>
    </row>
    <row r="925" spans="1:5" ht="15.75" thickBot="1">
      <c r="A925" s="32"/>
      <c r="B925" s="32"/>
      <c r="C925" s="32"/>
      <c r="D925" s="32"/>
      <c r="E925" s="32"/>
    </row>
    <row r="926" spans="1:5" ht="15.75" thickBot="1">
      <c r="A926" s="32"/>
      <c r="B926" s="32"/>
      <c r="C926" s="32"/>
      <c r="D926" s="32"/>
      <c r="E926" s="32"/>
    </row>
    <row r="927" spans="1:5" ht="15.75" thickBot="1">
      <c r="A927" s="32"/>
      <c r="B927" s="32"/>
      <c r="C927" s="32"/>
      <c r="D927" s="32"/>
      <c r="E927" s="32"/>
    </row>
    <row r="928" spans="1:5" ht="15.75" thickBot="1">
      <c r="A928" s="32"/>
      <c r="B928" s="32"/>
      <c r="C928" s="32"/>
      <c r="D928" s="32"/>
      <c r="E928" s="32"/>
    </row>
    <row r="929" spans="1:5" ht="15.75" thickBot="1">
      <c r="A929" s="32"/>
      <c r="B929" s="32"/>
      <c r="C929" s="32"/>
      <c r="D929" s="32"/>
      <c r="E929" s="32"/>
    </row>
    <row r="930" spans="1:5" ht="15.75" thickBot="1">
      <c r="A930" s="32"/>
      <c r="B930" s="32"/>
      <c r="C930" s="32"/>
      <c r="D930" s="32"/>
      <c r="E930" s="32"/>
    </row>
    <row r="931" spans="1:5" ht="15.75" thickBot="1">
      <c r="A931" s="32"/>
      <c r="B931" s="32"/>
      <c r="C931" s="32"/>
      <c r="D931" s="32"/>
      <c r="E931" s="32"/>
    </row>
    <row r="932" spans="1:5" ht="15.75" thickBot="1">
      <c r="A932" s="32"/>
      <c r="B932" s="32"/>
      <c r="C932" s="32"/>
      <c r="D932" s="32"/>
      <c r="E932" s="32"/>
    </row>
    <row r="933" spans="1:5" ht="15.75" thickBot="1">
      <c r="A933" s="32"/>
      <c r="B933" s="32"/>
      <c r="C933" s="32"/>
      <c r="D933" s="32"/>
      <c r="E933" s="32"/>
    </row>
    <row r="934" spans="1:5" ht="15.75" thickBot="1">
      <c r="A934" s="32"/>
      <c r="B934" s="32"/>
      <c r="C934" s="32"/>
      <c r="D934" s="32"/>
      <c r="E934" s="32"/>
    </row>
    <row r="935" spans="1:5" ht="15.75" thickBot="1">
      <c r="A935" s="32"/>
      <c r="B935" s="32"/>
      <c r="C935" s="32"/>
      <c r="D935" s="32"/>
      <c r="E935" s="32"/>
    </row>
    <row r="936" spans="1:5" ht="15.75" thickBot="1">
      <c r="A936" s="32"/>
      <c r="B936" s="32"/>
      <c r="C936" s="32"/>
      <c r="D936" s="32"/>
      <c r="E936" s="32"/>
    </row>
    <row r="937" spans="1:5" ht="15.75" thickBot="1">
      <c r="A937" s="32"/>
      <c r="B937" s="32"/>
      <c r="C937" s="32"/>
      <c r="D937" s="32"/>
      <c r="E937" s="32"/>
    </row>
    <row r="938" spans="1:5" ht="15.75" thickBot="1">
      <c r="A938" s="32"/>
      <c r="B938" s="32"/>
      <c r="C938" s="32"/>
      <c r="D938" s="32"/>
      <c r="E938" s="32"/>
    </row>
    <row r="939" spans="1:5" ht="15.75" thickBot="1">
      <c r="A939" s="32"/>
      <c r="B939" s="32"/>
      <c r="C939" s="32"/>
      <c r="D939" s="32"/>
      <c r="E939" s="32"/>
    </row>
    <row r="940" spans="1:5" ht="15.75" thickBot="1">
      <c r="A940" s="32"/>
      <c r="B940" s="32"/>
      <c r="C940" s="32"/>
      <c r="D940" s="32"/>
      <c r="E940" s="32"/>
    </row>
    <row r="941" spans="1:5" ht="15.75" thickBot="1">
      <c r="A941" s="32"/>
      <c r="B941" s="32"/>
      <c r="C941" s="32"/>
      <c r="D941" s="32"/>
      <c r="E941" s="32"/>
    </row>
    <row r="942" spans="1:5" ht="15.75" thickBot="1">
      <c r="A942" s="32"/>
      <c r="B942" s="32"/>
      <c r="C942" s="32"/>
      <c r="D942" s="32"/>
      <c r="E942" s="32"/>
    </row>
    <row r="943" spans="1:5" ht="15.75" thickBot="1">
      <c r="A943" s="32"/>
      <c r="B943" s="32"/>
      <c r="C943" s="32"/>
      <c r="D943" s="32"/>
      <c r="E943" s="32"/>
    </row>
    <row r="944" spans="1:5" ht="15.75" thickBot="1">
      <c r="A944" s="32"/>
      <c r="B944" s="32"/>
      <c r="C944" s="32"/>
      <c r="D944" s="32"/>
      <c r="E944" s="32"/>
    </row>
    <row r="945" spans="1:5" ht="15.75" thickBot="1">
      <c r="A945" s="32"/>
      <c r="B945" s="32"/>
      <c r="C945" s="32"/>
      <c r="D945" s="32"/>
      <c r="E945" s="32"/>
    </row>
    <row r="946" spans="1:5" ht="15.75" thickBot="1">
      <c r="A946" s="32"/>
      <c r="B946" s="32"/>
      <c r="C946" s="32"/>
      <c r="D946" s="32"/>
      <c r="E946" s="32"/>
    </row>
    <row r="947" spans="1:5" ht="15.75" thickBot="1">
      <c r="A947" s="32"/>
      <c r="B947" s="32"/>
      <c r="C947" s="32"/>
      <c r="D947" s="32"/>
      <c r="E947" s="32"/>
    </row>
    <row r="948" spans="1:5" ht="15.75" thickBot="1">
      <c r="A948" s="32"/>
      <c r="B948" s="32"/>
      <c r="C948" s="32"/>
      <c r="D948" s="32"/>
      <c r="E948" s="32"/>
    </row>
    <row r="949" spans="1:5" ht="15.75" thickBot="1">
      <c r="A949" s="32"/>
      <c r="B949" s="32"/>
      <c r="C949" s="32"/>
      <c r="D949" s="32"/>
      <c r="E949" s="32"/>
    </row>
    <row r="950" spans="1:5" ht="15.75" thickBot="1">
      <c r="A950" s="32"/>
      <c r="B950" s="32"/>
      <c r="C950" s="32"/>
      <c r="D950" s="32"/>
      <c r="E950" s="32"/>
    </row>
    <row r="951" spans="1:5" ht="15.75" thickBot="1">
      <c r="A951" s="32"/>
      <c r="B951" s="32"/>
      <c r="C951" s="32"/>
      <c r="D951" s="32"/>
      <c r="E951" s="32"/>
    </row>
    <row r="952" spans="1:5" ht="15.75" thickBot="1">
      <c r="A952" s="32"/>
      <c r="B952" s="32"/>
      <c r="C952" s="32"/>
      <c r="D952" s="32"/>
      <c r="E952" s="32"/>
    </row>
    <row r="953" spans="1:5" ht="15.75" thickBot="1">
      <c r="A953" s="32"/>
      <c r="B953" s="32"/>
      <c r="C953" s="32"/>
      <c r="D953" s="32"/>
      <c r="E953" s="32"/>
    </row>
    <row r="954" spans="1:5" ht="15.75" thickBot="1">
      <c r="A954" s="32"/>
      <c r="B954" s="32"/>
      <c r="C954" s="32"/>
      <c r="D954" s="32"/>
      <c r="E954" s="32"/>
    </row>
    <row r="955" spans="1:5" ht="15.75" thickBot="1">
      <c r="A955" s="32"/>
      <c r="B955" s="32"/>
      <c r="C955" s="32"/>
      <c r="D955" s="32"/>
      <c r="E955" s="32"/>
    </row>
    <row r="956" spans="1:5" ht="15.75" thickBot="1">
      <c r="A956" s="32"/>
      <c r="B956" s="32"/>
      <c r="C956" s="32"/>
      <c r="D956" s="32"/>
      <c r="E956" s="32"/>
    </row>
    <row r="957" spans="1:5" ht="15.75" thickBot="1">
      <c r="A957" s="32"/>
      <c r="B957" s="32"/>
      <c r="C957" s="32"/>
      <c r="D957" s="32"/>
      <c r="E957" s="32"/>
    </row>
    <row r="958" spans="1:5" ht="15.75" thickBot="1">
      <c r="A958" s="32"/>
      <c r="B958" s="32"/>
      <c r="C958" s="32"/>
      <c r="D958" s="32"/>
      <c r="E958" s="32"/>
    </row>
    <row r="959" spans="1:5" ht="15.75" thickBot="1">
      <c r="A959" s="32"/>
      <c r="B959" s="32"/>
      <c r="C959" s="32"/>
      <c r="D959" s="32"/>
      <c r="E959" s="32"/>
    </row>
    <row r="960" spans="1:5" ht="15.75" thickBot="1">
      <c r="A960" s="32"/>
      <c r="B960" s="32"/>
      <c r="C960" s="32"/>
      <c r="D960" s="32"/>
      <c r="E960" s="32"/>
    </row>
    <row r="961" spans="1:5" ht="15.75" thickBot="1">
      <c r="A961" s="32"/>
      <c r="B961" s="32"/>
      <c r="C961" s="32"/>
      <c r="D961" s="32"/>
      <c r="E961" s="32"/>
    </row>
    <row r="962" spans="1:5" ht="15.75" thickBot="1">
      <c r="A962" s="32"/>
      <c r="B962" s="32"/>
      <c r="C962" s="32"/>
      <c r="D962" s="32"/>
      <c r="E962" s="32"/>
    </row>
    <row r="963" spans="1:5" ht="15.75" thickBot="1">
      <c r="A963" s="32"/>
      <c r="B963" s="32"/>
      <c r="C963" s="32"/>
      <c r="D963" s="32"/>
      <c r="E963" s="32"/>
    </row>
    <row r="964" spans="1:5" ht="15.75" thickBot="1">
      <c r="A964" s="32"/>
      <c r="B964" s="32"/>
      <c r="C964" s="32"/>
      <c r="D964" s="32"/>
      <c r="E964" s="32"/>
    </row>
    <row r="965" spans="1:5" ht="15.75" thickBot="1">
      <c r="A965" s="32"/>
      <c r="B965" s="32"/>
      <c r="C965" s="32"/>
      <c r="D965" s="32"/>
      <c r="E965" s="32"/>
    </row>
    <row r="966" spans="1:5" ht="15.75" thickBot="1">
      <c r="A966" s="32"/>
      <c r="B966" s="32"/>
      <c r="C966" s="32"/>
      <c r="D966" s="32"/>
      <c r="E966" s="32"/>
    </row>
    <row r="967" spans="1:5" ht="15.75" thickBot="1">
      <c r="A967" s="32"/>
      <c r="B967" s="32"/>
      <c r="C967" s="32"/>
      <c r="D967" s="32"/>
      <c r="E967" s="32"/>
    </row>
    <row r="968" spans="1:5" ht="15.75" thickBot="1">
      <c r="A968" s="32"/>
      <c r="B968" s="32"/>
      <c r="C968" s="32"/>
      <c r="D968" s="32"/>
      <c r="E968" s="32"/>
    </row>
    <row r="969" spans="1:5" ht="15.75" thickBot="1">
      <c r="A969" s="32"/>
      <c r="B969" s="32"/>
      <c r="C969" s="32"/>
      <c r="D969" s="32"/>
      <c r="E969" s="32"/>
    </row>
    <row r="970" spans="1:5" ht="15.75" thickBot="1">
      <c r="A970" s="32"/>
      <c r="B970" s="32"/>
      <c r="C970" s="32"/>
      <c r="D970" s="32"/>
      <c r="E970" s="32"/>
    </row>
    <row r="971" spans="1:5" ht="15.75" thickBot="1">
      <c r="A971" s="32"/>
      <c r="B971" s="32"/>
      <c r="C971" s="32"/>
      <c r="D971" s="32"/>
      <c r="E971" s="32"/>
    </row>
    <row r="972" spans="1:5" ht="15.75" thickBot="1">
      <c r="A972" s="32"/>
      <c r="B972" s="32"/>
      <c r="C972" s="32"/>
      <c r="D972" s="32"/>
      <c r="E972" s="32"/>
    </row>
    <row r="973" spans="1:5" ht="15.75" thickBot="1">
      <c r="A973" s="32"/>
      <c r="B973" s="32"/>
      <c r="C973" s="32"/>
      <c r="D973" s="32"/>
      <c r="E973" s="32"/>
    </row>
    <row r="974" spans="1:5" ht="15.75" thickBot="1">
      <c r="A974" s="32"/>
      <c r="B974" s="32"/>
      <c r="C974" s="32"/>
      <c r="D974" s="32"/>
      <c r="E974" s="32"/>
    </row>
    <row r="975" spans="1:5" ht="15.75" thickBot="1">
      <c r="A975" s="32"/>
      <c r="B975" s="32"/>
      <c r="C975" s="32"/>
      <c r="D975" s="32"/>
      <c r="E975" s="32"/>
    </row>
    <row r="976" spans="1:5" ht="15.75" thickBot="1">
      <c r="A976" s="32"/>
      <c r="B976" s="32"/>
      <c r="C976" s="32"/>
      <c r="D976" s="32"/>
      <c r="E976" s="32"/>
    </row>
    <row r="977" spans="1:5" ht="15.75" thickBot="1">
      <c r="A977" s="32"/>
      <c r="B977" s="32"/>
      <c r="C977" s="32"/>
      <c r="D977" s="32"/>
      <c r="E977" s="32"/>
    </row>
    <row r="978" spans="1:5" ht="15.75" thickBot="1">
      <c r="A978" s="32"/>
      <c r="B978" s="32"/>
      <c r="C978" s="32"/>
      <c r="D978" s="32"/>
      <c r="E978" s="32"/>
    </row>
    <row r="979" spans="1:5" ht="15.75" thickBot="1">
      <c r="A979" s="32"/>
      <c r="B979" s="32"/>
      <c r="C979" s="32"/>
      <c r="D979" s="32"/>
      <c r="E979" s="32"/>
    </row>
    <row r="980" spans="1:5" ht="15.75" thickBot="1">
      <c r="A980" s="32"/>
      <c r="B980" s="32"/>
      <c r="C980" s="32"/>
      <c r="D980" s="32"/>
      <c r="E980" s="32"/>
    </row>
    <row r="981" spans="1:5" ht="15.75" thickBot="1">
      <c r="A981" s="32"/>
      <c r="B981" s="32"/>
      <c r="C981" s="32"/>
      <c r="D981" s="32"/>
      <c r="E981" s="32"/>
    </row>
    <row r="982" spans="1:5" ht="15.75" thickBot="1">
      <c r="A982" s="32"/>
      <c r="B982" s="32"/>
      <c r="C982" s="32"/>
      <c r="D982" s="32"/>
      <c r="E982" s="32"/>
    </row>
    <row r="983" spans="1:5" ht="15.75" thickBot="1">
      <c r="A983" s="32"/>
      <c r="B983" s="32"/>
      <c r="C983" s="32"/>
      <c r="D983" s="32"/>
      <c r="E983" s="32"/>
    </row>
    <row r="984" spans="1:5" ht="15.75" thickBot="1">
      <c r="A984" s="32"/>
      <c r="B984" s="32"/>
      <c r="C984" s="32"/>
      <c r="D984" s="32"/>
      <c r="E984" s="32"/>
    </row>
    <row r="985" spans="1:5" ht="15.75" thickBot="1">
      <c r="A985" s="32"/>
      <c r="B985" s="32"/>
      <c r="C985" s="32"/>
      <c r="D985" s="32"/>
      <c r="E985" s="32"/>
    </row>
    <row r="986" spans="1:5" ht="15.75" thickBot="1">
      <c r="A986" s="32"/>
      <c r="B986" s="32"/>
      <c r="C986" s="32"/>
      <c r="D986" s="32"/>
      <c r="E986" s="32"/>
    </row>
    <row r="987" spans="1:5" ht="15.75" thickBot="1">
      <c r="A987" s="32"/>
      <c r="B987" s="32"/>
      <c r="C987" s="32"/>
      <c r="D987" s="32"/>
      <c r="E987" s="32"/>
    </row>
    <row r="988" spans="1:5" ht="15.75" thickBot="1">
      <c r="A988" s="32"/>
      <c r="B988" s="32"/>
      <c r="C988" s="32"/>
      <c r="D988" s="32"/>
      <c r="E988" s="32"/>
    </row>
    <row r="989" spans="1:5" ht="15.75" thickBot="1">
      <c r="A989" s="32"/>
      <c r="B989" s="32"/>
      <c r="C989" s="32"/>
      <c r="D989" s="32"/>
      <c r="E989" s="32"/>
    </row>
    <row r="990" spans="1:5" ht="15.75" thickBot="1">
      <c r="A990" s="32"/>
      <c r="B990" s="32"/>
      <c r="C990" s="32"/>
      <c r="D990" s="32"/>
      <c r="E990" s="32"/>
    </row>
    <row r="991" spans="1:5" ht="15.75" thickBot="1">
      <c r="A991" s="32"/>
      <c r="B991" s="32"/>
      <c r="C991" s="32"/>
      <c r="D991" s="32"/>
      <c r="E991" s="32"/>
    </row>
    <row r="992" spans="1:5" ht="15.75" thickBot="1">
      <c r="A992" s="32"/>
      <c r="B992" s="32"/>
      <c r="C992" s="32"/>
      <c r="D992" s="32"/>
      <c r="E992" s="32"/>
    </row>
    <row r="993" spans="1:5" ht="15.75" thickBot="1">
      <c r="A993" s="32"/>
      <c r="B993" s="32"/>
      <c r="C993" s="32"/>
      <c r="D993" s="32"/>
      <c r="E993" s="32"/>
    </row>
    <row r="994" spans="1:5" ht="15.75" thickBot="1">
      <c r="A994" s="32"/>
      <c r="B994" s="32"/>
      <c r="C994" s="32"/>
      <c r="D994" s="32"/>
      <c r="E994" s="32"/>
    </row>
    <row r="995" spans="1:5" ht="15.75" thickBot="1">
      <c r="A995" s="32"/>
      <c r="B995" s="32"/>
      <c r="C995" s="32"/>
      <c r="D995" s="32"/>
      <c r="E995" s="32"/>
    </row>
    <row r="996" spans="1:5" ht="15.75" thickBot="1">
      <c r="A996" s="32"/>
      <c r="B996" s="32"/>
      <c r="C996" s="32"/>
      <c r="D996" s="32"/>
      <c r="E996" s="32"/>
    </row>
    <row r="997" spans="1:5" ht="15.75" thickBot="1">
      <c r="A997" s="32"/>
      <c r="B997" s="32"/>
      <c r="C997" s="32"/>
      <c r="D997" s="32"/>
      <c r="E997" s="32"/>
    </row>
    <row r="998" spans="1:5" ht="15.75" thickBot="1">
      <c r="A998" s="32"/>
      <c r="B998" s="32"/>
      <c r="C998" s="32"/>
      <c r="D998" s="32"/>
      <c r="E998" s="32"/>
    </row>
    <row r="999" spans="1:5" ht="15.75" thickBot="1">
      <c r="A999" s="32"/>
      <c r="B999" s="32"/>
      <c r="C999" s="32"/>
      <c r="D999" s="32"/>
      <c r="E999" s="32"/>
    </row>
    <row r="1000" spans="1:5" ht="15.75" thickBot="1">
      <c r="A1000" s="32"/>
      <c r="B1000" s="32"/>
      <c r="C1000" s="32"/>
      <c r="D1000" s="32"/>
      <c r="E1000" s="32"/>
    </row>
    <row r="1001" spans="1:5" ht="15.75" thickBot="1">
      <c r="A1001" s="32"/>
      <c r="B1001" s="32"/>
      <c r="C1001" s="32"/>
      <c r="D1001" s="32"/>
      <c r="E1001" s="32"/>
    </row>
    <row r="1002" spans="1:5" ht="15.75" thickBot="1">
      <c r="A1002" s="32"/>
      <c r="B1002" s="32"/>
      <c r="C1002" s="32"/>
      <c r="D1002" s="32"/>
      <c r="E1002" s="32"/>
    </row>
    <row r="1003" spans="1:5" ht="15.75" thickBot="1">
      <c r="A1003" s="32"/>
      <c r="B1003" s="32"/>
      <c r="C1003" s="32"/>
      <c r="D1003" s="32"/>
      <c r="E1003" s="32"/>
    </row>
    <row r="1004" spans="1:5" ht="15.75" thickBot="1">
      <c r="A1004" s="32"/>
      <c r="B1004" s="32"/>
      <c r="C1004" s="32"/>
      <c r="D1004" s="32"/>
      <c r="E1004" s="32"/>
    </row>
    <row r="1005" spans="1:5" ht="15.75" thickBot="1">
      <c r="A1005" s="32"/>
      <c r="B1005" s="32"/>
      <c r="C1005" s="32"/>
      <c r="D1005" s="32"/>
      <c r="E1005" s="32"/>
    </row>
    <row r="1006" spans="1:5" ht="15.75" thickBot="1">
      <c r="A1006" s="32"/>
      <c r="B1006" s="32"/>
      <c r="C1006" s="32"/>
      <c r="D1006" s="32"/>
      <c r="E1006" s="32"/>
    </row>
    <row r="1007" spans="1:5" ht="15.75" thickBot="1">
      <c r="A1007" s="32"/>
      <c r="B1007" s="32"/>
      <c r="C1007" s="32"/>
      <c r="D1007" s="32"/>
      <c r="E1007" s="32"/>
    </row>
    <row r="1008" spans="1:5" ht="15.75" thickBot="1">
      <c r="A1008" s="32"/>
      <c r="B1008" s="32"/>
      <c r="C1008" s="32"/>
      <c r="D1008" s="32"/>
      <c r="E1008" s="32"/>
    </row>
    <row r="1009" spans="1:5" ht="15.75" thickBot="1">
      <c r="A1009" s="32"/>
      <c r="B1009" s="32"/>
      <c r="C1009" s="32"/>
      <c r="D1009" s="32"/>
      <c r="E1009" s="32"/>
    </row>
    <row r="1010" spans="1:5" ht="15.75" thickBot="1">
      <c r="A1010" s="32"/>
      <c r="B1010" s="32"/>
      <c r="C1010" s="32"/>
      <c r="D1010" s="32"/>
      <c r="E1010" s="32"/>
    </row>
    <row r="1011" spans="1:5" ht="15.75" thickBot="1">
      <c r="A1011" s="32"/>
      <c r="B1011" s="32"/>
      <c r="C1011" s="32"/>
      <c r="D1011" s="32"/>
      <c r="E1011" s="32"/>
    </row>
    <row r="1012" spans="1:5" ht="15.75" thickBot="1">
      <c r="A1012" s="32"/>
      <c r="B1012" s="32"/>
      <c r="C1012" s="32"/>
      <c r="D1012" s="32"/>
      <c r="E1012" s="32"/>
    </row>
    <row r="1013" spans="1:5" ht="15.75" thickBot="1">
      <c r="A1013" s="32"/>
      <c r="B1013" s="32"/>
      <c r="C1013" s="32"/>
      <c r="D1013" s="32"/>
      <c r="E1013" s="32"/>
    </row>
    <row r="1014" spans="1:5" ht="15.75" thickBot="1">
      <c r="A1014" s="32"/>
      <c r="B1014" s="32"/>
      <c r="C1014" s="32"/>
      <c r="D1014" s="32"/>
      <c r="E1014" s="32"/>
    </row>
    <row r="1015" spans="1:5" ht="15.75" thickBot="1">
      <c r="A1015" s="32"/>
      <c r="B1015" s="32"/>
      <c r="C1015" s="32"/>
      <c r="D1015" s="32"/>
      <c r="E1015" s="32"/>
    </row>
    <row r="1016" spans="1:5" ht="15.75" thickBot="1">
      <c r="A1016" s="32"/>
      <c r="B1016" s="32"/>
      <c r="C1016" s="32"/>
      <c r="D1016" s="32"/>
      <c r="E1016" s="32"/>
    </row>
    <row r="1017" spans="1:5" ht="15.75" thickBot="1">
      <c r="A1017" s="32"/>
      <c r="B1017" s="32"/>
      <c r="C1017" s="32"/>
      <c r="D1017" s="32"/>
      <c r="E1017" s="32"/>
    </row>
    <row r="1018" spans="1:5" ht="15.75" thickBot="1">
      <c r="A1018" s="32"/>
      <c r="B1018" s="32"/>
      <c r="C1018" s="32"/>
      <c r="D1018" s="32"/>
      <c r="E1018" s="32"/>
    </row>
    <row r="1019" spans="1:5" ht="15.75" thickBot="1">
      <c r="A1019" s="32"/>
      <c r="B1019" s="32"/>
      <c r="C1019" s="32"/>
      <c r="D1019" s="32"/>
      <c r="E1019" s="32"/>
    </row>
    <row r="1020" spans="1:5" ht="15.75" thickBot="1">
      <c r="A1020" s="32"/>
      <c r="B1020" s="32"/>
      <c r="C1020" s="32"/>
      <c r="D1020" s="32"/>
      <c r="E1020" s="32"/>
    </row>
    <row r="1021" spans="1:5" ht="15.75" thickBot="1">
      <c r="A1021" s="32"/>
      <c r="B1021" s="32"/>
      <c r="C1021" s="32"/>
      <c r="D1021" s="32"/>
      <c r="E1021" s="32"/>
    </row>
    <row r="1022" spans="1:5" ht="15.75" thickBot="1">
      <c r="A1022" s="32"/>
      <c r="B1022" s="32"/>
      <c r="C1022" s="32"/>
      <c r="D1022" s="32"/>
      <c r="E1022" s="32"/>
    </row>
    <row r="1023" spans="1:5" ht="15.75" thickBot="1">
      <c r="A1023" s="32"/>
      <c r="B1023" s="32"/>
      <c r="C1023" s="32"/>
      <c r="D1023" s="32"/>
      <c r="E1023" s="32"/>
    </row>
    <row r="1024" spans="1:5" ht="15.75" thickBot="1">
      <c r="A1024" s="32"/>
      <c r="B1024" s="32"/>
      <c r="C1024" s="32"/>
      <c r="D1024" s="32"/>
      <c r="E1024" s="32"/>
    </row>
    <row r="1025" spans="1:5" ht="15.75" thickBot="1">
      <c r="A1025" s="32"/>
      <c r="B1025" s="32"/>
      <c r="C1025" s="32"/>
      <c r="D1025" s="32"/>
      <c r="E1025" s="32"/>
    </row>
    <row r="1026" spans="1:5" ht="15.75" thickBot="1">
      <c r="A1026" s="32"/>
      <c r="B1026" s="32"/>
      <c r="C1026" s="32"/>
      <c r="D1026" s="32"/>
      <c r="E1026" s="32"/>
    </row>
    <row r="1027" spans="1:5" ht="15.75" thickBot="1">
      <c r="A1027" s="32"/>
      <c r="B1027" s="32"/>
      <c r="C1027" s="32"/>
      <c r="D1027" s="32"/>
      <c r="E1027" s="32"/>
    </row>
    <row r="1028" spans="1:5" ht="15.75" thickBot="1">
      <c r="A1028" s="32"/>
      <c r="B1028" s="32"/>
      <c r="C1028" s="32"/>
      <c r="D1028" s="32"/>
      <c r="E1028" s="32"/>
    </row>
    <row r="1029" spans="1:5" ht="15.75" thickBot="1">
      <c r="A1029" s="32"/>
      <c r="B1029" s="32"/>
      <c r="C1029" s="32"/>
      <c r="D1029" s="32"/>
      <c r="E1029" s="32"/>
    </row>
    <row r="1030" spans="1:5" ht="15.75" thickBot="1">
      <c r="A1030" s="32"/>
      <c r="B1030" s="32"/>
      <c r="C1030" s="32"/>
      <c r="D1030" s="32"/>
      <c r="E1030" s="32"/>
    </row>
    <row r="1031" spans="1:5" ht="15.75" thickBot="1">
      <c r="A1031" s="32"/>
      <c r="B1031" s="32"/>
      <c r="C1031" s="32"/>
      <c r="D1031" s="32"/>
      <c r="E1031" s="32"/>
    </row>
    <row r="1032" spans="1:5" ht="15.75" thickBot="1">
      <c r="A1032" s="32"/>
      <c r="B1032" s="32"/>
      <c r="C1032" s="32"/>
      <c r="D1032" s="32"/>
      <c r="E1032" s="32"/>
    </row>
    <row r="1033" spans="1:5" ht="15.75" thickBot="1">
      <c r="A1033" s="32"/>
      <c r="B1033" s="32"/>
      <c r="C1033" s="32"/>
      <c r="D1033" s="32"/>
      <c r="E1033" s="32"/>
    </row>
    <row r="1034" spans="1:5" ht="15.75" thickBot="1">
      <c r="A1034" s="32"/>
      <c r="B1034" s="32"/>
      <c r="C1034" s="32"/>
      <c r="D1034" s="32"/>
      <c r="E1034" s="32"/>
    </row>
    <row r="1035" spans="1:5" ht="15.75" thickBot="1">
      <c r="A1035" s="32"/>
      <c r="B1035" s="32"/>
      <c r="C1035" s="32"/>
      <c r="D1035" s="32"/>
      <c r="E1035" s="32"/>
    </row>
    <row r="1036" spans="1:5" ht="15.75" thickBot="1">
      <c r="A1036" s="32"/>
      <c r="B1036" s="32"/>
      <c r="C1036" s="32"/>
      <c r="D1036" s="32"/>
      <c r="E1036" s="32"/>
    </row>
    <row r="1037" spans="1:5" ht="15.75" thickBot="1">
      <c r="A1037" s="32"/>
      <c r="B1037" s="32"/>
      <c r="C1037" s="32"/>
      <c r="D1037" s="32"/>
      <c r="E1037" s="32"/>
    </row>
    <row r="1038" spans="1:5" ht="15.75" thickBot="1">
      <c r="A1038" s="32"/>
      <c r="B1038" s="32"/>
      <c r="C1038" s="32"/>
      <c r="D1038" s="32"/>
      <c r="E1038" s="32"/>
    </row>
    <row r="1039" spans="1:5" ht="15.75" thickBot="1">
      <c r="A1039" s="32"/>
      <c r="B1039" s="32"/>
      <c r="C1039" s="32"/>
      <c r="D1039" s="32"/>
      <c r="E1039" s="32"/>
    </row>
    <row r="1040" spans="1:5" ht="15.75" thickBot="1">
      <c r="A1040" s="32"/>
      <c r="B1040" s="32"/>
      <c r="C1040" s="32"/>
      <c r="D1040" s="32"/>
      <c r="E1040" s="32"/>
    </row>
    <row r="1041" spans="1:5" ht="15.75" thickBot="1">
      <c r="A1041" s="32"/>
      <c r="B1041" s="32"/>
      <c r="C1041" s="32"/>
      <c r="D1041" s="32"/>
      <c r="E1041" s="32"/>
    </row>
    <row r="1042" spans="1:5" ht="15.75" thickBot="1">
      <c r="A1042" s="32"/>
      <c r="B1042" s="32"/>
      <c r="C1042" s="32"/>
      <c r="D1042" s="32"/>
      <c r="E1042" s="32"/>
    </row>
    <row r="1043" spans="1:5" ht="15.75" thickBot="1">
      <c r="A1043" s="32"/>
      <c r="B1043" s="32"/>
      <c r="C1043" s="32"/>
      <c r="D1043" s="32"/>
      <c r="E1043" s="32"/>
    </row>
    <row r="1044" spans="1:5" ht="15.75" thickBot="1">
      <c r="A1044" s="32"/>
      <c r="B1044" s="32"/>
      <c r="C1044" s="32"/>
      <c r="D1044" s="32"/>
      <c r="E1044" s="32"/>
    </row>
    <row r="1045" spans="1:5" ht="15.75" thickBot="1">
      <c r="A1045" s="32"/>
      <c r="B1045" s="32"/>
      <c r="C1045" s="32"/>
      <c r="D1045" s="32"/>
      <c r="E1045" s="32"/>
    </row>
    <row r="1046" spans="1:5" ht="15.75" thickBot="1">
      <c r="A1046" s="32"/>
      <c r="B1046" s="32"/>
      <c r="C1046" s="32"/>
      <c r="D1046" s="32"/>
      <c r="E1046" s="32"/>
    </row>
    <row r="1047" spans="1:5" ht="15.75" thickBot="1">
      <c r="A1047" s="32"/>
      <c r="B1047" s="32"/>
      <c r="C1047" s="32"/>
      <c r="D1047" s="32"/>
      <c r="E1047" s="32"/>
    </row>
    <row r="1048" spans="1:5" ht="15.75" thickBot="1">
      <c r="A1048" s="32"/>
      <c r="B1048" s="32"/>
      <c r="C1048" s="32"/>
      <c r="D1048" s="32"/>
      <c r="E1048" s="32"/>
    </row>
    <row r="1049" spans="1:5" ht="15.75" thickBot="1">
      <c r="A1049" s="32"/>
      <c r="B1049" s="32"/>
      <c r="C1049" s="32"/>
      <c r="D1049" s="32"/>
      <c r="E1049" s="32"/>
    </row>
    <row r="1050" spans="1:5" ht="15.75" thickBot="1">
      <c r="A1050" s="32"/>
      <c r="B1050" s="32"/>
      <c r="C1050" s="32"/>
      <c r="D1050" s="32"/>
      <c r="E1050" s="32"/>
    </row>
    <row r="1051" spans="1:5" ht="15.75" thickBot="1">
      <c r="A1051" s="32"/>
      <c r="B1051" s="32"/>
      <c r="C1051" s="32"/>
      <c r="D1051" s="32"/>
      <c r="E1051" s="32"/>
    </row>
    <row r="1052" spans="1:5" ht="15.75" thickBot="1">
      <c r="A1052" s="32"/>
      <c r="B1052" s="32"/>
      <c r="C1052" s="32"/>
      <c r="D1052" s="32"/>
      <c r="E1052" s="32"/>
    </row>
    <row r="1053" spans="1:5" ht="15.75" thickBot="1">
      <c r="A1053" s="32"/>
      <c r="B1053" s="32"/>
      <c r="C1053" s="32"/>
      <c r="D1053" s="32"/>
      <c r="E1053" s="32"/>
    </row>
    <row r="1054" spans="1:5" ht="15.75" thickBot="1">
      <c r="A1054" s="32"/>
      <c r="B1054" s="32"/>
      <c r="C1054" s="32"/>
      <c r="D1054" s="32"/>
      <c r="E1054" s="32"/>
    </row>
    <row r="1055" spans="1:5" ht="15.75" thickBot="1">
      <c r="A1055" s="32"/>
      <c r="B1055" s="32"/>
      <c r="C1055" s="32"/>
      <c r="D1055" s="32"/>
      <c r="E1055" s="32"/>
    </row>
    <row r="1056" spans="1:5" ht="15.75" thickBot="1">
      <c r="A1056" s="32"/>
      <c r="B1056" s="32"/>
      <c r="C1056" s="32"/>
      <c r="D1056" s="32"/>
      <c r="E1056" s="32"/>
    </row>
    <row r="1057" spans="1:5" ht="15.75" thickBot="1">
      <c r="A1057" s="32"/>
      <c r="B1057" s="32"/>
      <c r="C1057" s="32"/>
      <c r="D1057" s="32"/>
      <c r="E1057" s="32"/>
    </row>
    <row r="1058" spans="1:5" ht="15.75" thickBot="1">
      <c r="A1058" s="32"/>
      <c r="B1058" s="32"/>
      <c r="C1058" s="32"/>
      <c r="D1058" s="32"/>
      <c r="E1058" s="32"/>
    </row>
    <row r="1059" spans="1:5" ht="15.75" thickBot="1">
      <c r="A1059" s="32"/>
      <c r="B1059" s="32"/>
      <c r="C1059" s="32"/>
      <c r="D1059" s="32"/>
      <c r="E1059" s="32"/>
    </row>
    <row r="1060" spans="1:5" ht="15.75" thickBot="1">
      <c r="A1060" s="32"/>
      <c r="B1060" s="32"/>
      <c r="C1060" s="32"/>
      <c r="D1060" s="32"/>
      <c r="E1060" s="32"/>
    </row>
    <row r="1061" spans="1:5" ht="15.75" thickBot="1">
      <c r="A1061" s="32"/>
      <c r="B1061" s="32"/>
      <c r="C1061" s="32"/>
      <c r="D1061" s="32"/>
      <c r="E1061" s="32"/>
    </row>
    <row r="1062" spans="1:5" ht="15.75" thickBot="1">
      <c r="A1062" s="32"/>
      <c r="B1062" s="32"/>
      <c r="C1062" s="32"/>
      <c r="D1062" s="32"/>
      <c r="E1062" s="32"/>
    </row>
    <row r="1063" spans="1:5" ht="15.75" thickBot="1">
      <c r="A1063" s="32"/>
      <c r="B1063" s="32"/>
      <c r="C1063" s="32"/>
      <c r="D1063" s="32"/>
      <c r="E1063" s="32"/>
    </row>
    <row r="1064" spans="1:5" ht="15.75" thickBot="1">
      <c r="A1064" s="32"/>
      <c r="B1064" s="32"/>
      <c r="C1064" s="32"/>
      <c r="D1064" s="32"/>
      <c r="E1064" s="32"/>
    </row>
    <row r="1065" spans="1:5" ht="15.75" thickBot="1">
      <c r="A1065" s="32"/>
      <c r="B1065" s="32"/>
      <c r="C1065" s="32"/>
      <c r="D1065" s="32"/>
      <c r="E1065" s="32"/>
    </row>
    <row r="1066" spans="1:5" ht="15.75" thickBot="1">
      <c r="A1066" s="32"/>
      <c r="B1066" s="32"/>
      <c r="C1066" s="32"/>
      <c r="D1066" s="32"/>
      <c r="E1066" s="32"/>
    </row>
    <row r="1067" spans="1:5" ht="15.75" thickBot="1">
      <c r="A1067" s="32"/>
      <c r="B1067" s="32"/>
      <c r="C1067" s="32"/>
      <c r="D1067" s="32"/>
      <c r="E1067" s="32"/>
    </row>
    <row r="1068" spans="1:5" ht="15.75" thickBot="1">
      <c r="A1068" s="32"/>
      <c r="B1068" s="32"/>
      <c r="C1068" s="32"/>
      <c r="D1068" s="32"/>
      <c r="E1068" s="32"/>
    </row>
    <row r="1069" spans="1:5" ht="15.75" thickBot="1">
      <c r="A1069" s="32"/>
      <c r="B1069" s="32"/>
      <c r="C1069" s="32"/>
      <c r="D1069" s="32"/>
      <c r="E1069" s="32"/>
    </row>
    <row r="1070" spans="1:5" ht="15.75" thickBot="1">
      <c r="A1070" s="32"/>
      <c r="B1070" s="32"/>
      <c r="C1070" s="32"/>
      <c r="D1070" s="32"/>
      <c r="E1070" s="32"/>
    </row>
    <row r="1071" spans="1:5" ht="15.75" thickBot="1">
      <c r="A1071" s="32"/>
      <c r="B1071" s="32"/>
      <c r="C1071" s="32"/>
      <c r="D1071" s="32"/>
      <c r="E1071" s="32"/>
    </row>
    <row r="1072" spans="1:5" ht="15.75" thickBot="1">
      <c r="A1072" s="32"/>
      <c r="B1072" s="32"/>
      <c r="C1072" s="32"/>
      <c r="D1072" s="32"/>
      <c r="E1072" s="32"/>
    </row>
    <row r="1073" spans="1:5" ht="15.75" thickBot="1">
      <c r="A1073" s="32"/>
      <c r="B1073" s="32"/>
      <c r="C1073" s="32"/>
      <c r="D1073" s="32"/>
      <c r="E1073" s="32"/>
    </row>
    <row r="1074" spans="1:5" ht="15.75" thickBot="1">
      <c r="A1074" s="32"/>
      <c r="B1074" s="32"/>
      <c r="C1074" s="32"/>
      <c r="D1074" s="32"/>
      <c r="E1074" s="32"/>
    </row>
    <row r="1075" spans="1:5" ht="15.75" thickBot="1">
      <c r="A1075" s="32"/>
      <c r="B1075" s="32"/>
      <c r="C1075" s="32"/>
      <c r="D1075" s="32"/>
      <c r="E1075" s="32"/>
    </row>
    <row r="1076" spans="1:5" ht="15.75" thickBot="1">
      <c r="A1076" s="32"/>
      <c r="B1076" s="32"/>
      <c r="C1076" s="32"/>
      <c r="D1076" s="32"/>
      <c r="E1076" s="32"/>
    </row>
    <row r="1077" spans="1:5" ht="15.75" thickBot="1">
      <c r="A1077" s="32"/>
      <c r="B1077" s="32"/>
      <c r="C1077" s="32"/>
      <c r="D1077" s="32"/>
      <c r="E1077" s="32"/>
    </row>
    <row r="1078" spans="1:5" ht="15.75" thickBot="1">
      <c r="A1078" s="32"/>
      <c r="B1078" s="32"/>
      <c r="C1078" s="32"/>
      <c r="D1078" s="32"/>
      <c r="E1078" s="32"/>
    </row>
    <row r="1079" spans="1:5" ht="15.75" thickBot="1">
      <c r="A1079" s="32"/>
      <c r="B1079" s="32"/>
      <c r="C1079" s="32"/>
      <c r="D1079" s="32"/>
      <c r="E1079" s="32"/>
    </row>
    <row r="1080" spans="1:5" ht="15.75" thickBot="1">
      <c r="A1080" s="32"/>
      <c r="B1080" s="32"/>
      <c r="C1080" s="32"/>
      <c r="D1080" s="32"/>
      <c r="E1080" s="32"/>
    </row>
    <row r="1081" spans="1:5" ht="15.75" thickBot="1">
      <c r="A1081" s="32"/>
      <c r="B1081" s="32"/>
      <c r="C1081" s="32"/>
      <c r="D1081" s="32"/>
      <c r="E1081" s="32"/>
    </row>
    <row r="1082" spans="1:5" ht="15.75" thickBot="1">
      <c r="A1082" s="32"/>
      <c r="B1082" s="32"/>
      <c r="C1082" s="32"/>
      <c r="D1082" s="32"/>
      <c r="E1082" s="32"/>
    </row>
    <row r="1083" spans="1:5" ht="15.75" thickBot="1">
      <c r="A1083" s="32"/>
      <c r="B1083" s="32"/>
      <c r="C1083" s="32"/>
      <c r="D1083" s="32"/>
      <c r="E1083" s="32"/>
    </row>
    <row r="1084" spans="1:5" ht="15.75" thickBot="1">
      <c r="A1084" s="32"/>
      <c r="B1084" s="32"/>
      <c r="C1084" s="32"/>
      <c r="D1084" s="32"/>
      <c r="E1084" s="32"/>
    </row>
    <row r="1085" spans="1:5" ht="15.75" thickBot="1">
      <c r="A1085" s="32"/>
      <c r="B1085" s="32"/>
      <c r="C1085" s="32"/>
      <c r="D1085" s="32"/>
      <c r="E1085" s="32"/>
    </row>
    <row r="1086" spans="1:5" ht="15.75" thickBot="1">
      <c r="A1086" s="32"/>
      <c r="B1086" s="32"/>
      <c r="C1086" s="32"/>
      <c r="D1086" s="32"/>
      <c r="E1086" s="32"/>
    </row>
    <row r="1087" spans="1:5" ht="15.75" thickBot="1">
      <c r="A1087" s="32"/>
      <c r="B1087" s="32"/>
      <c r="C1087" s="32"/>
      <c r="D1087" s="32"/>
      <c r="E1087" s="32"/>
    </row>
    <row r="1088" spans="1:5" ht="15.75" thickBot="1">
      <c r="A1088" s="32"/>
      <c r="B1088" s="32"/>
      <c r="C1088" s="32"/>
      <c r="D1088" s="32"/>
      <c r="E1088" s="32"/>
    </row>
    <row r="1089" spans="1:5" ht="15.75" thickBot="1">
      <c r="A1089" s="32"/>
      <c r="B1089" s="32"/>
      <c r="C1089" s="32"/>
      <c r="D1089" s="32"/>
      <c r="E1089" s="32"/>
    </row>
    <row r="1090" spans="1:5" ht="15.75" thickBot="1">
      <c r="A1090" s="32"/>
      <c r="B1090" s="32"/>
      <c r="C1090" s="32"/>
      <c r="D1090" s="32"/>
      <c r="E1090" s="32"/>
    </row>
    <row r="1091" spans="1:5" ht="15.75" thickBot="1">
      <c r="A1091" s="32"/>
      <c r="B1091" s="32"/>
      <c r="C1091" s="32"/>
      <c r="D1091" s="32"/>
      <c r="E1091" s="32"/>
    </row>
    <row r="1092" spans="1:5" ht="15.75" thickBot="1">
      <c r="A1092" s="32"/>
      <c r="B1092" s="32"/>
      <c r="C1092" s="32"/>
      <c r="D1092" s="32"/>
      <c r="E1092" s="32"/>
    </row>
    <row r="1093" spans="1:5" ht="15.75" thickBot="1">
      <c r="A1093" s="32"/>
      <c r="B1093" s="32"/>
      <c r="C1093" s="32"/>
      <c r="D1093" s="32"/>
      <c r="E1093" s="32"/>
    </row>
    <row r="1094" spans="1:5" ht="15.75" thickBot="1">
      <c r="A1094" s="32"/>
      <c r="B1094" s="32"/>
      <c r="C1094" s="32"/>
      <c r="D1094" s="32"/>
      <c r="E1094" s="32"/>
    </row>
    <row r="1095" spans="1:5" ht="15.75" thickBot="1">
      <c r="A1095" s="32"/>
      <c r="B1095" s="32"/>
      <c r="C1095" s="32"/>
      <c r="D1095" s="32"/>
      <c r="E1095" s="32"/>
    </row>
    <row r="1096" spans="1:5" ht="15.75" thickBot="1">
      <c r="A1096" s="32"/>
      <c r="B1096" s="32"/>
      <c r="C1096" s="32"/>
      <c r="D1096" s="32"/>
      <c r="E1096" s="32"/>
    </row>
    <row r="1097" spans="1:5" ht="15.75" thickBot="1">
      <c r="A1097" s="32"/>
      <c r="B1097" s="32"/>
      <c r="C1097" s="32"/>
      <c r="D1097" s="32"/>
      <c r="E1097" s="32"/>
    </row>
    <row r="1098" spans="1:5" ht="15.75" thickBot="1">
      <c r="A1098" s="32"/>
      <c r="B1098" s="32"/>
      <c r="C1098" s="32"/>
      <c r="D1098" s="32"/>
      <c r="E1098" s="32"/>
    </row>
    <row r="1099" spans="1:5" ht="15.75" thickBot="1">
      <c r="A1099" s="32"/>
      <c r="B1099" s="32"/>
      <c r="C1099" s="32"/>
      <c r="D1099" s="32"/>
      <c r="E1099" s="32"/>
    </row>
    <row r="1100" spans="1:5" ht="15.75" thickBot="1">
      <c r="A1100" s="32"/>
      <c r="B1100" s="32"/>
      <c r="C1100" s="32"/>
      <c r="D1100" s="32"/>
      <c r="E1100" s="32"/>
    </row>
    <row r="1101" spans="1:5" ht="15.75" thickBot="1">
      <c r="A1101" s="32"/>
      <c r="B1101" s="32"/>
      <c r="C1101" s="32"/>
      <c r="D1101" s="32"/>
      <c r="E1101" s="32"/>
    </row>
    <row r="1102" spans="1:5" ht="15.75" thickBot="1">
      <c r="A1102" s="32"/>
      <c r="B1102" s="32"/>
      <c r="C1102" s="32"/>
      <c r="D1102" s="32"/>
      <c r="E1102" s="32"/>
    </row>
    <row r="1103" spans="1:5" ht="15.75" thickBot="1">
      <c r="A1103" s="32"/>
      <c r="B1103" s="32"/>
      <c r="C1103" s="32"/>
      <c r="D1103" s="32"/>
      <c r="E1103" s="32"/>
    </row>
    <row r="1104" spans="1:5" ht="15.75" thickBot="1">
      <c r="A1104" s="32"/>
      <c r="B1104" s="32"/>
      <c r="C1104" s="32"/>
      <c r="D1104" s="32"/>
      <c r="E1104" s="32"/>
    </row>
    <row r="1105" spans="1:5" ht="15.75" thickBot="1">
      <c r="A1105" s="32"/>
      <c r="B1105" s="32"/>
      <c r="C1105" s="32"/>
      <c r="D1105" s="32"/>
      <c r="E1105" s="32"/>
    </row>
    <row r="1106" spans="1:5" ht="15.75" thickBot="1">
      <c r="A1106" s="32"/>
      <c r="B1106" s="32"/>
      <c r="C1106" s="32"/>
      <c r="D1106" s="32"/>
      <c r="E1106" s="32"/>
    </row>
    <row r="1107" spans="1:5" ht="15.75" thickBot="1">
      <c r="A1107" s="32"/>
      <c r="B1107" s="32"/>
      <c r="C1107" s="32"/>
      <c r="D1107" s="32"/>
      <c r="E1107" s="32"/>
    </row>
    <row r="1108" spans="1:5" ht="15.75" thickBot="1">
      <c r="A1108" s="32"/>
      <c r="B1108" s="32"/>
      <c r="C1108" s="32"/>
      <c r="D1108" s="32"/>
      <c r="E1108" s="32"/>
    </row>
    <row r="1109" spans="1:5" ht="15.75" thickBot="1">
      <c r="A1109" s="32"/>
      <c r="B1109" s="32"/>
      <c r="C1109" s="32"/>
      <c r="D1109" s="32"/>
      <c r="E1109" s="32"/>
    </row>
    <row r="1110" spans="1:5" ht="15.75" thickBot="1">
      <c r="A1110" s="32"/>
      <c r="B1110" s="32"/>
      <c r="C1110" s="32"/>
      <c r="D1110" s="32"/>
      <c r="E1110" s="32"/>
    </row>
    <row r="1111" spans="1:5" ht="15.75" thickBot="1">
      <c r="A1111" s="32"/>
      <c r="B1111" s="32"/>
      <c r="C1111" s="32"/>
      <c r="D1111" s="32"/>
      <c r="E1111" s="32"/>
    </row>
    <row r="1112" spans="1:5" ht="15.75" thickBot="1">
      <c r="A1112" s="32"/>
      <c r="B1112" s="32"/>
      <c r="C1112" s="32"/>
      <c r="D1112" s="32"/>
      <c r="E1112" s="32"/>
    </row>
    <row r="1113" spans="1:5" ht="15.75" thickBot="1">
      <c r="A1113" s="32"/>
      <c r="B1113" s="32"/>
      <c r="C1113" s="32"/>
      <c r="D1113" s="32"/>
      <c r="E1113" s="32"/>
    </row>
    <row r="1114" spans="1:5" ht="15.75" thickBot="1">
      <c r="A1114" s="32"/>
      <c r="B1114" s="32"/>
      <c r="C1114" s="32"/>
      <c r="D1114" s="32"/>
      <c r="E1114" s="32"/>
    </row>
    <row r="1115" spans="1:5" ht="15.75" thickBot="1">
      <c r="A1115" s="32"/>
      <c r="B1115" s="32"/>
      <c r="C1115" s="32"/>
      <c r="D1115" s="32"/>
      <c r="E1115" s="32"/>
    </row>
    <row r="1116" spans="1:5" ht="15.75" thickBot="1">
      <c r="A1116" s="32"/>
      <c r="B1116" s="32"/>
      <c r="C1116" s="32"/>
      <c r="D1116" s="32"/>
      <c r="E1116" s="32"/>
    </row>
    <row r="1117" spans="1:5" ht="15.75" thickBot="1">
      <c r="A1117" s="32"/>
      <c r="B1117" s="32"/>
      <c r="C1117" s="32"/>
      <c r="D1117" s="32"/>
      <c r="E1117" s="32"/>
    </row>
    <row r="1118" spans="1:5" ht="15.75" thickBot="1">
      <c r="A1118" s="32"/>
      <c r="B1118" s="32"/>
      <c r="C1118" s="32"/>
      <c r="D1118" s="32"/>
      <c r="E1118" s="32"/>
    </row>
    <row r="1119" spans="1:5" ht="15.75" thickBot="1">
      <c r="A1119" s="32"/>
      <c r="B1119" s="32"/>
      <c r="C1119" s="32"/>
      <c r="D1119" s="32"/>
      <c r="E1119" s="32"/>
    </row>
    <row r="1120" spans="1:5" ht="15.75" thickBot="1">
      <c r="A1120" s="32"/>
      <c r="B1120" s="32"/>
      <c r="C1120" s="32"/>
      <c r="D1120" s="32"/>
      <c r="E1120" s="32"/>
    </row>
    <row r="1121" spans="1:5" ht="15.75" thickBot="1">
      <c r="A1121" s="32"/>
      <c r="B1121" s="32"/>
      <c r="C1121" s="32"/>
      <c r="D1121" s="32"/>
      <c r="E1121" s="32"/>
    </row>
    <row r="1122" spans="1:5" ht="15.75" thickBot="1">
      <c r="A1122" s="32"/>
      <c r="B1122" s="32"/>
      <c r="C1122" s="32"/>
      <c r="D1122" s="32"/>
      <c r="E1122" s="32"/>
    </row>
    <row r="1123" spans="1:5" ht="15.75" thickBot="1">
      <c r="A1123" s="32"/>
      <c r="B1123" s="32"/>
      <c r="C1123" s="32"/>
      <c r="D1123" s="32"/>
      <c r="E1123" s="32"/>
    </row>
    <row r="1124" spans="1:5" ht="15.75" thickBot="1">
      <c r="A1124" s="32"/>
      <c r="B1124" s="32"/>
      <c r="C1124" s="32"/>
      <c r="D1124" s="32"/>
      <c r="E1124" s="32"/>
    </row>
    <row r="1125" spans="1:5" ht="15.75" thickBot="1">
      <c r="A1125" s="32"/>
      <c r="B1125" s="32"/>
      <c r="C1125" s="32"/>
      <c r="D1125" s="32"/>
      <c r="E1125" s="32"/>
    </row>
    <row r="1126" spans="1:5" ht="15.75" thickBot="1">
      <c r="A1126" s="32"/>
      <c r="B1126" s="32"/>
      <c r="C1126" s="32"/>
      <c r="D1126" s="32"/>
      <c r="E1126" s="32"/>
    </row>
    <row r="1127" spans="1:5" ht="15.75" thickBot="1">
      <c r="A1127" s="32"/>
      <c r="B1127" s="32"/>
      <c r="C1127" s="32"/>
      <c r="D1127" s="32"/>
      <c r="E1127" s="32"/>
    </row>
    <row r="1128" spans="1:5" ht="15.75" thickBot="1">
      <c r="A1128" s="32"/>
      <c r="B1128" s="32"/>
      <c r="C1128" s="32"/>
      <c r="D1128" s="32"/>
      <c r="E1128" s="32"/>
    </row>
    <row r="1129" spans="1:5" ht="15.75" thickBot="1">
      <c r="A1129" s="32"/>
      <c r="B1129" s="32"/>
      <c r="C1129" s="32"/>
      <c r="D1129" s="32"/>
      <c r="E1129" s="32"/>
    </row>
    <row r="1130" spans="1:5" ht="15.75" thickBot="1">
      <c r="A1130" s="32"/>
      <c r="B1130" s="32"/>
      <c r="C1130" s="32"/>
      <c r="D1130" s="32"/>
      <c r="E1130" s="32"/>
    </row>
    <row r="1131" spans="1:5" ht="15.75" thickBot="1">
      <c r="A1131" s="32"/>
      <c r="B1131" s="32"/>
      <c r="C1131" s="32"/>
      <c r="D1131" s="32"/>
      <c r="E1131" s="32"/>
    </row>
    <row r="1132" spans="1:5" ht="15.75" thickBot="1">
      <c r="A1132" s="32"/>
      <c r="B1132" s="32"/>
      <c r="C1132" s="32"/>
      <c r="D1132" s="32"/>
      <c r="E1132" s="32"/>
    </row>
    <row r="1133" spans="1:5" ht="15.75" thickBot="1">
      <c r="A1133" s="32"/>
      <c r="B1133" s="32"/>
      <c r="C1133" s="32"/>
      <c r="D1133" s="32"/>
      <c r="E1133" s="32"/>
    </row>
    <row r="1134" spans="1:5" ht="15.75" thickBot="1">
      <c r="A1134" s="32"/>
      <c r="B1134" s="32"/>
      <c r="C1134" s="32"/>
      <c r="D1134" s="32"/>
      <c r="E1134" s="32"/>
    </row>
    <row r="1135" spans="1:5" ht="15.75" thickBot="1">
      <c r="A1135" s="32"/>
      <c r="B1135" s="32"/>
      <c r="C1135" s="32"/>
      <c r="D1135" s="32"/>
      <c r="E1135" s="32"/>
    </row>
    <row r="1136" spans="1:5" ht="15.75" thickBot="1">
      <c r="A1136" s="32"/>
      <c r="B1136" s="32"/>
      <c r="C1136" s="32"/>
      <c r="D1136" s="32"/>
      <c r="E1136" s="32"/>
    </row>
    <row r="1137" spans="1:5" ht="15.75" thickBot="1">
      <c r="A1137" s="32"/>
      <c r="B1137" s="32"/>
      <c r="C1137" s="32"/>
      <c r="D1137" s="32"/>
      <c r="E1137" s="32"/>
    </row>
    <row r="1138" spans="1:5" ht="15.75" thickBot="1">
      <c r="A1138" s="32"/>
      <c r="B1138" s="32"/>
      <c r="C1138" s="32"/>
      <c r="D1138" s="32"/>
      <c r="E1138" s="32"/>
    </row>
    <row r="1139" spans="1:5" ht="15.75" thickBot="1">
      <c r="A1139" s="32"/>
      <c r="B1139" s="32"/>
      <c r="C1139" s="32"/>
      <c r="D1139" s="32"/>
      <c r="E1139" s="32"/>
    </row>
    <row r="1140" spans="1:5" ht="15.75" thickBot="1">
      <c r="A1140" s="32"/>
      <c r="B1140" s="32"/>
      <c r="C1140" s="32"/>
      <c r="D1140" s="32"/>
      <c r="E1140" s="32"/>
    </row>
    <row r="1141" spans="1:5" ht="15.75" thickBot="1">
      <c r="A1141" s="32"/>
      <c r="B1141" s="32"/>
      <c r="C1141" s="32"/>
      <c r="D1141" s="32"/>
      <c r="E1141" s="32"/>
    </row>
    <row r="1142" spans="1:5" ht="15.75" thickBot="1">
      <c r="A1142" s="32"/>
      <c r="B1142" s="32"/>
      <c r="C1142" s="32"/>
      <c r="D1142" s="32"/>
      <c r="E1142" s="32"/>
    </row>
    <row r="1143" spans="1:5" ht="15.75" thickBot="1">
      <c r="A1143" s="32"/>
      <c r="B1143" s="32"/>
      <c r="C1143" s="32"/>
      <c r="D1143" s="32"/>
      <c r="E1143" s="32"/>
    </row>
    <row r="1144" spans="1:5" ht="15.75" thickBot="1">
      <c r="A1144" s="32"/>
      <c r="B1144" s="32"/>
      <c r="C1144" s="32"/>
      <c r="D1144" s="32"/>
      <c r="E1144" s="32"/>
    </row>
    <row r="1145" spans="1:5" ht="15.75" thickBot="1">
      <c r="A1145" s="32"/>
      <c r="B1145" s="32"/>
      <c r="C1145" s="32"/>
      <c r="D1145" s="32"/>
      <c r="E1145" s="32"/>
    </row>
    <row r="1146" spans="1:5" ht="15.75" thickBot="1">
      <c r="A1146" s="32"/>
      <c r="B1146" s="32"/>
      <c r="C1146" s="32"/>
      <c r="D1146" s="32"/>
      <c r="E1146" s="32"/>
    </row>
    <row r="1147" spans="1:5" ht="15.75" thickBot="1">
      <c r="A1147" s="32"/>
      <c r="B1147" s="32"/>
      <c r="C1147" s="32"/>
      <c r="D1147" s="32"/>
      <c r="E1147" s="32"/>
    </row>
    <row r="1148" spans="1:5" ht="15.75" thickBot="1">
      <c r="A1148" s="32"/>
      <c r="B1148" s="32"/>
      <c r="C1148" s="32"/>
      <c r="D1148" s="32"/>
      <c r="E1148" s="32"/>
    </row>
    <row r="1149" spans="1:5" ht="15.75" thickBot="1">
      <c r="A1149" s="32"/>
      <c r="B1149" s="32"/>
      <c r="C1149" s="32"/>
      <c r="D1149" s="32"/>
      <c r="E1149" s="32"/>
    </row>
    <row r="1150" spans="1:5" ht="15.75" thickBot="1">
      <c r="A1150" s="32"/>
      <c r="B1150" s="32"/>
      <c r="C1150" s="32"/>
      <c r="D1150" s="32"/>
      <c r="E1150" s="32"/>
    </row>
    <row r="1151" spans="1:5" ht="15.75" thickBot="1">
      <c r="A1151" s="32"/>
      <c r="B1151" s="32"/>
      <c r="C1151" s="32"/>
      <c r="D1151" s="32"/>
      <c r="E1151" s="32"/>
    </row>
    <row r="1152" spans="1:5" ht="15.75" thickBot="1">
      <c r="A1152" s="32"/>
      <c r="B1152" s="32"/>
      <c r="C1152" s="32"/>
      <c r="D1152" s="32"/>
      <c r="E1152" s="32"/>
    </row>
    <row r="1153" spans="1:5" ht="15.75" thickBot="1">
      <c r="A1153" s="32"/>
      <c r="B1153" s="32"/>
      <c r="C1153" s="32"/>
      <c r="D1153" s="32"/>
      <c r="E1153" s="32"/>
    </row>
    <row r="1154" spans="1:5" ht="15.75" thickBot="1">
      <c r="A1154" s="32"/>
      <c r="B1154" s="32"/>
      <c r="C1154" s="32"/>
      <c r="D1154" s="32"/>
      <c r="E1154" s="32"/>
    </row>
    <row r="1155" spans="1:5" ht="15.75" thickBot="1">
      <c r="A1155" s="32"/>
      <c r="B1155" s="32"/>
      <c r="C1155" s="32"/>
      <c r="D1155" s="32"/>
      <c r="E1155" s="32"/>
    </row>
    <row r="1156" spans="1:5" ht="15.75" thickBot="1">
      <c r="A1156" s="32"/>
      <c r="B1156" s="32"/>
      <c r="C1156" s="32"/>
      <c r="D1156" s="32"/>
      <c r="E1156" s="32"/>
    </row>
    <row r="1157" spans="1:5" ht="15.75" thickBot="1">
      <c r="A1157" s="32"/>
      <c r="B1157" s="32"/>
      <c r="C1157" s="32"/>
      <c r="D1157" s="32"/>
      <c r="E1157" s="32"/>
    </row>
    <row r="1158" spans="1:5" ht="15.75" thickBot="1">
      <c r="A1158" s="32"/>
      <c r="B1158" s="32"/>
      <c r="C1158" s="32"/>
      <c r="D1158" s="32"/>
      <c r="E1158" s="32"/>
    </row>
    <row r="1159" spans="1:5" ht="15.75" thickBot="1">
      <c r="A1159" s="32"/>
      <c r="B1159" s="32"/>
      <c r="C1159" s="32"/>
      <c r="D1159" s="32"/>
      <c r="E1159" s="32"/>
    </row>
    <row r="1160" spans="1:5" ht="15.75" thickBot="1">
      <c r="A1160" s="32"/>
      <c r="B1160" s="32"/>
      <c r="C1160" s="32"/>
      <c r="D1160" s="32"/>
      <c r="E1160" s="32"/>
    </row>
    <row r="1161" spans="1:5" ht="15.75" thickBot="1">
      <c r="A1161" s="32"/>
      <c r="B1161" s="32"/>
      <c r="C1161" s="32"/>
      <c r="D1161" s="32"/>
      <c r="E1161" s="32"/>
    </row>
    <row r="1162" spans="1:5" ht="15.75" thickBot="1">
      <c r="A1162" s="32"/>
      <c r="B1162" s="32"/>
      <c r="C1162" s="32"/>
      <c r="D1162" s="32"/>
      <c r="E1162" s="32"/>
    </row>
    <row r="1163" spans="1:5" ht="15.75" thickBot="1">
      <c r="A1163" s="32"/>
      <c r="B1163" s="32"/>
      <c r="C1163" s="32"/>
      <c r="D1163" s="32"/>
      <c r="E1163" s="32"/>
    </row>
    <row r="1164" spans="1:5" ht="15.75" thickBot="1">
      <c r="A1164" s="32"/>
      <c r="B1164" s="32"/>
      <c r="C1164" s="32"/>
      <c r="D1164" s="32"/>
      <c r="E1164" s="32"/>
    </row>
    <row r="1165" spans="1:5" ht="15.75" thickBot="1">
      <c r="A1165" s="32"/>
      <c r="B1165" s="32"/>
      <c r="C1165" s="32"/>
      <c r="D1165" s="32"/>
      <c r="E1165" s="32"/>
    </row>
    <row r="1166" spans="1:5" ht="15.75" thickBot="1">
      <c r="A1166" s="32"/>
      <c r="B1166" s="32"/>
      <c r="C1166" s="32"/>
      <c r="D1166" s="32"/>
      <c r="E1166" s="32"/>
    </row>
    <row r="1167" spans="1:5" ht="15.75" thickBot="1">
      <c r="A1167" s="32"/>
      <c r="B1167" s="32"/>
      <c r="C1167" s="32"/>
      <c r="D1167" s="32"/>
      <c r="E1167" s="32"/>
    </row>
    <row r="1168" spans="1:5" ht="15.75" thickBot="1">
      <c r="A1168" s="32"/>
      <c r="B1168" s="32"/>
      <c r="C1168" s="32"/>
      <c r="D1168" s="32"/>
      <c r="E1168" s="32"/>
    </row>
    <row r="1169" spans="1:5" ht="15.75" thickBot="1">
      <c r="A1169" s="32"/>
      <c r="B1169" s="32"/>
      <c r="C1169" s="32"/>
      <c r="D1169" s="32"/>
      <c r="E1169" s="32"/>
    </row>
    <row r="1170" spans="1:5" ht="15.75" thickBot="1">
      <c r="A1170" s="32"/>
      <c r="B1170" s="32"/>
      <c r="C1170" s="32"/>
      <c r="D1170" s="32"/>
      <c r="E1170" s="32"/>
    </row>
    <row r="1171" spans="1:5" ht="15.75" thickBot="1">
      <c r="A1171" s="32"/>
      <c r="B1171" s="32"/>
      <c r="C1171" s="32"/>
      <c r="D1171" s="32"/>
      <c r="E1171" s="32"/>
    </row>
    <row r="1172" spans="1:5" ht="15.75" thickBot="1">
      <c r="A1172" s="32"/>
      <c r="B1172" s="32"/>
      <c r="C1172" s="32"/>
      <c r="D1172" s="32"/>
      <c r="E1172" s="32"/>
    </row>
    <row r="1173" spans="1:5" ht="15.75" thickBot="1">
      <c r="A1173" s="32"/>
      <c r="B1173" s="32"/>
      <c r="C1173" s="32"/>
      <c r="D1173" s="32"/>
      <c r="E1173" s="32"/>
    </row>
    <row r="1174" spans="1:5" ht="15.75" thickBot="1">
      <c r="A1174" s="32"/>
      <c r="B1174" s="32"/>
      <c r="C1174" s="32"/>
      <c r="D1174" s="32"/>
      <c r="E1174" s="32"/>
    </row>
    <row r="1175" spans="1:5" ht="15.75" thickBot="1">
      <c r="A1175" s="32"/>
      <c r="B1175" s="32"/>
      <c r="C1175" s="32"/>
      <c r="D1175" s="32"/>
      <c r="E1175" s="32"/>
    </row>
    <row r="1176" spans="1:5" ht="15.75" thickBot="1">
      <c r="A1176" s="32"/>
      <c r="B1176" s="32"/>
      <c r="C1176" s="32"/>
      <c r="D1176" s="32"/>
      <c r="E1176" s="32"/>
    </row>
    <row r="1177" spans="1:5" ht="15.75" thickBot="1">
      <c r="A1177" s="32"/>
      <c r="B1177" s="32"/>
      <c r="C1177" s="32"/>
      <c r="D1177" s="32"/>
      <c r="E1177" s="32"/>
    </row>
    <row r="1178" spans="1:5" ht="15.75" thickBot="1">
      <c r="A1178" s="32"/>
      <c r="B1178" s="32"/>
      <c r="C1178" s="32"/>
      <c r="D1178" s="32"/>
      <c r="E1178" s="32"/>
    </row>
    <row r="1179" spans="1:5" ht="15.75" thickBot="1">
      <c r="A1179" s="32"/>
      <c r="B1179" s="32"/>
      <c r="C1179" s="32"/>
      <c r="D1179" s="32"/>
      <c r="E1179" s="32"/>
    </row>
    <row r="1180" spans="1:5" ht="15.75" thickBot="1">
      <c r="A1180" s="32"/>
      <c r="B1180" s="32"/>
      <c r="C1180" s="32"/>
      <c r="D1180" s="32"/>
      <c r="E1180" s="32"/>
    </row>
    <row r="1181" spans="1:5" ht="15.75" thickBot="1">
      <c r="A1181" s="32"/>
      <c r="B1181" s="32"/>
      <c r="C1181" s="32"/>
      <c r="D1181" s="32"/>
      <c r="E1181" s="32"/>
    </row>
    <row r="1182" spans="1:5" ht="15.75" thickBot="1">
      <c r="A1182" s="32"/>
      <c r="B1182" s="32"/>
      <c r="C1182" s="32"/>
      <c r="D1182" s="32"/>
      <c r="E1182" s="32"/>
    </row>
    <row r="1183" spans="1:5" ht="15.75" thickBot="1">
      <c r="A1183" s="32"/>
      <c r="B1183" s="32"/>
      <c r="C1183" s="32"/>
      <c r="D1183" s="32"/>
      <c r="E1183" s="32"/>
    </row>
    <row r="1184" spans="1:5" ht="15.75" thickBot="1">
      <c r="A1184" s="32"/>
      <c r="B1184" s="32"/>
      <c r="C1184" s="32"/>
      <c r="D1184" s="32"/>
      <c r="E1184" s="32"/>
    </row>
    <row r="1185" spans="1:5" ht="15.75" thickBot="1">
      <c r="A1185" s="32"/>
      <c r="B1185" s="32"/>
      <c r="C1185" s="32"/>
      <c r="D1185" s="32"/>
      <c r="E1185" s="32"/>
    </row>
    <row r="1186" spans="1:5" ht="15.75" thickBot="1">
      <c r="A1186" s="32"/>
      <c r="B1186" s="32"/>
      <c r="C1186" s="32"/>
      <c r="D1186" s="32"/>
      <c r="E1186" s="32"/>
    </row>
    <row r="1187" spans="1:5" ht="15.75" thickBot="1">
      <c r="A1187" s="32"/>
      <c r="B1187" s="32"/>
      <c r="C1187" s="32"/>
      <c r="D1187" s="32"/>
      <c r="E1187" s="32"/>
    </row>
    <row r="1188" spans="1:5" ht="15.75" thickBot="1">
      <c r="A1188" s="32"/>
      <c r="B1188" s="32"/>
      <c r="C1188" s="32"/>
      <c r="D1188" s="32"/>
      <c r="E1188" s="32"/>
    </row>
    <row r="1189" spans="1:5" ht="15.75" thickBot="1">
      <c r="A1189" s="32"/>
      <c r="B1189" s="32"/>
      <c r="C1189" s="32"/>
      <c r="D1189" s="32"/>
      <c r="E1189" s="32"/>
    </row>
    <row r="1190" spans="1:5" ht="15.75" thickBot="1">
      <c r="A1190" s="32"/>
      <c r="B1190" s="32"/>
      <c r="C1190" s="32"/>
      <c r="D1190" s="32"/>
      <c r="E1190" s="32"/>
    </row>
    <row r="1191" spans="1:5" ht="15.75" thickBot="1">
      <c r="A1191" s="32"/>
      <c r="B1191" s="32"/>
      <c r="C1191" s="32"/>
      <c r="D1191" s="32"/>
      <c r="E1191" s="32"/>
    </row>
    <row r="1192" spans="1:5" ht="15.75" thickBot="1">
      <c r="A1192" s="32"/>
      <c r="B1192" s="32"/>
      <c r="C1192" s="32"/>
      <c r="D1192" s="32"/>
      <c r="E1192" s="32"/>
    </row>
    <row r="1193" spans="1:5" ht="15.75" thickBot="1">
      <c r="A1193" s="32"/>
      <c r="B1193" s="32"/>
      <c r="C1193" s="32"/>
      <c r="D1193" s="32"/>
      <c r="E1193" s="32"/>
    </row>
    <row r="1194" spans="1:5" ht="15.75" thickBot="1">
      <c r="A1194" s="32"/>
      <c r="B1194" s="32"/>
      <c r="C1194" s="32"/>
      <c r="D1194" s="32"/>
      <c r="E1194" s="32"/>
    </row>
    <row r="1195" spans="1:5" ht="15.75" thickBot="1">
      <c r="A1195" s="32"/>
      <c r="B1195" s="32"/>
      <c r="C1195" s="32"/>
      <c r="D1195" s="32"/>
      <c r="E1195" s="32"/>
    </row>
    <row r="1196" spans="1:5" ht="15.75" thickBot="1">
      <c r="A1196" s="32"/>
      <c r="B1196" s="32"/>
      <c r="C1196" s="32"/>
      <c r="D1196" s="32"/>
      <c r="E1196" s="32"/>
    </row>
    <row r="1197" spans="1:5" ht="15.75" thickBot="1">
      <c r="A1197" s="32"/>
      <c r="B1197" s="32"/>
      <c r="C1197" s="32"/>
      <c r="D1197" s="32"/>
      <c r="E1197" s="32"/>
    </row>
    <row r="1198" spans="1:5" ht="15.75" thickBot="1">
      <c r="A1198" s="32"/>
      <c r="B1198" s="32"/>
      <c r="C1198" s="32"/>
      <c r="D1198" s="32"/>
      <c r="E1198" s="32"/>
    </row>
    <row r="1199" spans="1:5" ht="15.75" thickBot="1">
      <c r="A1199" s="32"/>
      <c r="B1199" s="32"/>
      <c r="C1199" s="32"/>
      <c r="D1199" s="32"/>
      <c r="E1199" s="32"/>
    </row>
    <row r="1200" spans="1:5" ht="15.75" thickBot="1">
      <c r="A1200" s="32"/>
      <c r="B1200" s="32"/>
      <c r="C1200" s="32"/>
      <c r="D1200" s="32"/>
      <c r="E1200" s="32"/>
    </row>
    <row r="1201" spans="1:5" ht="15.75" thickBot="1">
      <c r="A1201" s="32"/>
      <c r="B1201" s="32"/>
      <c r="C1201" s="32"/>
      <c r="D1201" s="32"/>
      <c r="E1201" s="32"/>
    </row>
    <row r="1202" spans="1:5" ht="15.75" thickBot="1">
      <c r="A1202" s="32"/>
      <c r="B1202" s="32"/>
      <c r="C1202" s="32"/>
      <c r="D1202" s="32"/>
      <c r="E1202" s="32"/>
    </row>
    <row r="1203" spans="1:5" ht="15.75" thickBot="1">
      <c r="A1203" s="32"/>
      <c r="B1203" s="32"/>
      <c r="C1203" s="32"/>
      <c r="D1203" s="32"/>
      <c r="E1203" s="32"/>
    </row>
    <row r="1204" spans="1:5" ht="15.75" thickBot="1">
      <c r="A1204" s="32"/>
      <c r="B1204" s="32"/>
      <c r="C1204" s="32"/>
      <c r="D1204" s="32"/>
      <c r="E1204" s="32"/>
    </row>
    <row r="1205" spans="1:5" ht="15.75" thickBot="1">
      <c r="A1205" s="32"/>
      <c r="B1205" s="32"/>
      <c r="C1205" s="32"/>
      <c r="D1205" s="32"/>
      <c r="E1205" s="32"/>
    </row>
    <row r="1206" spans="1:5" ht="15.75" thickBot="1">
      <c r="A1206" s="32"/>
      <c r="B1206" s="32"/>
      <c r="C1206" s="32"/>
      <c r="D1206" s="32"/>
      <c r="E1206" s="32"/>
    </row>
    <row r="1207" spans="1:5" ht="15.75" thickBot="1">
      <c r="A1207" s="32"/>
      <c r="B1207" s="32"/>
      <c r="C1207" s="32"/>
      <c r="D1207" s="32"/>
      <c r="E1207" s="32"/>
    </row>
    <row r="1208" spans="1:5" ht="15.75" thickBot="1">
      <c r="A1208" s="32"/>
      <c r="B1208" s="32"/>
      <c r="C1208" s="32"/>
      <c r="D1208" s="32"/>
      <c r="E1208" s="32"/>
    </row>
    <row r="1209" spans="1:5" ht="15.75" thickBot="1">
      <c r="A1209" s="32"/>
      <c r="B1209" s="32"/>
      <c r="C1209" s="32"/>
      <c r="D1209" s="32"/>
      <c r="E1209" s="32"/>
    </row>
    <row r="1210" spans="1:5" ht="15.75" thickBot="1">
      <c r="A1210" s="32"/>
      <c r="B1210" s="32"/>
      <c r="C1210" s="32"/>
      <c r="D1210" s="32"/>
      <c r="E1210" s="32"/>
    </row>
    <row r="1211" spans="1:5" ht="15.75" thickBot="1">
      <c r="A1211" s="32"/>
      <c r="B1211" s="32"/>
      <c r="C1211" s="32"/>
      <c r="D1211" s="32"/>
      <c r="E1211" s="32"/>
    </row>
    <row r="1212" spans="1:5" ht="15.75" thickBot="1">
      <c r="A1212" s="32"/>
      <c r="B1212" s="32"/>
      <c r="C1212" s="32"/>
      <c r="D1212" s="32"/>
      <c r="E1212" s="32"/>
    </row>
    <row r="1213" spans="1:5" ht="15.75" thickBot="1">
      <c r="A1213" s="32"/>
      <c r="B1213" s="32"/>
      <c r="C1213" s="32"/>
      <c r="D1213" s="32"/>
      <c r="E1213" s="32"/>
    </row>
    <row r="1214" spans="1:5" ht="15.75" thickBot="1">
      <c r="A1214" s="32"/>
      <c r="B1214" s="32"/>
      <c r="C1214" s="32"/>
      <c r="D1214" s="32"/>
      <c r="E1214" s="32"/>
    </row>
    <row r="1215" spans="1:5" ht="15.75" thickBot="1">
      <c r="A1215" s="32"/>
      <c r="B1215" s="32"/>
      <c r="C1215" s="32"/>
      <c r="D1215" s="32"/>
      <c r="E1215" s="32"/>
    </row>
    <row r="1216" spans="1:5" ht="15.75" thickBot="1">
      <c r="A1216" s="32"/>
      <c r="B1216" s="32"/>
      <c r="C1216" s="32"/>
      <c r="D1216" s="32"/>
      <c r="E1216" s="32"/>
    </row>
    <row r="1217" spans="1:5" ht="15.75" thickBot="1">
      <c r="A1217" s="32"/>
      <c r="B1217" s="32"/>
      <c r="C1217" s="32"/>
      <c r="D1217" s="32"/>
      <c r="E1217" s="32"/>
    </row>
    <row r="1218" spans="1:5" ht="15.75" thickBot="1">
      <c r="A1218" s="32"/>
      <c r="B1218" s="32"/>
      <c r="C1218" s="32"/>
      <c r="D1218" s="32"/>
      <c r="E1218" s="32"/>
    </row>
    <row r="1219" spans="1:5" ht="15.75" thickBot="1">
      <c r="A1219" s="32"/>
      <c r="B1219" s="32"/>
      <c r="C1219" s="32"/>
      <c r="D1219" s="32"/>
      <c r="E1219" s="32"/>
    </row>
    <row r="1220" spans="1:5" ht="15.75" thickBot="1">
      <c r="A1220" s="32"/>
      <c r="B1220" s="32"/>
      <c r="C1220" s="32"/>
      <c r="D1220" s="32"/>
      <c r="E1220" s="32"/>
    </row>
    <row r="1221" spans="1:5" ht="15.75" thickBot="1">
      <c r="A1221" s="32"/>
      <c r="B1221" s="32"/>
      <c r="C1221" s="32"/>
      <c r="D1221" s="32"/>
      <c r="E1221" s="32"/>
    </row>
    <row r="1222" spans="1:5" ht="15.75" thickBot="1">
      <c r="A1222" s="32"/>
      <c r="B1222" s="32"/>
      <c r="C1222" s="32"/>
      <c r="D1222" s="32"/>
      <c r="E1222" s="32"/>
    </row>
    <row r="1223" spans="1:5" ht="15.75" thickBot="1">
      <c r="A1223" s="32"/>
      <c r="B1223" s="32"/>
      <c r="C1223" s="32"/>
      <c r="D1223" s="32"/>
      <c r="E1223" s="32"/>
    </row>
    <row r="1224" spans="1:5" ht="15.75" thickBot="1">
      <c r="A1224" s="32"/>
      <c r="B1224" s="32"/>
      <c r="C1224" s="32"/>
      <c r="D1224" s="32"/>
      <c r="E1224" s="32"/>
    </row>
    <row r="1225" spans="1:5" ht="15.75" thickBot="1">
      <c r="A1225" s="32"/>
      <c r="B1225" s="32"/>
      <c r="C1225" s="32"/>
      <c r="D1225" s="32"/>
      <c r="E1225" s="32"/>
    </row>
    <row r="1226" spans="1:5" ht="15.75" thickBot="1">
      <c r="A1226" s="32"/>
      <c r="B1226" s="32"/>
      <c r="C1226" s="32"/>
      <c r="D1226" s="32"/>
      <c r="E1226" s="32"/>
    </row>
    <row r="1227" spans="1:5" ht="15.75" thickBot="1">
      <c r="A1227" s="32"/>
      <c r="B1227" s="32"/>
      <c r="C1227" s="32"/>
      <c r="D1227" s="32"/>
      <c r="E1227" s="32"/>
    </row>
    <row r="1228" spans="1:5" ht="15.75" thickBot="1">
      <c r="A1228" s="32"/>
      <c r="B1228" s="32"/>
      <c r="C1228" s="32"/>
      <c r="D1228" s="32"/>
      <c r="E1228" s="32"/>
    </row>
    <row r="1229" spans="1:5" ht="15.75" thickBot="1">
      <c r="A1229" s="32"/>
      <c r="B1229" s="32"/>
      <c r="C1229" s="32"/>
      <c r="D1229" s="32"/>
      <c r="E1229" s="32"/>
    </row>
    <row r="1230" spans="1:5" ht="15.75" thickBot="1">
      <c r="A1230" s="32"/>
      <c r="B1230" s="32"/>
      <c r="C1230" s="32"/>
      <c r="D1230" s="32"/>
      <c r="E1230" s="32"/>
    </row>
    <row r="1231" spans="1:5" ht="15.75" thickBot="1">
      <c r="A1231" s="32"/>
      <c r="B1231" s="32"/>
      <c r="C1231" s="32"/>
      <c r="D1231" s="32"/>
      <c r="E1231" s="32"/>
    </row>
    <row r="1232" spans="1:5" ht="15.75" thickBot="1">
      <c r="A1232" s="32"/>
      <c r="B1232" s="32"/>
      <c r="C1232" s="32"/>
      <c r="D1232" s="32"/>
      <c r="E1232" s="32"/>
    </row>
    <row r="1233" spans="1:5" ht="15.75" thickBot="1">
      <c r="A1233" s="32"/>
      <c r="B1233" s="32"/>
      <c r="C1233" s="32"/>
      <c r="D1233" s="32"/>
      <c r="E1233" s="32"/>
    </row>
    <row r="1234" spans="1:5" ht="15.75" thickBot="1">
      <c r="A1234" s="32"/>
      <c r="B1234" s="32"/>
      <c r="C1234" s="32"/>
      <c r="D1234" s="32"/>
      <c r="E1234" s="32"/>
    </row>
    <row r="1235" spans="1:5" ht="15.75" thickBot="1">
      <c r="A1235" s="32"/>
      <c r="B1235" s="32"/>
      <c r="C1235" s="32"/>
      <c r="D1235" s="32"/>
      <c r="E1235" s="32"/>
    </row>
    <row r="1236" spans="1:5" ht="15.75" thickBot="1">
      <c r="A1236" s="32"/>
      <c r="B1236" s="32"/>
      <c r="C1236" s="32"/>
      <c r="D1236" s="32"/>
      <c r="E1236" s="32"/>
    </row>
    <row r="1237" spans="1:5" ht="15.75" thickBot="1">
      <c r="A1237" s="32"/>
      <c r="B1237" s="32"/>
      <c r="C1237" s="32"/>
      <c r="D1237" s="32"/>
      <c r="E1237" s="32"/>
    </row>
    <row r="1238" spans="1:5" ht="15.75" thickBot="1">
      <c r="A1238" s="32"/>
      <c r="B1238" s="32"/>
      <c r="C1238" s="32"/>
      <c r="D1238" s="32"/>
      <c r="E1238" s="32"/>
    </row>
    <row r="1239" spans="1:5" ht="15.75" thickBot="1">
      <c r="A1239" s="32"/>
      <c r="B1239" s="32"/>
      <c r="C1239" s="32"/>
      <c r="D1239" s="32"/>
      <c r="E1239" s="32"/>
    </row>
    <row r="1240" spans="1:5" ht="15.75" thickBot="1">
      <c r="A1240" s="32"/>
      <c r="B1240" s="32"/>
      <c r="C1240" s="32"/>
      <c r="D1240" s="32"/>
      <c r="E1240" s="32"/>
    </row>
    <row r="1241" spans="1:5" ht="15.75" thickBot="1">
      <c r="A1241" s="32"/>
      <c r="B1241" s="32"/>
      <c r="C1241" s="32"/>
      <c r="D1241" s="32"/>
      <c r="E1241" s="32"/>
    </row>
    <row r="1242" spans="1:5" ht="15.75" thickBot="1">
      <c r="A1242" s="32"/>
      <c r="B1242" s="32"/>
      <c r="C1242" s="32"/>
      <c r="D1242" s="32"/>
      <c r="E1242" s="32"/>
    </row>
    <row r="1243" spans="1:5" ht="15.75" thickBot="1">
      <c r="A1243" s="32"/>
      <c r="B1243" s="32"/>
      <c r="C1243" s="32"/>
      <c r="D1243" s="32"/>
      <c r="E1243" s="32"/>
    </row>
    <row r="1244" spans="1:5" ht="15.75" thickBot="1">
      <c r="A1244" s="32"/>
      <c r="B1244" s="32"/>
      <c r="C1244" s="32"/>
      <c r="D1244" s="32"/>
      <c r="E1244" s="32"/>
    </row>
    <row r="1245" spans="1:5" ht="15.75" thickBot="1">
      <c r="A1245" s="32"/>
      <c r="B1245" s="32"/>
      <c r="C1245" s="32"/>
      <c r="D1245" s="32"/>
      <c r="E1245" s="32"/>
    </row>
    <row r="1246" spans="1:5" ht="15.75" thickBot="1">
      <c r="A1246" s="32"/>
      <c r="B1246" s="32"/>
      <c r="C1246" s="32"/>
      <c r="D1246" s="32"/>
      <c r="E1246" s="32"/>
    </row>
    <row r="1247" spans="1:5" ht="15.75" thickBot="1">
      <c r="A1247" s="32"/>
      <c r="B1247" s="32"/>
      <c r="C1247" s="32"/>
      <c r="D1247" s="32"/>
      <c r="E1247" s="32"/>
    </row>
    <row r="1248" spans="1:5" ht="15.75" thickBot="1">
      <c r="A1248" s="32"/>
      <c r="B1248" s="32"/>
      <c r="C1248" s="32"/>
      <c r="D1248" s="32"/>
      <c r="E1248" s="32"/>
    </row>
    <row r="1249" spans="1:5" ht="15.75" thickBot="1">
      <c r="A1249" s="32"/>
      <c r="B1249" s="32"/>
      <c r="C1249" s="32"/>
      <c r="D1249" s="32"/>
      <c r="E1249" s="32"/>
    </row>
    <row r="1250" spans="1:5" ht="15.75" thickBot="1">
      <c r="A1250" s="32"/>
      <c r="B1250" s="32"/>
      <c r="C1250" s="32"/>
      <c r="D1250" s="32"/>
      <c r="E1250" s="32"/>
    </row>
    <row r="1251" spans="1:5" ht="15.75" thickBot="1">
      <c r="A1251" s="32"/>
      <c r="B1251" s="32"/>
      <c r="C1251" s="32"/>
      <c r="D1251" s="32"/>
      <c r="E1251" s="32"/>
    </row>
    <row r="1252" spans="1:5" ht="15.75" thickBot="1">
      <c r="A1252" s="32"/>
      <c r="B1252" s="32"/>
      <c r="C1252" s="32"/>
      <c r="D1252" s="32"/>
      <c r="E1252" s="32"/>
    </row>
    <row r="1253" spans="1:5" ht="15.75" thickBot="1">
      <c r="A1253" s="32"/>
      <c r="B1253" s="32"/>
      <c r="C1253" s="32"/>
      <c r="D1253" s="32"/>
      <c r="E1253" s="32"/>
    </row>
    <row r="1254" spans="1:5" ht="15.75" thickBot="1">
      <c r="A1254" s="32"/>
      <c r="B1254" s="32"/>
      <c r="C1254" s="32"/>
      <c r="D1254" s="32"/>
      <c r="E1254" s="32"/>
    </row>
    <row r="1255" spans="1:5" ht="15.75" thickBot="1">
      <c r="A1255" s="32"/>
      <c r="B1255" s="32"/>
      <c r="C1255" s="32"/>
      <c r="D1255" s="32"/>
      <c r="E1255" s="32"/>
    </row>
    <row r="1256" spans="1:5" ht="15.75" thickBot="1">
      <c r="A1256" s="32"/>
      <c r="B1256" s="32"/>
      <c r="C1256" s="32"/>
      <c r="D1256" s="32"/>
      <c r="E1256" s="32"/>
    </row>
    <row r="1257" spans="1:5" ht="15.75" thickBot="1">
      <c r="A1257" s="32"/>
      <c r="B1257" s="32"/>
      <c r="C1257" s="32"/>
      <c r="D1257" s="32"/>
      <c r="E1257" s="32"/>
    </row>
    <row r="1258" spans="1:5" ht="15.75" thickBot="1">
      <c r="A1258" s="32"/>
      <c r="B1258" s="32"/>
      <c r="C1258" s="32"/>
      <c r="D1258" s="32"/>
      <c r="E1258" s="32"/>
    </row>
    <row r="1259" spans="1:5" ht="15.75" thickBot="1">
      <c r="A1259" s="32"/>
      <c r="B1259" s="32"/>
      <c r="C1259" s="32"/>
      <c r="D1259" s="32"/>
      <c r="E1259" s="32"/>
    </row>
    <row r="1260" spans="1:5" ht="15.75" thickBot="1">
      <c r="A1260" s="32"/>
      <c r="B1260" s="32"/>
      <c r="C1260" s="32"/>
      <c r="D1260" s="32"/>
      <c r="E1260" s="32"/>
    </row>
    <row r="1261" spans="1:5" ht="15.75" thickBot="1">
      <c r="A1261" s="32"/>
      <c r="B1261" s="32"/>
      <c r="C1261" s="32"/>
      <c r="D1261" s="32"/>
      <c r="E1261" s="32"/>
    </row>
    <row r="1262" spans="1:5" ht="15.75" thickBot="1">
      <c r="A1262" s="32"/>
      <c r="B1262" s="32"/>
      <c r="C1262" s="32"/>
      <c r="D1262" s="32"/>
      <c r="E1262" s="32"/>
    </row>
    <row r="1263" spans="1:5" ht="15.75" thickBot="1">
      <c r="A1263" s="32"/>
      <c r="B1263" s="32"/>
      <c r="C1263" s="32"/>
      <c r="D1263" s="32"/>
      <c r="E1263" s="32"/>
    </row>
    <row r="1264" spans="1:5" ht="15.75" thickBot="1">
      <c r="A1264" s="32"/>
      <c r="B1264" s="32"/>
      <c r="C1264" s="32"/>
      <c r="D1264" s="32"/>
      <c r="E1264" s="32"/>
    </row>
    <row r="1265" spans="1:5" ht="15.75" thickBot="1">
      <c r="A1265" s="32"/>
      <c r="B1265" s="32"/>
      <c r="C1265" s="32"/>
      <c r="D1265" s="32"/>
      <c r="E1265" s="32"/>
    </row>
    <row r="1266" spans="1:5" ht="15.75" thickBot="1">
      <c r="A1266" s="32"/>
      <c r="B1266" s="32"/>
      <c r="C1266" s="32"/>
      <c r="D1266" s="32"/>
      <c r="E1266" s="32"/>
    </row>
    <row r="1267" spans="1:5" ht="15.75" thickBot="1">
      <c r="A1267" s="32"/>
      <c r="B1267" s="32"/>
      <c r="C1267" s="32"/>
      <c r="D1267" s="32"/>
      <c r="E1267" s="32"/>
    </row>
    <row r="1268" spans="1:5" ht="15.75" thickBot="1">
      <c r="A1268" s="32"/>
      <c r="B1268" s="32"/>
      <c r="C1268" s="32"/>
      <c r="D1268" s="32"/>
      <c r="E1268" s="32"/>
    </row>
    <row r="1269" spans="1:5" ht="15.75" thickBot="1">
      <c r="A1269" s="32"/>
      <c r="B1269" s="32"/>
      <c r="C1269" s="32"/>
      <c r="D1269" s="32"/>
      <c r="E1269" s="32"/>
    </row>
    <row r="1270" spans="1:5" ht="15.75" thickBot="1">
      <c r="A1270" s="32"/>
      <c r="B1270" s="32"/>
      <c r="C1270" s="32"/>
      <c r="D1270" s="32"/>
      <c r="E1270" s="32"/>
    </row>
    <row r="1271" spans="1:5" ht="15.75" thickBot="1">
      <c r="A1271" s="32"/>
      <c r="B1271" s="32"/>
      <c r="C1271" s="32"/>
      <c r="D1271" s="32"/>
      <c r="E1271" s="32"/>
    </row>
    <row r="1272" spans="1:5" ht="15.75" thickBot="1">
      <c r="A1272" s="32"/>
      <c r="B1272" s="32"/>
      <c r="C1272" s="32"/>
      <c r="D1272" s="32"/>
      <c r="E1272" s="32"/>
    </row>
    <row r="1273" spans="1:5" ht="15.75" thickBot="1">
      <c r="A1273" s="32"/>
      <c r="B1273" s="32"/>
      <c r="C1273" s="32"/>
      <c r="D1273" s="32"/>
      <c r="E1273" s="32"/>
    </row>
    <row r="1274" spans="1:5" ht="15.75" thickBot="1">
      <c r="A1274" s="32"/>
      <c r="B1274" s="32"/>
      <c r="C1274" s="32"/>
      <c r="D1274" s="32"/>
      <c r="E1274" s="32"/>
    </row>
    <row r="1275" spans="1:5" ht="15.75" thickBot="1">
      <c r="A1275" s="32"/>
      <c r="B1275" s="32"/>
      <c r="C1275" s="32"/>
      <c r="D1275" s="32"/>
      <c r="E1275" s="32"/>
    </row>
    <row r="1276" spans="1:5" ht="15.75" thickBot="1">
      <c r="A1276" s="32"/>
      <c r="B1276" s="32"/>
      <c r="C1276" s="32"/>
      <c r="D1276" s="32"/>
      <c r="E1276" s="32"/>
    </row>
    <row r="1277" spans="1:5" ht="15.75" thickBot="1">
      <c r="A1277" s="32"/>
      <c r="B1277" s="32"/>
      <c r="C1277" s="32"/>
      <c r="D1277" s="32"/>
      <c r="E1277" s="32"/>
    </row>
    <row r="1278" spans="1:5" ht="15.75" thickBot="1">
      <c r="A1278" s="32"/>
      <c r="B1278" s="32"/>
      <c r="C1278" s="32"/>
      <c r="D1278" s="32"/>
      <c r="E1278" s="32"/>
    </row>
    <row r="1279" spans="1:5" ht="15.75" thickBot="1">
      <c r="A1279" s="32"/>
      <c r="B1279" s="32"/>
      <c r="C1279" s="32"/>
      <c r="D1279" s="32"/>
      <c r="E1279" s="32"/>
    </row>
    <row r="1280" spans="1:5" ht="15.75" thickBot="1">
      <c r="A1280" s="32"/>
      <c r="B1280" s="32"/>
      <c r="C1280" s="32"/>
      <c r="D1280" s="32"/>
      <c r="E1280" s="32"/>
    </row>
    <row r="1281" spans="1:5" ht="15.75" thickBot="1">
      <c r="A1281" s="32"/>
      <c r="B1281" s="32"/>
      <c r="C1281" s="32"/>
      <c r="D1281" s="32"/>
      <c r="E1281" s="32"/>
    </row>
    <row r="1282" spans="1:5" ht="15.75" thickBot="1">
      <c r="A1282" s="32"/>
      <c r="B1282" s="32"/>
      <c r="C1282" s="32"/>
      <c r="D1282" s="32"/>
      <c r="E1282" s="32"/>
    </row>
    <row r="1283" spans="1:5" ht="15.75" thickBot="1">
      <c r="A1283" s="32"/>
      <c r="B1283" s="32"/>
      <c r="C1283" s="32"/>
      <c r="D1283" s="32"/>
      <c r="E1283" s="32"/>
    </row>
    <row r="1284" spans="1:5" ht="15.75" thickBot="1">
      <c r="A1284" s="32"/>
      <c r="B1284" s="32"/>
      <c r="C1284" s="32"/>
      <c r="D1284" s="32"/>
      <c r="E1284" s="32"/>
    </row>
    <row r="1285" spans="1:5" ht="15.75" thickBot="1">
      <c r="A1285" s="32"/>
      <c r="B1285" s="32"/>
      <c r="C1285" s="32"/>
      <c r="D1285" s="32"/>
      <c r="E1285" s="32"/>
    </row>
    <row r="1286" spans="1:5" ht="15.75" thickBot="1">
      <c r="A1286" s="32"/>
      <c r="B1286" s="32"/>
      <c r="C1286" s="32"/>
      <c r="D1286" s="32"/>
      <c r="E1286" s="32"/>
    </row>
    <row r="1287" spans="1:5" ht="15.75" thickBot="1">
      <c r="A1287" s="32"/>
      <c r="B1287" s="32"/>
      <c r="C1287" s="32"/>
      <c r="D1287" s="32"/>
      <c r="E1287" s="32"/>
    </row>
    <row r="1288" spans="1:5" ht="15.75" thickBot="1">
      <c r="A1288" s="32"/>
      <c r="B1288" s="32"/>
      <c r="C1288" s="32"/>
      <c r="D1288" s="32"/>
      <c r="E1288" s="32"/>
    </row>
    <row r="1289" spans="1:5" ht="15.75" thickBot="1">
      <c r="A1289" s="32"/>
      <c r="B1289" s="32"/>
      <c r="C1289" s="32"/>
      <c r="D1289" s="32"/>
      <c r="E1289" s="32"/>
    </row>
    <row r="1290" spans="1:5" ht="15.75" thickBot="1">
      <c r="A1290" s="32"/>
      <c r="B1290" s="32"/>
      <c r="C1290" s="32"/>
      <c r="D1290" s="32"/>
      <c r="E1290" s="32"/>
    </row>
    <row r="1291" spans="1:5" ht="15.75" thickBot="1">
      <c r="A1291" s="32"/>
      <c r="B1291" s="32"/>
      <c r="C1291" s="32"/>
      <c r="D1291" s="32"/>
      <c r="E1291" s="32"/>
    </row>
    <row r="1292" spans="1:5" ht="15.75" thickBot="1">
      <c r="A1292" s="32"/>
      <c r="B1292" s="32"/>
      <c r="C1292" s="32"/>
      <c r="D1292" s="32"/>
      <c r="E1292" s="32"/>
    </row>
    <row r="1293" spans="1:5" ht="15.75" thickBot="1">
      <c r="A1293" s="32"/>
      <c r="B1293" s="32"/>
      <c r="C1293" s="32"/>
      <c r="D1293" s="32"/>
      <c r="E1293" s="32"/>
    </row>
    <row r="1294" spans="1:5" ht="15.75" thickBot="1">
      <c r="A1294" s="32"/>
      <c r="B1294" s="32"/>
      <c r="C1294" s="32"/>
      <c r="D1294" s="32"/>
      <c r="E1294" s="32"/>
    </row>
    <row r="1295" spans="1:5" ht="15.75" thickBot="1">
      <c r="A1295" s="32"/>
      <c r="B1295" s="32"/>
      <c r="C1295" s="32"/>
      <c r="D1295" s="32"/>
      <c r="E1295" s="32"/>
    </row>
    <row r="1296" spans="1:5" ht="15.75" thickBot="1">
      <c r="A1296" s="32"/>
      <c r="B1296" s="32"/>
      <c r="C1296" s="32"/>
      <c r="D1296" s="32"/>
      <c r="E1296" s="32"/>
    </row>
    <row r="1297" spans="1:5" ht="15.75" thickBot="1">
      <c r="A1297" s="32"/>
      <c r="B1297" s="32"/>
      <c r="C1297" s="32"/>
      <c r="D1297" s="32"/>
      <c r="E1297" s="32"/>
    </row>
    <row r="1298" spans="1:5" ht="15.75" thickBot="1">
      <c r="A1298" s="32"/>
      <c r="B1298" s="32"/>
      <c r="C1298" s="32"/>
      <c r="D1298" s="32"/>
      <c r="E1298" s="32"/>
    </row>
    <row r="1299" spans="1:5" ht="15.75" thickBot="1">
      <c r="A1299" s="32"/>
      <c r="B1299" s="32"/>
      <c r="C1299" s="32"/>
      <c r="D1299" s="32"/>
      <c r="E1299" s="32"/>
    </row>
    <row r="1300" spans="1:5" ht="15.75" thickBot="1">
      <c r="A1300" s="32"/>
      <c r="B1300" s="32"/>
      <c r="C1300" s="32"/>
      <c r="D1300" s="32"/>
      <c r="E1300" s="32"/>
    </row>
    <row r="1301" spans="1:5" ht="15.75" thickBot="1">
      <c r="A1301" s="32"/>
      <c r="B1301" s="32"/>
      <c r="C1301" s="32"/>
      <c r="D1301" s="32"/>
      <c r="E1301" s="32"/>
    </row>
    <row r="1302" spans="1:5" ht="15.75" thickBot="1">
      <c r="A1302" s="32"/>
      <c r="B1302" s="32"/>
      <c r="C1302" s="32"/>
      <c r="D1302" s="32"/>
      <c r="E1302" s="32"/>
    </row>
    <row r="1303" spans="1:5" ht="15.75" thickBot="1">
      <c r="A1303" s="32"/>
      <c r="B1303" s="32"/>
      <c r="C1303" s="32"/>
      <c r="D1303" s="32"/>
      <c r="E1303" s="32"/>
    </row>
    <row r="1304" spans="1:5" ht="15.75" thickBot="1">
      <c r="A1304" s="32"/>
      <c r="B1304" s="32"/>
      <c r="C1304" s="32"/>
      <c r="D1304" s="32"/>
      <c r="E1304" s="32"/>
    </row>
    <row r="1305" spans="1:5" ht="15.75" thickBot="1">
      <c r="A1305" s="32"/>
      <c r="B1305" s="32"/>
      <c r="C1305" s="32"/>
      <c r="D1305" s="32"/>
      <c r="E1305" s="32"/>
    </row>
    <row r="1306" spans="1:5" ht="15.75" thickBot="1">
      <c r="A1306" s="32"/>
      <c r="B1306" s="32"/>
      <c r="C1306" s="32"/>
      <c r="D1306" s="32"/>
      <c r="E1306" s="32"/>
    </row>
    <row r="1307" spans="1:5" ht="15.75" thickBot="1">
      <c r="A1307" s="32"/>
      <c r="B1307" s="32"/>
      <c r="C1307" s="32"/>
      <c r="D1307" s="32"/>
      <c r="E1307" s="32"/>
    </row>
    <row r="1308" spans="1:5" ht="15.75" thickBot="1">
      <c r="A1308" s="32"/>
      <c r="B1308" s="32"/>
      <c r="C1308" s="32"/>
      <c r="D1308" s="32"/>
      <c r="E1308" s="32"/>
    </row>
    <row r="1309" spans="1:5" ht="15.75" thickBot="1">
      <c r="A1309" s="32"/>
      <c r="B1309" s="32"/>
      <c r="C1309" s="32"/>
      <c r="D1309" s="32"/>
      <c r="E1309" s="32"/>
    </row>
    <row r="1310" spans="1:5" ht="15.75" thickBot="1">
      <c r="A1310" s="32"/>
      <c r="B1310" s="32"/>
      <c r="C1310" s="32"/>
      <c r="D1310" s="32"/>
      <c r="E1310" s="32"/>
    </row>
    <row r="1311" spans="1:5" ht="15.75" thickBot="1">
      <c r="A1311" s="32"/>
      <c r="B1311" s="32"/>
      <c r="C1311" s="32"/>
      <c r="D1311" s="32"/>
      <c r="E1311" s="32"/>
    </row>
    <row r="1312" spans="1:5" ht="15.75" thickBot="1">
      <c r="A1312" s="32"/>
      <c r="B1312" s="32"/>
      <c r="C1312" s="32"/>
      <c r="D1312" s="32"/>
      <c r="E1312" s="32"/>
    </row>
    <row r="1313" spans="1:5" ht="15.75" thickBot="1">
      <c r="A1313" s="32"/>
      <c r="B1313" s="32"/>
      <c r="C1313" s="32"/>
      <c r="D1313" s="32"/>
      <c r="E1313" s="32"/>
    </row>
    <row r="1314" spans="1:5" ht="15.75" thickBot="1">
      <c r="A1314" s="32"/>
      <c r="B1314" s="32"/>
      <c r="C1314" s="32"/>
      <c r="D1314" s="32"/>
      <c r="E1314" s="32"/>
    </row>
    <row r="1315" spans="1:5" ht="15.75" thickBot="1">
      <c r="A1315" s="32"/>
      <c r="B1315" s="32"/>
      <c r="C1315" s="32"/>
      <c r="D1315" s="32"/>
      <c r="E1315" s="32"/>
    </row>
    <row r="1316" spans="1:5" ht="15.75" thickBot="1">
      <c r="A1316" s="32"/>
      <c r="B1316" s="32"/>
      <c r="C1316" s="32"/>
      <c r="D1316" s="32"/>
      <c r="E1316" s="32"/>
    </row>
    <row r="1317" spans="1:5" ht="15.75" thickBot="1">
      <c r="A1317" s="32"/>
      <c r="B1317" s="32"/>
      <c r="C1317" s="32"/>
      <c r="D1317" s="32"/>
      <c r="E1317" s="32"/>
    </row>
    <row r="1318" spans="1:5" ht="15.75" thickBot="1">
      <c r="A1318" s="32"/>
      <c r="B1318" s="32"/>
      <c r="C1318" s="32"/>
      <c r="D1318" s="32"/>
      <c r="E1318" s="32"/>
    </row>
    <row r="1319" spans="1:5" ht="15.75" thickBot="1">
      <c r="A1319" s="32"/>
      <c r="B1319" s="32"/>
      <c r="C1319" s="32"/>
      <c r="D1319" s="32"/>
      <c r="E1319" s="32"/>
    </row>
    <row r="1320" spans="1:5" ht="15.75" thickBot="1">
      <c r="A1320" s="32"/>
      <c r="B1320" s="32"/>
      <c r="C1320" s="32"/>
      <c r="D1320" s="32"/>
      <c r="E1320" s="32"/>
    </row>
    <row r="1321" spans="1:5" ht="15.75" thickBot="1">
      <c r="A1321" s="32"/>
      <c r="B1321" s="32"/>
      <c r="C1321" s="32"/>
      <c r="D1321" s="32"/>
      <c r="E1321" s="32"/>
    </row>
    <row r="1322" spans="1:5" ht="15.75" thickBot="1">
      <c r="A1322" s="32"/>
      <c r="B1322" s="32"/>
      <c r="C1322" s="32"/>
      <c r="D1322" s="32"/>
      <c r="E1322" s="32"/>
    </row>
    <row r="1323" spans="1:5" ht="15.75" thickBot="1">
      <c r="A1323" s="32"/>
      <c r="B1323" s="32"/>
      <c r="C1323" s="32"/>
      <c r="D1323" s="32"/>
      <c r="E1323" s="32"/>
    </row>
    <row r="1324" spans="1:5" ht="15.75" thickBot="1">
      <c r="A1324" s="32"/>
      <c r="B1324" s="32"/>
      <c r="C1324" s="32"/>
      <c r="D1324" s="32"/>
      <c r="E1324" s="32"/>
    </row>
    <row r="1325" spans="1:5" ht="15.75" thickBot="1">
      <c r="A1325" s="32"/>
      <c r="B1325" s="32"/>
      <c r="C1325" s="32"/>
      <c r="D1325" s="32"/>
      <c r="E1325" s="32"/>
    </row>
    <row r="1326" spans="1:5" ht="15.75" thickBot="1">
      <c r="A1326" s="32"/>
      <c r="B1326" s="32"/>
      <c r="C1326" s="32"/>
      <c r="D1326" s="32"/>
      <c r="E1326" s="32"/>
    </row>
    <row r="1327" spans="1:5" ht="15.75" thickBot="1">
      <c r="A1327" s="32"/>
      <c r="B1327" s="32"/>
      <c r="C1327" s="32"/>
      <c r="D1327" s="32"/>
      <c r="E1327" s="32"/>
    </row>
    <row r="1328" spans="1:5" ht="15.75" thickBot="1">
      <c r="A1328" s="32"/>
      <c r="B1328" s="32"/>
      <c r="C1328" s="32"/>
      <c r="D1328" s="32"/>
      <c r="E1328" s="32"/>
    </row>
    <row r="1329" spans="1:5" ht="15.75" thickBot="1">
      <c r="A1329" s="32"/>
      <c r="B1329" s="32"/>
      <c r="C1329" s="32"/>
      <c r="D1329" s="32"/>
      <c r="E1329" s="32"/>
    </row>
    <row r="1330" spans="1:5" ht="15.75" thickBot="1">
      <c r="A1330" s="32"/>
      <c r="B1330" s="32"/>
      <c r="C1330" s="32"/>
      <c r="D1330" s="32"/>
      <c r="E1330" s="32"/>
    </row>
    <row r="1331" spans="1:5" ht="15.75" thickBot="1">
      <c r="A1331" s="32"/>
      <c r="B1331" s="32"/>
      <c r="C1331" s="32"/>
      <c r="D1331" s="32"/>
      <c r="E1331" s="32"/>
    </row>
    <row r="1332" spans="1:5" ht="15.75" thickBot="1">
      <c r="A1332" s="32"/>
      <c r="B1332" s="32"/>
      <c r="C1332" s="32"/>
      <c r="D1332" s="32"/>
      <c r="E1332" s="32"/>
    </row>
    <row r="1333" spans="1:5" ht="15.75" thickBot="1">
      <c r="A1333" s="32"/>
      <c r="B1333" s="32"/>
      <c r="C1333" s="32"/>
      <c r="D1333" s="32"/>
      <c r="E1333" s="32"/>
    </row>
    <row r="1334" spans="1:5" ht="15.75" thickBot="1">
      <c r="A1334" s="32"/>
      <c r="B1334" s="32"/>
      <c r="C1334" s="32"/>
      <c r="D1334" s="32"/>
      <c r="E1334" s="32"/>
    </row>
    <row r="1335" spans="1:5" ht="15.75" thickBot="1">
      <c r="A1335" s="32"/>
      <c r="B1335" s="32"/>
      <c r="C1335" s="32"/>
      <c r="D1335" s="32"/>
      <c r="E1335" s="32"/>
    </row>
    <row r="1336" spans="1:5" ht="15.75" thickBot="1">
      <c r="A1336" s="32"/>
      <c r="B1336" s="32"/>
      <c r="C1336" s="32"/>
      <c r="D1336" s="32"/>
      <c r="E1336" s="32"/>
    </row>
    <row r="1337" spans="1:5" ht="15.75" thickBot="1">
      <c r="A1337" s="32"/>
      <c r="B1337" s="32"/>
      <c r="C1337" s="32"/>
      <c r="D1337" s="32"/>
      <c r="E1337" s="32"/>
    </row>
    <row r="1338" spans="1:5" ht="15.75" thickBot="1">
      <c r="A1338" s="32"/>
      <c r="B1338" s="32"/>
      <c r="C1338" s="32"/>
      <c r="D1338" s="32"/>
      <c r="E1338" s="32"/>
    </row>
    <row r="1339" spans="1:5" ht="15.75" thickBot="1">
      <c r="A1339" s="32"/>
      <c r="B1339" s="32"/>
      <c r="C1339" s="32"/>
      <c r="D1339" s="32"/>
      <c r="E1339" s="32"/>
    </row>
    <row r="1340" spans="1:5" ht="15.75" thickBot="1">
      <c r="A1340" s="32"/>
      <c r="B1340" s="32"/>
      <c r="C1340" s="32"/>
      <c r="D1340" s="32"/>
      <c r="E1340" s="32"/>
    </row>
    <row r="1341" spans="1:5" ht="15.75" thickBot="1">
      <c r="A1341" s="32"/>
      <c r="B1341" s="32"/>
      <c r="C1341" s="32"/>
      <c r="D1341" s="32"/>
      <c r="E1341" s="32"/>
    </row>
    <row r="1342" spans="1:5" ht="15.75" thickBot="1">
      <c r="A1342" s="32"/>
      <c r="B1342" s="32"/>
      <c r="C1342" s="32"/>
      <c r="D1342" s="32"/>
      <c r="E1342" s="32"/>
    </row>
    <row r="1343" spans="1:5" ht="15.75" thickBot="1">
      <c r="A1343" s="32"/>
      <c r="B1343" s="32"/>
      <c r="C1343" s="32"/>
      <c r="D1343" s="32"/>
      <c r="E1343" s="32"/>
    </row>
    <row r="1344" spans="1:5" ht="15.75" thickBot="1">
      <c r="A1344" s="32"/>
      <c r="B1344" s="32"/>
      <c r="C1344" s="32"/>
      <c r="D1344" s="32"/>
      <c r="E1344" s="32"/>
    </row>
    <row r="1345" spans="1:5" ht="15.75" thickBot="1">
      <c r="A1345" s="32"/>
      <c r="B1345" s="32"/>
      <c r="C1345" s="32"/>
      <c r="D1345" s="32"/>
      <c r="E1345" s="32"/>
    </row>
    <row r="1346" spans="1:5" ht="15.75" thickBot="1">
      <c r="A1346" s="32"/>
      <c r="B1346" s="32"/>
      <c r="C1346" s="32"/>
      <c r="D1346" s="32"/>
      <c r="E1346" s="32"/>
    </row>
    <row r="1347" spans="1:5" ht="15.75" thickBot="1">
      <c r="A1347" s="32"/>
      <c r="B1347" s="32"/>
      <c r="C1347" s="32"/>
      <c r="D1347" s="32"/>
      <c r="E1347" s="32"/>
    </row>
    <row r="1348" spans="1:5" ht="15.75" thickBot="1">
      <c r="A1348" s="32"/>
      <c r="B1348" s="32"/>
      <c r="C1348" s="32"/>
      <c r="D1348" s="32"/>
      <c r="E1348" s="32"/>
    </row>
    <row r="1349" spans="1:5" ht="15.75" thickBot="1">
      <c r="A1349" s="32"/>
      <c r="B1349" s="32"/>
      <c r="C1349" s="32"/>
      <c r="D1349" s="32"/>
      <c r="E1349" s="32"/>
    </row>
    <row r="1350" spans="1:5" ht="15.75" thickBot="1">
      <c r="A1350" s="32"/>
      <c r="B1350" s="32"/>
      <c r="C1350" s="32"/>
      <c r="D1350" s="32"/>
      <c r="E1350" s="32"/>
    </row>
    <row r="1351" spans="1:5" ht="15.75" thickBot="1">
      <c r="A1351" s="32"/>
      <c r="B1351" s="32"/>
      <c r="C1351" s="32"/>
      <c r="D1351" s="32"/>
      <c r="E1351" s="32"/>
    </row>
    <row r="1352" spans="1:5" ht="15.75" thickBot="1">
      <c r="A1352" s="32"/>
      <c r="B1352" s="32"/>
      <c r="C1352" s="32"/>
      <c r="D1352" s="32"/>
      <c r="E1352" s="32"/>
    </row>
    <row r="1353" spans="1:5" ht="15.75" thickBot="1">
      <c r="A1353" s="32"/>
      <c r="B1353" s="32"/>
      <c r="C1353" s="32"/>
      <c r="D1353" s="32"/>
      <c r="E1353" s="32"/>
    </row>
    <row r="1354" spans="1:5" ht="15.75" thickBot="1">
      <c r="A1354" s="32"/>
      <c r="B1354" s="32"/>
      <c r="C1354" s="32"/>
      <c r="D1354" s="32"/>
      <c r="E1354" s="32"/>
    </row>
    <row r="1355" spans="1:5" ht="15.75" thickBot="1">
      <c r="A1355" s="32"/>
      <c r="B1355" s="32"/>
      <c r="C1355" s="32"/>
      <c r="D1355" s="32"/>
      <c r="E1355" s="32"/>
    </row>
    <row r="1356" spans="1:5" ht="15.75" thickBot="1">
      <c r="A1356" s="32"/>
      <c r="B1356" s="32"/>
      <c r="C1356" s="32"/>
      <c r="D1356" s="32"/>
      <c r="E1356" s="32"/>
    </row>
    <row r="1357" spans="1:5" ht="15.75" thickBot="1">
      <c r="A1357" s="32"/>
      <c r="B1357" s="32"/>
      <c r="C1357" s="32"/>
      <c r="D1357" s="32"/>
      <c r="E1357" s="32"/>
    </row>
    <row r="1358" spans="1:5" ht="15.75" thickBot="1">
      <c r="A1358" s="32"/>
      <c r="B1358" s="32"/>
      <c r="C1358" s="32"/>
      <c r="D1358" s="32"/>
      <c r="E1358" s="32"/>
    </row>
    <row r="1359" spans="1:5" ht="15.75" thickBot="1">
      <c r="A1359" s="32"/>
      <c r="B1359" s="32"/>
      <c r="C1359" s="32"/>
      <c r="D1359" s="32"/>
      <c r="E1359" s="32"/>
    </row>
    <row r="1360" spans="1:5" ht="15.75" thickBot="1">
      <c r="A1360" s="32"/>
      <c r="B1360" s="32"/>
      <c r="C1360" s="32"/>
      <c r="D1360" s="32"/>
      <c r="E1360" s="32"/>
    </row>
    <row r="1361" spans="1:5" ht="15.75" thickBot="1">
      <c r="A1361" s="32"/>
      <c r="B1361" s="32"/>
      <c r="C1361" s="32"/>
      <c r="D1361" s="32"/>
      <c r="E1361" s="32"/>
    </row>
    <row r="1362" spans="1:5" ht="15.75" thickBot="1">
      <c r="A1362" s="32"/>
      <c r="B1362" s="32"/>
      <c r="C1362" s="32"/>
      <c r="D1362" s="32"/>
      <c r="E1362" s="32"/>
    </row>
    <row r="1363" spans="1:5" ht="15.75" thickBot="1">
      <c r="A1363" s="32"/>
      <c r="B1363" s="32"/>
      <c r="C1363" s="32"/>
      <c r="D1363" s="32"/>
      <c r="E1363" s="32"/>
    </row>
    <row r="1364" spans="1:5" ht="15.75" thickBot="1">
      <c r="A1364" s="32"/>
      <c r="B1364" s="32"/>
      <c r="C1364" s="32"/>
      <c r="D1364" s="32"/>
      <c r="E1364" s="32"/>
    </row>
    <row r="1365" spans="1:5" ht="15.75" thickBot="1">
      <c r="A1365" s="32"/>
      <c r="B1365" s="32"/>
      <c r="C1365" s="32"/>
      <c r="D1365" s="32"/>
      <c r="E1365" s="32"/>
    </row>
    <row r="1366" spans="1:5" ht="15.75" thickBot="1">
      <c r="A1366" s="32"/>
      <c r="B1366" s="32"/>
      <c r="C1366" s="32"/>
      <c r="D1366" s="32"/>
      <c r="E1366" s="32"/>
    </row>
    <row r="1367" spans="1:5" ht="15.75" thickBot="1">
      <c r="A1367" s="32"/>
      <c r="B1367" s="32"/>
      <c r="C1367" s="32"/>
      <c r="D1367" s="32"/>
      <c r="E1367" s="32"/>
    </row>
    <row r="1368" spans="1:5" ht="15.75" thickBot="1">
      <c r="A1368" s="32"/>
      <c r="B1368" s="32"/>
      <c r="C1368" s="32"/>
      <c r="D1368" s="32"/>
      <c r="E1368" s="32"/>
    </row>
    <row r="1369" spans="1:5" ht="15.75" thickBot="1">
      <c r="A1369" s="32"/>
      <c r="B1369" s="32"/>
      <c r="C1369" s="32"/>
      <c r="D1369" s="32"/>
      <c r="E1369" s="32"/>
    </row>
    <row r="1370" spans="1:5" ht="15.75" thickBot="1">
      <c r="A1370" s="32"/>
      <c r="B1370" s="32"/>
      <c r="C1370" s="32"/>
      <c r="D1370" s="32"/>
      <c r="E1370" s="32"/>
    </row>
    <row r="1371" spans="1:5" ht="15.75" thickBot="1">
      <c r="A1371" s="32"/>
      <c r="B1371" s="32"/>
      <c r="C1371" s="32"/>
      <c r="D1371" s="32"/>
      <c r="E1371" s="32"/>
    </row>
    <row r="1372" spans="1:5" ht="15.75" thickBot="1">
      <c r="A1372" s="32"/>
      <c r="B1372" s="32"/>
      <c r="C1372" s="32"/>
      <c r="D1372" s="32"/>
      <c r="E1372" s="32"/>
    </row>
    <row r="1373" spans="1:5" ht="15.75" thickBot="1">
      <c r="A1373" s="32"/>
      <c r="B1373" s="32"/>
      <c r="C1373" s="32"/>
      <c r="D1373" s="32"/>
      <c r="E1373" s="32"/>
    </row>
    <row r="1374" spans="1:5" ht="15.75" thickBot="1">
      <c r="A1374" s="32"/>
      <c r="B1374" s="32"/>
      <c r="C1374" s="32"/>
      <c r="D1374" s="32"/>
      <c r="E1374" s="32"/>
    </row>
    <row r="1375" spans="1:5" ht="15.75" thickBot="1">
      <c r="A1375" s="32"/>
      <c r="B1375" s="32"/>
      <c r="C1375" s="32"/>
      <c r="D1375" s="32"/>
      <c r="E1375" s="32"/>
    </row>
    <row r="1376" spans="1:5" ht="15.75" thickBot="1">
      <c r="A1376" s="32"/>
      <c r="B1376" s="32"/>
      <c r="C1376" s="32"/>
      <c r="D1376" s="32"/>
      <c r="E1376" s="32"/>
    </row>
    <row r="1377" spans="1:5" ht="15.75" thickBot="1">
      <c r="A1377" s="32"/>
      <c r="B1377" s="32"/>
      <c r="C1377" s="32"/>
      <c r="D1377" s="32"/>
      <c r="E1377" s="32"/>
    </row>
    <row r="1378" spans="1:5" ht="15.75" thickBot="1">
      <c r="A1378" s="32"/>
      <c r="B1378" s="32"/>
      <c r="C1378" s="32"/>
      <c r="D1378" s="32"/>
      <c r="E1378" s="32"/>
    </row>
    <row r="1379" spans="1:5" ht="15.75" thickBot="1">
      <c r="A1379" s="32"/>
      <c r="B1379" s="32"/>
      <c r="C1379" s="32"/>
      <c r="D1379" s="32"/>
      <c r="E1379" s="32"/>
    </row>
    <row r="1380" spans="1:5" ht="15.75" thickBot="1">
      <c r="A1380" s="32"/>
      <c r="B1380" s="32"/>
      <c r="C1380" s="32"/>
      <c r="D1380" s="32"/>
      <c r="E1380" s="32"/>
    </row>
    <row r="1381" spans="1:5" ht="15.75" thickBot="1">
      <c r="A1381" s="32"/>
      <c r="B1381" s="32"/>
      <c r="C1381" s="32"/>
      <c r="D1381" s="32"/>
      <c r="E1381" s="32"/>
    </row>
    <row r="1382" spans="1:5" ht="15.75" thickBot="1">
      <c r="A1382" s="32"/>
      <c r="B1382" s="32"/>
      <c r="C1382" s="32"/>
      <c r="D1382" s="32"/>
      <c r="E1382" s="32"/>
    </row>
    <row r="1383" spans="1:5" ht="15.75" thickBot="1">
      <c r="A1383" s="32"/>
      <c r="B1383" s="32"/>
      <c r="C1383" s="32"/>
      <c r="D1383" s="32"/>
      <c r="E1383" s="32"/>
    </row>
    <row r="1384" spans="1:5" ht="15.75" thickBot="1">
      <c r="A1384" s="32"/>
      <c r="B1384" s="32"/>
      <c r="C1384" s="32"/>
      <c r="D1384" s="32"/>
      <c r="E1384" s="32"/>
    </row>
    <row r="1385" spans="1:5" ht="15.75" thickBot="1">
      <c r="A1385" s="32"/>
      <c r="B1385" s="32"/>
      <c r="C1385" s="32"/>
      <c r="D1385" s="32"/>
      <c r="E1385" s="32"/>
    </row>
    <row r="1386" spans="1:5" ht="15.75" thickBot="1">
      <c r="A1386" s="32"/>
      <c r="B1386" s="32"/>
      <c r="C1386" s="32"/>
      <c r="D1386" s="32"/>
      <c r="E1386" s="32"/>
    </row>
    <row r="1387" spans="1:5" ht="15.75" thickBot="1">
      <c r="A1387" s="32"/>
      <c r="B1387" s="32"/>
      <c r="C1387" s="32"/>
      <c r="D1387" s="32"/>
      <c r="E1387" s="32"/>
    </row>
    <row r="1388" spans="1:5" ht="15.75" thickBot="1">
      <c r="A1388" s="32"/>
      <c r="B1388" s="32"/>
      <c r="C1388" s="32"/>
      <c r="D1388" s="32"/>
      <c r="E1388" s="32"/>
    </row>
    <row r="1389" spans="1:5" ht="15.75" thickBot="1">
      <c r="A1389" s="32"/>
      <c r="B1389" s="32"/>
      <c r="C1389" s="32"/>
      <c r="D1389" s="32"/>
      <c r="E1389" s="32"/>
    </row>
    <row r="1390" spans="1:5" ht="15.75" thickBot="1">
      <c r="A1390" s="32"/>
      <c r="B1390" s="32"/>
      <c r="C1390" s="32"/>
      <c r="D1390" s="32"/>
      <c r="E1390" s="32"/>
    </row>
    <row r="1391" spans="1:5" ht="15.75" thickBot="1">
      <c r="A1391" s="32"/>
      <c r="B1391" s="32"/>
      <c r="C1391" s="32"/>
      <c r="D1391" s="32"/>
      <c r="E1391" s="32"/>
    </row>
    <row r="1392" spans="1:5" ht="15.75" thickBot="1">
      <c r="A1392" s="32"/>
      <c r="B1392" s="32"/>
      <c r="C1392" s="32"/>
      <c r="D1392" s="32"/>
      <c r="E1392" s="32"/>
    </row>
    <row r="1393" spans="1:5" ht="15.75" thickBot="1">
      <c r="A1393" s="32"/>
      <c r="B1393" s="32"/>
      <c r="C1393" s="32"/>
      <c r="D1393" s="32"/>
      <c r="E1393" s="32"/>
    </row>
    <row r="1394" spans="1:5" ht="15.75" thickBot="1">
      <c r="A1394" s="32"/>
      <c r="B1394" s="32"/>
      <c r="C1394" s="32"/>
      <c r="D1394" s="32"/>
      <c r="E1394" s="32"/>
    </row>
    <row r="1395" spans="1:5" ht="15.75" thickBot="1">
      <c r="A1395" s="32"/>
      <c r="B1395" s="32"/>
      <c r="C1395" s="32"/>
      <c r="D1395" s="32"/>
      <c r="E1395" s="32"/>
    </row>
    <row r="1396" spans="1:5" ht="15.75" thickBot="1">
      <c r="A1396" s="32"/>
      <c r="B1396" s="32"/>
      <c r="C1396" s="32"/>
      <c r="D1396" s="32"/>
      <c r="E1396" s="32"/>
    </row>
    <row r="1397" spans="1:5" ht="15.75" thickBot="1">
      <c r="A1397" s="32"/>
      <c r="B1397" s="32"/>
      <c r="C1397" s="32"/>
      <c r="D1397" s="32"/>
      <c r="E1397" s="32"/>
    </row>
    <row r="1398" spans="1:5" ht="15.75" thickBot="1">
      <c r="A1398" s="32"/>
      <c r="B1398" s="32"/>
      <c r="C1398" s="32"/>
      <c r="D1398" s="32"/>
      <c r="E1398" s="32"/>
    </row>
    <row r="1399" spans="1:5" ht="15.75" thickBot="1">
      <c r="A1399" s="32"/>
      <c r="B1399" s="32"/>
      <c r="C1399" s="32"/>
      <c r="D1399" s="32"/>
      <c r="E1399" s="32"/>
    </row>
    <row r="1400" spans="1:5" ht="15.75" thickBot="1">
      <c r="A1400" s="32"/>
      <c r="B1400" s="32"/>
      <c r="C1400" s="32"/>
      <c r="D1400" s="32"/>
      <c r="E1400" s="32"/>
    </row>
    <row r="1401" spans="1:5" ht="15.75" thickBot="1">
      <c r="A1401" s="32"/>
      <c r="B1401" s="32"/>
      <c r="C1401" s="32"/>
      <c r="D1401" s="32"/>
      <c r="E1401" s="32"/>
    </row>
    <row r="1402" spans="1:5" ht="15.75" thickBot="1">
      <c r="A1402" s="32"/>
      <c r="B1402" s="32"/>
      <c r="C1402" s="32"/>
      <c r="D1402" s="32"/>
      <c r="E1402" s="32"/>
    </row>
    <row r="1403" spans="1:5" ht="15.75" thickBot="1">
      <c r="A1403" s="32"/>
      <c r="B1403" s="32"/>
      <c r="C1403" s="32"/>
      <c r="D1403" s="32"/>
      <c r="E1403" s="32"/>
    </row>
    <row r="1404" spans="1:5" ht="15.75" thickBot="1">
      <c r="A1404" s="32"/>
      <c r="B1404" s="32"/>
      <c r="C1404" s="32"/>
      <c r="D1404" s="32"/>
      <c r="E1404" s="32"/>
    </row>
    <row r="1405" spans="1:5" ht="15.75" thickBot="1">
      <c r="A1405" s="32"/>
      <c r="B1405" s="32"/>
      <c r="C1405" s="32"/>
      <c r="D1405" s="32"/>
      <c r="E1405" s="32"/>
    </row>
    <row r="1406" spans="1:5" ht="15.75" thickBot="1">
      <c r="A1406" s="32"/>
      <c r="B1406" s="32"/>
      <c r="C1406" s="32"/>
      <c r="D1406" s="32"/>
      <c r="E1406" s="32"/>
    </row>
    <row r="1407" spans="1:5" ht="15.75" thickBot="1">
      <c r="A1407" s="32"/>
      <c r="B1407" s="32"/>
      <c r="C1407" s="32"/>
      <c r="D1407" s="32"/>
      <c r="E1407" s="32"/>
    </row>
    <row r="1408" spans="1:5" ht="15.75" thickBot="1">
      <c r="A1408" s="32"/>
      <c r="B1408" s="32"/>
      <c r="C1408" s="32"/>
      <c r="D1408" s="32"/>
      <c r="E1408" s="32"/>
    </row>
    <row r="1409" spans="1:5" ht="15.75" thickBot="1">
      <c r="A1409" s="32"/>
      <c r="B1409" s="32"/>
      <c r="C1409" s="32"/>
      <c r="D1409" s="32"/>
      <c r="E1409" s="32"/>
    </row>
    <row r="1410" spans="1:5" ht="15.75" thickBot="1">
      <c r="A1410" s="32"/>
      <c r="B1410" s="32"/>
      <c r="C1410" s="32"/>
      <c r="D1410" s="32"/>
      <c r="E1410" s="32"/>
    </row>
    <row r="1411" spans="1:5" ht="15.75" thickBot="1">
      <c r="A1411" s="32"/>
      <c r="B1411" s="32"/>
      <c r="C1411" s="32"/>
      <c r="D1411" s="32"/>
      <c r="E1411" s="32"/>
    </row>
    <row r="1412" spans="1:5" ht="15.75" thickBot="1">
      <c r="A1412" s="32"/>
      <c r="B1412" s="32"/>
      <c r="C1412" s="32"/>
      <c r="D1412" s="32"/>
      <c r="E1412" s="32"/>
    </row>
    <row r="1413" spans="1:5" ht="15.75" thickBot="1">
      <c r="A1413" s="32"/>
      <c r="B1413" s="32"/>
      <c r="C1413" s="32"/>
      <c r="D1413" s="32"/>
      <c r="E1413" s="32"/>
    </row>
    <row r="1414" spans="1:5" ht="15.75" thickBot="1">
      <c r="A1414" s="32"/>
      <c r="B1414" s="32"/>
      <c r="C1414" s="32"/>
      <c r="D1414" s="32"/>
      <c r="E1414" s="32"/>
    </row>
    <row r="1415" spans="1:5" ht="15.75" thickBot="1">
      <c r="A1415" s="32"/>
      <c r="B1415" s="32"/>
      <c r="C1415" s="32"/>
      <c r="D1415" s="32"/>
      <c r="E1415" s="32"/>
    </row>
    <row r="1416" spans="1:5" ht="15.75" thickBot="1">
      <c r="A1416" s="32"/>
      <c r="B1416" s="32"/>
      <c r="C1416" s="32"/>
      <c r="D1416" s="32"/>
      <c r="E1416" s="32"/>
    </row>
    <row r="1417" spans="1:5" ht="15.75" thickBot="1">
      <c r="A1417" s="32"/>
      <c r="B1417" s="32"/>
      <c r="C1417" s="32"/>
      <c r="D1417" s="32"/>
      <c r="E1417" s="32"/>
    </row>
    <row r="1418" spans="1:5" ht="15.75" thickBot="1">
      <c r="A1418" s="32"/>
      <c r="B1418" s="32"/>
      <c r="C1418" s="32"/>
      <c r="D1418" s="32"/>
      <c r="E1418" s="32"/>
    </row>
    <row r="1419" spans="1:5" ht="15.75" thickBot="1">
      <c r="A1419" s="32"/>
      <c r="B1419" s="32"/>
      <c r="C1419" s="32"/>
      <c r="D1419" s="32"/>
      <c r="E1419" s="32"/>
    </row>
    <row r="1420" spans="1:5" ht="15.75" thickBot="1">
      <c r="A1420" s="32"/>
      <c r="B1420" s="32"/>
      <c r="C1420" s="32"/>
      <c r="D1420" s="32"/>
      <c r="E1420" s="32"/>
    </row>
    <row r="1421" spans="1:5" ht="15.75" thickBot="1">
      <c r="A1421" s="32"/>
      <c r="B1421" s="32"/>
      <c r="C1421" s="32"/>
      <c r="D1421" s="32"/>
      <c r="E1421" s="32"/>
    </row>
    <row r="1422" spans="1:5" ht="15.75" thickBot="1">
      <c r="A1422" s="32"/>
      <c r="B1422" s="32"/>
      <c r="C1422" s="32"/>
      <c r="D1422" s="32"/>
      <c r="E1422" s="32"/>
    </row>
    <row r="1423" spans="1:5" ht="15.75" thickBot="1">
      <c r="A1423" s="32"/>
      <c r="B1423" s="32"/>
      <c r="C1423" s="32"/>
      <c r="D1423" s="32"/>
      <c r="E1423" s="32"/>
    </row>
    <row r="1424" spans="1:5" ht="15.75" thickBot="1">
      <c r="A1424" s="32"/>
      <c r="B1424" s="32"/>
      <c r="C1424" s="32"/>
      <c r="D1424" s="32"/>
      <c r="E1424" s="32"/>
    </row>
    <row r="1425" spans="1:5" ht="15.75" thickBot="1">
      <c r="A1425" s="32"/>
      <c r="B1425" s="32"/>
      <c r="C1425" s="32"/>
      <c r="D1425" s="32"/>
      <c r="E1425" s="32"/>
    </row>
    <row r="1426" spans="1:5" ht="15.75" thickBot="1">
      <c r="A1426" s="32"/>
      <c r="B1426" s="32"/>
      <c r="C1426" s="32"/>
      <c r="D1426" s="32"/>
      <c r="E1426" s="32"/>
    </row>
    <row r="1427" spans="1:5" ht="15.75" thickBot="1">
      <c r="A1427" s="32"/>
      <c r="B1427" s="32"/>
      <c r="C1427" s="32"/>
      <c r="D1427" s="32"/>
      <c r="E1427" s="32"/>
    </row>
    <row r="1428" spans="1:5" ht="15.75" thickBot="1">
      <c r="A1428" s="32"/>
      <c r="B1428" s="32"/>
      <c r="C1428" s="32"/>
      <c r="D1428" s="32"/>
      <c r="E1428" s="32"/>
    </row>
    <row r="1429" spans="1:5" ht="15.75" thickBot="1">
      <c r="A1429" s="32"/>
      <c r="B1429" s="32"/>
      <c r="C1429" s="32"/>
      <c r="D1429" s="32"/>
      <c r="E1429" s="32"/>
    </row>
    <row r="1430" spans="1:5" ht="15.75" thickBot="1">
      <c r="A1430" s="32"/>
      <c r="B1430" s="32"/>
      <c r="C1430" s="32"/>
      <c r="D1430" s="32"/>
      <c r="E1430" s="32"/>
    </row>
    <row r="1431" spans="1:5" ht="15.75" thickBot="1">
      <c r="A1431" s="32"/>
      <c r="B1431" s="32"/>
      <c r="C1431" s="32"/>
      <c r="D1431" s="32"/>
      <c r="E1431" s="32"/>
    </row>
    <row r="1432" spans="1:5" ht="15.75" thickBot="1">
      <c r="A1432" s="32"/>
      <c r="B1432" s="32"/>
      <c r="C1432" s="32"/>
      <c r="D1432" s="32"/>
      <c r="E1432" s="32"/>
    </row>
    <row r="1433" spans="1:5" ht="15.75" thickBot="1">
      <c r="A1433" s="32"/>
      <c r="B1433" s="32"/>
      <c r="C1433" s="32"/>
      <c r="D1433" s="32"/>
      <c r="E1433" s="32"/>
    </row>
    <row r="1434" spans="1:5" ht="15.75" thickBot="1">
      <c r="A1434" s="32"/>
      <c r="B1434" s="32"/>
      <c r="C1434" s="32"/>
      <c r="D1434" s="32"/>
      <c r="E1434" s="32"/>
    </row>
    <row r="1435" spans="1:5" ht="15.75" thickBot="1">
      <c r="A1435" s="32"/>
      <c r="B1435" s="32"/>
      <c r="C1435" s="32"/>
      <c r="D1435" s="32"/>
      <c r="E1435" s="32"/>
    </row>
    <row r="1436" spans="1:5" ht="15.75" thickBot="1">
      <c r="A1436" s="32"/>
      <c r="B1436" s="32"/>
      <c r="C1436" s="32"/>
      <c r="D1436" s="32"/>
      <c r="E1436" s="32"/>
    </row>
    <row r="1437" spans="1:5" ht="15.75" thickBot="1">
      <c r="A1437" s="32"/>
      <c r="B1437" s="32"/>
      <c r="C1437" s="32"/>
      <c r="D1437" s="32"/>
      <c r="E1437" s="32"/>
    </row>
    <row r="1438" spans="1:5" ht="15.75" thickBot="1">
      <c r="A1438" s="32"/>
      <c r="B1438" s="32"/>
      <c r="C1438" s="32"/>
      <c r="D1438" s="32"/>
      <c r="E1438" s="32"/>
    </row>
    <row r="1439" spans="1:5" ht="15.75" thickBot="1">
      <c r="A1439" s="32"/>
      <c r="B1439" s="32"/>
      <c r="C1439" s="32"/>
      <c r="D1439" s="32"/>
      <c r="E1439" s="32"/>
    </row>
    <row r="1440" spans="1:5" ht="15.75" thickBot="1">
      <c r="A1440" s="32"/>
      <c r="B1440" s="32"/>
      <c r="C1440" s="32"/>
      <c r="D1440" s="32"/>
      <c r="E1440" s="32"/>
    </row>
    <row r="1441" spans="1:5" ht="15.75" thickBot="1">
      <c r="A1441" s="32"/>
      <c r="B1441" s="32"/>
      <c r="C1441" s="32"/>
      <c r="D1441" s="32"/>
      <c r="E1441" s="32"/>
    </row>
    <row r="1442" spans="1:5" ht="15.75" thickBot="1">
      <c r="A1442" s="32"/>
      <c r="B1442" s="32"/>
      <c r="C1442" s="32"/>
      <c r="D1442" s="32"/>
      <c r="E1442" s="32"/>
    </row>
    <row r="1443" spans="1:5" ht="15.75" thickBot="1">
      <c r="A1443" s="32"/>
      <c r="B1443" s="32"/>
      <c r="C1443" s="32"/>
      <c r="D1443" s="32"/>
      <c r="E1443" s="32"/>
    </row>
    <row r="1444" spans="1:5" ht="15.75" thickBot="1">
      <c r="A1444" s="32"/>
      <c r="B1444" s="32"/>
      <c r="C1444" s="32"/>
      <c r="D1444" s="32"/>
      <c r="E1444" s="32"/>
    </row>
    <row r="1445" spans="1:5" ht="15.75" thickBot="1">
      <c r="A1445" s="32"/>
      <c r="B1445" s="32"/>
      <c r="C1445" s="32"/>
      <c r="D1445" s="32"/>
      <c r="E1445" s="32"/>
    </row>
    <row r="1446" spans="1:5" ht="15.75" thickBot="1">
      <c r="A1446" s="32"/>
      <c r="B1446" s="32"/>
      <c r="C1446" s="32"/>
      <c r="D1446" s="32"/>
      <c r="E1446" s="32"/>
    </row>
    <row r="1447" spans="1:5" ht="15.75" thickBot="1">
      <c r="A1447" s="32"/>
      <c r="B1447" s="32"/>
      <c r="C1447" s="32"/>
      <c r="D1447" s="32"/>
      <c r="E1447" s="32"/>
    </row>
    <row r="1448" spans="1:5" ht="15.75" thickBot="1">
      <c r="A1448" s="32"/>
      <c r="B1448" s="32"/>
      <c r="C1448" s="32"/>
      <c r="D1448" s="32"/>
      <c r="E1448" s="32"/>
    </row>
    <row r="1449" spans="1:5" ht="15.75" thickBot="1">
      <c r="A1449" s="32"/>
      <c r="B1449" s="32"/>
      <c r="C1449" s="32"/>
      <c r="D1449" s="32"/>
      <c r="E1449" s="32"/>
    </row>
    <row r="1450" spans="1:5" ht="15.75" thickBot="1">
      <c r="A1450" s="32"/>
      <c r="B1450" s="32"/>
      <c r="C1450" s="32"/>
      <c r="D1450" s="32"/>
      <c r="E1450" s="32"/>
    </row>
    <row r="1451" spans="1:5" ht="15.75" thickBot="1">
      <c r="A1451" s="32"/>
      <c r="B1451" s="32"/>
      <c r="C1451" s="32"/>
      <c r="D1451" s="32"/>
      <c r="E1451" s="32"/>
    </row>
    <row r="1452" spans="1:5" ht="15.75" thickBot="1">
      <c r="A1452" s="32"/>
      <c r="B1452" s="32"/>
      <c r="C1452" s="32"/>
      <c r="D1452" s="32"/>
      <c r="E1452" s="32"/>
    </row>
    <row r="1453" spans="1:5" ht="15.75" thickBot="1">
      <c r="A1453" s="32"/>
      <c r="B1453" s="32"/>
      <c r="C1453" s="32"/>
      <c r="D1453" s="32"/>
      <c r="E1453" s="32"/>
    </row>
    <row r="1454" spans="1:5" ht="15.75" thickBot="1">
      <c r="A1454" s="32"/>
      <c r="B1454" s="32"/>
      <c r="C1454" s="32"/>
      <c r="D1454" s="32"/>
      <c r="E1454" s="32"/>
    </row>
    <row r="1455" spans="1:5" ht="15.75" thickBot="1">
      <c r="A1455" s="32"/>
      <c r="B1455" s="32"/>
      <c r="C1455" s="32"/>
      <c r="D1455" s="32"/>
      <c r="E1455" s="32"/>
    </row>
    <row r="1456" spans="1:5" ht="15.75" thickBot="1">
      <c r="A1456" s="32"/>
      <c r="B1456" s="32"/>
      <c r="C1456" s="32"/>
      <c r="D1456" s="32"/>
      <c r="E1456" s="32"/>
    </row>
    <row r="1457" spans="1:5" ht="15.75" thickBot="1">
      <c r="A1457" s="32"/>
      <c r="B1457" s="32"/>
      <c r="C1457" s="32"/>
      <c r="D1457" s="32"/>
      <c r="E1457" s="32"/>
    </row>
    <row r="1458" spans="1:5" ht="15.75" thickBot="1">
      <c r="A1458" s="32"/>
      <c r="B1458" s="32"/>
      <c r="C1458" s="32"/>
      <c r="D1458" s="32"/>
      <c r="E1458" s="32"/>
    </row>
    <row r="1459" spans="1:5" ht="15.75" thickBot="1">
      <c r="A1459" s="32"/>
      <c r="B1459" s="32"/>
      <c r="C1459" s="32"/>
      <c r="D1459" s="32"/>
      <c r="E1459" s="32"/>
    </row>
    <row r="1460" spans="1:5" ht="15.75" thickBot="1">
      <c r="A1460" s="32"/>
      <c r="B1460" s="32"/>
      <c r="C1460" s="32"/>
      <c r="D1460" s="32"/>
      <c r="E1460" s="32"/>
    </row>
    <row r="1461" spans="1:5" ht="15.75" thickBot="1">
      <c r="A1461" s="32"/>
      <c r="B1461" s="32"/>
      <c r="C1461" s="32"/>
      <c r="D1461" s="32"/>
      <c r="E1461" s="32"/>
    </row>
    <row r="1462" spans="1:5" ht="15.75" thickBot="1">
      <c r="A1462" s="32"/>
      <c r="B1462" s="32"/>
      <c r="C1462" s="32"/>
      <c r="D1462" s="32"/>
      <c r="E1462" s="32"/>
    </row>
    <row r="1463" spans="1:5" ht="15.75" thickBot="1">
      <c r="A1463" s="32"/>
      <c r="B1463" s="32"/>
      <c r="C1463" s="32"/>
      <c r="D1463" s="32"/>
      <c r="E1463" s="32"/>
    </row>
    <row r="1464" spans="1:5" ht="15.75" thickBot="1">
      <c r="A1464" s="32"/>
      <c r="B1464" s="32"/>
      <c r="C1464" s="32"/>
      <c r="D1464" s="32"/>
      <c r="E1464" s="32"/>
    </row>
    <row r="1465" spans="1:5" ht="15.75" thickBot="1">
      <c r="A1465" s="32"/>
      <c r="B1465" s="32"/>
      <c r="C1465" s="32"/>
      <c r="D1465" s="32"/>
      <c r="E1465" s="32"/>
    </row>
    <row r="1466" spans="1:5" ht="15.75" thickBot="1">
      <c r="A1466" s="32"/>
      <c r="B1466" s="32"/>
      <c r="C1466" s="32"/>
      <c r="D1466" s="32"/>
      <c r="E1466" s="32"/>
    </row>
    <row r="1467" spans="1:5" ht="15.75" thickBot="1">
      <c r="A1467" s="32"/>
      <c r="B1467" s="32"/>
      <c r="C1467" s="32"/>
      <c r="D1467" s="32"/>
      <c r="E1467" s="32"/>
    </row>
    <row r="1468" spans="1:5" ht="15.75" thickBot="1">
      <c r="A1468" s="32"/>
      <c r="B1468" s="32"/>
      <c r="C1468" s="32"/>
      <c r="D1468" s="32"/>
      <c r="E1468" s="32"/>
    </row>
    <row r="1469" spans="1:5" ht="15.75" thickBot="1">
      <c r="A1469" s="32"/>
      <c r="B1469" s="32"/>
      <c r="C1469" s="32"/>
      <c r="D1469" s="32"/>
      <c r="E1469" s="32"/>
    </row>
    <row r="1470" spans="1:5" ht="15.75" thickBot="1">
      <c r="A1470" s="32"/>
      <c r="B1470" s="32"/>
      <c r="C1470" s="32"/>
      <c r="D1470" s="32"/>
      <c r="E1470" s="32"/>
    </row>
    <row r="1471" spans="1:5" ht="15.75" thickBot="1">
      <c r="A1471" s="32"/>
      <c r="B1471" s="32"/>
      <c r="C1471" s="32"/>
      <c r="D1471" s="32"/>
      <c r="E1471" s="32"/>
    </row>
    <row r="1472" spans="1:5" ht="15.75" thickBot="1">
      <c r="A1472" s="32"/>
      <c r="B1472" s="32"/>
      <c r="C1472" s="32"/>
      <c r="D1472" s="32"/>
      <c r="E1472" s="32"/>
    </row>
    <row r="1473" spans="1:5" ht="15.75" thickBot="1">
      <c r="A1473" s="32"/>
      <c r="B1473" s="32"/>
      <c r="C1473" s="32"/>
      <c r="D1473" s="32"/>
      <c r="E1473" s="32"/>
    </row>
    <row r="1474" spans="1:5" ht="15.75" thickBot="1">
      <c r="A1474" s="32"/>
      <c r="B1474" s="32"/>
      <c r="C1474" s="32"/>
      <c r="D1474" s="32"/>
      <c r="E1474" s="32"/>
    </row>
    <row r="1475" spans="1:5" ht="15.75" thickBot="1">
      <c r="A1475" s="32"/>
      <c r="B1475" s="32"/>
      <c r="C1475" s="32"/>
      <c r="D1475" s="32"/>
      <c r="E1475" s="32"/>
    </row>
    <row r="1476" spans="1:5" ht="15.75" thickBot="1">
      <c r="A1476" s="32"/>
      <c r="B1476" s="32"/>
      <c r="C1476" s="32"/>
      <c r="D1476" s="32"/>
      <c r="E1476" s="32"/>
    </row>
    <row r="1477" spans="1:5" ht="15.75" thickBot="1">
      <c r="A1477" s="32"/>
      <c r="B1477" s="32"/>
      <c r="C1477" s="32"/>
      <c r="D1477" s="32"/>
      <c r="E1477" s="32"/>
    </row>
    <row r="1478" spans="1:5" ht="15.75" thickBot="1">
      <c r="A1478" s="32"/>
      <c r="B1478" s="32"/>
      <c r="C1478" s="32"/>
      <c r="D1478" s="32"/>
      <c r="E1478" s="32"/>
    </row>
    <row r="1479" spans="1:5" ht="15.75" thickBot="1">
      <c r="A1479" s="32"/>
      <c r="B1479" s="32"/>
      <c r="C1479" s="32"/>
      <c r="D1479" s="32"/>
      <c r="E1479" s="32"/>
    </row>
    <row r="1480" spans="1:5" ht="15.75" thickBot="1">
      <c r="A1480" s="32"/>
      <c r="B1480" s="32"/>
      <c r="C1480" s="32"/>
      <c r="D1480" s="32"/>
      <c r="E1480" s="32"/>
    </row>
    <row r="1481" spans="1:5" ht="15.75" thickBot="1">
      <c r="A1481" s="32"/>
      <c r="B1481" s="32"/>
      <c r="C1481" s="32"/>
      <c r="D1481" s="32"/>
      <c r="E1481" s="32"/>
    </row>
    <row r="1482" spans="1:5" ht="15.75" thickBot="1">
      <c r="A1482" s="32"/>
      <c r="B1482" s="32"/>
      <c r="C1482" s="32"/>
      <c r="D1482" s="32"/>
      <c r="E1482" s="32"/>
    </row>
    <row r="1483" spans="1:5" ht="15.75" thickBot="1">
      <c r="A1483" s="32"/>
      <c r="B1483" s="32"/>
      <c r="C1483" s="32"/>
      <c r="D1483" s="32"/>
      <c r="E1483" s="32"/>
    </row>
    <row r="1484" spans="1:5" ht="15.75" thickBot="1">
      <c r="A1484" s="32"/>
      <c r="B1484" s="32"/>
      <c r="C1484" s="32"/>
      <c r="D1484" s="32"/>
      <c r="E1484" s="32"/>
    </row>
    <row r="1485" spans="1:5" ht="15.75" thickBot="1">
      <c r="A1485" s="32"/>
      <c r="B1485" s="32"/>
      <c r="C1485" s="32"/>
      <c r="D1485" s="32"/>
      <c r="E1485" s="32"/>
    </row>
    <row r="1486" spans="1:5" ht="15.75" thickBot="1">
      <c r="A1486" s="32"/>
      <c r="B1486" s="32"/>
      <c r="C1486" s="32"/>
      <c r="D1486" s="32"/>
      <c r="E1486" s="32"/>
    </row>
    <row r="1487" spans="1:5" ht="15.75" thickBot="1">
      <c r="A1487" s="32"/>
      <c r="B1487" s="32"/>
      <c r="C1487" s="32"/>
      <c r="D1487" s="32"/>
      <c r="E1487" s="32"/>
    </row>
    <row r="1488" spans="1:5" ht="15.75" thickBot="1">
      <c r="A1488" s="32"/>
      <c r="B1488" s="32"/>
      <c r="C1488" s="32"/>
      <c r="D1488" s="32"/>
      <c r="E1488" s="32"/>
    </row>
    <row r="1489" spans="1:5" ht="15.75" thickBot="1">
      <c r="A1489" s="32"/>
      <c r="B1489" s="32"/>
      <c r="C1489" s="32"/>
      <c r="D1489" s="32"/>
      <c r="E1489" s="32"/>
    </row>
    <row r="1490" spans="1:5" ht="15.75" thickBot="1">
      <c r="A1490" s="32"/>
      <c r="B1490" s="32"/>
      <c r="C1490" s="32"/>
      <c r="D1490" s="32"/>
      <c r="E1490" s="32"/>
    </row>
    <row r="1491" spans="1:5" ht="15.75" thickBot="1">
      <c r="A1491" s="32"/>
      <c r="B1491" s="32"/>
      <c r="C1491" s="32"/>
      <c r="D1491" s="32"/>
      <c r="E1491" s="32"/>
    </row>
    <row r="1492" spans="1:5" ht="15.75" thickBot="1">
      <c r="A1492" s="32"/>
      <c r="B1492" s="32"/>
      <c r="C1492" s="32"/>
      <c r="D1492" s="32"/>
      <c r="E1492" s="32"/>
    </row>
    <row r="1493" spans="1:5" ht="15.75" thickBot="1">
      <c r="A1493" s="32"/>
      <c r="B1493" s="32"/>
      <c r="C1493" s="32"/>
      <c r="D1493" s="32"/>
      <c r="E1493" s="32"/>
    </row>
    <row r="1494" spans="1:5" ht="15.75" thickBot="1">
      <c r="A1494" s="32"/>
      <c r="B1494" s="32"/>
      <c r="C1494" s="32"/>
      <c r="D1494" s="32"/>
      <c r="E1494" s="32"/>
    </row>
    <row r="1495" spans="1:5" ht="15.75" thickBot="1">
      <c r="A1495" s="32"/>
      <c r="B1495" s="32"/>
      <c r="C1495" s="32"/>
      <c r="D1495" s="32"/>
      <c r="E1495" s="32"/>
    </row>
    <row r="1496" spans="1:5" ht="15.75" thickBot="1">
      <c r="A1496" s="32"/>
      <c r="B1496" s="32"/>
      <c r="C1496" s="32"/>
      <c r="D1496" s="32"/>
      <c r="E1496" s="32"/>
    </row>
    <row r="1497" spans="1:5" ht="15.75" thickBot="1">
      <c r="A1497" s="32"/>
      <c r="B1497" s="32"/>
      <c r="C1497" s="32"/>
      <c r="D1497" s="32"/>
      <c r="E1497" s="32"/>
    </row>
    <row r="1498" spans="1:5" ht="15.75" thickBot="1">
      <c r="A1498" s="32"/>
      <c r="B1498" s="32"/>
      <c r="C1498" s="32"/>
      <c r="D1498" s="32"/>
      <c r="E1498" s="32"/>
    </row>
    <row r="1499" spans="1:5" ht="15.75" thickBot="1">
      <c r="A1499" s="32"/>
      <c r="B1499" s="32"/>
      <c r="C1499" s="32"/>
      <c r="D1499" s="32"/>
      <c r="E1499" s="32"/>
    </row>
    <row r="1500" spans="1:5" ht="15.75" thickBot="1">
      <c r="A1500" s="32"/>
      <c r="B1500" s="32"/>
      <c r="C1500" s="32"/>
      <c r="D1500" s="32"/>
      <c r="E1500" s="32"/>
    </row>
    <row r="1501" spans="1:5" ht="15.75" thickBot="1">
      <c r="A1501" s="32"/>
      <c r="B1501" s="32"/>
      <c r="C1501" s="32"/>
      <c r="D1501" s="32"/>
      <c r="E1501" s="32"/>
    </row>
    <row r="1502" spans="1:5" ht="15.75" thickBot="1">
      <c r="A1502" s="32"/>
      <c r="B1502" s="32"/>
      <c r="C1502" s="32"/>
      <c r="D1502" s="32"/>
      <c r="E1502" s="32"/>
    </row>
    <row r="1503" spans="1:5" ht="15.75" thickBot="1">
      <c r="A1503" s="32"/>
      <c r="B1503" s="32"/>
      <c r="C1503" s="32"/>
      <c r="D1503" s="32"/>
      <c r="E1503" s="32"/>
    </row>
    <row r="1504" spans="1:5" ht="15.75" thickBot="1">
      <c r="A1504" s="32"/>
      <c r="B1504" s="32"/>
      <c r="C1504" s="32"/>
      <c r="D1504" s="32"/>
      <c r="E1504" s="32"/>
    </row>
    <row r="1505" spans="1:5" ht="15.75" thickBot="1">
      <c r="A1505" s="32"/>
      <c r="B1505" s="32"/>
      <c r="C1505" s="32"/>
      <c r="D1505" s="32"/>
      <c r="E1505" s="32"/>
    </row>
    <row r="1506" spans="1:5" ht="15.75" thickBot="1">
      <c r="A1506" s="32"/>
      <c r="B1506" s="32"/>
      <c r="C1506" s="32"/>
      <c r="D1506" s="32"/>
      <c r="E1506" s="32"/>
    </row>
    <row r="1507" spans="1:5" ht="15.75" thickBot="1">
      <c r="A1507" s="32"/>
      <c r="B1507" s="32"/>
      <c r="C1507" s="32"/>
      <c r="D1507" s="32"/>
      <c r="E1507" s="32"/>
    </row>
    <row r="1508" spans="1:5" ht="15.75" thickBot="1">
      <c r="A1508" s="32"/>
      <c r="B1508" s="32"/>
      <c r="C1508" s="32"/>
      <c r="D1508" s="32"/>
      <c r="E1508" s="32"/>
    </row>
    <row r="1509" spans="1:5" ht="15.75" thickBot="1">
      <c r="A1509" s="32"/>
      <c r="B1509" s="32"/>
      <c r="C1509" s="32"/>
      <c r="D1509" s="32"/>
      <c r="E1509" s="32"/>
    </row>
    <row r="1510" spans="1:5" ht="15.75" thickBot="1">
      <c r="A1510" s="32"/>
      <c r="B1510" s="32"/>
      <c r="C1510" s="32"/>
      <c r="D1510" s="32"/>
      <c r="E1510" s="32"/>
    </row>
    <row r="1511" spans="1:5" ht="15.75" thickBot="1">
      <c r="A1511" s="32"/>
      <c r="B1511" s="32"/>
      <c r="C1511" s="32"/>
      <c r="D1511" s="32"/>
      <c r="E1511" s="32"/>
    </row>
    <row r="1512" spans="1:5" ht="15.75" thickBot="1">
      <c r="A1512" s="32"/>
      <c r="B1512" s="32"/>
      <c r="C1512" s="32"/>
      <c r="D1512" s="32"/>
      <c r="E1512" s="32"/>
    </row>
    <row r="1513" spans="1:5" ht="15.75" thickBot="1">
      <c r="A1513" s="32"/>
      <c r="B1513" s="32"/>
      <c r="C1513" s="32"/>
      <c r="D1513" s="32"/>
      <c r="E1513" s="32"/>
    </row>
    <row r="1514" spans="1:5" ht="15.75" thickBot="1">
      <c r="A1514" s="32"/>
      <c r="B1514" s="32"/>
      <c r="C1514" s="32"/>
      <c r="D1514" s="32"/>
      <c r="E1514" s="32"/>
    </row>
    <row r="1515" spans="1:5" ht="15.75" thickBot="1">
      <c r="A1515" s="32"/>
      <c r="B1515" s="32"/>
      <c r="C1515" s="32"/>
      <c r="D1515" s="32"/>
      <c r="E1515" s="32"/>
    </row>
    <row r="1516" spans="1:5" ht="15.75" thickBot="1">
      <c r="A1516" s="32"/>
      <c r="B1516" s="32"/>
      <c r="C1516" s="32"/>
      <c r="D1516" s="32"/>
      <c r="E1516" s="32"/>
    </row>
    <row r="1517" spans="1:5" ht="15.75" thickBot="1">
      <c r="A1517" s="32"/>
      <c r="B1517" s="32"/>
      <c r="C1517" s="32"/>
      <c r="D1517" s="32"/>
      <c r="E1517" s="32"/>
    </row>
    <row r="1518" spans="1:5" ht="15.75" thickBot="1">
      <c r="A1518" s="32"/>
      <c r="B1518" s="32"/>
      <c r="C1518" s="32"/>
      <c r="D1518" s="32"/>
      <c r="E1518" s="32"/>
    </row>
    <row r="1519" spans="1:5" ht="15.75" thickBot="1">
      <c r="A1519" s="32"/>
      <c r="B1519" s="32"/>
      <c r="C1519" s="32"/>
      <c r="D1519" s="32"/>
      <c r="E1519" s="32"/>
    </row>
    <row r="1520" spans="1:5" ht="15.75" thickBot="1">
      <c r="A1520" s="32"/>
      <c r="B1520" s="32"/>
      <c r="C1520" s="32"/>
      <c r="D1520" s="32"/>
      <c r="E1520" s="32"/>
    </row>
    <row r="1521" spans="1:5" ht="15.75" thickBot="1">
      <c r="A1521" s="32"/>
      <c r="B1521" s="32"/>
      <c r="C1521" s="32"/>
      <c r="D1521" s="32"/>
      <c r="E1521" s="32"/>
    </row>
    <row r="1522" spans="1:5" ht="15.75" thickBot="1">
      <c r="A1522" s="32"/>
      <c r="B1522" s="32"/>
      <c r="C1522" s="32"/>
      <c r="D1522" s="32"/>
      <c r="E1522" s="32"/>
    </row>
    <row r="1523" spans="1:5" ht="15.75" thickBot="1">
      <c r="A1523" s="32"/>
      <c r="B1523" s="32"/>
      <c r="C1523" s="32"/>
      <c r="D1523" s="32"/>
      <c r="E1523" s="32"/>
    </row>
    <row r="1524" spans="1:5" ht="15.75" thickBot="1">
      <c r="A1524" s="32"/>
      <c r="B1524" s="32"/>
      <c r="C1524" s="32"/>
      <c r="D1524" s="32"/>
      <c r="E1524" s="32"/>
    </row>
    <row r="1525" spans="1:5" ht="15.75" thickBot="1">
      <c r="A1525" s="32"/>
      <c r="B1525" s="32"/>
      <c r="C1525" s="32"/>
      <c r="D1525" s="32"/>
      <c r="E1525" s="32"/>
    </row>
    <row r="1526" spans="1:5" ht="15.75" thickBot="1">
      <c r="A1526" s="32"/>
      <c r="B1526" s="32"/>
      <c r="C1526" s="32"/>
      <c r="D1526" s="32"/>
      <c r="E1526" s="32"/>
    </row>
    <row r="1527" spans="1:5" ht="15.75" thickBot="1">
      <c r="A1527" s="32"/>
      <c r="B1527" s="32"/>
      <c r="C1527" s="32"/>
      <c r="D1527" s="32"/>
      <c r="E1527" s="32"/>
    </row>
    <row r="1528" spans="1:5" ht="15.75" thickBot="1">
      <c r="A1528" s="32"/>
      <c r="B1528" s="32"/>
      <c r="C1528" s="32"/>
      <c r="D1528" s="32"/>
      <c r="E1528" s="32"/>
    </row>
    <row r="1529" spans="1:5" ht="15.75" thickBot="1">
      <c r="A1529" s="32"/>
      <c r="B1529" s="32"/>
      <c r="C1529" s="32"/>
      <c r="D1529" s="32"/>
      <c r="E1529" s="32"/>
    </row>
    <row r="1530" spans="1:5" ht="15.75" thickBot="1">
      <c r="A1530" s="32"/>
      <c r="B1530" s="32"/>
      <c r="C1530" s="32"/>
      <c r="D1530" s="32"/>
      <c r="E1530" s="32"/>
    </row>
    <row r="1531" spans="1:5" ht="15.75" thickBot="1">
      <c r="A1531" s="32"/>
      <c r="B1531" s="32"/>
      <c r="C1531" s="32"/>
      <c r="D1531" s="32"/>
      <c r="E1531" s="32"/>
    </row>
    <row r="1532" spans="1:5" ht="15.75" thickBot="1">
      <c r="A1532" s="32"/>
      <c r="B1532" s="32"/>
      <c r="C1532" s="32"/>
      <c r="D1532" s="32"/>
      <c r="E1532" s="32"/>
    </row>
    <row r="1533" spans="1:5" ht="15.75" thickBot="1">
      <c r="A1533" s="32"/>
      <c r="B1533" s="32"/>
      <c r="C1533" s="32"/>
      <c r="D1533" s="32"/>
      <c r="E1533" s="32"/>
    </row>
    <row r="1534" spans="1:5" ht="15.75" thickBot="1">
      <c r="A1534" s="32"/>
      <c r="B1534" s="32"/>
      <c r="C1534" s="32"/>
      <c r="D1534" s="32"/>
      <c r="E1534" s="32"/>
    </row>
    <row r="1535" spans="1:5" ht="15.75" thickBot="1">
      <c r="A1535" s="32"/>
      <c r="B1535" s="32"/>
      <c r="C1535" s="32"/>
      <c r="D1535" s="32"/>
      <c r="E1535" s="32"/>
    </row>
    <row r="1536" spans="1:5" ht="15.75" thickBot="1">
      <c r="A1536" s="32"/>
      <c r="B1536" s="32"/>
      <c r="C1536" s="32"/>
      <c r="D1536" s="32"/>
      <c r="E1536" s="32"/>
    </row>
    <row r="1537" spans="1:5" ht="15.75" thickBot="1">
      <c r="A1537" s="32"/>
      <c r="B1537" s="32"/>
      <c r="C1537" s="32"/>
      <c r="D1537" s="32"/>
      <c r="E1537" s="32"/>
    </row>
    <row r="1538" spans="1:5" ht="15.75" thickBot="1">
      <c r="A1538" s="32"/>
      <c r="B1538" s="32"/>
      <c r="C1538" s="32"/>
      <c r="D1538" s="32"/>
      <c r="E1538" s="32"/>
    </row>
    <row r="1539" spans="1:5" ht="15.75" thickBot="1">
      <c r="A1539" s="32"/>
      <c r="B1539" s="32"/>
      <c r="C1539" s="32"/>
      <c r="D1539" s="32"/>
      <c r="E1539" s="32"/>
    </row>
    <row r="1540" spans="1:5" ht="15.75" thickBot="1">
      <c r="A1540" s="32"/>
      <c r="B1540" s="32"/>
      <c r="C1540" s="32"/>
      <c r="D1540" s="32"/>
      <c r="E1540" s="32"/>
    </row>
    <row r="1541" spans="1:5" ht="15.75" thickBot="1">
      <c r="A1541" s="32"/>
      <c r="B1541" s="32"/>
      <c r="C1541" s="32"/>
      <c r="D1541" s="32"/>
      <c r="E1541" s="32"/>
    </row>
    <row r="1542" spans="1:5" ht="15.75" thickBot="1">
      <c r="A1542" s="32"/>
      <c r="B1542" s="32"/>
      <c r="C1542" s="32"/>
      <c r="D1542" s="32"/>
      <c r="E1542" s="32"/>
    </row>
    <row r="1543" spans="1:5" ht="15.75" thickBot="1">
      <c r="A1543" s="32"/>
      <c r="B1543" s="32"/>
      <c r="C1543" s="32"/>
      <c r="D1543" s="32"/>
      <c r="E1543" s="32"/>
    </row>
    <row r="1544" spans="1:5" ht="15.75" thickBot="1">
      <c r="A1544" s="32"/>
      <c r="B1544" s="32"/>
      <c r="C1544" s="32"/>
      <c r="D1544" s="32"/>
      <c r="E1544" s="32"/>
    </row>
    <row r="1545" spans="1:5" ht="15.75" thickBot="1">
      <c r="A1545" s="32"/>
      <c r="B1545" s="32"/>
      <c r="C1545" s="32"/>
      <c r="D1545" s="32"/>
      <c r="E1545" s="32"/>
    </row>
    <row r="1546" spans="1:5" ht="15.75" thickBot="1">
      <c r="A1546" s="32"/>
      <c r="B1546" s="32"/>
      <c r="C1546" s="32"/>
      <c r="D1546" s="32"/>
      <c r="E1546" s="32"/>
    </row>
    <row r="1547" spans="1:5" ht="15.75" thickBot="1">
      <c r="A1547" s="32"/>
      <c r="B1547" s="32"/>
      <c r="C1547" s="32"/>
      <c r="D1547" s="32"/>
      <c r="E1547" s="32"/>
    </row>
    <row r="1548" spans="1:5" ht="15.75" thickBot="1">
      <c r="A1548" s="32"/>
      <c r="B1548" s="32"/>
      <c r="C1548" s="32"/>
      <c r="D1548" s="32"/>
      <c r="E1548" s="32"/>
    </row>
    <row r="1549" spans="1:5" ht="15.75" thickBot="1">
      <c r="A1549" s="32"/>
      <c r="B1549" s="32"/>
      <c r="C1549" s="32"/>
      <c r="D1549" s="32"/>
      <c r="E1549" s="32"/>
    </row>
    <row r="1550" spans="1:5" ht="15.75" thickBot="1">
      <c r="A1550" s="32"/>
      <c r="B1550" s="32"/>
      <c r="C1550" s="32"/>
      <c r="D1550" s="32"/>
      <c r="E1550" s="32"/>
    </row>
    <row r="1551" spans="1:5" ht="15.75" thickBot="1">
      <c r="A1551" s="32"/>
      <c r="B1551" s="32"/>
      <c r="C1551" s="32"/>
      <c r="D1551" s="32"/>
      <c r="E1551" s="32"/>
    </row>
    <row r="1552" spans="1:5" ht="15.75" thickBot="1">
      <c r="A1552" s="32"/>
      <c r="B1552" s="32"/>
      <c r="C1552" s="32"/>
      <c r="D1552" s="32"/>
      <c r="E1552" s="32"/>
    </row>
    <row r="1553" spans="1:5" ht="15.75" thickBot="1">
      <c r="A1553" s="32"/>
      <c r="B1553" s="32"/>
      <c r="C1553" s="32"/>
      <c r="D1553" s="32"/>
      <c r="E1553" s="32"/>
    </row>
    <row r="1554" spans="1:5" ht="15.75" thickBot="1">
      <c r="A1554" s="32"/>
      <c r="B1554" s="32"/>
      <c r="C1554" s="32"/>
      <c r="D1554" s="32"/>
      <c r="E1554" s="32"/>
    </row>
    <row r="1555" spans="1:5" ht="15.75" thickBot="1">
      <c r="A1555" s="32"/>
      <c r="B1555" s="32"/>
      <c r="C1555" s="32"/>
      <c r="D1555" s="32"/>
      <c r="E1555" s="32"/>
    </row>
    <row r="1556" spans="1:5" ht="15.75" thickBot="1">
      <c r="A1556" s="32"/>
      <c r="B1556" s="32"/>
      <c r="C1556" s="32"/>
      <c r="D1556" s="32"/>
      <c r="E1556" s="32"/>
    </row>
    <row r="1557" spans="1:5" ht="15.75" thickBot="1">
      <c r="A1557" s="32"/>
      <c r="B1557" s="32"/>
      <c r="C1557" s="32"/>
      <c r="D1557" s="32"/>
      <c r="E1557" s="32"/>
    </row>
    <row r="1558" spans="1:5" ht="15.75" thickBot="1">
      <c r="A1558" s="32"/>
      <c r="B1558" s="32"/>
      <c r="C1558" s="32"/>
      <c r="D1558" s="32"/>
      <c r="E1558" s="32"/>
    </row>
    <row r="1559" spans="1:5" ht="15.75" thickBot="1">
      <c r="A1559" s="32"/>
      <c r="B1559" s="32"/>
      <c r="C1559" s="32"/>
      <c r="D1559" s="32"/>
      <c r="E1559" s="32"/>
    </row>
    <row r="1560" spans="1:5" ht="15.75" thickBot="1">
      <c r="A1560" s="32"/>
      <c r="B1560" s="32"/>
      <c r="C1560" s="32"/>
      <c r="D1560" s="32"/>
      <c r="E1560" s="32"/>
    </row>
    <row r="1561" spans="1:5" ht="15.75" thickBot="1">
      <c r="A1561" s="32"/>
      <c r="B1561" s="32"/>
      <c r="C1561" s="32"/>
      <c r="D1561" s="32"/>
      <c r="E1561" s="32"/>
    </row>
    <row r="1562" spans="1:5" ht="15.75" thickBot="1">
      <c r="A1562" s="32"/>
      <c r="B1562" s="32"/>
      <c r="C1562" s="32"/>
      <c r="D1562" s="32"/>
      <c r="E1562" s="32"/>
    </row>
    <row r="1563" spans="1:5" ht="15.75" thickBot="1">
      <c r="A1563" s="32"/>
      <c r="B1563" s="32"/>
      <c r="C1563" s="32"/>
      <c r="D1563" s="32"/>
      <c r="E1563" s="32"/>
    </row>
    <row r="1564" spans="1:5" ht="15.75" thickBot="1">
      <c r="A1564" s="32"/>
      <c r="B1564" s="32"/>
      <c r="C1564" s="32"/>
      <c r="D1564" s="32"/>
      <c r="E1564" s="32"/>
    </row>
    <row r="1565" spans="1:5" ht="15.75" thickBot="1">
      <c r="A1565" s="32"/>
      <c r="B1565" s="32"/>
      <c r="C1565" s="32"/>
      <c r="D1565" s="32"/>
      <c r="E1565" s="32"/>
    </row>
    <row r="1566" spans="1:5" ht="15.75" thickBot="1">
      <c r="A1566" s="32"/>
      <c r="B1566" s="32"/>
      <c r="C1566" s="32"/>
      <c r="D1566" s="32"/>
      <c r="E1566" s="32"/>
    </row>
    <row r="1567" spans="1:5" ht="15.75" thickBot="1">
      <c r="A1567" s="32"/>
      <c r="B1567" s="32"/>
      <c r="C1567" s="32"/>
      <c r="D1567" s="32"/>
      <c r="E1567" s="32"/>
    </row>
    <row r="1568" spans="1:5" ht="15.75" thickBot="1">
      <c r="A1568" s="32"/>
      <c r="B1568" s="32"/>
      <c r="C1568" s="32"/>
      <c r="D1568" s="32"/>
      <c r="E1568" s="32"/>
    </row>
    <row r="1569" spans="1:5" ht="15.75" thickBot="1">
      <c r="A1569" s="32"/>
      <c r="B1569" s="32"/>
      <c r="C1569" s="32"/>
      <c r="D1569" s="32"/>
      <c r="E1569" s="32"/>
    </row>
    <row r="1570" spans="1:5" ht="15.75" thickBot="1">
      <c r="A1570" s="32"/>
      <c r="B1570" s="32"/>
      <c r="C1570" s="32"/>
      <c r="D1570" s="32"/>
      <c r="E1570" s="32"/>
    </row>
    <row r="1571" spans="1:5" ht="15.75" thickBot="1">
      <c r="A1571" s="32"/>
      <c r="B1571" s="32"/>
      <c r="C1571" s="32"/>
      <c r="D1571" s="32"/>
      <c r="E1571" s="32"/>
    </row>
    <row r="1572" spans="1:5" ht="15.75" thickBot="1">
      <c r="A1572" s="32"/>
      <c r="B1572" s="32"/>
      <c r="C1572" s="32"/>
      <c r="D1572" s="32"/>
      <c r="E1572" s="32"/>
    </row>
    <row r="1573" spans="1:5" ht="15.75" thickBot="1">
      <c r="A1573" s="32"/>
      <c r="B1573" s="32"/>
      <c r="C1573" s="32"/>
      <c r="D1573" s="32"/>
      <c r="E1573" s="32"/>
    </row>
    <row r="1574" spans="1:5" ht="15.75" thickBot="1">
      <c r="A1574" s="32"/>
      <c r="B1574" s="32"/>
      <c r="C1574" s="32"/>
      <c r="D1574" s="32"/>
      <c r="E1574" s="32"/>
    </row>
    <row r="1575" spans="1:5" ht="15.75" thickBot="1">
      <c r="A1575" s="32"/>
      <c r="B1575" s="32"/>
      <c r="C1575" s="32"/>
      <c r="D1575" s="32"/>
      <c r="E1575" s="32"/>
    </row>
    <row r="1576" spans="1:5" ht="15.75" thickBot="1">
      <c r="A1576" s="32"/>
      <c r="B1576" s="32"/>
      <c r="C1576" s="32"/>
      <c r="D1576" s="32"/>
      <c r="E1576" s="32"/>
    </row>
    <row r="1577" spans="1:5" ht="15.75" thickBot="1">
      <c r="A1577" s="32"/>
      <c r="B1577" s="32"/>
      <c r="C1577" s="32"/>
      <c r="D1577" s="32"/>
      <c r="E1577" s="32"/>
    </row>
    <row r="1578" spans="1:5" ht="15.75" thickBot="1">
      <c r="A1578" s="32"/>
      <c r="B1578" s="32"/>
      <c r="C1578" s="32"/>
      <c r="D1578" s="32"/>
      <c r="E1578" s="32"/>
    </row>
    <row r="1579" spans="1:5" ht="15.75" thickBot="1">
      <c r="A1579" s="32"/>
      <c r="B1579" s="32"/>
      <c r="C1579" s="32"/>
      <c r="D1579" s="32"/>
      <c r="E1579" s="32"/>
    </row>
    <row r="1580" spans="1:5" ht="15.75" thickBot="1">
      <c r="A1580" s="32"/>
      <c r="B1580" s="32"/>
      <c r="C1580" s="32"/>
      <c r="D1580" s="32"/>
      <c r="E1580" s="32"/>
    </row>
    <row r="1581" spans="1:5" ht="15.75" thickBot="1">
      <c r="A1581" s="32"/>
      <c r="B1581" s="32"/>
      <c r="C1581" s="32"/>
      <c r="D1581" s="32"/>
      <c r="E1581" s="32"/>
    </row>
    <row r="1582" spans="1:5" ht="15.75" thickBot="1">
      <c r="A1582" s="32"/>
      <c r="B1582" s="32"/>
      <c r="C1582" s="32"/>
      <c r="D1582" s="32"/>
      <c r="E1582" s="32"/>
    </row>
    <row r="1583" spans="1:5" ht="15.75" thickBot="1">
      <c r="A1583" s="32"/>
      <c r="B1583" s="32"/>
      <c r="C1583" s="32"/>
      <c r="D1583" s="32"/>
      <c r="E1583" s="32"/>
    </row>
    <row r="1584" spans="1:5" ht="15.75" thickBot="1">
      <c r="A1584" s="32"/>
      <c r="B1584" s="32"/>
      <c r="C1584" s="32"/>
      <c r="D1584" s="32"/>
      <c r="E1584" s="32"/>
    </row>
    <row r="1585" spans="1:5" ht="15.75" thickBot="1">
      <c r="A1585" s="32"/>
      <c r="B1585" s="32"/>
      <c r="C1585" s="32"/>
      <c r="D1585" s="32"/>
      <c r="E1585" s="32"/>
    </row>
    <row r="1586" spans="1:5" ht="15.75" thickBot="1">
      <c r="A1586" s="32"/>
      <c r="B1586" s="32"/>
      <c r="C1586" s="32"/>
      <c r="D1586" s="32"/>
      <c r="E1586" s="32"/>
    </row>
    <row r="1587" spans="1:5" ht="15.75" thickBot="1">
      <c r="A1587" s="32"/>
      <c r="B1587" s="32"/>
      <c r="C1587" s="32"/>
      <c r="D1587" s="32"/>
      <c r="E1587" s="32"/>
    </row>
    <row r="1588" spans="1:5" ht="15.75" thickBot="1">
      <c r="A1588" s="32"/>
      <c r="B1588" s="32"/>
      <c r="C1588" s="32"/>
      <c r="D1588" s="32"/>
      <c r="E1588" s="32"/>
    </row>
    <row r="1589" spans="1:5" ht="15.75" thickBot="1">
      <c r="A1589" s="32"/>
      <c r="B1589" s="32"/>
      <c r="C1589" s="32"/>
      <c r="D1589" s="32"/>
      <c r="E1589" s="32"/>
    </row>
    <row r="1590" spans="1:5" ht="15.75" thickBot="1">
      <c r="A1590" s="32"/>
      <c r="B1590" s="32"/>
      <c r="C1590" s="32"/>
      <c r="D1590" s="32"/>
      <c r="E1590" s="32"/>
    </row>
    <row r="1591" spans="1:5" ht="15.75" thickBot="1">
      <c r="A1591" s="32"/>
      <c r="B1591" s="32"/>
      <c r="C1591" s="32"/>
      <c r="D1591" s="32"/>
      <c r="E1591" s="32"/>
    </row>
    <row r="1592" spans="1:5" ht="15.75" thickBot="1">
      <c r="A1592" s="32"/>
      <c r="B1592" s="32"/>
      <c r="C1592" s="32"/>
      <c r="D1592" s="32"/>
      <c r="E1592" s="32"/>
    </row>
    <row r="1593" spans="1:5" ht="15.75" thickBot="1">
      <c r="A1593" s="32"/>
      <c r="B1593" s="32"/>
      <c r="C1593" s="32"/>
      <c r="D1593" s="32"/>
      <c r="E1593" s="32"/>
    </row>
    <row r="1594" spans="1:5" ht="15.75" thickBot="1">
      <c r="A1594" s="32"/>
      <c r="B1594" s="32"/>
      <c r="C1594" s="32"/>
      <c r="D1594" s="32"/>
      <c r="E1594" s="32"/>
    </row>
    <row r="1595" spans="1:5" ht="15.75" thickBot="1">
      <c r="A1595" s="32"/>
      <c r="B1595" s="32"/>
      <c r="C1595" s="32"/>
      <c r="D1595" s="32"/>
      <c r="E1595" s="32"/>
    </row>
    <row r="1596" spans="1:5" ht="15.75" thickBot="1">
      <c r="A1596" s="32"/>
      <c r="B1596" s="32"/>
      <c r="C1596" s="32"/>
      <c r="D1596" s="32"/>
      <c r="E1596" s="32"/>
    </row>
    <row r="1597" spans="1:5" ht="15.75" thickBot="1">
      <c r="A1597" s="32"/>
      <c r="B1597" s="32"/>
      <c r="C1597" s="32"/>
      <c r="D1597" s="32"/>
      <c r="E1597" s="32"/>
    </row>
    <row r="1598" spans="1:5" ht="15.75" thickBot="1">
      <c r="A1598" s="32"/>
      <c r="B1598" s="32"/>
      <c r="C1598" s="32"/>
      <c r="D1598" s="32"/>
      <c r="E1598" s="32"/>
    </row>
    <row r="1599" spans="1:5" ht="15.75" thickBot="1">
      <c r="A1599" s="32"/>
      <c r="B1599" s="32"/>
      <c r="C1599" s="32"/>
      <c r="D1599" s="32"/>
      <c r="E1599" s="32"/>
    </row>
    <row r="1600" spans="1:5" ht="15.75" thickBot="1">
      <c r="A1600" s="32"/>
      <c r="B1600" s="32"/>
      <c r="C1600" s="32"/>
      <c r="D1600" s="32"/>
      <c r="E1600" s="32"/>
    </row>
    <row r="1601" spans="1:5" ht="15.75" thickBot="1">
      <c r="A1601" s="32"/>
      <c r="B1601" s="32"/>
      <c r="C1601" s="32"/>
      <c r="D1601" s="32"/>
      <c r="E1601" s="32"/>
    </row>
    <row r="1602" spans="1:5" ht="15.75" thickBot="1">
      <c r="A1602" s="32"/>
      <c r="B1602" s="32"/>
      <c r="C1602" s="32"/>
      <c r="D1602" s="32"/>
      <c r="E1602" s="32"/>
    </row>
    <row r="1603" spans="1:5" ht="15.75" thickBot="1">
      <c r="A1603" s="32"/>
      <c r="B1603" s="32"/>
      <c r="C1603" s="32"/>
      <c r="D1603" s="32"/>
      <c r="E1603" s="32"/>
    </row>
    <row r="1604" spans="1:5" ht="15.75" thickBot="1">
      <c r="A1604" s="32"/>
      <c r="B1604" s="32"/>
      <c r="C1604" s="32"/>
      <c r="D1604" s="32"/>
      <c r="E1604" s="32"/>
    </row>
    <row r="1605" spans="1:5" ht="15.75" thickBot="1">
      <c r="A1605" s="32"/>
      <c r="B1605" s="32"/>
      <c r="C1605" s="32"/>
      <c r="D1605" s="32"/>
      <c r="E1605" s="32"/>
    </row>
    <row r="1606" spans="1:5" ht="15.75" thickBot="1">
      <c r="A1606" s="32"/>
      <c r="B1606" s="32"/>
      <c r="C1606" s="32"/>
      <c r="D1606" s="32"/>
      <c r="E1606" s="32"/>
    </row>
    <row r="1607" spans="1:5" ht="15.75" thickBot="1">
      <c r="A1607" s="32"/>
      <c r="B1607" s="32"/>
      <c r="C1607" s="32"/>
      <c r="D1607" s="32"/>
      <c r="E1607" s="32"/>
    </row>
    <row r="1608" spans="1:5" ht="15.75" thickBot="1">
      <c r="A1608" s="32"/>
      <c r="B1608" s="32"/>
      <c r="C1608" s="32"/>
      <c r="D1608" s="32"/>
      <c r="E1608" s="32"/>
    </row>
    <row r="1609" spans="1:5" ht="15.75" thickBot="1">
      <c r="A1609" s="32"/>
      <c r="B1609" s="32"/>
      <c r="C1609" s="32"/>
      <c r="D1609" s="32"/>
      <c r="E1609" s="32"/>
    </row>
    <row r="1610" spans="1:5" ht="15.75" thickBot="1">
      <c r="A1610" s="32"/>
      <c r="B1610" s="32"/>
      <c r="C1610" s="32"/>
      <c r="D1610" s="32"/>
      <c r="E1610" s="32"/>
    </row>
    <row r="1611" spans="1:5" ht="15.75" thickBot="1">
      <c r="A1611" s="32"/>
      <c r="B1611" s="32"/>
      <c r="C1611" s="32"/>
      <c r="D1611" s="32"/>
      <c r="E1611" s="32"/>
    </row>
    <row r="1612" spans="1:5" ht="15.75" thickBot="1">
      <c r="A1612" s="32"/>
      <c r="B1612" s="32"/>
      <c r="C1612" s="32"/>
      <c r="D1612" s="32"/>
      <c r="E1612" s="32"/>
    </row>
    <row r="1613" spans="1:5" ht="15.75" thickBot="1">
      <c r="A1613" s="32"/>
      <c r="B1613" s="32"/>
      <c r="C1613" s="32"/>
      <c r="D1613" s="32"/>
      <c r="E1613" s="32"/>
    </row>
    <row r="1614" spans="1:5" ht="15.75" thickBot="1">
      <c r="A1614" s="32"/>
      <c r="B1614" s="32"/>
      <c r="C1614" s="32"/>
      <c r="D1614" s="32"/>
      <c r="E1614" s="32"/>
    </row>
    <row r="1615" spans="1:5" ht="15.75" thickBot="1">
      <c r="A1615" s="32"/>
      <c r="B1615" s="32"/>
      <c r="C1615" s="32"/>
      <c r="D1615" s="32"/>
      <c r="E1615" s="32"/>
    </row>
    <row r="1616" spans="1:5" ht="15.75" thickBot="1">
      <c r="A1616" s="32"/>
      <c r="B1616" s="32"/>
      <c r="C1616" s="32"/>
      <c r="D1616" s="32"/>
      <c r="E1616" s="32"/>
    </row>
    <row r="1617" spans="1:5" ht="15.75" thickBot="1">
      <c r="A1617" s="32"/>
      <c r="B1617" s="32"/>
      <c r="C1617" s="32"/>
      <c r="D1617" s="32"/>
      <c r="E1617" s="32"/>
    </row>
    <row r="1618" spans="1:5" ht="15.75" thickBot="1">
      <c r="A1618" s="32"/>
      <c r="B1618" s="32"/>
      <c r="C1618" s="32"/>
      <c r="D1618" s="32"/>
      <c r="E1618" s="32"/>
    </row>
    <row r="1619" spans="1:5" ht="15.75" thickBot="1">
      <c r="A1619" s="32"/>
      <c r="B1619" s="32"/>
      <c r="C1619" s="32"/>
      <c r="D1619" s="32"/>
      <c r="E1619" s="32"/>
    </row>
    <row r="1620" spans="1:5" ht="15.75" thickBot="1">
      <c r="A1620" s="32"/>
      <c r="B1620" s="32"/>
      <c r="C1620" s="32"/>
      <c r="D1620" s="32"/>
      <c r="E1620" s="32"/>
    </row>
    <row r="1621" spans="1:5" ht="15.75" thickBot="1">
      <c r="A1621" s="32"/>
      <c r="B1621" s="32"/>
      <c r="C1621" s="32"/>
      <c r="D1621" s="32"/>
      <c r="E1621" s="32"/>
    </row>
    <row r="1622" spans="1:5" ht="15.75" thickBot="1">
      <c r="A1622" s="32"/>
      <c r="B1622" s="32"/>
      <c r="C1622" s="32"/>
      <c r="D1622" s="32"/>
      <c r="E1622" s="32"/>
    </row>
    <row r="1623" spans="1:5" ht="15.75" thickBot="1">
      <c r="A1623" s="32"/>
      <c r="B1623" s="32"/>
      <c r="C1623" s="32"/>
      <c r="D1623" s="32"/>
      <c r="E1623" s="32"/>
    </row>
    <row r="1624" spans="1:5" ht="15.75" thickBot="1">
      <c r="A1624" s="32"/>
      <c r="B1624" s="32"/>
      <c r="C1624" s="32"/>
      <c r="D1624" s="32"/>
      <c r="E1624" s="32"/>
    </row>
    <row r="1625" spans="1:5" ht="15.75" thickBot="1">
      <c r="A1625" s="32"/>
      <c r="B1625" s="32"/>
      <c r="C1625" s="32"/>
      <c r="D1625" s="32"/>
      <c r="E1625" s="32"/>
    </row>
    <row r="1626" spans="1:5" ht="15.75" thickBot="1">
      <c r="A1626" s="32"/>
      <c r="B1626" s="32"/>
      <c r="C1626" s="32"/>
      <c r="D1626" s="32"/>
      <c r="E1626" s="32"/>
    </row>
    <row r="1627" spans="1:5" ht="15.75" thickBot="1">
      <c r="A1627" s="32"/>
      <c r="B1627" s="32"/>
      <c r="C1627" s="32"/>
      <c r="D1627" s="32"/>
      <c r="E1627" s="32"/>
    </row>
    <row r="1628" spans="1:5" ht="15.75" thickBot="1">
      <c r="A1628" s="32"/>
      <c r="B1628" s="32"/>
      <c r="C1628" s="32"/>
      <c r="D1628" s="32"/>
      <c r="E1628" s="32"/>
    </row>
    <row r="1629" spans="1:5" ht="15.75" thickBot="1">
      <c r="A1629" s="32"/>
      <c r="B1629" s="32"/>
      <c r="C1629" s="32"/>
      <c r="D1629" s="32"/>
      <c r="E1629" s="32"/>
    </row>
    <row r="1630" spans="1:5" ht="15.75" thickBot="1">
      <c r="A1630" s="32"/>
      <c r="B1630" s="32"/>
      <c r="C1630" s="32"/>
      <c r="D1630" s="32"/>
      <c r="E1630" s="32"/>
    </row>
    <row r="1631" spans="1:5" ht="15.75" thickBot="1">
      <c r="A1631" s="32"/>
      <c r="B1631" s="32"/>
      <c r="C1631" s="32"/>
      <c r="D1631" s="32"/>
      <c r="E1631" s="32"/>
    </row>
    <row r="1632" spans="1:5" ht="15.75" thickBot="1">
      <c r="A1632" s="32"/>
      <c r="B1632" s="32"/>
      <c r="C1632" s="32"/>
      <c r="D1632" s="32"/>
      <c r="E1632" s="32"/>
    </row>
    <row r="1633" spans="1:5" ht="15.75" thickBot="1">
      <c r="A1633" s="32"/>
      <c r="B1633" s="32"/>
      <c r="C1633" s="32"/>
      <c r="D1633" s="32"/>
      <c r="E1633" s="32"/>
    </row>
    <row r="1634" spans="1:5" ht="15.75" thickBot="1">
      <c r="A1634" s="32"/>
      <c r="B1634" s="32"/>
      <c r="C1634" s="32"/>
      <c r="D1634" s="32"/>
      <c r="E1634" s="32"/>
    </row>
    <row r="1635" spans="1:5" ht="15.75" thickBot="1">
      <c r="A1635" s="32"/>
      <c r="B1635" s="32"/>
      <c r="C1635" s="32"/>
      <c r="D1635" s="32"/>
      <c r="E1635" s="32"/>
    </row>
    <row r="1636" spans="1:5" ht="15.75" thickBot="1">
      <c r="A1636" s="32"/>
      <c r="B1636" s="32"/>
      <c r="C1636" s="32"/>
      <c r="D1636" s="32"/>
      <c r="E1636" s="32"/>
    </row>
    <row r="1637" spans="1:5" ht="15.75" thickBot="1">
      <c r="A1637" s="32"/>
      <c r="B1637" s="32"/>
      <c r="C1637" s="32"/>
      <c r="D1637" s="32"/>
      <c r="E1637" s="32"/>
    </row>
    <row r="1638" spans="1:5" ht="15.75" thickBot="1">
      <c r="A1638" s="32"/>
      <c r="B1638" s="32"/>
      <c r="C1638" s="32"/>
      <c r="D1638" s="32"/>
      <c r="E1638" s="32"/>
    </row>
    <row r="1639" spans="1:5" ht="15.75" thickBot="1">
      <c r="A1639" s="32"/>
      <c r="B1639" s="32"/>
      <c r="C1639" s="32"/>
      <c r="D1639" s="32"/>
      <c r="E1639" s="32"/>
    </row>
    <row r="1640" spans="1:5" ht="15.75" thickBot="1">
      <c r="A1640" s="32"/>
      <c r="B1640" s="32"/>
      <c r="C1640" s="32"/>
      <c r="D1640" s="32"/>
      <c r="E1640" s="32"/>
    </row>
    <row r="1641" spans="1:5" ht="15.75" thickBot="1">
      <c r="A1641" s="32"/>
      <c r="B1641" s="32"/>
      <c r="C1641" s="32"/>
      <c r="D1641" s="32"/>
      <c r="E1641" s="32"/>
    </row>
    <row r="1642" spans="1:5" ht="15.75" thickBot="1">
      <c r="A1642" s="32"/>
      <c r="B1642" s="32"/>
      <c r="C1642" s="32"/>
      <c r="D1642" s="32"/>
      <c r="E1642" s="32"/>
    </row>
    <row r="1643" spans="1:5" ht="15.75" thickBot="1">
      <c r="A1643" s="32"/>
      <c r="B1643" s="32"/>
      <c r="C1643" s="32"/>
      <c r="D1643" s="32"/>
      <c r="E1643" s="32"/>
    </row>
    <row r="1644" spans="1:5" ht="15.75" thickBot="1">
      <c r="A1644" s="32"/>
      <c r="B1644" s="32"/>
      <c r="C1644" s="32"/>
      <c r="D1644" s="32"/>
      <c r="E1644" s="32"/>
    </row>
    <row r="1645" spans="1:5" ht="15.75" thickBot="1">
      <c r="A1645" s="32"/>
      <c r="B1645" s="32"/>
      <c r="C1645" s="32"/>
      <c r="D1645" s="32"/>
      <c r="E1645" s="32"/>
    </row>
    <row r="1646" spans="1:5" ht="15.75" thickBot="1">
      <c r="A1646" s="32"/>
      <c r="B1646" s="32"/>
      <c r="C1646" s="32"/>
      <c r="D1646" s="32"/>
      <c r="E1646" s="32"/>
    </row>
    <row r="1647" spans="1:5" ht="15.75" thickBot="1">
      <c r="A1647" s="32"/>
      <c r="B1647" s="32"/>
      <c r="C1647" s="32"/>
      <c r="D1647" s="32"/>
      <c r="E1647" s="32"/>
    </row>
    <row r="1648" spans="1:5" ht="15.75" thickBot="1">
      <c r="A1648" s="32"/>
      <c r="B1648" s="32"/>
      <c r="C1648" s="32"/>
      <c r="D1648" s="32"/>
      <c r="E1648" s="32"/>
    </row>
    <row r="1649" spans="1:5" ht="15.75" thickBot="1">
      <c r="A1649" s="32"/>
      <c r="B1649" s="32"/>
      <c r="C1649" s="32"/>
      <c r="D1649" s="32"/>
      <c r="E1649" s="32"/>
    </row>
    <row r="1650" spans="1:5" ht="15.75" thickBot="1">
      <c r="A1650" s="32"/>
      <c r="B1650" s="32"/>
      <c r="C1650" s="32"/>
      <c r="D1650" s="32"/>
      <c r="E1650" s="32"/>
    </row>
    <row r="1651" spans="1:5" ht="15.75" thickBot="1">
      <c r="A1651" s="32"/>
      <c r="B1651" s="32"/>
      <c r="C1651" s="32"/>
      <c r="D1651" s="32"/>
      <c r="E1651" s="32"/>
    </row>
    <row r="1652" spans="1:5" ht="15.75" thickBot="1">
      <c r="A1652" s="32"/>
      <c r="B1652" s="32"/>
      <c r="C1652" s="32"/>
      <c r="D1652" s="32"/>
      <c r="E1652" s="32"/>
    </row>
    <row r="1653" spans="1:5" ht="15.75" thickBot="1">
      <c r="A1653" s="32"/>
      <c r="B1653" s="32"/>
      <c r="C1653" s="32"/>
      <c r="D1653" s="32"/>
      <c r="E1653" s="32"/>
    </row>
    <row r="1654" spans="1:5" ht="15.75" thickBot="1">
      <c r="A1654" s="32"/>
      <c r="B1654" s="32"/>
      <c r="C1654" s="32"/>
      <c r="D1654" s="32"/>
      <c r="E1654" s="32"/>
    </row>
    <row r="1655" spans="1:5" ht="15.75" thickBot="1">
      <c r="A1655" s="32"/>
      <c r="B1655" s="32"/>
      <c r="C1655" s="32"/>
      <c r="D1655" s="32"/>
      <c r="E1655" s="32"/>
    </row>
    <row r="1656" spans="1:5" ht="15.75" thickBot="1">
      <c r="A1656" s="32"/>
      <c r="B1656" s="32"/>
      <c r="C1656" s="32"/>
      <c r="D1656" s="32"/>
      <c r="E1656" s="32"/>
    </row>
    <row r="1657" spans="1:5" ht="15.75" thickBot="1">
      <c r="A1657" s="32"/>
      <c r="B1657" s="32"/>
      <c r="C1657" s="32"/>
      <c r="D1657" s="32"/>
      <c r="E1657" s="32"/>
    </row>
    <row r="1658" spans="1:5" ht="15.75" thickBot="1">
      <c r="A1658" s="32"/>
      <c r="B1658" s="32"/>
      <c r="C1658" s="32"/>
      <c r="D1658" s="32"/>
      <c r="E1658" s="32"/>
    </row>
    <row r="1659" spans="1:5" ht="15.75" thickBot="1">
      <c r="A1659" s="32"/>
      <c r="B1659" s="32"/>
      <c r="C1659" s="32"/>
      <c r="D1659" s="32"/>
      <c r="E1659" s="32"/>
    </row>
    <row r="1660" spans="1:5" ht="15.75" thickBot="1">
      <c r="A1660" s="32"/>
      <c r="B1660" s="32"/>
      <c r="C1660" s="32"/>
      <c r="D1660" s="32"/>
      <c r="E1660" s="32"/>
    </row>
    <row r="1661" spans="1:5" ht="15.75" thickBot="1">
      <c r="A1661" s="32"/>
      <c r="B1661" s="32"/>
      <c r="C1661" s="32"/>
      <c r="D1661" s="32"/>
      <c r="E1661" s="32"/>
    </row>
    <row r="1662" spans="1:5" ht="15.75" thickBot="1">
      <c r="A1662" s="32"/>
      <c r="B1662" s="32"/>
      <c r="C1662" s="32"/>
      <c r="D1662" s="32"/>
      <c r="E1662" s="32"/>
    </row>
    <row r="1663" spans="1:5" ht="15.75" thickBot="1">
      <c r="A1663" s="32"/>
      <c r="B1663" s="32"/>
      <c r="C1663" s="32"/>
      <c r="D1663" s="32"/>
      <c r="E1663" s="32"/>
    </row>
    <row r="1664" spans="1:5" ht="15.75" thickBot="1">
      <c r="A1664" s="32"/>
      <c r="B1664" s="32"/>
      <c r="C1664" s="32"/>
      <c r="D1664" s="32"/>
      <c r="E1664" s="32"/>
    </row>
    <row r="1665" spans="1:5" ht="15.75" thickBot="1">
      <c r="A1665" s="32"/>
      <c r="B1665" s="32"/>
      <c r="C1665" s="32"/>
      <c r="D1665" s="32"/>
      <c r="E1665" s="32"/>
    </row>
    <row r="1666" spans="1:5" ht="15.75" thickBot="1">
      <c r="A1666" s="32"/>
      <c r="B1666" s="32"/>
      <c r="C1666" s="32"/>
      <c r="D1666" s="32"/>
      <c r="E1666" s="32"/>
    </row>
    <row r="1667" spans="1:5" ht="15.75" thickBot="1">
      <c r="A1667" s="32"/>
      <c r="B1667" s="32"/>
      <c r="C1667" s="32"/>
      <c r="D1667" s="32"/>
      <c r="E1667" s="32"/>
    </row>
    <row r="1668" spans="1:5" ht="15.75" thickBot="1">
      <c r="A1668" s="32"/>
      <c r="B1668" s="32"/>
      <c r="C1668" s="32"/>
      <c r="D1668" s="32"/>
      <c r="E1668" s="32"/>
    </row>
    <row r="1669" spans="1:5" ht="15.75" thickBot="1">
      <c r="A1669" s="32"/>
      <c r="B1669" s="32"/>
      <c r="C1669" s="32"/>
      <c r="D1669" s="32"/>
      <c r="E1669" s="32"/>
    </row>
    <row r="1670" spans="1:5" ht="15.75" thickBot="1">
      <c r="A1670" s="32"/>
      <c r="B1670" s="32"/>
      <c r="C1670" s="32"/>
      <c r="D1670" s="32"/>
      <c r="E1670" s="32"/>
    </row>
    <row r="1671" spans="1:5" ht="15.75" thickBot="1">
      <c r="A1671" s="32"/>
      <c r="B1671" s="32"/>
      <c r="C1671" s="32"/>
      <c r="D1671" s="32"/>
      <c r="E1671" s="32"/>
    </row>
    <row r="1672" spans="1:5" ht="15.75" thickBot="1">
      <c r="A1672" s="32"/>
      <c r="B1672" s="32"/>
      <c r="C1672" s="32"/>
      <c r="D1672" s="32"/>
      <c r="E1672" s="32"/>
    </row>
    <row r="1673" spans="1:5" ht="15.75" thickBot="1">
      <c r="A1673" s="32"/>
      <c r="B1673" s="32"/>
      <c r="C1673" s="32"/>
      <c r="D1673" s="32"/>
      <c r="E1673" s="32"/>
    </row>
    <row r="1674" spans="1:5" ht="15.75" thickBot="1">
      <c r="A1674" s="32"/>
      <c r="B1674" s="32"/>
      <c r="C1674" s="32"/>
      <c r="D1674" s="32"/>
      <c r="E1674" s="32"/>
    </row>
    <row r="1675" spans="1:5" ht="15.75" thickBot="1">
      <c r="A1675" s="32"/>
      <c r="B1675" s="32"/>
      <c r="C1675" s="32"/>
      <c r="D1675" s="32"/>
      <c r="E1675" s="32"/>
    </row>
    <row r="1676" spans="1:5" ht="15.75" thickBot="1">
      <c r="A1676" s="32"/>
      <c r="B1676" s="32"/>
      <c r="C1676" s="32"/>
      <c r="D1676" s="32"/>
      <c r="E1676" s="32"/>
    </row>
    <row r="1677" spans="1:5" ht="15.75" thickBot="1">
      <c r="A1677" s="32"/>
      <c r="B1677" s="32"/>
      <c r="C1677" s="32"/>
      <c r="D1677" s="32"/>
      <c r="E1677" s="32"/>
    </row>
    <row r="1678" spans="1:5" ht="15.75" thickBot="1">
      <c r="A1678" s="32"/>
      <c r="B1678" s="32"/>
      <c r="C1678" s="32"/>
      <c r="D1678" s="32"/>
      <c r="E1678" s="32"/>
    </row>
    <row r="1679" spans="1:5" ht="15.75" thickBot="1">
      <c r="A1679" s="32"/>
      <c r="B1679" s="32"/>
      <c r="C1679" s="32"/>
      <c r="D1679" s="32"/>
      <c r="E1679" s="32"/>
    </row>
    <row r="1680" spans="1:5" ht="15.75" thickBot="1">
      <c r="A1680" s="32"/>
      <c r="B1680" s="32"/>
      <c r="C1680" s="32"/>
      <c r="D1680" s="32"/>
      <c r="E1680" s="32"/>
    </row>
    <row r="1681" spans="1:5" ht="15.75" thickBot="1">
      <c r="A1681" s="32"/>
      <c r="B1681" s="32"/>
      <c r="C1681" s="32"/>
      <c r="D1681" s="32"/>
      <c r="E1681" s="32"/>
    </row>
    <row r="1682" spans="1:5" ht="15.75" thickBot="1">
      <c r="A1682" s="32"/>
      <c r="B1682" s="32"/>
      <c r="C1682" s="32"/>
      <c r="D1682" s="32"/>
      <c r="E1682" s="32"/>
    </row>
    <row r="1683" spans="1:5" ht="15.75" thickBot="1">
      <c r="A1683" s="32"/>
      <c r="B1683" s="32"/>
      <c r="C1683" s="32"/>
      <c r="D1683" s="32"/>
      <c r="E1683" s="32"/>
    </row>
    <row r="1684" spans="1:5" ht="15.75" thickBot="1">
      <c r="A1684" s="32"/>
      <c r="B1684" s="32"/>
      <c r="C1684" s="32"/>
      <c r="D1684" s="32"/>
      <c r="E1684" s="32"/>
    </row>
    <row r="1685" spans="1:5" ht="15.75" thickBot="1">
      <c r="A1685" s="32"/>
      <c r="B1685" s="32"/>
      <c r="C1685" s="32"/>
      <c r="D1685" s="32"/>
      <c r="E1685" s="32"/>
    </row>
    <row r="1686" spans="1:5" ht="15.75" thickBot="1">
      <c r="A1686" s="32"/>
      <c r="B1686" s="32"/>
      <c r="C1686" s="32"/>
      <c r="D1686" s="32"/>
      <c r="E1686" s="32"/>
    </row>
    <row r="1687" spans="1:5" ht="15.75" thickBot="1">
      <c r="A1687" s="32"/>
      <c r="B1687" s="32"/>
      <c r="C1687" s="32"/>
      <c r="D1687" s="32"/>
      <c r="E1687" s="32"/>
    </row>
    <row r="1688" spans="1:5" ht="15.75" thickBot="1">
      <c r="A1688" s="32"/>
      <c r="B1688" s="32"/>
      <c r="C1688" s="32"/>
      <c r="D1688" s="32"/>
      <c r="E1688" s="32"/>
    </row>
    <row r="1689" spans="1:5" ht="15.75" thickBot="1">
      <c r="A1689" s="32"/>
      <c r="B1689" s="32"/>
      <c r="C1689" s="32"/>
      <c r="D1689" s="32"/>
      <c r="E1689" s="32"/>
    </row>
    <row r="1690" spans="1:5" ht="15.75" thickBot="1">
      <c r="A1690" s="32"/>
      <c r="B1690" s="32"/>
      <c r="C1690" s="32"/>
      <c r="D1690" s="32"/>
      <c r="E1690" s="32"/>
    </row>
    <row r="1691" spans="1:5" ht="15.75" thickBot="1">
      <c r="A1691" s="32"/>
      <c r="B1691" s="32"/>
      <c r="C1691" s="32"/>
      <c r="D1691" s="32"/>
      <c r="E1691" s="32"/>
    </row>
    <row r="1692" spans="1:5" ht="15.75" thickBot="1">
      <c r="A1692" s="32"/>
      <c r="B1692" s="32"/>
      <c r="C1692" s="32"/>
      <c r="D1692" s="32"/>
      <c r="E1692" s="32"/>
    </row>
    <row r="1693" spans="1:5" ht="15.75" thickBot="1">
      <c r="A1693" s="32"/>
      <c r="B1693" s="32"/>
      <c r="C1693" s="32"/>
      <c r="D1693" s="32"/>
      <c r="E1693" s="32"/>
    </row>
    <row r="1694" spans="1:5" ht="15.75" thickBot="1">
      <c r="A1694" s="32"/>
      <c r="B1694" s="32"/>
      <c r="C1694" s="32"/>
      <c r="D1694" s="32"/>
      <c r="E1694" s="32"/>
    </row>
    <row r="1695" spans="1:5" ht="15.75" thickBot="1">
      <c r="A1695" s="32"/>
      <c r="B1695" s="32"/>
      <c r="C1695" s="32"/>
      <c r="D1695" s="32"/>
      <c r="E1695" s="32"/>
    </row>
    <row r="1696" spans="1:5" ht="15.75" thickBot="1">
      <c r="A1696" s="32"/>
      <c r="B1696" s="32"/>
      <c r="C1696" s="32"/>
      <c r="D1696" s="32"/>
      <c r="E1696" s="32"/>
    </row>
    <row r="1697" spans="1:5" ht="15.75" thickBot="1">
      <c r="A1697" s="32"/>
      <c r="B1697" s="32"/>
      <c r="C1697" s="32"/>
      <c r="D1697" s="32"/>
      <c r="E1697" s="32"/>
    </row>
    <row r="1698" spans="1:5" ht="15.75" thickBot="1">
      <c r="A1698" s="32"/>
      <c r="B1698" s="32"/>
      <c r="C1698" s="32"/>
      <c r="D1698" s="32"/>
      <c r="E1698" s="32"/>
    </row>
    <row r="1699" spans="1:5" ht="15.75" thickBot="1">
      <c r="A1699" s="32"/>
      <c r="B1699" s="32"/>
      <c r="C1699" s="32"/>
      <c r="D1699" s="32"/>
      <c r="E1699" s="32"/>
    </row>
    <row r="1700" spans="1:5" ht="15.75" thickBot="1">
      <c r="A1700" s="32"/>
      <c r="B1700" s="32"/>
      <c r="C1700" s="32"/>
      <c r="D1700" s="32"/>
      <c r="E1700" s="32"/>
    </row>
    <row r="1701" spans="1:5" ht="15.75" thickBot="1">
      <c r="A1701" s="32"/>
      <c r="B1701" s="32"/>
      <c r="C1701" s="32"/>
      <c r="D1701" s="32"/>
      <c r="E1701" s="32"/>
    </row>
    <row r="1702" spans="1:5" ht="15.75" thickBot="1">
      <c r="A1702" s="32"/>
      <c r="B1702" s="32"/>
      <c r="C1702" s="32"/>
      <c r="D1702" s="32"/>
      <c r="E1702" s="32"/>
    </row>
    <row r="1703" spans="1:5" ht="15.75" thickBot="1">
      <c r="A1703" s="32"/>
      <c r="B1703" s="32"/>
      <c r="C1703" s="32"/>
      <c r="D1703" s="32"/>
      <c r="E1703" s="32"/>
    </row>
    <row r="1704" spans="1:5" ht="15.75" thickBot="1">
      <c r="A1704" s="32"/>
      <c r="B1704" s="32"/>
      <c r="C1704" s="32"/>
      <c r="D1704" s="32"/>
      <c r="E1704" s="32"/>
    </row>
    <row r="1705" spans="1:5" ht="15.75" thickBot="1">
      <c r="A1705" s="32"/>
      <c r="B1705" s="32"/>
      <c r="C1705" s="32"/>
      <c r="D1705" s="32"/>
      <c r="E1705" s="32"/>
    </row>
    <row r="1706" spans="1:5" ht="15.75" thickBot="1">
      <c r="A1706" s="32"/>
      <c r="B1706" s="32"/>
      <c r="C1706" s="32"/>
      <c r="D1706" s="32"/>
      <c r="E1706" s="32"/>
    </row>
    <row r="1707" spans="1:5" ht="15.75" thickBot="1">
      <c r="A1707" s="32"/>
      <c r="B1707" s="32"/>
      <c r="C1707" s="32"/>
      <c r="D1707" s="32"/>
      <c r="E1707" s="32"/>
    </row>
    <row r="1708" spans="1:5" ht="15.75" thickBot="1">
      <c r="A1708" s="32"/>
      <c r="B1708" s="32"/>
      <c r="C1708" s="32"/>
      <c r="D1708" s="32"/>
      <c r="E1708" s="32"/>
    </row>
    <row r="1709" spans="1:5" ht="15.75" thickBot="1">
      <c r="A1709" s="32"/>
      <c r="B1709" s="32"/>
      <c r="C1709" s="32"/>
      <c r="D1709" s="32"/>
      <c r="E1709" s="32"/>
    </row>
    <row r="1710" spans="1:5" ht="15.75" thickBot="1">
      <c r="A1710" s="32"/>
      <c r="B1710" s="32"/>
      <c r="C1710" s="32"/>
      <c r="D1710" s="32"/>
      <c r="E1710" s="32"/>
    </row>
    <row r="1711" spans="1:5" ht="15.75" thickBot="1">
      <c r="A1711" s="32"/>
      <c r="B1711" s="32"/>
      <c r="C1711" s="32"/>
      <c r="D1711" s="32"/>
      <c r="E1711" s="32"/>
    </row>
    <row r="1712" spans="1:5" ht="15.75" thickBot="1">
      <c r="A1712" s="32"/>
      <c r="B1712" s="32"/>
      <c r="C1712" s="32"/>
      <c r="D1712" s="32"/>
      <c r="E1712" s="32"/>
    </row>
    <row r="1713" spans="1:5" ht="15.75" thickBot="1">
      <c r="A1713" s="32"/>
      <c r="B1713" s="32"/>
      <c r="C1713" s="32"/>
      <c r="D1713" s="32"/>
      <c r="E1713" s="32"/>
    </row>
    <row r="1714" spans="1:5" ht="15.75" thickBot="1">
      <c r="A1714" s="32"/>
      <c r="B1714" s="32"/>
      <c r="C1714" s="32"/>
      <c r="D1714" s="32"/>
      <c r="E1714" s="32"/>
    </row>
    <row r="1715" spans="1:5" ht="15.75" thickBot="1">
      <c r="A1715" s="32"/>
      <c r="B1715" s="32"/>
      <c r="C1715" s="32"/>
      <c r="D1715" s="32"/>
      <c r="E1715" s="32"/>
    </row>
    <row r="1716" spans="1:5" ht="15.75" thickBot="1">
      <c r="A1716" s="32"/>
      <c r="B1716" s="32"/>
      <c r="C1716" s="32"/>
      <c r="D1716" s="32"/>
      <c r="E1716" s="32"/>
    </row>
    <row r="1717" spans="1:5" ht="15.75" thickBot="1">
      <c r="A1717" s="32"/>
      <c r="B1717" s="32"/>
      <c r="C1717" s="32"/>
      <c r="D1717" s="32"/>
      <c r="E1717" s="32"/>
    </row>
    <row r="1718" spans="1:5" ht="15.75" thickBot="1">
      <c r="A1718" s="32"/>
      <c r="B1718" s="32"/>
      <c r="C1718" s="32"/>
      <c r="D1718" s="32"/>
      <c r="E1718" s="32"/>
    </row>
    <row r="1719" spans="1:5" ht="15.75" thickBot="1">
      <c r="A1719" s="32"/>
      <c r="B1719" s="32"/>
      <c r="C1719" s="32"/>
      <c r="D1719" s="32"/>
      <c r="E1719" s="32"/>
    </row>
    <row r="1720" spans="1:5" ht="15.75" thickBot="1">
      <c r="A1720" s="32"/>
      <c r="B1720" s="32"/>
      <c r="C1720" s="32"/>
      <c r="D1720" s="32"/>
      <c r="E1720" s="32"/>
    </row>
    <row r="1721" spans="1:5" ht="15.75" thickBot="1">
      <c r="A1721" s="32"/>
      <c r="B1721" s="32"/>
      <c r="C1721" s="32"/>
      <c r="D1721" s="32"/>
      <c r="E1721" s="32"/>
    </row>
    <row r="1722" spans="1:5" ht="15.75" thickBot="1">
      <c r="A1722" s="32"/>
      <c r="B1722" s="32"/>
      <c r="C1722" s="32"/>
      <c r="D1722" s="32"/>
      <c r="E1722" s="32"/>
    </row>
    <row r="1723" spans="1:5" ht="15.75" thickBot="1">
      <c r="A1723" s="32"/>
      <c r="B1723" s="32"/>
      <c r="C1723" s="32"/>
      <c r="D1723" s="32"/>
      <c r="E1723" s="32"/>
    </row>
    <row r="1724" spans="1:5" ht="15.75" thickBot="1">
      <c r="A1724" s="32"/>
      <c r="B1724" s="32"/>
      <c r="C1724" s="32"/>
      <c r="D1724" s="32"/>
      <c r="E1724" s="32"/>
    </row>
    <row r="1725" spans="1:5" ht="15.75" thickBot="1">
      <c r="A1725" s="32"/>
      <c r="B1725" s="32"/>
      <c r="C1725" s="32"/>
      <c r="D1725" s="32"/>
      <c r="E1725" s="32"/>
    </row>
    <row r="1726" spans="1:5" ht="15.75" thickBot="1">
      <c r="A1726" s="32"/>
      <c r="B1726" s="32"/>
      <c r="C1726" s="32"/>
      <c r="D1726" s="32"/>
      <c r="E1726" s="32"/>
    </row>
    <row r="1727" spans="1:5" ht="15.75" thickBot="1">
      <c r="A1727" s="32"/>
      <c r="B1727" s="32"/>
      <c r="C1727" s="32"/>
      <c r="D1727" s="32"/>
      <c r="E1727" s="32"/>
    </row>
    <row r="1728" spans="1:5" ht="15.75" thickBot="1">
      <c r="A1728" s="32"/>
      <c r="B1728" s="32"/>
      <c r="C1728" s="32"/>
      <c r="D1728" s="32"/>
      <c r="E1728" s="32"/>
    </row>
    <row r="1729" spans="1:5" ht="15.75" thickBot="1">
      <c r="A1729" s="32"/>
      <c r="B1729" s="32"/>
      <c r="C1729" s="32"/>
      <c r="D1729" s="32"/>
      <c r="E1729" s="32"/>
    </row>
    <row r="1730" spans="1:5" ht="15.75" thickBot="1">
      <c r="A1730" s="32"/>
      <c r="B1730" s="32"/>
      <c r="C1730" s="32"/>
      <c r="D1730" s="32"/>
      <c r="E1730" s="32"/>
    </row>
    <row r="1731" spans="1:5" ht="15.75" thickBot="1">
      <c r="A1731" s="32"/>
      <c r="B1731" s="32"/>
      <c r="C1731" s="32"/>
      <c r="D1731" s="32"/>
      <c r="E1731" s="32"/>
    </row>
    <row r="1732" spans="1:5" ht="15.75" thickBot="1">
      <c r="A1732" s="32"/>
      <c r="B1732" s="32"/>
      <c r="C1732" s="32"/>
      <c r="D1732" s="32"/>
      <c r="E1732" s="32"/>
    </row>
    <row r="1733" spans="1:5" ht="15.75" thickBot="1">
      <c r="A1733" s="32"/>
      <c r="B1733" s="32"/>
      <c r="C1733" s="32"/>
      <c r="D1733" s="32"/>
      <c r="E1733" s="32"/>
    </row>
    <row r="1734" spans="1:5" ht="15.75" thickBot="1">
      <c r="A1734" s="32"/>
      <c r="B1734" s="32"/>
      <c r="C1734" s="32"/>
      <c r="D1734" s="32"/>
      <c r="E1734" s="32"/>
    </row>
    <row r="1735" spans="1:5" ht="15.75" thickBot="1">
      <c r="A1735" s="32"/>
      <c r="B1735" s="32"/>
      <c r="C1735" s="32"/>
      <c r="D1735" s="32"/>
      <c r="E1735" s="32"/>
    </row>
    <row r="1736" spans="1:5" ht="15.75" thickBot="1">
      <c r="A1736" s="32"/>
      <c r="B1736" s="32"/>
      <c r="C1736" s="32"/>
      <c r="D1736" s="32"/>
      <c r="E1736" s="32"/>
    </row>
    <row r="1737" spans="1:5" ht="15.75" thickBot="1">
      <c r="A1737" s="32"/>
      <c r="B1737" s="32"/>
      <c r="C1737" s="32"/>
      <c r="D1737" s="32"/>
      <c r="E1737" s="32"/>
    </row>
    <row r="1738" spans="1:5" ht="15.75" thickBot="1">
      <c r="A1738" s="32"/>
      <c r="B1738" s="32"/>
      <c r="C1738" s="32"/>
      <c r="D1738" s="32"/>
      <c r="E1738" s="32"/>
    </row>
    <row r="1739" spans="1:5" ht="15.75" thickBot="1">
      <c r="A1739" s="32"/>
      <c r="B1739" s="32"/>
      <c r="C1739" s="32"/>
      <c r="D1739" s="32"/>
      <c r="E1739" s="32"/>
    </row>
    <row r="1740" spans="1:5" ht="15.75" thickBot="1">
      <c r="A1740" s="32"/>
      <c r="B1740" s="32"/>
      <c r="C1740" s="32"/>
      <c r="D1740" s="32"/>
      <c r="E1740" s="32"/>
    </row>
    <row r="1741" spans="1:5" ht="15.75" thickBot="1">
      <c r="A1741" s="32"/>
      <c r="B1741" s="32"/>
      <c r="C1741" s="32"/>
      <c r="D1741" s="32"/>
      <c r="E1741" s="32"/>
    </row>
    <row r="1742" spans="1:5" ht="15.75" thickBot="1">
      <c r="A1742" s="32"/>
      <c r="B1742" s="32"/>
      <c r="C1742" s="32"/>
      <c r="D1742" s="32"/>
      <c r="E1742" s="32"/>
    </row>
    <row r="1743" spans="1:5" ht="15.75" thickBot="1">
      <c r="A1743" s="32"/>
      <c r="B1743" s="32"/>
      <c r="C1743" s="32"/>
      <c r="D1743" s="32"/>
      <c r="E1743" s="32"/>
    </row>
    <row r="1744" spans="1:5" ht="15.75" thickBot="1">
      <c r="A1744" s="32"/>
      <c r="B1744" s="32"/>
      <c r="C1744" s="32"/>
      <c r="D1744" s="32"/>
      <c r="E1744" s="32"/>
    </row>
    <row r="1745" spans="1:5" ht="15.75" thickBot="1">
      <c r="A1745" s="32"/>
      <c r="B1745" s="32"/>
      <c r="C1745" s="32"/>
      <c r="D1745" s="32"/>
      <c r="E1745" s="32"/>
    </row>
    <row r="1746" spans="1:5" ht="15.75" thickBot="1">
      <c r="A1746" s="32"/>
      <c r="B1746" s="32"/>
      <c r="C1746" s="32"/>
      <c r="D1746" s="32"/>
      <c r="E1746" s="32"/>
    </row>
    <row r="1747" spans="1:5" ht="15.75" thickBot="1">
      <c r="A1747" s="32"/>
      <c r="B1747" s="32"/>
      <c r="C1747" s="32"/>
      <c r="D1747" s="32"/>
      <c r="E1747" s="32"/>
    </row>
    <row r="1748" spans="1:5" ht="15.75" thickBot="1">
      <c r="A1748" s="32"/>
      <c r="B1748" s="32"/>
      <c r="C1748" s="32"/>
      <c r="D1748" s="32"/>
      <c r="E1748" s="32"/>
    </row>
    <row r="1749" spans="1:5" ht="15.75" thickBot="1">
      <c r="A1749" s="32"/>
      <c r="B1749" s="32"/>
      <c r="C1749" s="32"/>
      <c r="D1749" s="32"/>
      <c r="E1749" s="32"/>
    </row>
    <row r="1750" spans="1:5" ht="15.75" thickBot="1">
      <c r="A1750" s="32"/>
      <c r="B1750" s="32"/>
      <c r="C1750" s="32"/>
      <c r="D1750" s="32"/>
      <c r="E1750" s="32"/>
    </row>
    <row r="1751" spans="1:5" ht="15.75" thickBot="1">
      <c r="A1751" s="32"/>
      <c r="B1751" s="32"/>
      <c r="C1751" s="32"/>
      <c r="D1751" s="32"/>
      <c r="E1751" s="32"/>
    </row>
    <row r="1752" spans="1:5" ht="15.75" thickBot="1">
      <c r="A1752" s="32"/>
      <c r="B1752" s="32"/>
      <c r="C1752" s="32"/>
      <c r="D1752" s="32"/>
      <c r="E1752" s="32"/>
    </row>
    <row r="1753" spans="1:5" ht="15.75" thickBot="1">
      <c r="A1753" s="32"/>
      <c r="B1753" s="32"/>
      <c r="C1753" s="32"/>
      <c r="D1753" s="32"/>
      <c r="E1753" s="32"/>
    </row>
    <row r="1754" spans="1:5" ht="15.75" thickBot="1">
      <c r="A1754" s="32"/>
      <c r="B1754" s="32"/>
      <c r="C1754" s="32"/>
      <c r="D1754" s="32"/>
      <c r="E1754" s="32"/>
    </row>
    <row r="1755" spans="1:5" ht="15.75" thickBot="1">
      <c r="A1755" s="32"/>
      <c r="B1755" s="32"/>
      <c r="C1755" s="32"/>
      <c r="D1755" s="32"/>
      <c r="E1755" s="32"/>
    </row>
    <row r="1756" spans="1:5" ht="15.75" thickBot="1">
      <c r="A1756" s="32"/>
      <c r="B1756" s="32"/>
      <c r="C1756" s="32"/>
      <c r="D1756" s="32"/>
      <c r="E1756" s="32"/>
    </row>
    <row r="1757" spans="1:5" ht="15.75" thickBot="1">
      <c r="A1757" s="32"/>
      <c r="B1757" s="32"/>
      <c r="C1757" s="32"/>
      <c r="D1757" s="32"/>
      <c r="E1757" s="32"/>
    </row>
    <row r="1758" spans="1:5" ht="15.75" thickBot="1">
      <c r="A1758" s="32"/>
      <c r="B1758" s="32"/>
      <c r="C1758" s="32"/>
      <c r="D1758" s="32"/>
      <c r="E1758" s="32"/>
    </row>
    <row r="1759" spans="1:5" ht="15.75" thickBot="1">
      <c r="A1759" s="32"/>
      <c r="B1759" s="32"/>
      <c r="C1759" s="32"/>
      <c r="D1759" s="32"/>
      <c r="E1759" s="32"/>
    </row>
    <row r="1760" spans="1:5" ht="15.75" thickBot="1">
      <c r="A1760" s="32"/>
      <c r="B1760" s="32"/>
      <c r="C1760" s="32"/>
      <c r="D1760" s="32"/>
      <c r="E1760" s="32"/>
    </row>
    <row r="1761" spans="1:5" ht="15.75" thickBot="1">
      <c r="A1761" s="32"/>
      <c r="B1761" s="32"/>
      <c r="C1761" s="32"/>
      <c r="D1761" s="32"/>
      <c r="E1761" s="32"/>
    </row>
    <row r="1762" spans="1:5" ht="15.75" thickBot="1">
      <c r="A1762" s="32"/>
      <c r="B1762" s="32"/>
      <c r="C1762" s="32"/>
      <c r="D1762" s="32"/>
      <c r="E1762" s="32"/>
    </row>
    <row r="1763" spans="1:5" ht="15.75" thickBot="1">
      <c r="A1763" s="32"/>
      <c r="B1763" s="32"/>
      <c r="C1763" s="32"/>
      <c r="D1763" s="32"/>
      <c r="E1763" s="32"/>
    </row>
    <row r="1764" spans="1:5" ht="15.75" thickBot="1">
      <c r="A1764" s="32"/>
      <c r="B1764" s="32"/>
      <c r="C1764" s="32"/>
      <c r="D1764" s="32"/>
      <c r="E1764" s="32"/>
    </row>
    <row r="1765" spans="1:5" ht="15.75" thickBot="1">
      <c r="A1765" s="32"/>
      <c r="B1765" s="32"/>
      <c r="C1765" s="32"/>
      <c r="D1765" s="32"/>
      <c r="E1765" s="32"/>
    </row>
    <row r="1766" spans="1:5" ht="15.75" thickBot="1">
      <c r="A1766" s="32"/>
      <c r="B1766" s="32"/>
      <c r="C1766" s="32"/>
      <c r="D1766" s="32"/>
      <c r="E1766" s="32"/>
    </row>
    <row r="1767" spans="1:5" ht="15.75" thickBot="1">
      <c r="A1767" s="32"/>
      <c r="B1767" s="32"/>
      <c r="C1767" s="32"/>
      <c r="D1767" s="32"/>
      <c r="E1767" s="32"/>
    </row>
    <row r="1768" spans="1:5" ht="15.75" thickBot="1">
      <c r="A1768" s="32"/>
      <c r="B1768" s="32"/>
      <c r="C1768" s="32"/>
      <c r="D1768" s="32"/>
      <c r="E1768" s="32"/>
    </row>
    <row r="1769" spans="1:5" ht="15.75" thickBot="1">
      <c r="A1769" s="32"/>
      <c r="B1769" s="32"/>
      <c r="C1769" s="32"/>
      <c r="D1769" s="32"/>
      <c r="E1769" s="32"/>
    </row>
    <row r="1770" spans="1:5" ht="15.75" thickBot="1">
      <c r="A1770" s="32"/>
      <c r="B1770" s="32"/>
      <c r="C1770" s="32"/>
      <c r="D1770" s="32"/>
      <c r="E1770" s="32"/>
    </row>
    <row r="1771" spans="1:5" ht="15.75" thickBot="1">
      <c r="A1771" s="32"/>
      <c r="B1771" s="32"/>
      <c r="C1771" s="32"/>
      <c r="D1771" s="32"/>
      <c r="E1771" s="32"/>
    </row>
    <row r="1772" spans="1:5" ht="15.75" thickBot="1">
      <c r="A1772" s="32"/>
      <c r="B1772" s="32"/>
      <c r="C1772" s="32"/>
      <c r="D1772" s="32"/>
      <c r="E1772" s="32"/>
    </row>
    <row r="1773" spans="1:5" ht="15.75" thickBot="1">
      <c r="A1773" s="32"/>
      <c r="B1773" s="32"/>
      <c r="C1773" s="32"/>
      <c r="D1773" s="32"/>
      <c r="E1773" s="32"/>
    </row>
    <row r="1774" spans="1:5" ht="15.75" thickBot="1">
      <c r="A1774" s="32"/>
      <c r="B1774" s="32"/>
      <c r="C1774" s="32"/>
      <c r="D1774" s="32"/>
      <c r="E1774" s="32"/>
    </row>
    <row r="1775" spans="1:5" ht="15.75" thickBot="1">
      <c r="A1775" s="32"/>
      <c r="B1775" s="32"/>
      <c r="C1775" s="32"/>
      <c r="D1775" s="32"/>
      <c r="E1775" s="32"/>
    </row>
    <row r="1776" spans="1:5" ht="15.75" thickBot="1">
      <c r="A1776" s="32"/>
      <c r="B1776" s="32"/>
      <c r="C1776" s="32"/>
      <c r="D1776" s="32"/>
      <c r="E1776" s="32"/>
    </row>
    <row r="1777" spans="1:5" ht="15.75" thickBot="1">
      <c r="A1777" s="32"/>
      <c r="B1777" s="32"/>
      <c r="C1777" s="32"/>
      <c r="D1777" s="32"/>
      <c r="E1777" s="32"/>
    </row>
    <row r="1778" spans="1:5" ht="15.75" thickBot="1">
      <c r="A1778" s="32"/>
      <c r="B1778" s="32"/>
      <c r="C1778" s="32"/>
      <c r="D1778" s="32"/>
      <c r="E1778" s="32"/>
    </row>
    <row r="1779" spans="1:5" ht="15.75" thickBot="1">
      <c r="A1779" s="32"/>
      <c r="B1779" s="32"/>
      <c r="C1779" s="32"/>
      <c r="D1779" s="32"/>
      <c r="E1779" s="32"/>
    </row>
    <row r="1780" spans="1:5" ht="15.75" thickBot="1">
      <c r="A1780" s="32"/>
      <c r="B1780" s="32"/>
      <c r="C1780" s="32"/>
      <c r="D1780" s="32"/>
      <c r="E1780" s="32"/>
    </row>
    <row r="1781" spans="1:5" ht="15.75" thickBot="1">
      <c r="A1781" s="32"/>
      <c r="B1781" s="32"/>
      <c r="C1781" s="32"/>
      <c r="D1781" s="32"/>
      <c r="E1781" s="32"/>
    </row>
    <row r="1782" spans="1:5" ht="15.75" thickBot="1">
      <c r="A1782" s="32"/>
      <c r="B1782" s="32"/>
      <c r="C1782" s="32"/>
      <c r="D1782" s="32"/>
      <c r="E1782" s="32"/>
    </row>
    <row r="1783" spans="1:5" ht="15.75" thickBot="1">
      <c r="A1783" s="32"/>
      <c r="B1783" s="32"/>
      <c r="C1783" s="32"/>
      <c r="D1783" s="32"/>
      <c r="E1783" s="32"/>
    </row>
    <row r="1784" spans="1:5" ht="15.75" thickBot="1">
      <c r="A1784" s="32"/>
      <c r="B1784" s="32"/>
      <c r="C1784" s="32"/>
      <c r="D1784" s="32"/>
      <c r="E1784" s="32"/>
    </row>
    <row r="1785" spans="1:5" ht="15.75" thickBot="1">
      <c r="A1785" s="32"/>
      <c r="B1785" s="32"/>
      <c r="C1785" s="32"/>
      <c r="D1785" s="32"/>
      <c r="E1785" s="32"/>
    </row>
    <row r="1786" spans="1:5" ht="15.75" thickBot="1">
      <c r="A1786" s="32"/>
      <c r="B1786" s="32"/>
      <c r="C1786" s="32"/>
      <c r="D1786" s="32"/>
      <c r="E1786" s="32"/>
    </row>
    <row r="1787" spans="1:5" ht="15.75" thickBot="1">
      <c r="A1787" s="32"/>
      <c r="B1787" s="32"/>
      <c r="C1787" s="32"/>
      <c r="D1787" s="32"/>
      <c r="E1787" s="32"/>
    </row>
    <row r="1788" spans="1:5" ht="15.75" thickBot="1">
      <c r="A1788" s="32"/>
      <c r="B1788" s="32"/>
      <c r="C1788" s="32"/>
      <c r="D1788" s="32"/>
      <c r="E1788" s="32"/>
    </row>
    <row r="1789" spans="1:5" ht="15.75" thickBot="1">
      <c r="A1789" s="32"/>
      <c r="B1789" s="32"/>
      <c r="C1789" s="32"/>
      <c r="D1789" s="32"/>
      <c r="E1789" s="32"/>
    </row>
    <row r="1790" spans="1:5" ht="15.75" thickBot="1">
      <c r="A1790" s="32"/>
      <c r="B1790" s="32"/>
      <c r="C1790" s="32"/>
      <c r="D1790" s="32"/>
      <c r="E1790" s="32"/>
    </row>
    <row r="1791" spans="1:5" ht="15.75" thickBot="1">
      <c r="A1791" s="32"/>
      <c r="B1791" s="32"/>
      <c r="C1791" s="32"/>
      <c r="D1791" s="32"/>
      <c r="E1791" s="32"/>
    </row>
    <row r="1792" spans="1:5" ht="15.75" thickBot="1">
      <c r="A1792" s="32"/>
      <c r="B1792" s="32"/>
      <c r="C1792" s="32"/>
      <c r="D1792" s="32"/>
      <c r="E1792" s="32"/>
    </row>
    <row r="1793" spans="1:5" ht="15.75" thickBot="1">
      <c r="A1793" s="32"/>
      <c r="B1793" s="32"/>
      <c r="C1793" s="32"/>
      <c r="D1793" s="32"/>
      <c r="E1793" s="32"/>
    </row>
    <row r="1794" spans="1:5" ht="15.75" thickBot="1">
      <c r="A1794" s="32"/>
      <c r="B1794" s="32"/>
      <c r="C1794" s="32"/>
      <c r="D1794" s="32"/>
      <c r="E1794" s="32"/>
    </row>
    <row r="1795" spans="1:5" ht="15.75" thickBot="1">
      <c r="A1795" s="32"/>
      <c r="B1795" s="32"/>
      <c r="C1795" s="32"/>
      <c r="D1795" s="32"/>
      <c r="E1795" s="32"/>
    </row>
    <row r="1796" spans="1:5" ht="15.75" thickBot="1">
      <c r="A1796" s="32"/>
      <c r="B1796" s="32"/>
      <c r="C1796" s="32"/>
      <c r="D1796" s="32"/>
      <c r="E1796" s="32"/>
    </row>
    <row r="1797" spans="1:5" ht="15.75" thickBot="1">
      <c r="A1797" s="32"/>
      <c r="B1797" s="32"/>
      <c r="C1797" s="32"/>
      <c r="D1797" s="32"/>
      <c r="E1797" s="32"/>
    </row>
    <row r="1798" spans="1:5" ht="15.75" thickBot="1">
      <c r="A1798" s="32"/>
      <c r="B1798" s="32"/>
      <c r="C1798" s="32"/>
      <c r="D1798" s="32"/>
      <c r="E1798" s="32"/>
    </row>
    <row r="1799" spans="1:5" ht="15.75" thickBot="1">
      <c r="A1799" s="32"/>
      <c r="B1799" s="32"/>
      <c r="C1799" s="32"/>
      <c r="D1799" s="32"/>
      <c r="E1799" s="32"/>
    </row>
    <row r="1800" spans="1:5" ht="15.75" thickBot="1">
      <c r="A1800" s="32"/>
      <c r="B1800" s="32"/>
      <c r="C1800" s="32"/>
      <c r="D1800" s="32"/>
      <c r="E1800" s="32"/>
    </row>
    <row r="1801" spans="1:5" ht="15.75" thickBot="1">
      <c r="A1801" s="32"/>
      <c r="B1801" s="32"/>
      <c r="C1801" s="32"/>
      <c r="D1801" s="32"/>
      <c r="E1801" s="32"/>
    </row>
    <row r="1802" spans="1:5" ht="15.75" thickBot="1">
      <c r="A1802" s="32"/>
      <c r="B1802" s="32"/>
      <c r="C1802" s="32"/>
      <c r="D1802" s="32"/>
      <c r="E1802" s="32"/>
    </row>
    <row r="1803" spans="1:5" ht="15.75" thickBot="1">
      <c r="A1803" s="32"/>
      <c r="B1803" s="32"/>
      <c r="C1803" s="32"/>
      <c r="D1803" s="32"/>
      <c r="E1803" s="32"/>
    </row>
    <row r="1804" spans="1:5" ht="15.75" thickBot="1">
      <c r="A1804" s="32"/>
      <c r="B1804" s="32"/>
      <c r="C1804" s="32"/>
      <c r="D1804" s="32"/>
      <c r="E1804" s="32"/>
    </row>
    <row r="1805" spans="1:5" ht="15.75" thickBot="1">
      <c r="A1805" s="32"/>
      <c r="B1805" s="32"/>
      <c r="C1805" s="32"/>
      <c r="D1805" s="32"/>
      <c r="E1805" s="32"/>
    </row>
    <row r="1806" spans="1:5" ht="15.75" thickBot="1">
      <c r="A1806" s="32"/>
      <c r="B1806" s="32"/>
      <c r="C1806" s="32"/>
      <c r="D1806" s="32"/>
      <c r="E1806" s="32"/>
    </row>
    <row r="1807" spans="1:5" ht="15.75" thickBot="1">
      <c r="A1807" s="32"/>
      <c r="B1807" s="32"/>
      <c r="C1807" s="32"/>
      <c r="D1807" s="32"/>
      <c r="E1807" s="32"/>
    </row>
    <row r="1808" spans="1:5" ht="15.75" thickBot="1">
      <c r="A1808" s="32"/>
      <c r="B1808" s="32"/>
      <c r="C1808" s="32"/>
      <c r="D1808" s="32"/>
      <c r="E1808" s="32"/>
    </row>
    <row r="1809" spans="1:5" ht="15.75" thickBot="1">
      <c r="A1809" s="32"/>
      <c r="B1809" s="32"/>
      <c r="C1809" s="32"/>
      <c r="D1809" s="32"/>
      <c r="E1809" s="32"/>
    </row>
    <row r="1810" spans="1:5" ht="15.75" thickBot="1">
      <c r="A1810" s="32"/>
      <c r="B1810" s="32"/>
      <c r="C1810" s="32"/>
      <c r="D1810" s="32"/>
      <c r="E1810" s="32"/>
    </row>
    <row r="1811" spans="1:5" ht="15.75" thickBot="1">
      <c r="A1811" s="32"/>
      <c r="B1811" s="32"/>
      <c r="C1811" s="32"/>
      <c r="D1811" s="32"/>
      <c r="E1811" s="32"/>
    </row>
    <row r="1812" spans="1:5" ht="15.75" thickBot="1">
      <c r="A1812" s="32"/>
      <c r="B1812" s="32"/>
      <c r="C1812" s="32"/>
      <c r="D1812" s="32"/>
      <c r="E1812" s="32"/>
    </row>
    <row r="1813" spans="1:5" ht="15.75" thickBot="1">
      <c r="A1813" s="32"/>
      <c r="B1813" s="32"/>
      <c r="C1813" s="32"/>
      <c r="D1813" s="32"/>
      <c r="E1813" s="32"/>
    </row>
    <row r="1814" spans="1:5" ht="15.75" thickBot="1">
      <c r="A1814" s="32"/>
      <c r="B1814" s="32"/>
      <c r="C1814" s="32"/>
      <c r="D1814" s="32"/>
      <c r="E1814" s="32"/>
    </row>
    <row r="1815" spans="1:5" ht="15.75" thickBot="1">
      <c r="A1815" s="32"/>
      <c r="B1815" s="32"/>
      <c r="C1815" s="32"/>
      <c r="D1815" s="32"/>
      <c r="E1815" s="32"/>
    </row>
    <row r="1816" spans="1:5" ht="15.75" thickBot="1">
      <c r="A1816" s="32"/>
      <c r="B1816" s="32"/>
      <c r="C1816" s="32"/>
      <c r="D1816" s="32"/>
      <c r="E1816" s="32"/>
    </row>
    <row r="1817" spans="1:5" ht="15.75" thickBot="1">
      <c r="A1817" s="32"/>
      <c r="B1817" s="32"/>
      <c r="C1817" s="32"/>
      <c r="D1817" s="32"/>
      <c r="E1817" s="32"/>
    </row>
    <row r="1818" spans="1:5" ht="15.75" thickBot="1">
      <c r="A1818" s="32"/>
      <c r="B1818" s="32"/>
      <c r="C1818" s="32"/>
      <c r="D1818" s="32"/>
      <c r="E1818" s="32"/>
    </row>
    <row r="1819" spans="1:5" ht="15.75" thickBot="1">
      <c r="A1819" s="32"/>
      <c r="B1819" s="32"/>
      <c r="C1819" s="32"/>
      <c r="D1819" s="32"/>
      <c r="E1819" s="32"/>
    </row>
    <row r="1820" spans="1:5" ht="15.75" thickBot="1">
      <c r="A1820" s="32"/>
      <c r="B1820" s="32"/>
      <c r="C1820" s="32"/>
      <c r="D1820" s="32"/>
      <c r="E1820" s="32"/>
    </row>
    <row r="1821" spans="1:5" ht="15.75" thickBot="1">
      <c r="A1821" s="32"/>
      <c r="B1821" s="32"/>
      <c r="C1821" s="32"/>
      <c r="D1821" s="32"/>
      <c r="E1821" s="32"/>
    </row>
    <row r="1822" spans="1:5" ht="15.75" thickBot="1">
      <c r="A1822" s="32"/>
      <c r="B1822" s="32"/>
      <c r="C1822" s="32"/>
      <c r="D1822" s="32"/>
      <c r="E1822" s="32"/>
    </row>
    <row r="1823" spans="1:5" ht="15.75" thickBot="1">
      <c r="A1823" s="32"/>
      <c r="B1823" s="32"/>
      <c r="C1823" s="32"/>
      <c r="D1823" s="32"/>
      <c r="E1823" s="32"/>
    </row>
    <row r="1824" spans="1:5" ht="15.75" thickBot="1">
      <c r="A1824" s="32"/>
      <c r="B1824" s="32"/>
      <c r="C1824" s="32"/>
      <c r="D1824" s="32"/>
      <c r="E1824" s="32"/>
    </row>
    <row r="1825" spans="1:5" ht="15.75" thickBot="1">
      <c r="A1825" s="32"/>
      <c r="B1825" s="32"/>
      <c r="C1825" s="32"/>
      <c r="D1825" s="32"/>
      <c r="E1825" s="32"/>
    </row>
    <row r="1826" spans="1:5" ht="15.75" thickBot="1">
      <c r="A1826" s="32"/>
      <c r="B1826" s="32"/>
      <c r="C1826" s="32"/>
      <c r="D1826" s="32"/>
      <c r="E1826" s="32"/>
    </row>
    <row r="1827" spans="1:5" ht="15.75" thickBot="1">
      <c r="A1827" s="32"/>
      <c r="B1827" s="32"/>
      <c r="C1827" s="32"/>
      <c r="D1827" s="32"/>
      <c r="E1827" s="32"/>
    </row>
    <row r="1828" spans="1:5" ht="15.75" thickBot="1">
      <c r="A1828" s="32"/>
      <c r="B1828" s="32"/>
      <c r="C1828" s="32"/>
      <c r="D1828" s="32"/>
      <c r="E1828" s="32"/>
    </row>
    <row r="1829" spans="1:5" ht="15.75" thickBot="1">
      <c r="A1829" s="32"/>
      <c r="B1829" s="32"/>
      <c r="C1829" s="32"/>
      <c r="D1829" s="32"/>
      <c r="E1829" s="32"/>
    </row>
    <row r="1830" spans="1:5" ht="15.75" thickBot="1">
      <c r="A1830" s="32"/>
      <c r="B1830" s="32"/>
      <c r="C1830" s="32"/>
      <c r="D1830" s="32"/>
      <c r="E1830" s="32"/>
    </row>
    <row r="1831" spans="1:5" ht="15.75" thickBot="1">
      <c r="A1831" s="32"/>
      <c r="B1831" s="32"/>
      <c r="C1831" s="32"/>
      <c r="D1831" s="32"/>
      <c r="E1831" s="32"/>
    </row>
    <row r="1832" spans="1:5" ht="15.75" thickBot="1">
      <c r="A1832" s="32"/>
      <c r="B1832" s="32"/>
      <c r="C1832" s="32"/>
      <c r="D1832" s="32"/>
      <c r="E1832" s="32"/>
    </row>
    <row r="1833" spans="1:5" ht="15.75" thickBot="1">
      <c r="A1833" s="32"/>
      <c r="B1833" s="32"/>
      <c r="C1833" s="32"/>
      <c r="D1833" s="32"/>
      <c r="E1833" s="32"/>
    </row>
    <row r="1834" spans="1:5" ht="15.75" thickBot="1">
      <c r="A1834" s="32"/>
      <c r="B1834" s="32"/>
      <c r="C1834" s="32"/>
      <c r="D1834" s="32"/>
      <c r="E1834" s="32"/>
    </row>
    <row r="1835" spans="1:5" ht="15.75" thickBot="1">
      <c r="A1835" s="32"/>
      <c r="B1835" s="32"/>
      <c r="C1835" s="32"/>
      <c r="D1835" s="32"/>
      <c r="E1835" s="32"/>
    </row>
    <row r="1836" spans="1:5" ht="15.75" thickBot="1">
      <c r="A1836" s="32"/>
      <c r="B1836" s="32"/>
      <c r="C1836" s="32"/>
      <c r="D1836" s="32"/>
      <c r="E1836" s="32"/>
    </row>
    <row r="1837" spans="1:5" ht="15.75" thickBot="1">
      <c r="A1837" s="32"/>
      <c r="B1837" s="32"/>
      <c r="C1837" s="32"/>
      <c r="D1837" s="32"/>
      <c r="E1837" s="32"/>
    </row>
    <row r="1838" spans="1:5" ht="15.75" thickBot="1">
      <c r="A1838" s="32"/>
      <c r="B1838" s="32"/>
      <c r="C1838" s="32"/>
      <c r="D1838" s="32"/>
      <c r="E1838" s="32"/>
    </row>
    <row r="1839" spans="1:5" ht="15.75" thickBot="1">
      <c r="A1839" s="32"/>
      <c r="B1839" s="32"/>
      <c r="C1839" s="32"/>
      <c r="D1839" s="32"/>
      <c r="E1839" s="32"/>
    </row>
    <row r="1840" spans="1:5" ht="15.75" thickBot="1">
      <c r="A1840" s="32"/>
      <c r="B1840" s="32"/>
      <c r="C1840" s="32"/>
      <c r="D1840" s="32"/>
      <c r="E1840" s="32"/>
    </row>
    <row r="1841" spans="1:5" ht="15.75" thickBot="1">
      <c r="A1841" s="32"/>
      <c r="B1841" s="32"/>
      <c r="C1841" s="32"/>
      <c r="D1841" s="32"/>
      <c r="E1841" s="32"/>
    </row>
    <row r="1842" spans="1:5" ht="15.75" thickBot="1">
      <c r="A1842" s="32"/>
      <c r="B1842" s="32"/>
      <c r="C1842" s="32"/>
      <c r="D1842" s="32"/>
      <c r="E1842" s="32"/>
    </row>
    <row r="1843" spans="1:5" ht="15.75" thickBot="1">
      <c r="A1843" s="32"/>
      <c r="B1843" s="32"/>
      <c r="C1843" s="32"/>
      <c r="D1843" s="32"/>
      <c r="E1843" s="32"/>
    </row>
    <row r="1844" spans="1:5" ht="15.75" thickBot="1">
      <c r="A1844" s="32"/>
      <c r="B1844" s="32"/>
      <c r="C1844" s="32"/>
      <c r="D1844" s="32"/>
      <c r="E1844" s="32"/>
    </row>
    <row r="1845" spans="1:5" ht="15.75" thickBot="1">
      <c r="A1845" s="32"/>
      <c r="B1845" s="32"/>
      <c r="C1845" s="32"/>
      <c r="D1845" s="32"/>
      <c r="E1845" s="32"/>
    </row>
    <row r="1846" spans="1:5" ht="15.75" thickBot="1">
      <c r="A1846" s="32"/>
      <c r="B1846" s="32"/>
      <c r="C1846" s="32"/>
      <c r="D1846" s="32"/>
      <c r="E1846" s="32"/>
    </row>
    <row r="1847" spans="1:5" ht="15.75" thickBot="1">
      <c r="A1847" s="32"/>
      <c r="B1847" s="32"/>
      <c r="C1847" s="32"/>
      <c r="D1847" s="32"/>
      <c r="E1847" s="32"/>
    </row>
    <row r="1848" spans="1:5" ht="15.75" thickBot="1">
      <c r="A1848" s="32"/>
      <c r="B1848" s="32"/>
      <c r="C1848" s="32"/>
      <c r="D1848" s="32"/>
      <c r="E1848" s="32"/>
    </row>
    <row r="1849" spans="1:5" ht="15.75" thickBot="1">
      <c r="A1849" s="32"/>
      <c r="B1849" s="32"/>
      <c r="C1849" s="32"/>
      <c r="D1849" s="32"/>
      <c r="E1849" s="32"/>
    </row>
    <row r="1850" spans="1:5" ht="15.75" thickBot="1">
      <c r="A1850" s="32"/>
      <c r="B1850" s="32"/>
      <c r="C1850" s="32"/>
      <c r="D1850" s="32"/>
      <c r="E1850" s="32"/>
    </row>
    <row r="1851" spans="1:5" ht="15.75" thickBot="1">
      <c r="A1851" s="32"/>
      <c r="B1851" s="32"/>
      <c r="C1851" s="32"/>
      <c r="D1851" s="32"/>
      <c r="E1851" s="32"/>
    </row>
    <row r="1852" spans="1:5" ht="15.75" thickBot="1">
      <c r="A1852" s="32"/>
      <c r="B1852" s="32"/>
      <c r="C1852" s="32"/>
      <c r="D1852" s="32"/>
      <c r="E1852" s="32"/>
    </row>
    <row r="1853" spans="1:5" ht="15.75" thickBot="1">
      <c r="A1853" s="32"/>
      <c r="B1853" s="32"/>
      <c r="C1853" s="32"/>
      <c r="D1853" s="32"/>
      <c r="E1853" s="32"/>
    </row>
    <row r="1854" spans="1:5" ht="15.75" thickBot="1">
      <c r="A1854" s="32"/>
      <c r="B1854" s="32"/>
      <c r="C1854" s="32"/>
      <c r="D1854" s="32"/>
      <c r="E1854" s="32"/>
    </row>
    <row r="1855" spans="1:5" ht="15.75" thickBot="1">
      <c r="A1855" s="32"/>
      <c r="B1855" s="32"/>
      <c r="C1855" s="32"/>
      <c r="D1855" s="32"/>
      <c r="E1855" s="32"/>
    </row>
    <row r="1856" spans="1:5" ht="15.75" thickBot="1">
      <c r="A1856" s="32"/>
      <c r="B1856" s="32"/>
      <c r="C1856" s="32"/>
      <c r="D1856" s="32"/>
      <c r="E1856" s="32"/>
    </row>
    <row r="1857" spans="1:5" ht="15.75" thickBot="1">
      <c r="A1857" s="32"/>
      <c r="B1857" s="32"/>
      <c r="C1857" s="32"/>
      <c r="D1857" s="32"/>
      <c r="E1857" s="32"/>
    </row>
    <row r="1858" spans="1:5" ht="15.75" thickBot="1">
      <c r="A1858" s="32"/>
      <c r="B1858" s="32"/>
      <c r="C1858" s="32"/>
      <c r="D1858" s="32"/>
      <c r="E1858" s="32"/>
    </row>
    <row r="1859" spans="1:5" ht="15.75" thickBot="1">
      <c r="A1859" s="32"/>
      <c r="B1859" s="32"/>
      <c r="C1859" s="32"/>
      <c r="D1859" s="32"/>
      <c r="E1859" s="32"/>
    </row>
    <row r="1860" spans="1:5" ht="15.75" thickBot="1">
      <c r="A1860" s="32"/>
      <c r="B1860" s="32"/>
      <c r="C1860" s="32"/>
      <c r="D1860" s="32"/>
      <c r="E1860" s="32"/>
    </row>
    <row r="1861" spans="1:5" ht="15.75" thickBot="1">
      <c r="A1861" s="32"/>
      <c r="B1861" s="32"/>
      <c r="C1861" s="32"/>
      <c r="D1861" s="32"/>
      <c r="E1861" s="32"/>
    </row>
    <row r="1862" spans="1:5" ht="15.75" thickBot="1">
      <c r="A1862" s="32"/>
      <c r="B1862" s="32"/>
      <c r="C1862" s="32"/>
      <c r="D1862" s="32"/>
      <c r="E1862" s="32"/>
    </row>
    <row r="1863" spans="1:5" ht="15.75" thickBot="1">
      <c r="A1863" s="32"/>
      <c r="B1863" s="32"/>
      <c r="C1863" s="32"/>
      <c r="D1863" s="32"/>
      <c r="E1863" s="32"/>
    </row>
    <row r="1864" spans="1:5" ht="15.75" thickBot="1">
      <c r="A1864" s="32"/>
      <c r="B1864" s="32"/>
      <c r="C1864" s="32"/>
      <c r="D1864" s="32"/>
      <c r="E1864" s="32"/>
    </row>
    <row r="1865" spans="1:5" ht="15.75" thickBot="1">
      <c r="A1865" s="32"/>
      <c r="B1865" s="32"/>
      <c r="C1865" s="32"/>
      <c r="D1865" s="32"/>
      <c r="E1865" s="32"/>
    </row>
    <row r="1866" spans="1:5" ht="15.75" thickBot="1">
      <c r="A1866" s="32"/>
      <c r="B1866" s="32"/>
      <c r="C1866" s="32"/>
      <c r="D1866" s="32"/>
      <c r="E1866" s="32"/>
    </row>
    <row r="1867" spans="1:5" ht="15.75" thickBot="1">
      <c r="A1867" s="32"/>
      <c r="B1867" s="32"/>
      <c r="C1867" s="32"/>
      <c r="D1867" s="32"/>
      <c r="E1867" s="32"/>
    </row>
    <row r="1868" spans="1:5" ht="15.75" thickBot="1">
      <c r="A1868" s="32"/>
      <c r="B1868" s="32"/>
      <c r="C1868" s="32"/>
      <c r="D1868" s="32"/>
      <c r="E1868" s="32"/>
    </row>
    <row r="1869" spans="1:5" ht="15.75" thickBot="1">
      <c r="A1869" s="32"/>
      <c r="B1869" s="32"/>
      <c r="C1869" s="32"/>
      <c r="D1869" s="32"/>
      <c r="E1869" s="32"/>
    </row>
    <row r="1870" spans="1:5" ht="15.75" thickBot="1">
      <c r="A1870" s="32"/>
      <c r="B1870" s="32"/>
      <c r="C1870" s="32"/>
      <c r="D1870" s="32"/>
      <c r="E1870" s="32"/>
    </row>
    <row r="1871" spans="1:5" ht="15.75" thickBot="1">
      <c r="A1871" s="32"/>
      <c r="B1871" s="32"/>
      <c r="C1871" s="32"/>
      <c r="D1871" s="32"/>
      <c r="E1871" s="32"/>
    </row>
    <row r="1872" spans="1:5" ht="15.75" thickBot="1">
      <c r="A1872" s="32"/>
      <c r="B1872" s="32"/>
      <c r="C1872" s="32"/>
      <c r="D1872" s="32"/>
      <c r="E1872" s="32"/>
    </row>
    <row r="1873" spans="1:5" ht="15.75" thickBot="1">
      <c r="A1873" s="32"/>
      <c r="B1873" s="32"/>
      <c r="C1873" s="32"/>
      <c r="D1873" s="32"/>
      <c r="E1873" s="32"/>
    </row>
    <row r="1874" spans="1:5" ht="15.75" thickBot="1">
      <c r="A1874" s="32"/>
      <c r="B1874" s="32"/>
      <c r="C1874" s="32"/>
      <c r="D1874" s="32"/>
      <c r="E1874" s="32"/>
    </row>
    <row r="1875" spans="1:5" ht="15.75" thickBot="1">
      <c r="A1875" s="32"/>
      <c r="B1875" s="32"/>
      <c r="C1875" s="32"/>
      <c r="D1875" s="32"/>
      <c r="E1875" s="32"/>
    </row>
    <row r="1876" spans="1:5" ht="15.75" thickBot="1">
      <c r="A1876" s="32"/>
      <c r="B1876" s="32"/>
      <c r="C1876" s="32"/>
      <c r="D1876" s="32"/>
      <c r="E1876" s="32"/>
    </row>
    <row r="1877" spans="1:5" ht="15.75" thickBot="1">
      <c r="A1877" s="32"/>
      <c r="B1877" s="32"/>
      <c r="C1877" s="32"/>
      <c r="D1877" s="32"/>
      <c r="E1877" s="32"/>
    </row>
    <row r="1878" spans="1:5" ht="15.75" thickBot="1">
      <c r="A1878" s="32"/>
      <c r="B1878" s="32"/>
      <c r="C1878" s="32"/>
      <c r="D1878" s="32"/>
      <c r="E1878" s="32"/>
    </row>
    <row r="1879" spans="1:5" ht="15.75" thickBot="1">
      <c r="A1879" s="32"/>
      <c r="B1879" s="32"/>
      <c r="C1879" s="32"/>
      <c r="D1879" s="32"/>
      <c r="E1879" s="32"/>
    </row>
    <row r="1880" spans="1:5" ht="15.75" thickBot="1">
      <c r="A1880" s="32"/>
      <c r="B1880" s="32"/>
      <c r="C1880" s="32"/>
      <c r="D1880" s="32"/>
      <c r="E1880" s="32"/>
    </row>
    <row r="1881" spans="1:5" ht="15.75" thickBot="1">
      <c r="A1881" s="32"/>
      <c r="B1881" s="32"/>
      <c r="C1881" s="32"/>
      <c r="D1881" s="32"/>
      <c r="E1881" s="32"/>
    </row>
    <row r="1882" spans="1:5" ht="15.75" thickBot="1">
      <c r="A1882" s="32"/>
      <c r="B1882" s="32"/>
      <c r="C1882" s="32"/>
      <c r="D1882" s="32"/>
      <c r="E1882" s="32"/>
    </row>
    <row r="1883" spans="1:5" ht="15.75" thickBot="1">
      <c r="A1883" s="32"/>
      <c r="B1883" s="32"/>
      <c r="C1883" s="32"/>
      <c r="D1883" s="32"/>
      <c r="E1883" s="32"/>
    </row>
    <row r="1884" spans="1:5" ht="15.75" thickBot="1">
      <c r="A1884" s="32"/>
      <c r="B1884" s="32"/>
      <c r="C1884" s="32"/>
      <c r="D1884" s="32"/>
      <c r="E1884" s="32"/>
    </row>
    <row r="1885" spans="1:5" ht="15.75" thickBot="1">
      <c r="A1885" s="32"/>
      <c r="B1885" s="32"/>
      <c r="C1885" s="32"/>
      <c r="D1885" s="32"/>
      <c r="E1885" s="32"/>
    </row>
    <row r="1886" spans="1:5" ht="15.75" thickBot="1">
      <c r="A1886" s="32"/>
      <c r="B1886" s="32"/>
      <c r="C1886" s="32"/>
      <c r="D1886" s="32"/>
      <c r="E1886" s="32"/>
    </row>
    <row r="1887" spans="1:5" ht="15.75" thickBot="1">
      <c r="A1887" s="32"/>
      <c r="B1887" s="32"/>
      <c r="C1887" s="32"/>
      <c r="D1887" s="32"/>
      <c r="E1887" s="32"/>
    </row>
    <row r="1888" spans="1:5" ht="15.75" thickBot="1">
      <c r="A1888" s="32"/>
      <c r="B1888" s="32"/>
      <c r="C1888" s="32"/>
      <c r="D1888" s="32"/>
      <c r="E1888" s="32"/>
    </row>
    <row r="1889" spans="1:5" ht="15.75" thickBot="1">
      <c r="A1889" s="32"/>
      <c r="B1889" s="32"/>
      <c r="C1889" s="32"/>
      <c r="D1889" s="32"/>
      <c r="E1889" s="32"/>
    </row>
    <row r="1890" spans="1:5" ht="15.75" thickBot="1">
      <c r="A1890" s="32"/>
      <c r="B1890" s="32"/>
      <c r="C1890" s="32"/>
      <c r="D1890" s="32"/>
      <c r="E1890" s="32"/>
    </row>
    <row r="1891" spans="1:5" ht="15.75" thickBot="1">
      <c r="A1891" s="32"/>
      <c r="B1891" s="32"/>
      <c r="C1891" s="32"/>
      <c r="D1891" s="32"/>
      <c r="E1891" s="32"/>
    </row>
    <row r="1892" spans="1:5" ht="15.75" thickBot="1">
      <c r="A1892" s="32"/>
      <c r="B1892" s="32"/>
      <c r="C1892" s="32"/>
      <c r="D1892" s="32"/>
      <c r="E1892" s="32"/>
    </row>
    <row r="1893" spans="1:5" ht="15.75" thickBot="1">
      <c r="A1893" s="32"/>
      <c r="B1893" s="32"/>
      <c r="C1893" s="32"/>
      <c r="D1893" s="32"/>
      <c r="E1893" s="32"/>
    </row>
    <row r="1894" spans="1:5" ht="15.75" thickBot="1">
      <c r="A1894" s="32"/>
      <c r="B1894" s="32"/>
      <c r="C1894" s="32"/>
      <c r="D1894" s="32"/>
      <c r="E1894" s="32"/>
    </row>
    <row r="1895" spans="1:5" ht="15.75" thickBot="1">
      <c r="A1895" s="32"/>
      <c r="B1895" s="32"/>
      <c r="C1895" s="32"/>
      <c r="D1895" s="32"/>
      <c r="E1895" s="32"/>
    </row>
    <row r="1896" spans="1:5" ht="15.75" thickBot="1">
      <c r="A1896" s="32"/>
      <c r="B1896" s="32"/>
      <c r="C1896" s="32"/>
      <c r="D1896" s="32"/>
      <c r="E1896" s="32"/>
    </row>
    <row r="1897" spans="1:5" ht="15.75" thickBot="1">
      <c r="A1897" s="32"/>
      <c r="B1897" s="32"/>
      <c r="C1897" s="32"/>
      <c r="D1897" s="32"/>
      <c r="E1897" s="32"/>
    </row>
    <row r="1898" spans="1:5" ht="15.75" thickBot="1">
      <c r="A1898" s="32"/>
      <c r="B1898" s="32"/>
      <c r="C1898" s="32"/>
      <c r="D1898" s="32"/>
      <c r="E1898" s="32"/>
    </row>
    <row r="1899" spans="1:5" ht="15.75" thickBot="1">
      <c r="A1899" s="32"/>
      <c r="B1899" s="32"/>
      <c r="C1899" s="32"/>
      <c r="D1899" s="32"/>
      <c r="E1899" s="32"/>
    </row>
    <row r="1900" spans="1:5" ht="15.75" thickBot="1">
      <c r="A1900" s="32"/>
      <c r="B1900" s="32"/>
      <c r="C1900" s="32"/>
      <c r="D1900" s="32"/>
      <c r="E1900" s="32"/>
    </row>
    <row r="1901" spans="1:5" ht="15.75" thickBot="1">
      <c r="A1901" s="32"/>
      <c r="B1901" s="32"/>
      <c r="C1901" s="32"/>
      <c r="D1901" s="32"/>
      <c r="E1901" s="32"/>
    </row>
    <row r="1902" spans="1:5" ht="15.75" thickBot="1">
      <c r="A1902" s="32"/>
      <c r="B1902" s="32"/>
      <c r="C1902" s="32"/>
      <c r="D1902" s="32"/>
      <c r="E1902" s="32"/>
    </row>
    <row r="1903" spans="1:5" ht="15.75" thickBot="1">
      <c r="A1903" s="32"/>
      <c r="B1903" s="32"/>
      <c r="C1903" s="32"/>
      <c r="D1903" s="32"/>
      <c r="E1903" s="32"/>
    </row>
    <row r="1904" spans="1:5" ht="15.75" thickBot="1">
      <c r="A1904" s="32"/>
      <c r="B1904" s="32"/>
      <c r="C1904" s="32"/>
      <c r="D1904" s="32"/>
      <c r="E1904" s="32"/>
    </row>
    <row r="1905" spans="1:5" ht="15.75" thickBot="1">
      <c r="A1905" s="32"/>
      <c r="B1905" s="32"/>
      <c r="C1905" s="32"/>
      <c r="D1905" s="32"/>
      <c r="E1905" s="32"/>
    </row>
    <row r="1906" spans="1:5" ht="15.75" thickBot="1">
      <c r="A1906" s="32"/>
      <c r="B1906" s="32"/>
      <c r="C1906" s="32"/>
      <c r="D1906" s="32"/>
      <c r="E1906" s="32"/>
    </row>
    <row r="1907" spans="1:5" ht="15.75" thickBot="1">
      <c r="A1907" s="32"/>
      <c r="B1907" s="32"/>
      <c r="C1907" s="32"/>
      <c r="D1907" s="32"/>
      <c r="E1907" s="32"/>
    </row>
    <row r="1908" spans="1:5" ht="15.75" thickBot="1">
      <c r="A1908" s="32"/>
      <c r="B1908" s="32"/>
      <c r="C1908" s="32"/>
      <c r="D1908" s="32"/>
      <c r="E1908" s="32"/>
    </row>
    <row r="1909" spans="1:5" ht="15.75" thickBot="1">
      <c r="A1909" s="32"/>
      <c r="B1909" s="32"/>
      <c r="C1909" s="32"/>
      <c r="D1909" s="32"/>
      <c r="E1909" s="32"/>
    </row>
    <row r="1910" spans="1:5" ht="15.75" thickBot="1">
      <c r="A1910" s="32"/>
      <c r="B1910" s="32"/>
      <c r="C1910" s="32"/>
      <c r="D1910" s="32"/>
      <c r="E1910" s="32"/>
    </row>
    <row r="1911" spans="1:5" ht="15.75" thickBot="1">
      <c r="A1911" s="32"/>
      <c r="B1911" s="32"/>
      <c r="C1911" s="32"/>
      <c r="D1911" s="32"/>
      <c r="E1911" s="32"/>
    </row>
    <row r="1912" spans="1:5" ht="15.75" thickBot="1">
      <c r="A1912" s="32"/>
      <c r="B1912" s="32"/>
      <c r="C1912" s="32"/>
      <c r="D1912" s="32"/>
      <c r="E1912" s="32"/>
    </row>
    <row r="1913" spans="1:5" ht="15.75" thickBot="1">
      <c r="A1913" s="32"/>
      <c r="B1913" s="32"/>
      <c r="C1913" s="32"/>
      <c r="D1913" s="32"/>
      <c r="E1913" s="32"/>
    </row>
    <row r="1914" spans="1:5" ht="15.75" thickBot="1">
      <c r="A1914" s="32"/>
      <c r="B1914" s="32"/>
      <c r="C1914" s="32"/>
      <c r="D1914" s="32"/>
      <c r="E1914" s="32"/>
    </row>
    <row r="1915" spans="1:5" ht="15.75" thickBot="1">
      <c r="A1915" s="32"/>
      <c r="B1915" s="32"/>
      <c r="C1915" s="32"/>
      <c r="D1915" s="32"/>
      <c r="E1915" s="32"/>
    </row>
    <row r="1916" spans="1:5" ht="15.75" thickBot="1">
      <c r="A1916" s="32"/>
      <c r="B1916" s="32"/>
      <c r="C1916" s="32"/>
      <c r="D1916" s="32"/>
      <c r="E1916" s="32"/>
    </row>
    <row r="1917" spans="1:5" ht="15.75" thickBot="1">
      <c r="A1917" s="32"/>
      <c r="B1917" s="32"/>
      <c r="C1917" s="32"/>
      <c r="D1917" s="32"/>
      <c r="E1917" s="32"/>
    </row>
    <row r="1918" spans="1:5" ht="15.75" thickBot="1">
      <c r="A1918" s="32"/>
      <c r="B1918" s="32"/>
      <c r="C1918" s="32"/>
      <c r="D1918" s="32"/>
      <c r="E1918" s="32"/>
    </row>
    <row r="1919" spans="1:5" ht="15.75" thickBot="1">
      <c r="A1919" s="32"/>
      <c r="B1919" s="32"/>
      <c r="C1919" s="32"/>
      <c r="D1919" s="32"/>
      <c r="E1919" s="32"/>
    </row>
    <row r="1920" spans="1:5" ht="15.75" thickBot="1">
      <c r="A1920" s="32"/>
      <c r="B1920" s="32"/>
      <c r="C1920" s="32"/>
      <c r="D1920" s="32"/>
      <c r="E1920" s="32"/>
    </row>
    <row r="1921" spans="1:5" ht="15.75" thickBot="1">
      <c r="A1921" s="32"/>
      <c r="B1921" s="32"/>
      <c r="C1921" s="32"/>
      <c r="D1921" s="32"/>
      <c r="E1921" s="32"/>
    </row>
    <row r="1922" spans="1:5" ht="15.75" thickBot="1">
      <c r="A1922" s="32"/>
      <c r="B1922" s="32"/>
      <c r="C1922" s="32"/>
      <c r="D1922" s="32"/>
      <c r="E1922" s="32"/>
    </row>
    <row r="1923" spans="1:5" ht="15.75" thickBot="1">
      <c r="A1923" s="32"/>
      <c r="B1923" s="32"/>
      <c r="C1923" s="32"/>
      <c r="D1923" s="32"/>
      <c r="E1923" s="32"/>
    </row>
    <row r="1924" spans="1:5" ht="15.75" thickBot="1">
      <c r="A1924" s="32"/>
      <c r="B1924" s="32"/>
      <c r="C1924" s="32"/>
      <c r="D1924" s="32"/>
      <c r="E1924" s="32"/>
    </row>
    <row r="1925" spans="1:5" ht="15.75" thickBot="1">
      <c r="A1925" s="32"/>
      <c r="B1925" s="32"/>
      <c r="C1925" s="32"/>
      <c r="D1925" s="32"/>
      <c r="E1925" s="32"/>
    </row>
    <row r="1926" spans="1:5" ht="15.75" thickBot="1">
      <c r="A1926" s="32"/>
      <c r="B1926" s="32"/>
      <c r="C1926" s="32"/>
      <c r="D1926" s="32"/>
      <c r="E1926" s="32"/>
    </row>
    <row r="1927" spans="1:5" ht="15.75" thickBot="1">
      <c r="A1927" s="32"/>
      <c r="B1927" s="32"/>
      <c r="C1927" s="32"/>
      <c r="D1927" s="32"/>
      <c r="E1927" s="32"/>
    </row>
    <row r="1928" spans="1:5" ht="15.75" thickBot="1">
      <c r="A1928" s="32"/>
      <c r="B1928" s="32"/>
      <c r="C1928" s="32"/>
      <c r="D1928" s="32"/>
      <c r="E1928" s="32"/>
    </row>
    <row r="1929" spans="1:5" ht="15.75" thickBot="1">
      <c r="A1929" s="32"/>
      <c r="B1929" s="32"/>
      <c r="C1929" s="32"/>
      <c r="D1929" s="32"/>
      <c r="E1929" s="32"/>
    </row>
    <row r="1930" spans="1:5" ht="15.75" thickBot="1">
      <c r="A1930" s="32"/>
      <c r="B1930" s="32"/>
      <c r="C1930" s="32"/>
      <c r="D1930" s="32"/>
      <c r="E1930" s="32"/>
    </row>
    <row r="1931" spans="1:5" ht="15.75" thickBot="1">
      <c r="A1931" s="32"/>
      <c r="B1931" s="32"/>
      <c r="C1931" s="32"/>
      <c r="D1931" s="32"/>
      <c r="E1931" s="32"/>
    </row>
    <row r="1932" spans="1:5" ht="15.75" thickBot="1">
      <c r="A1932" s="32"/>
      <c r="B1932" s="32"/>
      <c r="C1932" s="32"/>
      <c r="D1932" s="32"/>
      <c r="E1932" s="32"/>
    </row>
    <row r="1933" spans="1:5" ht="15.75" thickBot="1">
      <c r="A1933" s="32"/>
      <c r="B1933" s="32"/>
      <c r="C1933" s="32"/>
      <c r="D1933" s="32"/>
      <c r="E1933" s="32"/>
    </row>
    <row r="1934" spans="1:5" ht="15.75" thickBot="1">
      <c r="A1934" s="32"/>
      <c r="B1934" s="32"/>
      <c r="C1934" s="32"/>
      <c r="D1934" s="32"/>
      <c r="E1934" s="32"/>
    </row>
    <row r="1935" spans="1:5" ht="15.75" thickBot="1">
      <c r="A1935" s="32"/>
      <c r="B1935" s="32"/>
      <c r="C1935" s="32"/>
      <c r="D1935" s="32"/>
      <c r="E1935" s="32"/>
    </row>
    <row r="1936" spans="1:5" ht="15.75" thickBot="1">
      <c r="A1936" s="32"/>
      <c r="B1936" s="32"/>
      <c r="C1936" s="32"/>
      <c r="D1936" s="32"/>
      <c r="E1936" s="32"/>
    </row>
    <row r="1937" spans="1:5" ht="15.75" thickBot="1">
      <c r="A1937" s="32"/>
      <c r="B1937" s="32"/>
      <c r="C1937" s="32"/>
      <c r="D1937" s="32"/>
      <c r="E1937" s="32"/>
    </row>
    <row r="1938" spans="1:5" ht="15.75" thickBot="1">
      <c r="A1938" s="32"/>
      <c r="B1938" s="32"/>
      <c r="C1938" s="32"/>
      <c r="D1938" s="32"/>
      <c r="E1938" s="32"/>
    </row>
    <row r="1939" spans="1:5" ht="15.75" thickBot="1">
      <c r="A1939" s="32"/>
      <c r="B1939" s="32"/>
      <c r="C1939" s="32"/>
      <c r="D1939" s="32"/>
      <c r="E1939" s="32"/>
    </row>
    <row r="1940" spans="1:5" ht="15.75" thickBot="1">
      <c r="A1940" s="32"/>
      <c r="B1940" s="32"/>
      <c r="C1940" s="32"/>
      <c r="D1940" s="32"/>
      <c r="E1940" s="32"/>
    </row>
    <row r="1941" spans="1:5" ht="15.75" thickBot="1">
      <c r="A1941" s="32"/>
      <c r="B1941" s="32"/>
      <c r="C1941" s="32"/>
      <c r="D1941" s="32"/>
      <c r="E1941" s="32"/>
    </row>
    <row r="1942" spans="1:5" ht="15.75" thickBot="1">
      <c r="A1942" s="32"/>
      <c r="B1942" s="32"/>
      <c r="C1942" s="32"/>
      <c r="D1942" s="32"/>
      <c r="E1942" s="32"/>
    </row>
    <row r="1943" spans="1:5" ht="15.75" thickBot="1">
      <c r="A1943" s="32"/>
      <c r="B1943" s="32"/>
      <c r="C1943" s="32"/>
      <c r="D1943" s="32"/>
      <c r="E1943" s="32"/>
    </row>
    <row r="1944" spans="1:5" ht="15.75" thickBot="1">
      <c r="A1944" s="32"/>
      <c r="B1944" s="32"/>
      <c r="C1944" s="32"/>
      <c r="D1944" s="32"/>
      <c r="E1944" s="32"/>
    </row>
    <row r="1945" spans="1:5" ht="15.75" thickBot="1">
      <c r="A1945" s="32"/>
      <c r="B1945" s="32"/>
      <c r="C1945" s="32"/>
      <c r="D1945" s="32"/>
      <c r="E1945" s="32"/>
    </row>
    <row r="1946" spans="1:5" ht="15.75" thickBot="1">
      <c r="A1946" s="32"/>
      <c r="B1946" s="32"/>
      <c r="C1946" s="32"/>
      <c r="D1946" s="32"/>
      <c r="E1946" s="32"/>
    </row>
    <row r="1947" spans="1:5" ht="15.75" thickBot="1">
      <c r="A1947" s="32"/>
      <c r="B1947" s="32"/>
      <c r="C1947" s="32"/>
      <c r="D1947" s="32"/>
      <c r="E1947" s="32"/>
    </row>
    <row r="1948" spans="1:5" ht="15.75" thickBot="1">
      <c r="A1948" s="32"/>
      <c r="B1948" s="32"/>
      <c r="C1948" s="32"/>
      <c r="D1948" s="32"/>
      <c r="E1948" s="32"/>
    </row>
    <row r="1949" spans="1:5" ht="15.75" thickBot="1">
      <c r="A1949" s="32"/>
      <c r="B1949" s="32"/>
      <c r="C1949" s="32"/>
      <c r="D1949" s="32"/>
      <c r="E1949" s="32"/>
    </row>
    <row r="1950" spans="1:5" ht="15.75" thickBot="1">
      <c r="A1950" s="32"/>
      <c r="B1950" s="32"/>
      <c r="C1950" s="32"/>
      <c r="D1950" s="32"/>
      <c r="E1950" s="32"/>
    </row>
    <row r="1951" spans="1:5" ht="15.75" thickBot="1">
      <c r="A1951" s="32"/>
      <c r="B1951" s="32"/>
      <c r="C1951" s="32"/>
      <c r="D1951" s="32"/>
      <c r="E1951" s="32"/>
    </row>
    <row r="1952" spans="1:5" ht="15.75" thickBot="1">
      <c r="A1952" s="32"/>
      <c r="B1952" s="32"/>
      <c r="C1952" s="32"/>
      <c r="D1952" s="32"/>
      <c r="E1952" s="32"/>
    </row>
    <row r="1953" spans="1:5" ht="15.75" thickBot="1">
      <c r="A1953" s="32"/>
      <c r="B1953" s="32"/>
      <c r="C1953" s="32"/>
      <c r="D1953" s="32"/>
      <c r="E1953" s="32"/>
    </row>
    <row r="1954" spans="1:5" ht="15.75" thickBot="1">
      <c r="A1954" s="32"/>
      <c r="B1954" s="32"/>
      <c r="C1954" s="32"/>
      <c r="D1954" s="32"/>
      <c r="E1954" s="32"/>
    </row>
    <row r="1955" spans="1:5" ht="15.75" thickBot="1">
      <c r="A1955" s="32"/>
      <c r="B1955" s="32"/>
      <c r="C1955" s="32"/>
      <c r="D1955" s="32"/>
      <c r="E1955" s="32"/>
    </row>
    <row r="1956" spans="1:5" ht="15.75" thickBot="1">
      <c r="A1956" s="32"/>
      <c r="B1956" s="32"/>
      <c r="C1956" s="32"/>
      <c r="D1956" s="32"/>
      <c r="E1956" s="32"/>
    </row>
    <row r="1957" spans="1:5" ht="15.75" thickBot="1">
      <c r="A1957" s="32"/>
      <c r="B1957" s="32"/>
      <c r="C1957" s="32"/>
      <c r="D1957" s="32"/>
      <c r="E1957" s="32"/>
    </row>
    <row r="1958" spans="1:5" ht="15.75" thickBot="1">
      <c r="A1958" s="32"/>
      <c r="B1958" s="32"/>
      <c r="C1958" s="32"/>
      <c r="D1958" s="32"/>
      <c r="E1958" s="32"/>
    </row>
    <row r="1959" spans="1:5" ht="15.75" thickBot="1">
      <c r="A1959" s="32"/>
      <c r="B1959" s="32"/>
      <c r="C1959" s="32"/>
      <c r="D1959" s="32"/>
      <c r="E1959" s="32"/>
    </row>
    <row r="1960" spans="1:5" ht="15.75" thickBot="1">
      <c r="A1960" s="32"/>
      <c r="B1960" s="32"/>
      <c r="C1960" s="32"/>
      <c r="D1960" s="32"/>
      <c r="E1960" s="32"/>
    </row>
    <row r="1961" spans="1:5" ht="15.75" thickBot="1">
      <c r="A1961" s="32"/>
      <c r="B1961" s="32"/>
      <c r="C1961" s="32"/>
      <c r="D1961" s="32"/>
      <c r="E1961" s="32"/>
    </row>
    <row r="1962" spans="1:5" ht="15.75" thickBot="1">
      <c r="A1962" s="32"/>
      <c r="B1962" s="32"/>
      <c r="C1962" s="32"/>
      <c r="D1962" s="32"/>
      <c r="E1962" s="32"/>
    </row>
    <row r="1963" spans="1:5" ht="15.75" thickBot="1">
      <c r="A1963" s="32"/>
      <c r="B1963" s="32"/>
      <c r="C1963" s="32"/>
      <c r="D1963" s="32"/>
      <c r="E1963" s="32"/>
    </row>
    <row r="1964" spans="1:5" ht="15.75" thickBot="1">
      <c r="A1964" s="32"/>
      <c r="B1964" s="32"/>
      <c r="C1964" s="32"/>
      <c r="D1964" s="32"/>
      <c r="E1964" s="32"/>
    </row>
    <row r="1965" spans="1:5" ht="15.75" thickBot="1">
      <c r="A1965" s="32"/>
      <c r="B1965" s="32"/>
      <c r="C1965" s="32"/>
      <c r="D1965" s="32"/>
      <c r="E1965" s="32"/>
    </row>
    <row r="1966" spans="1:5" ht="15.75" thickBot="1">
      <c r="A1966" s="32"/>
      <c r="B1966" s="32"/>
      <c r="C1966" s="32"/>
      <c r="D1966" s="32"/>
      <c r="E1966" s="32"/>
    </row>
    <row r="1967" spans="1:5" ht="15.75" thickBot="1">
      <c r="A1967" s="32"/>
      <c r="B1967" s="32"/>
      <c r="C1967" s="32"/>
      <c r="D1967" s="32"/>
      <c r="E1967" s="32"/>
    </row>
    <row r="1968" spans="1:5" ht="15.75" thickBot="1">
      <c r="A1968" s="32"/>
      <c r="B1968" s="32"/>
      <c r="C1968" s="32"/>
      <c r="D1968" s="32"/>
      <c r="E1968" s="32"/>
    </row>
    <row r="1969" spans="1:5" ht="15.75" thickBot="1">
      <c r="A1969" s="32"/>
      <c r="B1969" s="32"/>
      <c r="C1969" s="32"/>
      <c r="D1969" s="32"/>
      <c r="E1969" s="32"/>
    </row>
    <row r="1970" spans="1:5" ht="15.75" thickBot="1">
      <c r="A1970" s="32"/>
      <c r="B1970" s="32"/>
      <c r="C1970" s="32"/>
      <c r="D1970" s="32"/>
      <c r="E1970" s="32"/>
    </row>
    <row r="1971" spans="1:5" ht="15.75" thickBot="1">
      <c r="A1971" s="32"/>
      <c r="B1971" s="32"/>
      <c r="C1971" s="32"/>
      <c r="D1971" s="32"/>
      <c r="E1971" s="32"/>
    </row>
    <row r="1972" spans="1:5" ht="15.75" thickBot="1">
      <c r="A1972" s="32"/>
      <c r="B1972" s="32"/>
      <c r="C1972" s="32"/>
      <c r="D1972" s="32"/>
      <c r="E1972" s="32"/>
    </row>
    <row r="1973" spans="1:5" ht="15.75" thickBot="1">
      <c r="A1973" s="32"/>
      <c r="B1973" s="32"/>
      <c r="C1973" s="32"/>
      <c r="D1973" s="32"/>
      <c r="E1973" s="32"/>
    </row>
    <row r="1974" spans="1:5" ht="15.75" thickBot="1">
      <c r="A1974" s="32"/>
      <c r="B1974" s="32"/>
      <c r="C1974" s="32"/>
      <c r="D1974" s="32"/>
      <c r="E1974" s="32"/>
    </row>
    <row r="1975" spans="1:5" ht="15.75" thickBot="1">
      <c r="A1975" s="32"/>
      <c r="B1975" s="32"/>
      <c r="C1975" s="32"/>
      <c r="D1975" s="32"/>
      <c r="E1975" s="32"/>
    </row>
    <row r="1976" spans="1:5" ht="15.75" thickBot="1">
      <c r="A1976" s="32"/>
      <c r="B1976" s="32"/>
      <c r="C1976" s="32"/>
      <c r="D1976" s="32"/>
      <c r="E1976" s="32"/>
    </row>
    <row r="1977" spans="1:5" ht="15.75" thickBot="1">
      <c r="A1977" s="32"/>
      <c r="B1977" s="32"/>
      <c r="C1977" s="32"/>
      <c r="D1977" s="32"/>
      <c r="E1977" s="32"/>
    </row>
    <row r="1978" spans="1:5" ht="15.75" thickBot="1">
      <c r="A1978" s="32"/>
      <c r="B1978" s="32"/>
      <c r="C1978" s="32"/>
      <c r="D1978" s="32"/>
      <c r="E1978" s="32"/>
    </row>
    <row r="1979" spans="1:5" ht="15.75" thickBot="1">
      <c r="A1979" s="32"/>
      <c r="B1979" s="32"/>
      <c r="C1979" s="32"/>
      <c r="D1979" s="32"/>
      <c r="E1979" s="32"/>
    </row>
    <row r="1980" spans="1:5" ht="15.75" thickBot="1">
      <c r="A1980" s="32"/>
      <c r="B1980" s="32"/>
      <c r="C1980" s="32"/>
      <c r="D1980" s="32"/>
      <c r="E1980" s="32"/>
    </row>
    <row r="1981" spans="1:5" ht="15.75" thickBot="1">
      <c r="A1981" s="32"/>
      <c r="B1981" s="32"/>
      <c r="C1981" s="32"/>
      <c r="D1981" s="32"/>
      <c r="E1981" s="32"/>
    </row>
    <row r="1982" spans="1:5" ht="15.75" thickBot="1">
      <c r="A1982" s="32"/>
      <c r="B1982" s="32"/>
      <c r="C1982" s="32"/>
      <c r="D1982" s="32"/>
      <c r="E1982" s="32"/>
    </row>
    <row r="1983" spans="1:5" ht="15.75" thickBot="1">
      <c r="A1983" s="32"/>
      <c r="B1983" s="32"/>
      <c r="C1983" s="32"/>
      <c r="D1983" s="32"/>
      <c r="E1983" s="32"/>
    </row>
    <row r="1984" spans="1:5" ht="15.75" thickBot="1">
      <c r="A1984" s="32"/>
      <c r="B1984" s="32"/>
      <c r="C1984" s="32"/>
      <c r="D1984" s="32"/>
      <c r="E1984" s="32"/>
    </row>
    <row r="1985" spans="1:5" ht="15.75" thickBot="1">
      <c r="A1985" s="32"/>
      <c r="B1985" s="32"/>
      <c r="C1985" s="32"/>
      <c r="D1985" s="32"/>
      <c r="E1985" s="32"/>
    </row>
    <row r="1986" spans="1:5" ht="15.75" thickBot="1">
      <c r="A1986" s="32"/>
      <c r="B1986" s="32"/>
      <c r="C1986" s="32"/>
      <c r="D1986" s="32"/>
      <c r="E1986" s="32"/>
    </row>
    <row r="1987" spans="1:5" ht="15.75" thickBot="1">
      <c r="A1987" s="32"/>
      <c r="B1987" s="32"/>
      <c r="C1987" s="32"/>
      <c r="D1987" s="32"/>
      <c r="E1987" s="32"/>
    </row>
    <row r="1988" spans="1:5" ht="15.75" thickBot="1">
      <c r="A1988" s="32"/>
      <c r="B1988" s="32"/>
      <c r="C1988" s="32"/>
      <c r="D1988" s="32"/>
      <c r="E1988" s="32"/>
    </row>
    <row r="1989" spans="1:5" ht="15.75" thickBot="1">
      <c r="A1989" s="32"/>
      <c r="B1989" s="32"/>
      <c r="C1989" s="32"/>
      <c r="D1989" s="32"/>
      <c r="E1989" s="32"/>
    </row>
    <row r="1990" spans="1:5" ht="15.75" thickBot="1">
      <c r="A1990" s="32"/>
      <c r="B1990" s="32"/>
      <c r="C1990" s="32"/>
      <c r="D1990" s="32"/>
      <c r="E1990" s="32"/>
    </row>
    <row r="1991" spans="1:5" ht="15.75" thickBot="1">
      <c r="A1991" s="32"/>
      <c r="B1991" s="32"/>
      <c r="C1991" s="32"/>
      <c r="D1991" s="32"/>
      <c r="E1991" s="32"/>
    </row>
    <row r="1992" spans="1:5" ht="15.75" thickBot="1">
      <c r="A1992" s="32"/>
      <c r="B1992" s="32"/>
      <c r="C1992" s="32"/>
      <c r="D1992" s="32"/>
      <c r="E1992" s="32"/>
    </row>
    <row r="1993" spans="1:5" ht="15.75" thickBot="1">
      <c r="A1993" s="32"/>
      <c r="B1993" s="32"/>
      <c r="C1993" s="32"/>
      <c r="D1993" s="32"/>
      <c r="E1993" s="32"/>
    </row>
    <row r="1994" spans="1:5" ht="15.75" thickBot="1">
      <c r="A1994" s="32"/>
      <c r="B1994" s="32"/>
      <c r="C1994" s="32"/>
      <c r="D1994" s="32"/>
      <c r="E1994" s="32"/>
    </row>
    <row r="1995" spans="1:5" ht="15.75" thickBot="1">
      <c r="A1995" s="32"/>
      <c r="B1995" s="32"/>
      <c r="C1995" s="32"/>
      <c r="D1995" s="32"/>
      <c r="E1995" s="32"/>
    </row>
    <row r="1996" spans="1:5" ht="15.75" thickBot="1">
      <c r="A1996" s="32"/>
      <c r="B1996" s="32"/>
      <c r="C1996" s="32"/>
      <c r="D1996" s="32"/>
      <c r="E1996" s="32"/>
    </row>
    <row r="1997" spans="1:5" ht="15.75" thickBot="1">
      <c r="A1997" s="32"/>
      <c r="B1997" s="32"/>
      <c r="C1997" s="32"/>
      <c r="D1997" s="32"/>
      <c r="E1997" s="32"/>
    </row>
    <row r="1998" spans="1:5" ht="15.75" thickBot="1">
      <c r="A1998" s="32"/>
      <c r="B1998" s="32"/>
      <c r="C1998" s="32"/>
      <c r="D1998" s="32"/>
      <c r="E1998" s="32"/>
    </row>
    <row r="1999" spans="1:5" ht="15.75" thickBot="1">
      <c r="A1999" s="32"/>
      <c r="B1999" s="32"/>
      <c r="C1999" s="32"/>
      <c r="D1999" s="32"/>
      <c r="E1999" s="32"/>
    </row>
    <row r="2000" spans="1:5" ht="15.75" thickBot="1">
      <c r="A2000" s="32"/>
      <c r="B2000" s="32"/>
      <c r="C2000" s="32"/>
      <c r="D2000" s="32"/>
      <c r="E2000" s="32"/>
    </row>
    <row r="2001" spans="1:5" ht="15.75" thickBot="1">
      <c r="A2001" s="32"/>
      <c r="B2001" s="32"/>
      <c r="C2001" s="32"/>
      <c r="D2001" s="32"/>
      <c r="E2001" s="32"/>
    </row>
    <row r="2002" spans="1:5" ht="15.75" thickBot="1">
      <c r="A2002" s="32"/>
      <c r="B2002" s="32"/>
      <c r="C2002" s="32"/>
      <c r="D2002" s="32"/>
      <c r="E2002" s="32"/>
    </row>
    <row r="2003" spans="1:5" ht="15.75" thickBot="1">
      <c r="A2003" s="32"/>
      <c r="B2003" s="32"/>
      <c r="C2003" s="32"/>
      <c r="D2003" s="32"/>
      <c r="E2003" s="32"/>
    </row>
    <row r="2004" spans="1:5" ht="15.75" thickBot="1">
      <c r="A2004" s="32"/>
      <c r="B2004" s="32"/>
      <c r="C2004" s="32"/>
      <c r="D2004" s="32"/>
      <c r="E2004" s="32"/>
    </row>
    <row r="2005" spans="1:5" ht="15.75" thickBot="1">
      <c r="A2005" s="32"/>
      <c r="B2005" s="32"/>
      <c r="C2005" s="32"/>
      <c r="D2005" s="32"/>
      <c r="E2005" s="32"/>
    </row>
    <row r="2006" spans="1:5" ht="15.75" thickBot="1">
      <c r="A2006" s="32"/>
      <c r="B2006" s="32"/>
      <c r="C2006" s="32"/>
      <c r="D2006" s="32"/>
      <c r="E2006" s="32"/>
    </row>
    <row r="2007" spans="1:5" ht="15.75" thickBot="1">
      <c r="A2007" s="32"/>
      <c r="B2007" s="32"/>
      <c r="C2007" s="32"/>
      <c r="D2007" s="32"/>
      <c r="E2007" s="32"/>
    </row>
    <row r="2008" spans="1:5" ht="15.75" thickBot="1">
      <c r="A2008" s="32"/>
      <c r="B2008" s="32"/>
      <c r="C2008" s="32"/>
      <c r="D2008" s="32"/>
      <c r="E2008" s="32"/>
    </row>
    <row r="2009" spans="1:5" ht="15.75" thickBot="1">
      <c r="A2009" s="32"/>
      <c r="B2009" s="32"/>
      <c r="C2009" s="32"/>
      <c r="D2009" s="32"/>
      <c r="E2009" s="32"/>
    </row>
    <row r="2010" spans="1:5" ht="15.75" thickBot="1">
      <c r="A2010" s="32"/>
      <c r="B2010" s="32"/>
      <c r="C2010" s="32"/>
      <c r="D2010" s="32"/>
      <c r="E2010" s="32"/>
    </row>
    <row r="2011" spans="1:5" ht="15.75" thickBot="1">
      <c r="A2011" s="32"/>
      <c r="B2011" s="32"/>
      <c r="C2011" s="32"/>
      <c r="D2011" s="32"/>
      <c r="E2011" s="32"/>
    </row>
    <row r="2012" spans="1:5" ht="15.75" thickBot="1">
      <c r="A2012" s="32"/>
      <c r="B2012" s="32"/>
      <c r="C2012" s="32"/>
      <c r="D2012" s="32"/>
      <c r="E2012" s="32"/>
    </row>
    <row r="2013" spans="1:5" ht="15.75" thickBot="1">
      <c r="A2013" s="32"/>
      <c r="B2013" s="32"/>
      <c r="C2013" s="32"/>
      <c r="D2013" s="32"/>
      <c r="E2013" s="32"/>
    </row>
    <row r="2014" spans="1:5" ht="15.75" thickBot="1">
      <c r="A2014" s="32"/>
      <c r="B2014" s="32"/>
      <c r="C2014" s="32"/>
      <c r="D2014" s="32"/>
      <c r="E2014" s="32"/>
    </row>
    <row r="2015" spans="1:5" ht="15.75" thickBot="1">
      <c r="A2015" s="32"/>
      <c r="B2015" s="32"/>
      <c r="C2015" s="32"/>
      <c r="D2015" s="32"/>
      <c r="E2015" s="32"/>
    </row>
    <row r="2016" spans="1:5" ht="15.75" thickBot="1">
      <c r="A2016" s="32"/>
      <c r="B2016" s="32"/>
      <c r="C2016" s="32"/>
      <c r="D2016" s="32"/>
      <c r="E2016" s="32"/>
    </row>
    <row r="2017" spans="1:5" ht="15.75" thickBot="1">
      <c r="A2017" s="32"/>
      <c r="B2017" s="32"/>
      <c r="C2017" s="32"/>
      <c r="D2017" s="32"/>
      <c r="E2017" s="32"/>
    </row>
    <row r="2018" spans="1:5" ht="15.75" thickBot="1">
      <c r="A2018" s="32"/>
      <c r="B2018" s="32"/>
      <c r="C2018" s="32"/>
      <c r="D2018" s="32"/>
      <c r="E2018" s="32"/>
    </row>
    <row r="2019" spans="1:5" ht="15.75" thickBot="1">
      <c r="A2019" s="32"/>
      <c r="B2019" s="32"/>
      <c r="C2019" s="32"/>
      <c r="D2019" s="32"/>
      <c r="E2019" s="32"/>
    </row>
    <row r="2020" spans="1:5" ht="15.75" thickBot="1">
      <c r="A2020" s="32"/>
      <c r="B2020" s="32"/>
      <c r="C2020" s="32"/>
      <c r="D2020" s="32"/>
      <c r="E2020" s="32"/>
    </row>
    <row r="2021" spans="1:5" ht="15.75" thickBot="1">
      <c r="A2021" s="32"/>
      <c r="B2021" s="32"/>
      <c r="C2021" s="32"/>
      <c r="D2021" s="32"/>
      <c r="E2021" s="32"/>
    </row>
    <row r="2022" spans="1:5" ht="15.75" thickBot="1">
      <c r="A2022" s="32"/>
      <c r="B2022" s="32"/>
      <c r="C2022" s="32"/>
      <c r="D2022" s="32"/>
      <c r="E2022" s="32"/>
    </row>
    <row r="2023" spans="1:5" ht="15.75" thickBot="1">
      <c r="A2023" s="32"/>
      <c r="B2023" s="32"/>
      <c r="C2023" s="32"/>
      <c r="D2023" s="32"/>
      <c r="E2023" s="32"/>
    </row>
    <row r="2024" spans="1:5" ht="15.75" thickBot="1">
      <c r="A2024" s="32"/>
      <c r="B2024" s="32"/>
      <c r="C2024" s="32"/>
      <c r="D2024" s="32"/>
      <c r="E2024" s="32"/>
    </row>
    <row r="2025" spans="1:5" ht="15.75" thickBot="1">
      <c r="A2025" s="32"/>
      <c r="B2025" s="32"/>
      <c r="C2025" s="32"/>
      <c r="D2025" s="32"/>
      <c r="E2025" s="32"/>
    </row>
    <row r="2026" spans="1:5" ht="15.75" thickBot="1">
      <c r="A2026" s="32"/>
      <c r="B2026" s="32"/>
      <c r="C2026" s="32"/>
      <c r="D2026" s="32"/>
      <c r="E2026" s="32"/>
    </row>
    <row r="2027" spans="1:5" ht="15.75" thickBot="1">
      <c r="A2027" s="32"/>
      <c r="B2027" s="32"/>
      <c r="C2027" s="32"/>
      <c r="D2027" s="32"/>
      <c r="E2027" s="32"/>
    </row>
    <row r="2028" spans="1:5" ht="15.75" thickBot="1">
      <c r="A2028" s="32"/>
      <c r="B2028" s="32"/>
      <c r="C2028" s="32"/>
      <c r="D2028" s="32"/>
      <c r="E2028" s="32"/>
    </row>
    <row r="2029" spans="1:5" ht="15.75" thickBot="1">
      <c r="A2029" s="32"/>
      <c r="B2029" s="32"/>
      <c r="C2029" s="32"/>
      <c r="D2029" s="32"/>
      <c r="E2029" s="32"/>
    </row>
    <row r="2030" spans="1:5" ht="15.75" thickBot="1">
      <c r="A2030" s="32"/>
      <c r="B2030" s="32"/>
      <c r="C2030" s="32"/>
      <c r="D2030" s="32"/>
      <c r="E2030" s="32"/>
    </row>
    <row r="2031" spans="1:5" ht="15.75" thickBot="1">
      <c r="A2031" s="32"/>
      <c r="B2031" s="32"/>
      <c r="C2031" s="32"/>
      <c r="D2031" s="32"/>
      <c r="E2031" s="32"/>
    </row>
    <row r="2032" spans="1:5" ht="15.75" thickBot="1">
      <c r="A2032" s="32"/>
      <c r="B2032" s="32"/>
      <c r="C2032" s="32"/>
      <c r="D2032" s="32"/>
      <c r="E2032" s="32"/>
    </row>
    <row r="2033" spans="1:5" ht="15.75" thickBot="1">
      <c r="A2033" s="32"/>
      <c r="B2033" s="32"/>
      <c r="C2033" s="32"/>
      <c r="D2033" s="32"/>
      <c r="E2033" s="32"/>
    </row>
    <row r="2034" spans="1:5" ht="15.75" thickBot="1">
      <c r="A2034" s="32"/>
      <c r="B2034" s="32"/>
      <c r="C2034" s="32"/>
      <c r="D2034" s="32"/>
      <c r="E2034" s="32"/>
    </row>
    <row r="2035" spans="1:5" ht="15.75" thickBot="1">
      <c r="A2035" s="32"/>
      <c r="B2035" s="32"/>
      <c r="C2035" s="32"/>
      <c r="D2035" s="32"/>
      <c r="E2035" s="32"/>
    </row>
    <row r="2036" spans="1:5" ht="15.75" thickBot="1">
      <c r="A2036" s="32"/>
      <c r="B2036" s="32"/>
      <c r="C2036" s="32"/>
      <c r="D2036" s="32"/>
      <c r="E2036" s="32"/>
    </row>
    <row r="2037" spans="1:5" ht="15.75" thickBot="1">
      <c r="A2037" s="32"/>
      <c r="B2037" s="32"/>
      <c r="C2037" s="32"/>
      <c r="D2037" s="32"/>
      <c r="E2037" s="32"/>
    </row>
    <row r="2038" spans="1:5" ht="15.75" thickBot="1">
      <c r="A2038" s="32"/>
      <c r="B2038" s="32"/>
      <c r="C2038" s="32"/>
      <c r="D2038" s="32"/>
      <c r="E2038" s="32"/>
    </row>
    <row r="2039" spans="1:5" ht="15.75" thickBot="1">
      <c r="A2039" s="32"/>
      <c r="B2039" s="32"/>
      <c r="C2039" s="32"/>
      <c r="D2039" s="32"/>
      <c r="E2039" s="32"/>
    </row>
    <row r="2040" spans="1:5" ht="15.75" thickBot="1">
      <c r="A2040" s="32"/>
      <c r="B2040" s="32"/>
      <c r="C2040" s="32"/>
      <c r="D2040" s="32"/>
      <c r="E2040" s="32"/>
    </row>
    <row r="2041" spans="1:5" ht="15.75" thickBot="1">
      <c r="A2041" s="32"/>
      <c r="B2041" s="32"/>
      <c r="C2041" s="32"/>
      <c r="D2041" s="32"/>
      <c r="E2041" s="32"/>
    </row>
    <row r="2042" spans="1:5" ht="15.75" thickBot="1">
      <c r="A2042" s="32"/>
      <c r="B2042" s="32"/>
      <c r="C2042" s="32"/>
      <c r="D2042" s="32"/>
      <c r="E2042" s="32"/>
    </row>
    <row r="2043" spans="1:5" ht="15.75" thickBot="1">
      <c r="A2043" s="32"/>
      <c r="B2043" s="32"/>
      <c r="C2043" s="32"/>
      <c r="D2043" s="32"/>
      <c r="E2043" s="32"/>
    </row>
    <row r="2044" spans="1:5" ht="15.75" thickBot="1">
      <c r="A2044" s="32"/>
      <c r="B2044" s="32"/>
      <c r="C2044" s="32"/>
      <c r="D2044" s="32"/>
      <c r="E2044" s="32"/>
    </row>
    <row r="2045" spans="1:5" ht="15.75" thickBot="1">
      <c r="A2045" s="32"/>
      <c r="B2045" s="32"/>
      <c r="C2045" s="32"/>
      <c r="D2045" s="32"/>
      <c r="E2045" s="32"/>
    </row>
    <row r="2046" spans="1:5" ht="15.75" thickBot="1">
      <c r="A2046" s="32"/>
      <c r="B2046" s="32"/>
      <c r="C2046" s="32"/>
      <c r="D2046" s="32"/>
      <c r="E2046" s="32"/>
    </row>
    <row r="2047" spans="1:5" ht="15.75" thickBot="1">
      <c r="A2047" s="32"/>
      <c r="B2047" s="32"/>
      <c r="C2047" s="32"/>
      <c r="D2047" s="32"/>
      <c r="E2047" s="32"/>
    </row>
    <row r="2048" spans="1:5" ht="15.75" thickBot="1">
      <c r="A2048" s="32"/>
      <c r="B2048" s="32"/>
      <c r="C2048" s="32"/>
      <c r="D2048" s="32"/>
      <c r="E2048" s="32"/>
    </row>
    <row r="2049" spans="1:5" ht="15.75" thickBot="1">
      <c r="A2049" s="32"/>
      <c r="B2049" s="32"/>
      <c r="C2049" s="32"/>
      <c r="D2049" s="32"/>
      <c r="E2049" s="32"/>
    </row>
    <row r="2050" spans="1:5" ht="15.75" thickBot="1">
      <c r="A2050" s="32"/>
      <c r="B2050" s="32"/>
      <c r="C2050" s="32"/>
      <c r="D2050" s="32"/>
      <c r="E2050" s="32"/>
    </row>
    <row r="2051" spans="1:5" ht="15.75" thickBot="1">
      <c r="A2051" s="32"/>
      <c r="B2051" s="32"/>
      <c r="C2051" s="32"/>
      <c r="D2051" s="32"/>
      <c r="E2051" s="32"/>
    </row>
    <row r="2052" spans="1:5" ht="15.75" thickBot="1">
      <c r="A2052" s="32"/>
      <c r="B2052" s="32"/>
      <c r="C2052" s="32"/>
      <c r="D2052" s="32"/>
      <c r="E2052" s="32"/>
    </row>
    <row r="2053" spans="1:5" ht="15.75" thickBot="1">
      <c r="A2053" s="32"/>
      <c r="B2053" s="32"/>
      <c r="C2053" s="32"/>
      <c r="D2053" s="32"/>
      <c r="E2053" s="32"/>
    </row>
    <row r="2054" spans="1:5" ht="15.75" thickBot="1">
      <c r="A2054" s="32"/>
      <c r="B2054" s="32"/>
      <c r="C2054" s="32"/>
      <c r="D2054" s="32"/>
      <c r="E2054" s="32"/>
    </row>
    <row r="2055" spans="1:5" ht="15.75" thickBot="1">
      <c r="A2055" s="32"/>
      <c r="B2055" s="32"/>
      <c r="C2055" s="32"/>
      <c r="D2055" s="32"/>
      <c r="E2055" s="32"/>
    </row>
    <row r="2056" spans="1:5" ht="15.75" thickBot="1">
      <c r="A2056" s="32"/>
      <c r="B2056" s="32"/>
      <c r="C2056" s="32"/>
      <c r="D2056" s="32"/>
      <c r="E2056" s="32"/>
    </row>
    <row r="2057" spans="1:5" ht="15.75" thickBot="1">
      <c r="A2057" s="32"/>
      <c r="B2057" s="32"/>
      <c r="C2057" s="32"/>
      <c r="D2057" s="32"/>
      <c r="E2057" s="32"/>
    </row>
    <row r="2058" spans="1:5" ht="15.75" thickBot="1">
      <c r="A2058" s="32"/>
      <c r="B2058" s="32"/>
      <c r="C2058" s="32"/>
      <c r="D2058" s="32"/>
      <c r="E2058" s="32"/>
    </row>
    <row r="2059" spans="1:5" ht="15.75" thickBot="1">
      <c r="A2059" s="32"/>
      <c r="B2059" s="32"/>
      <c r="C2059" s="32"/>
      <c r="D2059" s="32"/>
      <c r="E2059" s="32"/>
    </row>
    <row r="2060" spans="1:5" ht="15.75" thickBot="1">
      <c r="A2060" s="32"/>
      <c r="B2060" s="32"/>
      <c r="C2060" s="32"/>
      <c r="D2060" s="32"/>
      <c r="E2060" s="32"/>
    </row>
    <row r="2061" spans="1:5" ht="15.75" thickBot="1">
      <c r="A2061" s="32"/>
      <c r="B2061" s="32"/>
      <c r="C2061" s="32"/>
      <c r="D2061" s="32"/>
      <c r="E2061" s="32"/>
    </row>
    <row r="2062" spans="1:5" ht="15.75" thickBot="1">
      <c r="A2062" s="32"/>
      <c r="B2062" s="32"/>
      <c r="C2062" s="32"/>
      <c r="D2062" s="32"/>
      <c r="E2062" s="32"/>
    </row>
    <row r="2063" spans="1:5" ht="15.75" thickBot="1">
      <c r="A2063" s="32"/>
      <c r="B2063" s="32"/>
      <c r="C2063" s="32"/>
      <c r="D2063" s="32"/>
      <c r="E2063" s="32"/>
    </row>
    <row r="2064" spans="1:5" ht="15.75" thickBot="1">
      <c r="A2064" s="32"/>
      <c r="B2064" s="32"/>
      <c r="C2064" s="32"/>
      <c r="D2064" s="32"/>
      <c r="E2064" s="32"/>
    </row>
    <row r="2065" spans="1:5" ht="15.75" thickBot="1">
      <c r="A2065" s="32"/>
      <c r="B2065" s="32"/>
      <c r="C2065" s="32"/>
      <c r="D2065" s="32"/>
      <c r="E2065" s="32"/>
    </row>
    <row r="2066" spans="1:5" ht="15.75" thickBot="1">
      <c r="A2066" s="32"/>
      <c r="B2066" s="32"/>
      <c r="C2066" s="32"/>
      <c r="D2066" s="32"/>
      <c r="E2066" s="32"/>
    </row>
    <row r="2067" spans="1:5" ht="15.75" thickBot="1">
      <c r="A2067" s="32"/>
      <c r="B2067" s="32"/>
      <c r="C2067" s="32"/>
      <c r="D2067" s="32"/>
      <c r="E2067" s="32"/>
    </row>
    <row r="2068" spans="1:5" ht="15.75" thickBot="1">
      <c r="A2068" s="32"/>
      <c r="B2068" s="32"/>
      <c r="C2068" s="32"/>
      <c r="D2068" s="32"/>
      <c r="E2068" s="32"/>
    </row>
    <row r="2069" spans="1:5" ht="15.75" thickBot="1">
      <c r="A2069" s="32"/>
      <c r="B2069" s="32"/>
      <c r="C2069" s="32"/>
      <c r="D2069" s="32"/>
      <c r="E2069" s="32"/>
    </row>
    <row r="2070" spans="1:5" ht="15.75" thickBot="1">
      <c r="A2070" s="32"/>
      <c r="B2070" s="32"/>
      <c r="C2070" s="32"/>
      <c r="D2070" s="32"/>
      <c r="E2070" s="32"/>
    </row>
    <row r="2071" spans="1:5" ht="15.75" thickBot="1">
      <c r="A2071" s="32"/>
      <c r="B2071" s="32"/>
      <c r="C2071" s="32"/>
      <c r="D2071" s="32"/>
      <c r="E2071" s="32"/>
    </row>
    <row r="2072" spans="1:5" ht="15.75" thickBot="1">
      <c r="A2072" s="32"/>
      <c r="B2072" s="32"/>
      <c r="C2072" s="32"/>
      <c r="D2072" s="32"/>
      <c r="E2072" s="32"/>
    </row>
    <row r="2073" spans="1:5" ht="15.75" thickBot="1">
      <c r="A2073" s="32"/>
      <c r="B2073" s="32"/>
      <c r="C2073" s="32"/>
      <c r="D2073" s="32"/>
      <c r="E2073" s="32"/>
    </row>
    <row r="2074" spans="1:5" ht="15.75" thickBot="1">
      <c r="A2074" s="32"/>
      <c r="B2074" s="32"/>
      <c r="C2074" s="32"/>
      <c r="D2074" s="32"/>
      <c r="E2074" s="32"/>
    </row>
    <row r="2075" spans="1:5" ht="15.75" thickBot="1">
      <c r="A2075" s="32"/>
      <c r="B2075" s="32"/>
      <c r="C2075" s="32"/>
      <c r="D2075" s="32"/>
      <c r="E2075" s="32"/>
    </row>
    <row r="2076" spans="1:5" ht="15.75" thickBot="1">
      <c r="A2076" s="32"/>
      <c r="B2076" s="32"/>
      <c r="C2076" s="32"/>
      <c r="D2076" s="32"/>
      <c r="E2076" s="32"/>
    </row>
    <row r="2077" spans="1:5" ht="15.75" thickBot="1">
      <c r="A2077" s="32"/>
      <c r="B2077" s="32"/>
      <c r="C2077" s="32"/>
      <c r="D2077" s="32"/>
      <c r="E2077" s="32"/>
    </row>
    <row r="2078" spans="1:5" ht="15.75" thickBot="1">
      <c r="A2078" s="32"/>
      <c r="B2078" s="32"/>
      <c r="C2078" s="32"/>
      <c r="D2078" s="32"/>
      <c r="E2078" s="32"/>
    </row>
    <row r="2079" spans="1:5" ht="15.75" thickBot="1">
      <c r="A2079" s="32"/>
      <c r="B2079" s="32"/>
      <c r="C2079" s="32"/>
      <c r="D2079" s="32"/>
      <c r="E2079" s="32"/>
    </row>
    <row r="2080" spans="1:5" ht="15.75" thickBot="1">
      <c r="A2080" s="32"/>
      <c r="B2080" s="32"/>
      <c r="C2080" s="32"/>
      <c r="D2080" s="32"/>
      <c r="E2080" s="32"/>
    </row>
    <row r="2081" spans="1:5" ht="15.75" thickBot="1">
      <c r="A2081" s="32"/>
      <c r="B2081" s="32"/>
      <c r="C2081" s="32"/>
      <c r="D2081" s="32"/>
      <c r="E2081" s="32"/>
    </row>
    <row r="2082" spans="1:5" ht="15.75" thickBot="1">
      <c r="A2082" s="32"/>
      <c r="B2082" s="32"/>
      <c r="C2082" s="32"/>
      <c r="D2082" s="32"/>
      <c r="E2082" s="32"/>
    </row>
    <row r="2083" spans="1:5" ht="15.75" thickBot="1">
      <c r="A2083" s="32"/>
      <c r="B2083" s="32"/>
      <c r="C2083" s="32"/>
      <c r="D2083" s="32"/>
      <c r="E2083" s="32"/>
    </row>
    <row r="2084" spans="1:5" ht="15.75" thickBot="1">
      <c r="A2084" s="32"/>
      <c r="B2084" s="32"/>
      <c r="C2084" s="32"/>
      <c r="D2084" s="32"/>
      <c r="E2084" s="32"/>
    </row>
    <row r="2085" spans="1:5" ht="15.75" thickBot="1">
      <c r="A2085" s="32"/>
      <c r="B2085" s="32"/>
      <c r="C2085" s="32"/>
      <c r="D2085" s="32"/>
      <c r="E2085" s="32"/>
    </row>
    <row r="2086" spans="1:5" ht="15.75" thickBot="1">
      <c r="A2086" s="32"/>
      <c r="B2086" s="32"/>
      <c r="C2086" s="32"/>
      <c r="D2086" s="32"/>
      <c r="E2086" s="32"/>
    </row>
    <row r="2087" spans="1:5" ht="15.75" thickBot="1">
      <c r="A2087" s="32"/>
      <c r="B2087" s="32"/>
      <c r="C2087" s="32"/>
      <c r="D2087" s="32"/>
      <c r="E2087" s="32"/>
    </row>
    <row r="2088" spans="1:5" ht="15.75" thickBot="1">
      <c r="A2088" s="32"/>
      <c r="B2088" s="32"/>
      <c r="C2088" s="32"/>
      <c r="D2088" s="32"/>
      <c r="E2088" s="32"/>
    </row>
    <row r="2089" spans="1:5" ht="15.75" thickBot="1">
      <c r="A2089" s="32"/>
      <c r="B2089" s="32"/>
      <c r="C2089" s="32"/>
      <c r="D2089" s="32"/>
      <c r="E2089" s="32"/>
    </row>
    <row r="2090" spans="1:5" ht="15.75" thickBot="1">
      <c r="A2090" s="32"/>
      <c r="B2090" s="32"/>
      <c r="C2090" s="32"/>
      <c r="D2090" s="32"/>
      <c r="E2090" s="32"/>
    </row>
    <row r="2091" spans="1:5" ht="15.75" thickBot="1">
      <c r="A2091" s="32"/>
      <c r="B2091" s="32"/>
      <c r="C2091" s="32"/>
      <c r="D2091" s="32"/>
      <c r="E2091" s="32"/>
    </row>
    <row r="2092" spans="1:5" ht="15.75" thickBot="1">
      <c r="A2092" s="32"/>
      <c r="B2092" s="32"/>
      <c r="C2092" s="32"/>
      <c r="D2092" s="32"/>
      <c r="E2092" s="32"/>
    </row>
    <row r="2093" spans="1:5" ht="15.75" thickBot="1">
      <c r="A2093" s="32"/>
      <c r="B2093" s="32"/>
      <c r="C2093" s="32"/>
      <c r="D2093" s="32"/>
      <c r="E2093" s="32"/>
    </row>
    <row r="2094" spans="1:5" ht="15.75" thickBot="1">
      <c r="A2094" s="32"/>
      <c r="B2094" s="32"/>
      <c r="C2094" s="32"/>
      <c r="D2094" s="32"/>
      <c r="E2094" s="32"/>
    </row>
    <row r="2095" spans="1:5" ht="15.75" thickBot="1">
      <c r="A2095" s="32"/>
      <c r="B2095" s="32"/>
      <c r="C2095" s="32"/>
      <c r="D2095" s="32"/>
      <c r="E2095" s="32"/>
    </row>
    <row r="2096" spans="1:5" ht="15.75" thickBot="1">
      <c r="A2096" s="32"/>
      <c r="B2096" s="32"/>
      <c r="C2096" s="32"/>
      <c r="D2096" s="32"/>
      <c r="E2096" s="32"/>
    </row>
    <row r="2097" spans="1:5" ht="15.75" thickBot="1">
      <c r="A2097" s="32"/>
      <c r="B2097" s="32"/>
      <c r="C2097" s="32"/>
      <c r="D2097" s="32"/>
      <c r="E2097" s="32"/>
    </row>
    <row r="2098" spans="1:5" ht="15.75" thickBot="1">
      <c r="A2098" s="32"/>
      <c r="B2098" s="32"/>
      <c r="C2098" s="32"/>
      <c r="D2098" s="32"/>
      <c r="E2098" s="32"/>
    </row>
    <row r="2099" spans="1:5" ht="15.75" thickBot="1">
      <c r="A2099" s="32"/>
      <c r="B2099" s="32"/>
      <c r="C2099" s="32"/>
      <c r="D2099" s="32"/>
      <c r="E2099" s="32"/>
    </row>
    <row r="2100" spans="1:5" ht="15.75" thickBot="1">
      <c r="A2100" s="32"/>
      <c r="B2100" s="32"/>
      <c r="C2100" s="32"/>
      <c r="D2100" s="32"/>
      <c r="E2100" s="32"/>
    </row>
    <row r="2101" spans="1:5" ht="15.75" thickBot="1">
      <c r="A2101" s="32"/>
      <c r="B2101" s="32"/>
      <c r="C2101" s="32"/>
      <c r="D2101" s="32"/>
      <c r="E2101" s="32"/>
    </row>
    <row r="2102" spans="1:5" ht="15.75" thickBot="1">
      <c r="A2102" s="32"/>
      <c r="B2102" s="32"/>
      <c r="C2102" s="32"/>
      <c r="D2102" s="32"/>
      <c r="E2102" s="32"/>
    </row>
    <row r="2103" spans="1:5" ht="15.75" thickBot="1">
      <c r="A2103" s="32"/>
      <c r="B2103" s="32"/>
      <c r="C2103" s="32"/>
      <c r="D2103" s="32"/>
      <c r="E2103" s="32"/>
    </row>
    <row r="2104" spans="1:5" ht="15.75" thickBot="1">
      <c r="A2104" s="32"/>
      <c r="B2104" s="32"/>
      <c r="C2104" s="32"/>
      <c r="D2104" s="32"/>
      <c r="E2104" s="32"/>
    </row>
    <row r="2105" spans="1:5" ht="15.75" thickBot="1">
      <c r="A2105" s="32"/>
      <c r="B2105" s="32"/>
      <c r="C2105" s="32"/>
      <c r="D2105" s="32"/>
      <c r="E2105" s="32"/>
    </row>
    <row r="2106" spans="1:5" ht="15.75" thickBot="1">
      <c r="A2106" s="32"/>
      <c r="B2106" s="32"/>
      <c r="C2106" s="32"/>
      <c r="D2106" s="32"/>
      <c r="E2106" s="32"/>
    </row>
    <row r="2107" spans="1:5" ht="15.75" thickBot="1">
      <c r="A2107" s="32"/>
      <c r="B2107" s="32"/>
      <c r="C2107" s="32"/>
      <c r="D2107" s="32"/>
      <c r="E2107" s="32"/>
    </row>
    <row r="2108" spans="1:5" ht="15.75" thickBot="1">
      <c r="A2108" s="32"/>
      <c r="B2108" s="32"/>
      <c r="C2108" s="32"/>
      <c r="D2108" s="32"/>
      <c r="E2108" s="32"/>
    </row>
    <row r="2109" spans="1:5" ht="15.75" thickBot="1">
      <c r="A2109" s="32"/>
      <c r="B2109" s="32"/>
      <c r="C2109" s="32"/>
      <c r="D2109" s="32"/>
      <c r="E2109" s="32"/>
    </row>
    <row r="2110" spans="1:5" ht="15.75" thickBot="1">
      <c r="A2110" s="32"/>
      <c r="B2110" s="32"/>
      <c r="C2110" s="32"/>
      <c r="D2110" s="32"/>
      <c r="E2110" s="32"/>
    </row>
    <row r="2111" spans="1:5" ht="15.75" thickBot="1">
      <c r="A2111" s="32"/>
      <c r="B2111" s="32"/>
      <c r="C2111" s="32"/>
      <c r="D2111" s="32"/>
      <c r="E2111" s="32"/>
    </row>
    <row r="2112" spans="1:5" ht="15.75" thickBot="1">
      <c r="A2112" s="32"/>
      <c r="B2112" s="32"/>
      <c r="C2112" s="32"/>
      <c r="D2112" s="32"/>
      <c r="E2112" s="32"/>
    </row>
    <row r="2113" spans="1:5" ht="15.75" thickBot="1">
      <c r="A2113" s="32"/>
      <c r="B2113" s="32"/>
      <c r="C2113" s="32"/>
      <c r="D2113" s="32"/>
      <c r="E2113" s="32"/>
    </row>
    <row r="2114" spans="1:5" ht="15.75" thickBot="1">
      <c r="A2114" s="32"/>
      <c r="B2114" s="32"/>
      <c r="C2114" s="32"/>
      <c r="D2114" s="32"/>
      <c r="E2114" s="32"/>
    </row>
    <row r="2115" spans="1:5" ht="15.75" thickBot="1">
      <c r="A2115" s="32"/>
      <c r="B2115" s="32"/>
      <c r="C2115" s="32"/>
      <c r="D2115" s="32"/>
      <c r="E2115" s="32"/>
    </row>
    <row r="2116" spans="1:5" ht="15.75" thickBot="1">
      <c r="A2116" s="32"/>
      <c r="B2116" s="32"/>
      <c r="C2116" s="32"/>
      <c r="D2116" s="32"/>
      <c r="E2116" s="32"/>
    </row>
    <row r="2117" spans="1:5" ht="15.75" thickBot="1">
      <c r="A2117" s="32"/>
      <c r="B2117" s="32"/>
      <c r="C2117" s="32"/>
      <c r="D2117" s="32"/>
      <c r="E2117" s="32"/>
    </row>
    <row r="2118" spans="1:5" ht="15.75" thickBot="1">
      <c r="A2118" s="32"/>
      <c r="B2118" s="32"/>
      <c r="C2118" s="32"/>
      <c r="D2118" s="32"/>
      <c r="E2118" s="32"/>
    </row>
    <row r="2119" spans="1:5" ht="15.75" thickBot="1">
      <c r="A2119" s="32"/>
      <c r="B2119" s="32"/>
      <c r="C2119" s="32"/>
      <c r="D2119" s="32"/>
      <c r="E2119" s="32"/>
    </row>
    <row r="2120" spans="1:5" ht="15.75" thickBot="1">
      <c r="A2120" s="32"/>
      <c r="B2120" s="32"/>
      <c r="C2120" s="32"/>
      <c r="D2120" s="32"/>
      <c r="E2120" s="32"/>
    </row>
    <row r="2121" spans="1:5" ht="15.75" thickBot="1">
      <c r="A2121" s="32"/>
      <c r="B2121" s="32"/>
      <c r="C2121" s="32"/>
      <c r="D2121" s="32"/>
      <c r="E2121" s="32"/>
    </row>
    <row r="2122" spans="1:5" ht="15.75" thickBot="1">
      <c r="A2122" s="32"/>
      <c r="B2122" s="32"/>
      <c r="C2122" s="32"/>
      <c r="D2122" s="32"/>
      <c r="E2122" s="32"/>
    </row>
    <row r="2123" spans="1:5" ht="15.75" thickBot="1">
      <c r="A2123" s="32"/>
      <c r="B2123" s="32"/>
      <c r="C2123" s="32"/>
      <c r="D2123" s="32"/>
      <c r="E2123" s="32"/>
    </row>
    <row r="2124" spans="1:5" ht="15.75" thickBot="1">
      <c r="A2124" s="32"/>
      <c r="B2124" s="32"/>
      <c r="C2124" s="32"/>
      <c r="D2124" s="32"/>
      <c r="E2124" s="32"/>
    </row>
    <row r="2125" spans="1:5" ht="15.75" thickBot="1">
      <c r="A2125" s="32"/>
      <c r="B2125" s="32"/>
      <c r="C2125" s="32"/>
      <c r="D2125" s="32"/>
      <c r="E2125" s="32"/>
    </row>
    <row r="2126" spans="1:5" ht="15.75" thickBot="1">
      <c r="A2126" s="32"/>
      <c r="B2126" s="32"/>
      <c r="C2126" s="32"/>
      <c r="D2126" s="32"/>
      <c r="E2126" s="32"/>
    </row>
    <row r="2127" spans="1:5" ht="15.75" thickBot="1">
      <c r="A2127" s="32"/>
      <c r="B2127" s="32"/>
      <c r="C2127" s="32"/>
      <c r="D2127" s="32"/>
      <c r="E2127" s="32"/>
    </row>
    <row r="2128" spans="1:5" ht="15.75" thickBot="1">
      <c r="A2128" s="32"/>
      <c r="B2128" s="32"/>
      <c r="C2128" s="32"/>
      <c r="D2128" s="32"/>
      <c r="E2128" s="32"/>
    </row>
    <row r="2129" spans="1:5" ht="15.75" thickBot="1">
      <c r="A2129" s="32"/>
      <c r="B2129" s="32"/>
      <c r="C2129" s="32"/>
      <c r="D2129" s="32"/>
      <c r="E2129" s="32"/>
    </row>
    <row r="2130" spans="1:5" ht="15.75" thickBot="1">
      <c r="A2130" s="32"/>
      <c r="B2130" s="32"/>
      <c r="C2130" s="32"/>
      <c r="D2130" s="32"/>
      <c r="E2130" s="32"/>
    </row>
    <row r="2131" spans="1:5" ht="15.75" thickBot="1">
      <c r="A2131" s="32"/>
      <c r="B2131" s="32"/>
      <c r="C2131" s="32"/>
      <c r="D2131" s="32"/>
      <c r="E2131" s="32"/>
    </row>
    <row r="2132" spans="1:5" ht="15.75" thickBot="1">
      <c r="A2132" s="32"/>
      <c r="B2132" s="32"/>
      <c r="C2132" s="32"/>
      <c r="D2132" s="32"/>
      <c r="E2132" s="32"/>
    </row>
    <row r="2133" spans="1:5" ht="15.75" thickBot="1">
      <c r="A2133" s="32"/>
      <c r="B2133" s="32"/>
      <c r="C2133" s="32"/>
      <c r="D2133" s="32"/>
      <c r="E2133" s="32"/>
    </row>
    <row r="2134" spans="1:5" ht="15.75" thickBot="1">
      <c r="A2134" s="32"/>
      <c r="B2134" s="32"/>
      <c r="C2134" s="32"/>
      <c r="D2134" s="32"/>
      <c r="E2134" s="32"/>
    </row>
    <row r="2135" spans="1:5" ht="15.75" thickBot="1">
      <c r="A2135" s="32"/>
      <c r="B2135" s="32"/>
      <c r="C2135" s="32"/>
      <c r="D2135" s="32"/>
      <c r="E2135" s="32"/>
    </row>
    <row r="2136" spans="1:5" ht="15.75" thickBot="1">
      <c r="A2136" s="32"/>
      <c r="B2136" s="32"/>
      <c r="C2136" s="32"/>
      <c r="D2136" s="32"/>
      <c r="E2136" s="32"/>
    </row>
    <row r="2137" spans="1:5" ht="15.75" thickBot="1">
      <c r="A2137" s="32"/>
      <c r="B2137" s="32"/>
      <c r="C2137" s="32"/>
      <c r="D2137" s="32"/>
      <c r="E2137" s="32"/>
    </row>
    <row r="2138" spans="1:5" ht="15.75" thickBot="1">
      <c r="A2138" s="32"/>
      <c r="B2138" s="32"/>
      <c r="C2138" s="32"/>
      <c r="D2138" s="32"/>
      <c r="E2138" s="32"/>
    </row>
    <row r="2139" spans="1:5" ht="15.75" thickBot="1">
      <c r="A2139" s="32"/>
      <c r="B2139" s="32"/>
      <c r="C2139" s="32"/>
      <c r="D2139" s="32"/>
      <c r="E2139" s="32"/>
    </row>
    <row r="2140" spans="1:5" ht="15.75" thickBot="1">
      <c r="A2140" s="32"/>
      <c r="B2140" s="32"/>
      <c r="C2140" s="32"/>
      <c r="D2140" s="32"/>
      <c r="E2140" s="32"/>
    </row>
    <row r="2141" spans="1:5" ht="15.75" thickBot="1">
      <c r="A2141" s="32"/>
      <c r="B2141" s="32"/>
      <c r="C2141" s="32"/>
      <c r="D2141" s="32"/>
      <c r="E2141" s="32"/>
    </row>
    <row r="2142" spans="1:5" ht="15.75" thickBot="1">
      <c r="A2142" s="32"/>
      <c r="B2142" s="32"/>
      <c r="C2142" s="32"/>
      <c r="D2142" s="32"/>
      <c r="E2142" s="32"/>
    </row>
    <row r="2143" spans="1:5" ht="15.75" thickBot="1">
      <c r="A2143" s="32"/>
      <c r="B2143" s="32"/>
      <c r="C2143" s="32"/>
      <c r="D2143" s="32"/>
      <c r="E2143" s="32"/>
    </row>
    <row r="2144" spans="1:5" ht="15.75" thickBot="1">
      <c r="A2144" s="32"/>
      <c r="B2144" s="32"/>
      <c r="C2144" s="32"/>
      <c r="D2144" s="32"/>
      <c r="E2144" s="32"/>
    </row>
    <row r="2145" spans="1:5" ht="15.75" thickBot="1">
      <c r="A2145" s="32"/>
      <c r="B2145" s="32"/>
      <c r="C2145" s="32"/>
      <c r="D2145" s="32"/>
      <c r="E2145" s="32"/>
    </row>
    <row r="2146" spans="1:5" ht="15.75" thickBot="1">
      <c r="A2146" s="32"/>
      <c r="B2146" s="32"/>
      <c r="C2146" s="32"/>
      <c r="D2146" s="32"/>
      <c r="E2146" s="32"/>
    </row>
    <row r="2147" spans="1:5" ht="15.75" thickBot="1">
      <c r="A2147" s="32"/>
      <c r="B2147" s="32"/>
      <c r="C2147" s="32"/>
      <c r="D2147" s="32"/>
      <c r="E2147" s="32"/>
    </row>
    <row r="2148" spans="1:5" ht="15.75" thickBot="1">
      <c r="A2148" s="32"/>
      <c r="B2148" s="32"/>
      <c r="C2148" s="32"/>
      <c r="D2148" s="32"/>
      <c r="E2148" s="32"/>
    </row>
    <row r="2149" spans="1:5" ht="15.75" thickBot="1">
      <c r="A2149" s="32"/>
      <c r="B2149" s="32"/>
      <c r="C2149" s="32"/>
      <c r="D2149" s="32"/>
      <c r="E2149" s="32"/>
    </row>
    <row r="2150" spans="1:5" ht="15.75" thickBot="1">
      <c r="A2150" s="32"/>
      <c r="B2150" s="32"/>
      <c r="C2150" s="32"/>
      <c r="D2150" s="32"/>
      <c r="E2150" s="32"/>
    </row>
    <row r="2151" spans="1:5" ht="15.75" thickBot="1">
      <c r="A2151" s="32"/>
      <c r="B2151" s="32"/>
      <c r="C2151" s="32"/>
      <c r="D2151" s="32"/>
      <c r="E2151" s="32"/>
    </row>
    <row r="2152" spans="1:5" ht="15.75" thickBot="1">
      <c r="A2152" s="32"/>
      <c r="B2152" s="32"/>
      <c r="C2152" s="32"/>
      <c r="D2152" s="32"/>
      <c r="E2152" s="32"/>
    </row>
    <row r="2153" spans="1:5" ht="15.75" thickBot="1">
      <c r="A2153" s="32"/>
      <c r="B2153" s="32"/>
      <c r="C2153" s="32"/>
      <c r="D2153" s="32"/>
      <c r="E2153" s="32"/>
    </row>
    <row r="2154" spans="1:5" ht="15.75" thickBot="1">
      <c r="A2154" s="32"/>
      <c r="B2154" s="32"/>
      <c r="C2154" s="32"/>
      <c r="D2154" s="32"/>
      <c r="E2154" s="32"/>
    </row>
    <row r="2155" spans="1:5" ht="15.75" thickBot="1">
      <c r="A2155" s="32"/>
      <c r="B2155" s="32"/>
      <c r="C2155" s="32"/>
      <c r="D2155" s="32"/>
      <c r="E2155" s="32"/>
    </row>
    <row r="2156" spans="1:5" ht="15.75" thickBot="1">
      <c r="A2156" s="32"/>
      <c r="B2156" s="32"/>
      <c r="C2156" s="32"/>
      <c r="D2156" s="32"/>
      <c r="E2156" s="32"/>
    </row>
    <row r="2157" spans="1:5" ht="15.75" thickBot="1">
      <c r="A2157" s="32"/>
      <c r="B2157" s="32"/>
      <c r="C2157" s="32"/>
      <c r="D2157" s="32"/>
      <c r="E2157" s="32"/>
    </row>
    <row r="2158" spans="1:5" ht="15.75" thickBot="1">
      <c r="A2158" s="32"/>
      <c r="B2158" s="32"/>
      <c r="C2158" s="32"/>
      <c r="D2158" s="32"/>
      <c r="E2158" s="32"/>
    </row>
    <row r="2159" spans="1:5" ht="15.75" thickBot="1">
      <c r="A2159" s="32"/>
      <c r="B2159" s="32"/>
      <c r="C2159" s="32"/>
      <c r="D2159" s="32"/>
      <c r="E2159" s="32"/>
    </row>
    <row r="2160" spans="1:5" ht="15.75" thickBot="1">
      <c r="A2160" s="32"/>
      <c r="B2160" s="32"/>
      <c r="C2160" s="32"/>
      <c r="D2160" s="32"/>
      <c r="E2160" s="32"/>
    </row>
    <row r="2161" spans="1:5" ht="15.75" thickBot="1">
      <c r="A2161" s="32"/>
      <c r="B2161" s="32"/>
      <c r="C2161" s="32"/>
      <c r="D2161" s="32"/>
      <c r="E2161" s="32"/>
    </row>
    <row r="2162" spans="1:5" ht="15.75" thickBot="1">
      <c r="A2162" s="32"/>
      <c r="B2162" s="32"/>
      <c r="C2162" s="32"/>
      <c r="D2162" s="32"/>
      <c r="E2162" s="32"/>
    </row>
    <row r="2163" spans="1:5" ht="15.75" thickBot="1">
      <c r="A2163" s="32"/>
      <c r="B2163" s="32"/>
      <c r="C2163" s="32"/>
      <c r="D2163" s="32"/>
      <c r="E2163" s="32"/>
    </row>
    <row r="2164" spans="1:5" ht="15.75" thickBot="1">
      <c r="A2164" s="32"/>
      <c r="B2164" s="32"/>
      <c r="C2164" s="32"/>
      <c r="D2164" s="32"/>
      <c r="E2164" s="32"/>
    </row>
    <row r="2165" spans="1:5" ht="15.75" thickBot="1">
      <c r="A2165" s="32"/>
      <c r="B2165" s="32"/>
      <c r="C2165" s="32"/>
      <c r="D2165" s="32"/>
      <c r="E2165" s="32"/>
    </row>
    <row r="2166" spans="1:5" ht="15.75" thickBot="1">
      <c r="A2166" s="32"/>
      <c r="B2166" s="32"/>
      <c r="C2166" s="32"/>
      <c r="D2166" s="32"/>
      <c r="E2166" s="32"/>
    </row>
    <row r="2167" spans="1:5" ht="15.75" thickBot="1">
      <c r="A2167" s="32"/>
      <c r="B2167" s="32"/>
      <c r="C2167" s="32"/>
      <c r="D2167" s="32"/>
      <c r="E2167" s="32"/>
    </row>
    <row r="2168" spans="1:5" ht="15.75" thickBot="1">
      <c r="A2168" s="32"/>
      <c r="B2168" s="32"/>
      <c r="C2168" s="32"/>
      <c r="D2168" s="32"/>
      <c r="E2168" s="32"/>
    </row>
    <row r="2169" spans="1:5" ht="15.75" thickBot="1">
      <c r="A2169" s="32"/>
      <c r="B2169" s="32"/>
      <c r="C2169" s="32"/>
      <c r="D2169" s="32"/>
      <c r="E2169" s="32"/>
    </row>
    <row r="2170" spans="1:5" ht="15.75" thickBot="1">
      <c r="A2170" s="32"/>
      <c r="B2170" s="32"/>
      <c r="C2170" s="32"/>
      <c r="D2170" s="32"/>
      <c r="E2170" s="32"/>
    </row>
    <row r="2171" spans="1:5" ht="15.75" thickBot="1">
      <c r="A2171" s="32"/>
      <c r="B2171" s="32"/>
      <c r="C2171" s="32"/>
      <c r="D2171" s="32"/>
      <c r="E2171" s="32"/>
    </row>
    <row r="2172" spans="1:5" ht="15.75" thickBot="1">
      <c r="A2172" s="32"/>
      <c r="B2172" s="32"/>
      <c r="C2172" s="32"/>
      <c r="D2172" s="32"/>
      <c r="E2172" s="32"/>
    </row>
    <row r="2173" spans="1:5" ht="15.75" thickBot="1">
      <c r="A2173" s="32"/>
      <c r="B2173" s="32"/>
      <c r="C2173" s="32"/>
      <c r="D2173" s="32"/>
      <c r="E2173" s="32"/>
    </row>
    <row r="2174" spans="1:5" ht="15.75" thickBot="1">
      <c r="A2174" s="32"/>
      <c r="B2174" s="32"/>
      <c r="C2174" s="32"/>
      <c r="D2174" s="32"/>
      <c r="E2174" s="32"/>
    </row>
    <row r="2175" spans="1:5" ht="15.75" thickBot="1">
      <c r="A2175" s="32"/>
      <c r="B2175" s="32"/>
      <c r="C2175" s="32"/>
      <c r="D2175" s="32"/>
      <c r="E2175" s="32"/>
    </row>
    <row r="2176" spans="1:5" ht="15.75" thickBot="1">
      <c r="A2176" s="32"/>
      <c r="B2176" s="32"/>
      <c r="C2176" s="32"/>
      <c r="D2176" s="32"/>
      <c r="E2176" s="32"/>
    </row>
    <row r="2177" spans="1:5" ht="15.75" thickBot="1">
      <c r="A2177" s="32"/>
      <c r="B2177" s="32"/>
      <c r="C2177" s="32"/>
      <c r="D2177" s="32"/>
      <c r="E2177" s="32"/>
    </row>
    <row r="2178" spans="1:5" ht="15.75" thickBot="1">
      <c r="A2178" s="32"/>
      <c r="B2178" s="32"/>
      <c r="C2178" s="32"/>
      <c r="D2178" s="32"/>
      <c r="E2178" s="32"/>
    </row>
    <row r="2179" spans="1:5" ht="15.75" thickBot="1">
      <c r="A2179" s="32"/>
      <c r="B2179" s="32"/>
      <c r="C2179" s="32"/>
      <c r="D2179" s="32"/>
      <c r="E2179" s="32"/>
    </row>
    <row r="2180" spans="1:5" ht="15.75" thickBot="1">
      <c r="A2180" s="32"/>
      <c r="B2180" s="32"/>
      <c r="C2180" s="32"/>
      <c r="D2180" s="32"/>
      <c r="E2180" s="32"/>
    </row>
    <row r="2181" spans="1:5" ht="15.75" thickBot="1">
      <c r="A2181" s="32"/>
      <c r="B2181" s="32"/>
      <c r="C2181" s="32"/>
      <c r="D2181" s="32"/>
      <c r="E2181" s="32"/>
    </row>
    <row r="2182" spans="1:5" ht="15.75" thickBot="1">
      <c r="A2182" s="32"/>
      <c r="B2182" s="32"/>
      <c r="C2182" s="32"/>
      <c r="D2182" s="32"/>
      <c r="E2182" s="32"/>
    </row>
    <row r="2183" spans="1:5" ht="15.75" thickBot="1">
      <c r="A2183" s="32"/>
      <c r="B2183" s="32"/>
      <c r="C2183" s="32"/>
      <c r="D2183" s="32"/>
      <c r="E2183" s="32"/>
    </row>
    <row r="2184" spans="1:5" ht="15.75" thickBot="1">
      <c r="A2184" s="32"/>
      <c r="B2184" s="32"/>
      <c r="C2184" s="32"/>
      <c r="D2184" s="32"/>
      <c r="E2184" s="32"/>
    </row>
    <row r="2185" spans="1:5" ht="15.75" thickBot="1">
      <c r="A2185" s="32"/>
      <c r="B2185" s="32"/>
      <c r="C2185" s="32"/>
      <c r="D2185" s="32"/>
      <c r="E2185" s="32"/>
    </row>
    <row r="2186" spans="1:5" ht="15.75" thickBot="1">
      <c r="A2186" s="32"/>
      <c r="B2186" s="32"/>
      <c r="C2186" s="32"/>
      <c r="D2186" s="32"/>
      <c r="E2186" s="32"/>
    </row>
    <row r="2187" spans="1:5" ht="15.75" thickBot="1">
      <c r="A2187" s="32"/>
      <c r="B2187" s="32"/>
      <c r="C2187" s="32"/>
      <c r="D2187" s="32"/>
      <c r="E2187" s="32"/>
    </row>
    <row r="2188" spans="1:5" ht="15.75" thickBot="1">
      <c r="A2188" s="32"/>
      <c r="B2188" s="32"/>
      <c r="C2188" s="32"/>
      <c r="D2188" s="32"/>
      <c r="E2188" s="32"/>
    </row>
    <row r="2189" spans="1:5" ht="15.75" thickBot="1">
      <c r="A2189" s="32"/>
      <c r="B2189" s="32"/>
      <c r="C2189" s="32"/>
      <c r="D2189" s="32"/>
      <c r="E2189" s="32"/>
    </row>
    <row r="2190" spans="1:5" ht="15.75" thickBot="1">
      <c r="A2190" s="32"/>
      <c r="B2190" s="32"/>
      <c r="C2190" s="32"/>
      <c r="D2190" s="32"/>
      <c r="E2190" s="32"/>
    </row>
    <row r="2191" spans="1:5" ht="15.75" thickBot="1">
      <c r="A2191" s="32"/>
      <c r="B2191" s="32"/>
      <c r="C2191" s="32"/>
      <c r="D2191" s="32"/>
      <c r="E2191" s="32"/>
    </row>
    <row r="2192" spans="1:5" ht="15.75" thickBot="1">
      <c r="A2192" s="32"/>
      <c r="B2192" s="32"/>
      <c r="C2192" s="32"/>
      <c r="D2192" s="32"/>
      <c r="E2192" s="32"/>
    </row>
    <row r="2193" spans="1:5" ht="15.75" thickBot="1">
      <c r="A2193" s="32"/>
      <c r="B2193" s="32"/>
      <c r="C2193" s="32"/>
      <c r="D2193" s="32"/>
      <c r="E2193" s="32"/>
    </row>
    <row r="2194" spans="1:5" ht="15.75" thickBot="1">
      <c r="A2194" s="32"/>
      <c r="B2194" s="32"/>
      <c r="C2194" s="32"/>
      <c r="D2194" s="32"/>
      <c r="E2194" s="32"/>
    </row>
    <row r="2195" spans="1:5" ht="15.75" thickBot="1">
      <c r="A2195" s="32"/>
      <c r="B2195" s="32"/>
      <c r="C2195" s="32"/>
      <c r="D2195" s="32"/>
      <c r="E2195" s="32"/>
    </row>
    <row r="2196" spans="1:5" ht="15.75" thickBot="1">
      <c r="A2196" s="32"/>
      <c r="B2196" s="32"/>
      <c r="C2196" s="32"/>
      <c r="D2196" s="32"/>
      <c r="E2196" s="32"/>
    </row>
    <row r="2197" spans="1:5" ht="15.75" thickBot="1">
      <c r="A2197" s="32"/>
      <c r="B2197" s="32"/>
      <c r="C2197" s="32"/>
      <c r="D2197" s="32"/>
      <c r="E2197" s="32"/>
    </row>
    <row r="2198" spans="1:5" ht="15.75" thickBot="1">
      <c r="A2198" s="32"/>
      <c r="B2198" s="32"/>
      <c r="C2198" s="32"/>
      <c r="D2198" s="32"/>
      <c r="E2198" s="32"/>
    </row>
    <row r="2199" spans="1:5" ht="15.75" thickBot="1">
      <c r="A2199" s="32"/>
      <c r="B2199" s="32"/>
      <c r="C2199" s="32"/>
      <c r="D2199" s="32"/>
      <c r="E2199" s="32"/>
    </row>
    <row r="2200" spans="1:5" ht="15.75" thickBot="1">
      <c r="A2200" s="32"/>
      <c r="B2200" s="32"/>
      <c r="C2200" s="32"/>
      <c r="D2200" s="32"/>
      <c r="E2200" s="32"/>
    </row>
    <row r="2201" spans="1:5" ht="15.75" thickBot="1">
      <c r="A2201" s="32"/>
      <c r="B2201" s="32"/>
      <c r="C2201" s="32"/>
      <c r="D2201" s="32"/>
      <c r="E2201" s="32"/>
    </row>
    <row r="2202" spans="1:5" ht="15.75" thickBot="1">
      <c r="A2202" s="32"/>
      <c r="B2202" s="32"/>
      <c r="C2202" s="32"/>
      <c r="D2202" s="32"/>
      <c r="E2202" s="32"/>
    </row>
    <row r="2203" spans="1:5" ht="15.75" thickBot="1">
      <c r="A2203" s="32"/>
      <c r="B2203" s="32"/>
      <c r="C2203" s="32"/>
      <c r="D2203" s="32"/>
      <c r="E2203" s="32"/>
    </row>
    <row r="2204" spans="1:5" ht="15.75" thickBot="1">
      <c r="A2204" s="32"/>
      <c r="B2204" s="32"/>
      <c r="C2204" s="32"/>
      <c r="D2204" s="32"/>
      <c r="E2204" s="32"/>
    </row>
    <row r="2205" spans="1:5" ht="15.75" thickBot="1">
      <c r="A2205" s="32"/>
      <c r="B2205" s="32"/>
      <c r="C2205" s="32"/>
      <c r="D2205" s="32"/>
      <c r="E2205" s="32"/>
    </row>
    <row r="2206" spans="1:5" ht="15.75" thickBot="1">
      <c r="A2206" s="32"/>
      <c r="B2206" s="32"/>
      <c r="C2206" s="32"/>
      <c r="D2206" s="32"/>
      <c r="E2206" s="32"/>
    </row>
    <row r="2207" spans="1:5" ht="15.75" thickBot="1">
      <c r="A2207" s="32"/>
      <c r="B2207" s="32"/>
      <c r="C2207" s="32"/>
      <c r="D2207" s="32"/>
      <c r="E2207" s="32"/>
    </row>
    <row r="2208" spans="1:5" ht="15.75" thickBot="1">
      <c r="A2208" s="32"/>
      <c r="B2208" s="32"/>
      <c r="C2208" s="32"/>
      <c r="D2208" s="32"/>
      <c r="E2208" s="32"/>
    </row>
    <row r="2209" spans="1:5" ht="15.75" thickBot="1">
      <c r="A2209" s="32"/>
      <c r="B2209" s="32"/>
      <c r="C2209" s="32"/>
      <c r="D2209" s="32"/>
      <c r="E2209" s="32"/>
    </row>
    <row r="2210" spans="1:5" ht="15.75" thickBot="1">
      <c r="A2210" s="32"/>
      <c r="B2210" s="32"/>
      <c r="C2210" s="32"/>
      <c r="D2210" s="32"/>
      <c r="E2210" s="32"/>
    </row>
    <row r="2211" spans="1:5" ht="15.75" thickBot="1">
      <c r="A2211" s="32"/>
      <c r="B2211" s="32"/>
      <c r="C2211" s="32"/>
      <c r="D2211" s="32"/>
      <c r="E2211" s="32"/>
    </row>
    <row r="2212" spans="1:5" ht="15.75" thickBot="1">
      <c r="A2212" s="32"/>
      <c r="B2212" s="32"/>
      <c r="C2212" s="32"/>
      <c r="D2212" s="32"/>
      <c r="E2212" s="32"/>
    </row>
    <row r="2213" spans="1:5" ht="15.75" thickBot="1">
      <c r="A2213" s="32"/>
      <c r="B2213" s="32"/>
      <c r="C2213" s="32"/>
      <c r="D2213" s="32"/>
      <c r="E2213" s="32"/>
    </row>
    <row r="2214" spans="1:5" ht="15.75" thickBot="1">
      <c r="A2214" s="32"/>
      <c r="B2214" s="32"/>
      <c r="C2214" s="32"/>
      <c r="D2214" s="32"/>
      <c r="E2214" s="32"/>
    </row>
    <row r="2215" spans="1:5" ht="15.75" thickBot="1">
      <c r="A2215" s="32"/>
      <c r="B2215" s="32"/>
      <c r="C2215" s="32"/>
      <c r="D2215" s="32"/>
      <c r="E2215" s="32"/>
    </row>
    <row r="2216" spans="1:5" ht="15.75" thickBot="1">
      <c r="A2216" s="32"/>
      <c r="B2216" s="32"/>
      <c r="C2216" s="32"/>
      <c r="D2216" s="32"/>
      <c r="E2216" s="32"/>
    </row>
    <row r="2217" spans="1:5" ht="15.75" thickBot="1">
      <c r="A2217" s="32"/>
      <c r="B2217" s="32"/>
      <c r="C2217" s="32"/>
      <c r="D2217" s="32"/>
      <c r="E2217" s="32"/>
    </row>
    <row r="2218" spans="1:5" ht="15.75" thickBot="1">
      <c r="A2218" s="32"/>
      <c r="B2218" s="32"/>
      <c r="C2218" s="32"/>
      <c r="D2218" s="32"/>
      <c r="E2218" s="32"/>
    </row>
    <row r="2219" spans="1:5" ht="15.75" thickBot="1">
      <c r="A2219" s="32"/>
      <c r="B2219" s="32"/>
      <c r="C2219" s="32"/>
      <c r="D2219" s="32"/>
      <c r="E2219" s="32"/>
    </row>
    <row r="2220" spans="1:5" ht="15.75" thickBot="1">
      <c r="A2220" s="32"/>
      <c r="B2220" s="32"/>
      <c r="C2220" s="32"/>
      <c r="D2220" s="32"/>
      <c r="E2220" s="32"/>
    </row>
    <row r="2221" spans="1:5" ht="15.75" thickBot="1">
      <c r="A2221" s="32"/>
      <c r="B2221" s="32"/>
      <c r="C2221" s="32"/>
      <c r="D2221" s="32"/>
      <c r="E2221" s="32"/>
    </row>
    <row r="2222" spans="1:5" ht="15.75" thickBot="1">
      <c r="A2222" s="32"/>
      <c r="B2222" s="32"/>
      <c r="C2222" s="32"/>
      <c r="D2222" s="32"/>
      <c r="E2222" s="32"/>
    </row>
    <row r="2223" spans="1:5" ht="15.75" thickBot="1">
      <c r="A2223" s="32"/>
      <c r="B2223" s="32"/>
      <c r="C2223" s="32"/>
      <c r="D2223" s="32"/>
      <c r="E2223" s="32"/>
    </row>
    <row r="2224" spans="1:5" ht="15.75" thickBot="1">
      <c r="A2224" s="32"/>
      <c r="B2224" s="32"/>
      <c r="C2224" s="32"/>
      <c r="D2224" s="32"/>
      <c r="E2224" s="32"/>
    </row>
    <row r="2225" spans="1:5" ht="15.75" thickBot="1">
      <c r="A2225" s="32"/>
      <c r="B2225" s="32"/>
      <c r="C2225" s="32"/>
      <c r="D2225" s="32"/>
      <c r="E2225" s="32"/>
    </row>
    <row r="2226" spans="1:5" ht="15.75" thickBot="1">
      <c r="A2226" s="32"/>
      <c r="B2226" s="32"/>
      <c r="C2226" s="32"/>
      <c r="D2226" s="32"/>
      <c r="E2226" s="32"/>
    </row>
    <row r="2227" spans="1:5" ht="15.75" thickBot="1">
      <c r="A2227" s="32"/>
      <c r="B2227" s="32"/>
      <c r="C2227" s="32"/>
      <c r="D2227" s="32"/>
      <c r="E2227" s="32"/>
    </row>
    <row r="2228" spans="1:5" ht="15.75" thickBot="1">
      <c r="A2228" s="32"/>
      <c r="B2228" s="32"/>
      <c r="C2228" s="32"/>
      <c r="D2228" s="32"/>
      <c r="E2228" s="32"/>
    </row>
    <row r="2229" spans="1:5" ht="15.75" thickBot="1">
      <c r="A2229" s="32"/>
      <c r="B2229" s="32"/>
      <c r="C2229" s="32"/>
      <c r="D2229" s="32"/>
      <c r="E2229" s="32"/>
    </row>
    <row r="2230" spans="1:5" ht="15.75" thickBot="1">
      <c r="A2230" s="32"/>
      <c r="B2230" s="32"/>
      <c r="C2230" s="32"/>
      <c r="D2230" s="32"/>
      <c r="E2230" s="32"/>
    </row>
    <row r="2231" spans="1:5" ht="15.75" thickBot="1">
      <c r="A2231" s="32"/>
      <c r="B2231" s="32"/>
      <c r="C2231" s="32"/>
      <c r="D2231" s="32"/>
      <c r="E2231" s="32"/>
    </row>
    <row r="2232" spans="1:5" ht="15.75" thickBot="1">
      <c r="A2232" s="32"/>
      <c r="B2232" s="32"/>
      <c r="C2232" s="32"/>
      <c r="D2232" s="32"/>
      <c r="E2232" s="32"/>
    </row>
    <row r="2233" spans="1:5" ht="15.75" thickBot="1">
      <c r="A2233" s="32"/>
      <c r="B2233" s="32"/>
      <c r="C2233" s="32"/>
      <c r="D2233" s="32"/>
      <c r="E2233" s="32"/>
    </row>
    <row r="2234" spans="1:5" ht="15.75" thickBot="1">
      <c r="A2234" s="32"/>
      <c r="B2234" s="32"/>
      <c r="C2234" s="32"/>
      <c r="D2234" s="32"/>
      <c r="E2234" s="32"/>
    </row>
    <row r="2235" spans="1:5" ht="15.75" thickBot="1">
      <c r="A2235" s="32"/>
      <c r="B2235" s="32"/>
      <c r="C2235" s="32"/>
      <c r="D2235" s="32"/>
      <c r="E2235" s="32"/>
    </row>
    <row r="2236" spans="1:5" ht="15.75" thickBot="1">
      <c r="A2236" s="32"/>
      <c r="B2236" s="32"/>
      <c r="C2236" s="32"/>
      <c r="D2236" s="32"/>
      <c r="E2236" s="32"/>
    </row>
    <row r="2237" spans="1:5" ht="15.75" thickBot="1">
      <c r="A2237" s="32"/>
      <c r="B2237" s="32"/>
      <c r="C2237" s="32"/>
      <c r="D2237" s="32"/>
      <c r="E2237" s="32"/>
    </row>
    <row r="2238" spans="1:5" ht="15.75" thickBot="1">
      <c r="A2238" s="32"/>
      <c r="B2238" s="32"/>
      <c r="C2238" s="32"/>
      <c r="D2238" s="32"/>
      <c r="E2238" s="32"/>
    </row>
    <row r="2239" spans="1:5" ht="15.75" thickBot="1">
      <c r="A2239" s="32"/>
      <c r="B2239" s="32"/>
      <c r="C2239" s="32"/>
      <c r="D2239" s="32"/>
      <c r="E2239" s="32"/>
    </row>
    <row r="2240" spans="1:5" ht="15.75" thickBot="1">
      <c r="A2240" s="32"/>
      <c r="B2240" s="32"/>
      <c r="C2240" s="32"/>
      <c r="D2240" s="32"/>
      <c r="E2240" s="32"/>
    </row>
    <row r="2241" spans="1:5" ht="15.75" thickBot="1">
      <c r="A2241" s="32"/>
      <c r="B2241" s="32"/>
      <c r="C2241" s="32"/>
      <c r="D2241" s="32"/>
      <c r="E2241" s="32"/>
    </row>
    <row r="2242" spans="1:5" ht="15.75" thickBot="1">
      <c r="A2242" s="32"/>
      <c r="B2242" s="32"/>
      <c r="C2242" s="32"/>
      <c r="D2242" s="32"/>
      <c r="E2242" s="32"/>
    </row>
    <row r="2243" spans="1:5" ht="15.75" thickBot="1">
      <c r="A2243" s="32"/>
      <c r="B2243" s="32"/>
      <c r="C2243" s="32"/>
      <c r="D2243" s="32"/>
      <c r="E2243" s="32"/>
    </row>
    <row r="2244" spans="1:5" ht="15.75" thickBot="1">
      <c r="A2244" s="32"/>
      <c r="B2244" s="32"/>
      <c r="C2244" s="32"/>
      <c r="D2244" s="32"/>
      <c r="E2244" s="32"/>
    </row>
    <row r="2245" spans="1:5" ht="15.75" thickBot="1">
      <c r="A2245" s="32"/>
      <c r="B2245" s="32"/>
      <c r="C2245" s="32"/>
      <c r="D2245" s="32"/>
      <c r="E2245" s="32"/>
    </row>
    <row r="2246" spans="1:5" ht="15.75" thickBot="1">
      <c r="A2246" s="32"/>
      <c r="B2246" s="32"/>
      <c r="C2246" s="32"/>
      <c r="D2246" s="32"/>
      <c r="E2246" s="32"/>
    </row>
    <row r="2247" spans="1:5" ht="15.75" thickBot="1">
      <c r="A2247" s="32"/>
      <c r="B2247" s="32"/>
      <c r="C2247" s="32"/>
      <c r="D2247" s="32"/>
      <c r="E2247" s="32"/>
    </row>
    <row r="2248" spans="1:5" ht="15.75" thickBot="1">
      <c r="A2248" s="32"/>
      <c r="B2248" s="32"/>
      <c r="C2248" s="32"/>
      <c r="D2248" s="32"/>
      <c r="E2248" s="32"/>
    </row>
    <row r="2249" spans="1:5" ht="15.75" thickBot="1">
      <c r="A2249" s="32"/>
      <c r="B2249" s="32"/>
      <c r="C2249" s="32"/>
      <c r="D2249" s="32"/>
      <c r="E2249" s="32"/>
    </row>
    <row r="2250" spans="1:5" ht="15.75" thickBot="1">
      <c r="A2250" s="32"/>
      <c r="B2250" s="32"/>
      <c r="C2250" s="32"/>
      <c r="D2250" s="32"/>
      <c r="E2250" s="32"/>
    </row>
    <row r="2251" spans="1:5" ht="15.75" thickBot="1">
      <c r="A2251" s="32"/>
      <c r="B2251" s="32"/>
      <c r="C2251" s="32"/>
      <c r="D2251" s="32"/>
      <c r="E2251" s="32"/>
    </row>
    <row r="2252" spans="1:5" ht="15.75" thickBot="1">
      <c r="A2252" s="32"/>
      <c r="B2252" s="32"/>
      <c r="C2252" s="32"/>
      <c r="D2252" s="32"/>
      <c r="E2252" s="32"/>
    </row>
    <row r="2253" spans="1:5" ht="15.75" thickBot="1">
      <c r="A2253" s="32"/>
      <c r="B2253" s="32"/>
      <c r="C2253" s="32"/>
      <c r="D2253" s="32"/>
      <c r="E2253" s="32"/>
    </row>
    <row r="2254" spans="1:5" ht="15.75" thickBot="1">
      <c r="A2254" s="32"/>
      <c r="B2254" s="32"/>
      <c r="C2254" s="32"/>
      <c r="D2254" s="32"/>
      <c r="E2254" s="32"/>
    </row>
    <row r="2255" spans="1:5" ht="15.75" thickBot="1">
      <c r="A2255" s="32"/>
      <c r="B2255" s="32"/>
      <c r="C2255" s="32"/>
      <c r="D2255" s="32"/>
      <c r="E2255" s="32"/>
    </row>
    <row r="2256" spans="1:5" ht="15.75" thickBot="1">
      <c r="A2256" s="32"/>
      <c r="B2256" s="32"/>
      <c r="C2256" s="32"/>
      <c r="D2256" s="32"/>
      <c r="E2256" s="32"/>
    </row>
    <row r="2257" spans="1:5" ht="15.75" thickBot="1">
      <c r="A2257" s="32"/>
      <c r="B2257" s="32"/>
      <c r="C2257" s="32"/>
      <c r="D2257" s="32"/>
      <c r="E2257" s="32"/>
    </row>
    <row r="2258" spans="1:5" ht="15.75" thickBot="1">
      <c r="A2258" s="32"/>
      <c r="B2258" s="32"/>
      <c r="C2258" s="32"/>
      <c r="D2258" s="32"/>
      <c r="E2258" s="32"/>
    </row>
    <row r="2259" spans="1:5" ht="15.75" thickBot="1">
      <c r="A2259" s="32"/>
      <c r="B2259" s="32"/>
      <c r="C2259" s="32"/>
      <c r="D2259" s="32"/>
      <c r="E2259" s="32"/>
    </row>
    <row r="2260" spans="1:5" ht="15.75" thickBot="1">
      <c r="A2260" s="32"/>
      <c r="B2260" s="32"/>
      <c r="C2260" s="32"/>
      <c r="D2260" s="32"/>
      <c r="E2260" s="32"/>
    </row>
    <row r="2261" spans="1:5" ht="15.75" thickBot="1">
      <c r="A2261" s="32"/>
      <c r="B2261" s="32"/>
      <c r="C2261" s="32"/>
      <c r="D2261" s="32"/>
      <c r="E2261" s="32"/>
    </row>
    <row r="2262" spans="1:5" ht="15.75" thickBot="1">
      <c r="A2262" s="32"/>
      <c r="B2262" s="32"/>
      <c r="C2262" s="32"/>
      <c r="D2262" s="32"/>
      <c r="E2262" s="32"/>
    </row>
    <row r="2263" spans="1:5" ht="15.75" thickBot="1">
      <c r="A2263" s="32"/>
      <c r="B2263" s="32"/>
      <c r="C2263" s="32"/>
      <c r="D2263" s="32"/>
      <c r="E2263" s="32"/>
    </row>
    <row r="2264" spans="1:5" ht="15.75" thickBot="1">
      <c r="A2264" s="32"/>
      <c r="B2264" s="32"/>
      <c r="C2264" s="32"/>
      <c r="D2264" s="32"/>
      <c r="E2264" s="32"/>
    </row>
    <row r="2265" spans="1:5" ht="15.75" thickBot="1">
      <c r="A2265" s="32"/>
      <c r="B2265" s="32"/>
      <c r="C2265" s="32"/>
      <c r="D2265" s="32"/>
      <c r="E2265" s="32"/>
    </row>
    <row r="2266" spans="1:5" ht="15.75" thickBot="1">
      <c r="A2266" s="32"/>
      <c r="B2266" s="32"/>
      <c r="C2266" s="32"/>
      <c r="D2266" s="32"/>
      <c r="E2266" s="32"/>
    </row>
    <row r="2267" spans="1:5" ht="15.75" thickBot="1">
      <c r="A2267" s="32"/>
      <c r="B2267" s="32"/>
      <c r="C2267" s="32"/>
      <c r="D2267" s="32"/>
      <c r="E2267" s="32"/>
    </row>
    <row r="2268" spans="1:5" ht="15.75" thickBot="1">
      <c r="A2268" s="32"/>
      <c r="B2268" s="32"/>
      <c r="C2268" s="32"/>
      <c r="D2268" s="32"/>
      <c r="E2268" s="32"/>
    </row>
    <row r="2269" spans="1:5" ht="15.75" thickBot="1">
      <c r="A2269" s="32"/>
      <c r="B2269" s="32"/>
      <c r="C2269" s="32"/>
      <c r="D2269" s="32"/>
      <c r="E2269" s="32"/>
    </row>
    <row r="2270" spans="1:5" ht="15.75" thickBot="1">
      <c r="A2270" s="32"/>
      <c r="B2270" s="32"/>
      <c r="C2270" s="32"/>
      <c r="D2270" s="32"/>
      <c r="E2270" s="32"/>
    </row>
    <row r="2271" spans="1:5" ht="15.75" thickBot="1">
      <c r="A2271" s="32"/>
      <c r="B2271" s="32"/>
      <c r="C2271" s="32"/>
      <c r="D2271" s="32"/>
      <c r="E2271" s="32"/>
    </row>
    <row r="2272" spans="1:5" ht="15.75" thickBot="1">
      <c r="A2272" s="32"/>
      <c r="B2272" s="32"/>
      <c r="C2272" s="32"/>
      <c r="D2272" s="32"/>
      <c r="E2272" s="32"/>
    </row>
    <row r="2273" spans="1:5" ht="15.75" thickBot="1">
      <c r="A2273" s="32"/>
      <c r="B2273" s="32"/>
      <c r="C2273" s="32"/>
      <c r="D2273" s="32"/>
      <c r="E2273" s="32"/>
    </row>
    <row r="2274" spans="1:5" ht="15.75" thickBot="1">
      <c r="A2274" s="32"/>
      <c r="B2274" s="32"/>
      <c r="C2274" s="32"/>
      <c r="D2274" s="32"/>
      <c r="E2274" s="32"/>
    </row>
    <row r="2275" spans="1:5" ht="15.75" thickBot="1">
      <c r="A2275" s="32"/>
      <c r="B2275" s="32"/>
      <c r="C2275" s="32"/>
      <c r="D2275" s="32"/>
      <c r="E2275" s="32"/>
    </row>
    <row r="2276" spans="1:5" ht="15.75" thickBot="1">
      <c r="A2276" s="32"/>
      <c r="B2276" s="32"/>
      <c r="C2276" s="32"/>
      <c r="D2276" s="32"/>
      <c r="E2276" s="32"/>
    </row>
    <row r="2277" spans="1:5" ht="15.75" thickBot="1">
      <c r="A2277" s="32"/>
      <c r="B2277" s="32"/>
      <c r="C2277" s="32"/>
      <c r="D2277" s="32"/>
      <c r="E2277" s="32"/>
    </row>
    <row r="2278" spans="1:5" ht="15.75" thickBot="1">
      <c r="A2278" s="32"/>
      <c r="B2278" s="32"/>
      <c r="C2278" s="32"/>
      <c r="D2278" s="32"/>
      <c r="E2278" s="32"/>
    </row>
    <row r="2279" spans="1:5" ht="15.75" thickBot="1">
      <c r="A2279" s="32"/>
      <c r="B2279" s="32"/>
      <c r="C2279" s="32"/>
      <c r="D2279" s="32"/>
      <c r="E2279" s="32"/>
    </row>
    <row r="2280" spans="1:5" ht="15.75" thickBot="1">
      <c r="A2280" s="32"/>
      <c r="B2280" s="32"/>
      <c r="C2280" s="32"/>
      <c r="D2280" s="32"/>
      <c r="E2280" s="32"/>
    </row>
    <row r="2281" spans="1:5" ht="15.75" thickBot="1">
      <c r="A2281" s="32"/>
      <c r="B2281" s="32"/>
      <c r="C2281" s="32"/>
      <c r="D2281" s="32"/>
      <c r="E2281" s="32"/>
    </row>
    <row r="2282" spans="1:5" ht="15.75" thickBot="1">
      <c r="A2282" s="32"/>
      <c r="B2282" s="32"/>
      <c r="C2282" s="32"/>
      <c r="D2282" s="32"/>
      <c r="E2282" s="32"/>
    </row>
    <row r="2283" spans="1:5" ht="15.75" thickBot="1">
      <c r="A2283" s="32"/>
      <c r="B2283" s="32"/>
      <c r="C2283" s="32"/>
      <c r="D2283" s="32"/>
      <c r="E2283" s="32"/>
    </row>
    <row r="2284" spans="1:5" ht="15.75" thickBot="1">
      <c r="A2284" s="32"/>
      <c r="B2284" s="32"/>
      <c r="C2284" s="32"/>
      <c r="D2284" s="32"/>
      <c r="E2284" s="32"/>
    </row>
    <row r="2285" spans="1:5" ht="15.75" thickBot="1">
      <c r="A2285" s="32"/>
      <c r="B2285" s="32"/>
      <c r="C2285" s="32"/>
      <c r="D2285" s="32"/>
      <c r="E2285" s="32"/>
    </row>
    <row r="2286" spans="1:5" ht="15.75" thickBot="1">
      <c r="A2286" s="32"/>
      <c r="B2286" s="32"/>
      <c r="C2286" s="32"/>
      <c r="D2286" s="32"/>
      <c r="E2286" s="32"/>
    </row>
    <row r="2287" spans="1:5" ht="15.75" thickBot="1">
      <c r="A2287" s="32"/>
      <c r="B2287" s="32"/>
      <c r="C2287" s="32"/>
      <c r="D2287" s="32"/>
      <c r="E2287" s="32"/>
    </row>
    <row r="2288" spans="1:5" ht="15.75" thickBot="1">
      <c r="A2288" s="32"/>
      <c r="B2288" s="32"/>
      <c r="C2288" s="32"/>
      <c r="D2288" s="32"/>
      <c r="E2288" s="32"/>
    </row>
    <row r="2289" spans="1:5" ht="15.75" thickBot="1">
      <c r="A2289" s="32"/>
      <c r="B2289" s="32"/>
      <c r="C2289" s="32"/>
      <c r="D2289" s="32"/>
      <c r="E2289" s="32"/>
    </row>
    <row r="2290" spans="1:5" ht="15.75" thickBot="1">
      <c r="A2290" s="32"/>
      <c r="B2290" s="32"/>
      <c r="C2290" s="32"/>
      <c r="D2290" s="32"/>
      <c r="E2290" s="32"/>
    </row>
    <row r="2291" spans="1:5" ht="15.75" thickBot="1">
      <c r="A2291" s="32"/>
      <c r="B2291" s="32"/>
      <c r="C2291" s="32"/>
      <c r="D2291" s="32"/>
      <c r="E2291" s="32"/>
    </row>
    <row r="2292" spans="1:5" ht="15.75" thickBot="1">
      <c r="A2292" s="32"/>
      <c r="B2292" s="32"/>
      <c r="C2292" s="32"/>
      <c r="D2292" s="32"/>
      <c r="E2292" s="32"/>
    </row>
    <row r="2293" spans="1:5" ht="15.75" thickBot="1">
      <c r="A2293" s="32"/>
      <c r="B2293" s="32"/>
      <c r="C2293" s="32"/>
      <c r="D2293" s="32"/>
      <c r="E2293" s="32"/>
    </row>
    <row r="2294" spans="1:5" ht="15.75" thickBot="1">
      <c r="A2294" s="32"/>
      <c r="B2294" s="32"/>
      <c r="C2294" s="32"/>
      <c r="D2294" s="32"/>
      <c r="E2294" s="32"/>
    </row>
    <row r="2295" spans="1:5" ht="15.75" thickBot="1">
      <c r="A2295" s="32"/>
      <c r="B2295" s="32"/>
      <c r="C2295" s="32"/>
      <c r="D2295" s="32"/>
      <c r="E2295" s="32"/>
    </row>
    <row r="2296" spans="1:5" ht="15.75" thickBot="1">
      <c r="A2296" s="32"/>
      <c r="B2296" s="32"/>
      <c r="C2296" s="32"/>
      <c r="D2296" s="32"/>
      <c r="E2296" s="32"/>
    </row>
    <row r="2297" spans="1:5" ht="15.75" thickBot="1">
      <c r="A2297" s="32"/>
      <c r="B2297" s="32"/>
      <c r="C2297" s="32"/>
      <c r="D2297" s="32"/>
      <c r="E2297" s="32"/>
    </row>
    <row r="2298" spans="1:5" ht="15.75" thickBot="1">
      <c r="A2298" s="32"/>
      <c r="B2298" s="32"/>
      <c r="C2298" s="32"/>
      <c r="D2298" s="32"/>
      <c r="E2298" s="32"/>
    </row>
    <row r="2299" spans="1:5" ht="15.75" thickBot="1">
      <c r="A2299" s="32"/>
      <c r="B2299" s="32"/>
      <c r="C2299" s="32"/>
      <c r="D2299" s="32"/>
      <c r="E2299" s="32"/>
    </row>
    <row r="2300" spans="1:5" ht="15.75" thickBot="1">
      <c r="A2300" s="32"/>
      <c r="B2300" s="32"/>
      <c r="C2300" s="32"/>
      <c r="D2300" s="32"/>
      <c r="E2300" s="32"/>
    </row>
    <row r="2301" spans="1:5" ht="15.75" thickBot="1">
      <c r="A2301" s="32"/>
      <c r="B2301" s="32"/>
      <c r="C2301" s="32"/>
      <c r="D2301" s="32"/>
      <c r="E2301" s="32"/>
    </row>
    <row r="2302" spans="1:5" ht="15.75" thickBot="1">
      <c r="A2302" s="32"/>
      <c r="B2302" s="32"/>
      <c r="C2302" s="32"/>
      <c r="D2302" s="32"/>
      <c r="E2302" s="32"/>
    </row>
    <row r="2303" spans="1:5" ht="15.75" thickBot="1">
      <c r="A2303" s="32"/>
      <c r="B2303" s="32"/>
      <c r="C2303" s="32"/>
      <c r="D2303" s="32"/>
      <c r="E2303" s="32"/>
    </row>
    <row r="2304" spans="1:5" ht="15.75" thickBot="1">
      <c r="A2304" s="32"/>
      <c r="B2304" s="32"/>
      <c r="C2304" s="32"/>
      <c r="D2304" s="32"/>
      <c r="E2304" s="32"/>
    </row>
    <row r="2305" spans="1:5" ht="15.75" thickBot="1">
      <c r="A2305" s="32"/>
      <c r="B2305" s="32"/>
      <c r="C2305" s="32"/>
      <c r="D2305" s="32"/>
      <c r="E2305" s="32"/>
    </row>
    <row r="2306" spans="1:5" ht="15.75" thickBot="1">
      <c r="A2306" s="32"/>
      <c r="B2306" s="32"/>
      <c r="C2306" s="32"/>
      <c r="D2306" s="32"/>
      <c r="E2306" s="32"/>
    </row>
    <row r="2307" spans="1:5" ht="15.75" thickBot="1">
      <c r="A2307" s="32"/>
      <c r="B2307" s="32"/>
      <c r="C2307" s="32"/>
      <c r="D2307" s="32"/>
      <c r="E2307" s="32"/>
    </row>
    <row r="2308" spans="1:5" ht="15.75" thickBot="1">
      <c r="A2308" s="32"/>
      <c r="B2308" s="32"/>
      <c r="C2308" s="32"/>
      <c r="D2308" s="32"/>
      <c r="E2308" s="32"/>
    </row>
    <row r="2309" spans="1:5" ht="15.75" thickBot="1">
      <c r="A2309" s="32"/>
      <c r="B2309" s="32"/>
      <c r="C2309" s="32"/>
      <c r="D2309" s="32"/>
      <c r="E2309" s="32"/>
    </row>
    <row r="2310" spans="1:5" ht="15.75" thickBot="1">
      <c r="A2310" s="32"/>
      <c r="B2310" s="32"/>
      <c r="C2310" s="32"/>
      <c r="D2310" s="32"/>
      <c r="E2310" s="32"/>
    </row>
    <row r="2311" spans="1:5" ht="15.75" thickBot="1">
      <c r="A2311" s="32"/>
      <c r="B2311" s="32"/>
      <c r="C2311" s="32"/>
      <c r="D2311" s="32"/>
      <c r="E2311" s="32"/>
    </row>
    <row r="2312" spans="1:5" ht="15.75" thickBot="1">
      <c r="A2312" s="32"/>
      <c r="B2312" s="32"/>
      <c r="C2312" s="32"/>
      <c r="D2312" s="32"/>
      <c r="E2312" s="32"/>
    </row>
    <row r="2313" spans="1:5" ht="15.75" thickBot="1">
      <c r="A2313" s="32"/>
      <c r="B2313" s="32"/>
      <c r="C2313" s="32"/>
      <c r="D2313" s="32"/>
      <c r="E2313" s="32"/>
    </row>
    <row r="2314" spans="1:5" ht="15.75" thickBot="1">
      <c r="A2314" s="32"/>
      <c r="B2314" s="32"/>
      <c r="C2314" s="32"/>
      <c r="D2314" s="32"/>
      <c r="E2314" s="32"/>
    </row>
    <row r="2315" spans="1:5" ht="15.75" thickBot="1">
      <c r="A2315" s="32"/>
      <c r="B2315" s="32"/>
      <c r="C2315" s="32"/>
      <c r="D2315" s="32"/>
      <c r="E2315" s="32"/>
    </row>
    <row r="2316" spans="1:5" ht="15.75" thickBot="1">
      <c r="A2316" s="32"/>
      <c r="B2316" s="32"/>
      <c r="C2316" s="32"/>
      <c r="D2316" s="32"/>
      <c r="E2316" s="32"/>
    </row>
    <row r="2317" spans="1:5" ht="15.75" thickBot="1">
      <c r="A2317" s="32"/>
      <c r="B2317" s="32"/>
      <c r="C2317" s="32"/>
      <c r="D2317" s="32"/>
      <c r="E2317" s="32"/>
    </row>
    <row r="2318" spans="1:5" ht="15.75" thickBot="1">
      <c r="A2318" s="32"/>
      <c r="B2318" s="32"/>
      <c r="C2318" s="32"/>
      <c r="D2318" s="32"/>
      <c r="E2318" s="32"/>
    </row>
    <row r="2319" spans="1:5" ht="15.75" thickBot="1">
      <c r="A2319" s="32"/>
      <c r="B2319" s="32"/>
      <c r="C2319" s="32"/>
      <c r="D2319" s="32"/>
      <c r="E2319" s="32"/>
    </row>
    <row r="2320" spans="1:5" ht="15.75" thickBot="1">
      <c r="A2320" s="32"/>
      <c r="B2320" s="32"/>
      <c r="C2320" s="32"/>
      <c r="D2320" s="32"/>
      <c r="E2320" s="32"/>
    </row>
    <row r="2321" spans="1:5" ht="15.75" thickBot="1">
      <c r="A2321" s="32"/>
      <c r="B2321" s="32"/>
      <c r="C2321" s="32"/>
      <c r="D2321" s="32"/>
      <c r="E2321" s="32"/>
    </row>
    <row r="2322" spans="1:5" ht="15.75" thickBot="1">
      <c r="A2322" s="32"/>
      <c r="B2322" s="32"/>
      <c r="C2322" s="32"/>
      <c r="D2322" s="32"/>
      <c r="E2322" s="32"/>
    </row>
    <row r="2323" spans="1:5" ht="15.75" thickBot="1">
      <c r="A2323" s="32"/>
      <c r="B2323" s="32"/>
      <c r="C2323" s="32"/>
      <c r="D2323" s="32"/>
      <c r="E2323" s="32"/>
    </row>
    <row r="2324" spans="1:5" ht="15.75" thickBot="1">
      <c r="A2324" s="32"/>
      <c r="B2324" s="32"/>
      <c r="C2324" s="32"/>
      <c r="D2324" s="32"/>
      <c r="E2324" s="32"/>
    </row>
    <row r="2325" spans="1:5" ht="15.75" thickBot="1">
      <c r="A2325" s="32"/>
      <c r="B2325" s="32"/>
      <c r="C2325" s="32"/>
      <c r="D2325" s="32"/>
      <c r="E2325" s="32"/>
    </row>
    <row r="2326" spans="1:5" ht="15.75" thickBot="1">
      <c r="A2326" s="32"/>
      <c r="B2326" s="32"/>
      <c r="C2326" s="32"/>
      <c r="D2326" s="32"/>
      <c r="E2326" s="32"/>
    </row>
    <row r="2327" spans="1:5" ht="15.75" thickBot="1">
      <c r="A2327" s="32"/>
      <c r="B2327" s="32"/>
      <c r="C2327" s="32"/>
      <c r="D2327" s="32"/>
      <c r="E2327" s="32"/>
    </row>
    <row r="2328" spans="1:5" ht="15.75" thickBot="1">
      <c r="A2328" s="32"/>
      <c r="B2328" s="32"/>
      <c r="C2328" s="32"/>
      <c r="D2328" s="32"/>
      <c r="E2328" s="32"/>
    </row>
    <row r="2329" spans="1:5" ht="15.75" thickBot="1">
      <c r="A2329" s="32"/>
      <c r="B2329" s="32"/>
      <c r="C2329" s="32"/>
      <c r="D2329" s="32"/>
      <c r="E2329" s="32"/>
    </row>
    <row r="2330" spans="1:5" ht="15.75" thickBot="1">
      <c r="A2330" s="32"/>
      <c r="B2330" s="32"/>
      <c r="C2330" s="32"/>
      <c r="D2330" s="32"/>
      <c r="E2330" s="32"/>
    </row>
    <row r="2331" spans="1:5" ht="15.75" thickBot="1">
      <c r="A2331" s="32"/>
      <c r="B2331" s="32"/>
      <c r="C2331" s="32"/>
      <c r="D2331" s="32"/>
      <c r="E2331" s="32"/>
    </row>
    <row r="2332" spans="1:5" ht="15.75" thickBot="1">
      <c r="A2332" s="32"/>
      <c r="B2332" s="32"/>
      <c r="C2332" s="32"/>
      <c r="D2332" s="32"/>
      <c r="E2332" s="32"/>
    </row>
    <row r="2333" spans="1:5" ht="15.75" thickBot="1">
      <c r="A2333" s="32"/>
      <c r="B2333" s="32"/>
      <c r="C2333" s="32"/>
      <c r="D2333" s="32"/>
      <c r="E2333" s="32"/>
    </row>
    <row r="2334" spans="1:5" ht="15.75" thickBot="1">
      <c r="A2334" s="32"/>
      <c r="B2334" s="32"/>
      <c r="C2334" s="32"/>
      <c r="D2334" s="32"/>
      <c r="E2334" s="32"/>
    </row>
    <row r="2335" spans="1:5" ht="15.75" thickBot="1">
      <c r="A2335" s="32"/>
      <c r="B2335" s="32"/>
      <c r="C2335" s="32"/>
      <c r="D2335" s="32"/>
      <c r="E2335" s="32"/>
    </row>
    <row r="2336" spans="1:5" ht="15.75" thickBot="1">
      <c r="A2336" s="32"/>
      <c r="B2336" s="32"/>
      <c r="C2336" s="32"/>
      <c r="D2336" s="32"/>
      <c r="E2336" s="32"/>
    </row>
    <row r="2337" spans="1:5" ht="15.75" thickBot="1">
      <c r="A2337" s="32"/>
      <c r="B2337" s="32"/>
      <c r="C2337" s="32"/>
      <c r="D2337" s="32"/>
      <c r="E2337" s="32"/>
    </row>
    <row r="2338" spans="1:5" ht="15.75" thickBot="1">
      <c r="A2338" s="32"/>
      <c r="B2338" s="32"/>
      <c r="C2338" s="32"/>
      <c r="D2338" s="32"/>
      <c r="E2338" s="32"/>
    </row>
    <row r="2339" spans="1:5" ht="15.75" thickBot="1">
      <c r="A2339" s="32"/>
      <c r="B2339" s="32"/>
      <c r="C2339" s="32"/>
      <c r="D2339" s="32"/>
      <c r="E2339" s="32"/>
    </row>
    <row r="2340" spans="1:5" ht="15.75" thickBot="1">
      <c r="A2340" s="32"/>
      <c r="B2340" s="32"/>
      <c r="C2340" s="32"/>
      <c r="D2340" s="32"/>
      <c r="E2340" s="32"/>
    </row>
    <row r="2341" spans="1:5" ht="15.75" thickBot="1">
      <c r="A2341" s="32"/>
      <c r="B2341" s="32"/>
      <c r="C2341" s="32"/>
      <c r="D2341" s="32"/>
      <c r="E2341" s="32"/>
    </row>
    <row r="2342" spans="1:5" ht="15.75" thickBot="1">
      <c r="A2342" s="32"/>
      <c r="B2342" s="32"/>
      <c r="C2342" s="32"/>
      <c r="D2342" s="32"/>
      <c r="E2342" s="32"/>
    </row>
    <row r="2343" spans="1:5" ht="15.75" thickBot="1">
      <c r="A2343" s="32"/>
      <c r="B2343" s="32"/>
      <c r="C2343" s="32"/>
      <c r="D2343" s="32"/>
      <c r="E2343" s="32"/>
    </row>
    <row r="2344" spans="1:5" ht="15.75" thickBot="1">
      <c r="A2344" s="32"/>
      <c r="B2344" s="32"/>
      <c r="C2344" s="32"/>
      <c r="D2344" s="32"/>
      <c r="E2344" s="32"/>
    </row>
    <row r="2345" spans="1:5" ht="15.75" thickBot="1">
      <c r="A2345" s="32"/>
      <c r="B2345" s="32"/>
      <c r="C2345" s="32"/>
      <c r="D2345" s="32"/>
      <c r="E2345" s="32"/>
    </row>
    <row r="2346" spans="1:5" ht="15.75" thickBot="1">
      <c r="A2346" s="32"/>
      <c r="B2346" s="32"/>
      <c r="C2346" s="32"/>
      <c r="D2346" s="32"/>
      <c r="E2346" s="32"/>
    </row>
    <row r="2347" spans="1:5" ht="15.75" thickBot="1">
      <c r="A2347" s="32"/>
      <c r="B2347" s="32"/>
      <c r="C2347" s="32"/>
      <c r="D2347" s="32"/>
      <c r="E2347" s="32"/>
    </row>
    <row r="2348" spans="1:5" ht="15.75" thickBot="1">
      <c r="A2348" s="32"/>
      <c r="B2348" s="32"/>
      <c r="C2348" s="32"/>
      <c r="D2348" s="32"/>
      <c r="E2348" s="32"/>
    </row>
    <row r="2349" spans="1:5" ht="15.75" thickBot="1">
      <c r="A2349" s="32"/>
      <c r="B2349" s="32"/>
      <c r="C2349" s="32"/>
      <c r="D2349" s="32"/>
      <c r="E2349" s="32"/>
    </row>
    <row r="2350" spans="1:5" ht="15.75" thickBot="1">
      <c r="A2350" s="32"/>
      <c r="B2350" s="32"/>
      <c r="C2350" s="32"/>
      <c r="D2350" s="32"/>
      <c r="E2350" s="32"/>
    </row>
    <row r="2351" spans="1:5" ht="15.75" thickBot="1">
      <c r="A2351" s="32"/>
      <c r="B2351" s="32"/>
      <c r="C2351" s="32"/>
      <c r="D2351" s="32"/>
      <c r="E2351" s="32"/>
    </row>
    <row r="2352" spans="1:5" ht="15.75" thickBot="1">
      <c r="A2352" s="32"/>
      <c r="B2352" s="32"/>
      <c r="C2352" s="32"/>
      <c r="D2352" s="32"/>
      <c r="E2352" s="32"/>
    </row>
    <row r="2353" spans="1:5" ht="15.75" thickBot="1">
      <c r="A2353" s="32"/>
      <c r="B2353" s="32"/>
      <c r="C2353" s="32"/>
      <c r="D2353" s="32"/>
      <c r="E2353" s="32"/>
    </row>
    <row r="2354" spans="1:5" ht="15.75" thickBot="1">
      <c r="A2354" s="32"/>
      <c r="B2354" s="32"/>
      <c r="C2354" s="32"/>
      <c r="D2354" s="32"/>
      <c r="E2354" s="32"/>
    </row>
    <row r="2355" spans="1:5" ht="15.75" thickBot="1">
      <c r="A2355" s="32"/>
      <c r="B2355" s="32"/>
      <c r="C2355" s="32"/>
      <c r="D2355" s="32"/>
      <c r="E2355" s="32"/>
    </row>
    <row r="2356" spans="1:5" ht="15.75" thickBot="1">
      <c r="A2356" s="32"/>
      <c r="B2356" s="32"/>
      <c r="C2356" s="32"/>
      <c r="D2356" s="32"/>
      <c r="E2356" s="32"/>
    </row>
    <row r="2357" spans="1:5" ht="15.75" thickBot="1">
      <c r="A2357" s="32"/>
      <c r="B2357" s="32"/>
      <c r="C2357" s="32"/>
      <c r="D2357" s="32"/>
      <c r="E2357" s="32"/>
    </row>
    <row r="2358" spans="1:5" ht="15.75" thickBot="1">
      <c r="A2358" s="32"/>
      <c r="B2358" s="32"/>
      <c r="C2358" s="32"/>
      <c r="D2358" s="32"/>
      <c r="E2358" s="32"/>
    </row>
    <row r="2359" spans="1:5" ht="15.75" thickBot="1">
      <c r="A2359" s="32"/>
      <c r="B2359" s="32"/>
      <c r="C2359" s="32"/>
      <c r="D2359" s="32"/>
      <c r="E2359" s="32"/>
    </row>
    <row r="2360" spans="1:5" ht="15.75" thickBot="1">
      <c r="A2360" s="32"/>
      <c r="B2360" s="32"/>
      <c r="C2360" s="32"/>
      <c r="D2360" s="32"/>
      <c r="E2360" s="32"/>
    </row>
    <row r="2361" spans="1:5" ht="15.75" thickBot="1">
      <c r="A2361" s="32"/>
      <c r="B2361" s="32"/>
      <c r="C2361" s="32"/>
      <c r="D2361" s="32"/>
      <c r="E2361" s="32"/>
    </row>
    <row r="2362" spans="1:5" ht="15.75" thickBot="1">
      <c r="A2362" s="32"/>
      <c r="B2362" s="32"/>
      <c r="C2362" s="32"/>
      <c r="D2362" s="32"/>
      <c r="E2362" s="32"/>
    </row>
    <row r="2363" spans="1:5" ht="15.75" thickBot="1">
      <c r="A2363" s="32"/>
      <c r="B2363" s="32"/>
      <c r="C2363" s="32"/>
      <c r="D2363" s="32"/>
      <c r="E2363" s="32"/>
    </row>
    <row r="2364" spans="1:5" ht="15.75" thickBot="1">
      <c r="A2364" s="32"/>
      <c r="B2364" s="32"/>
      <c r="C2364" s="32"/>
      <c r="D2364" s="32"/>
      <c r="E2364" s="32"/>
    </row>
    <row r="2365" spans="1:5" ht="15.75" thickBot="1">
      <c r="A2365" s="32"/>
      <c r="B2365" s="32"/>
      <c r="C2365" s="32"/>
      <c r="D2365" s="32"/>
      <c r="E2365" s="32"/>
    </row>
    <row r="2366" spans="1:5" ht="15.75" thickBot="1">
      <c r="A2366" s="32"/>
      <c r="B2366" s="32"/>
      <c r="C2366" s="32"/>
      <c r="D2366" s="32"/>
      <c r="E2366" s="32"/>
    </row>
    <row r="2367" spans="1:5" ht="15.75" thickBot="1">
      <c r="A2367" s="32"/>
      <c r="B2367" s="32"/>
      <c r="C2367" s="32"/>
      <c r="D2367" s="32"/>
      <c r="E2367" s="32"/>
    </row>
    <row r="2368" spans="1:5" ht="15.75" thickBot="1">
      <c r="A2368" s="32"/>
      <c r="B2368" s="32"/>
      <c r="C2368" s="32"/>
      <c r="D2368" s="32"/>
      <c r="E2368" s="32"/>
    </row>
    <row r="2369" spans="1:5" ht="15.75" thickBot="1">
      <c r="A2369" s="32"/>
      <c r="B2369" s="32"/>
      <c r="C2369" s="32"/>
      <c r="D2369" s="32"/>
      <c r="E2369" s="32"/>
    </row>
    <row r="2370" spans="1:5" ht="15.75" thickBot="1">
      <c r="A2370" s="32"/>
      <c r="B2370" s="32"/>
      <c r="C2370" s="32"/>
      <c r="D2370" s="32"/>
      <c r="E2370" s="32"/>
    </row>
    <row r="2371" spans="1:5" ht="15.75" thickBot="1">
      <c r="A2371" s="32"/>
      <c r="B2371" s="32"/>
      <c r="C2371" s="32"/>
      <c r="D2371" s="32"/>
      <c r="E2371" s="32"/>
    </row>
    <row r="2372" spans="1:5" ht="15.75" thickBot="1">
      <c r="A2372" s="32"/>
      <c r="B2372" s="32"/>
      <c r="C2372" s="32"/>
      <c r="D2372" s="32"/>
      <c r="E2372" s="32"/>
    </row>
    <row r="2373" spans="1:5" ht="15.75" thickBot="1">
      <c r="A2373" s="32"/>
      <c r="B2373" s="32"/>
      <c r="C2373" s="32"/>
      <c r="D2373" s="32"/>
      <c r="E2373" s="32"/>
    </row>
    <row r="2374" spans="1:5" ht="15.75" thickBot="1">
      <c r="A2374" s="32"/>
      <c r="B2374" s="32"/>
      <c r="C2374" s="32"/>
      <c r="D2374" s="32"/>
      <c r="E2374" s="32"/>
    </row>
    <row r="2375" spans="1:5" ht="15.75" thickBot="1">
      <c r="A2375" s="32"/>
      <c r="B2375" s="32"/>
      <c r="C2375" s="32"/>
      <c r="D2375" s="32"/>
      <c r="E2375" s="32"/>
    </row>
    <row r="2376" spans="1:5" ht="15.75" thickBot="1">
      <c r="A2376" s="32"/>
      <c r="B2376" s="32"/>
      <c r="C2376" s="32"/>
      <c r="D2376" s="32"/>
      <c r="E2376" s="32"/>
    </row>
    <row r="2377" spans="1:5" ht="15.75" thickBot="1">
      <c r="A2377" s="32"/>
      <c r="B2377" s="32"/>
      <c r="C2377" s="32"/>
      <c r="D2377" s="32"/>
      <c r="E2377" s="32"/>
    </row>
    <row r="2378" spans="1:5" ht="15.75" thickBot="1">
      <c r="A2378" s="32"/>
      <c r="B2378" s="32"/>
      <c r="C2378" s="32"/>
      <c r="D2378" s="32"/>
      <c r="E2378" s="32"/>
    </row>
    <row r="2379" spans="1:5" ht="15.75" thickBot="1">
      <c r="A2379" s="32"/>
      <c r="B2379" s="32"/>
      <c r="C2379" s="32"/>
      <c r="D2379" s="32"/>
      <c r="E2379" s="32"/>
    </row>
    <row r="2380" spans="1:5" ht="15.75" thickBot="1">
      <c r="A2380" s="32"/>
      <c r="B2380" s="32"/>
      <c r="C2380" s="32"/>
      <c r="D2380" s="32"/>
      <c r="E2380" s="32"/>
    </row>
    <row r="2381" spans="1:5" ht="15.75" thickBot="1">
      <c r="A2381" s="32"/>
      <c r="B2381" s="32"/>
      <c r="C2381" s="32"/>
      <c r="D2381" s="32"/>
      <c r="E2381" s="32"/>
    </row>
    <row r="2382" spans="1:5" ht="15.75" thickBot="1">
      <c r="A2382" s="32"/>
      <c r="B2382" s="32"/>
      <c r="C2382" s="32"/>
      <c r="D2382" s="32"/>
      <c r="E2382" s="32"/>
    </row>
    <row r="2383" spans="1:5" ht="15.75" thickBot="1">
      <c r="A2383" s="32"/>
      <c r="B2383" s="32"/>
      <c r="C2383" s="32"/>
      <c r="D2383" s="32"/>
      <c r="E2383" s="32"/>
    </row>
    <row r="2384" spans="1:5" ht="15.75" thickBot="1">
      <c r="A2384" s="32"/>
      <c r="B2384" s="32"/>
      <c r="C2384" s="32"/>
      <c r="D2384" s="32"/>
      <c r="E2384" s="32"/>
    </row>
    <row r="2385" spans="1:5" ht="15.75" thickBot="1">
      <c r="A2385" s="32"/>
      <c r="B2385" s="32"/>
      <c r="C2385" s="32"/>
      <c r="D2385" s="32"/>
      <c r="E2385" s="32"/>
    </row>
    <row r="2386" spans="1:5" ht="15.75" thickBot="1">
      <c r="A2386" s="32"/>
      <c r="B2386" s="32"/>
      <c r="C2386" s="32"/>
      <c r="D2386" s="32"/>
      <c r="E2386" s="32"/>
    </row>
    <row r="2387" spans="1:5" ht="15.75" thickBot="1">
      <c r="A2387" s="32"/>
      <c r="B2387" s="32"/>
      <c r="C2387" s="32"/>
      <c r="D2387" s="32"/>
      <c r="E2387" s="32"/>
    </row>
    <row r="2388" spans="1:5" ht="15.75" thickBot="1">
      <c r="A2388" s="32"/>
      <c r="B2388" s="32"/>
      <c r="C2388" s="32"/>
      <c r="D2388" s="32"/>
      <c r="E2388" s="32"/>
    </row>
    <row r="2389" spans="1:5" ht="15.75" thickBot="1">
      <c r="A2389" s="32"/>
      <c r="B2389" s="32"/>
      <c r="C2389" s="32"/>
      <c r="D2389" s="32"/>
      <c r="E2389" s="32"/>
    </row>
    <row r="2390" spans="1:5" ht="15.75" thickBot="1">
      <c r="A2390" s="32"/>
      <c r="B2390" s="32"/>
      <c r="C2390" s="32"/>
      <c r="D2390" s="32"/>
      <c r="E2390" s="32"/>
    </row>
    <row r="2391" spans="1:5" ht="15.75" thickBot="1">
      <c r="A2391" s="32"/>
      <c r="B2391" s="32"/>
      <c r="C2391" s="32"/>
      <c r="D2391" s="32"/>
      <c r="E2391" s="32"/>
    </row>
    <row r="2392" spans="1:5" ht="15.75" thickBot="1">
      <c r="A2392" s="32"/>
      <c r="B2392" s="32"/>
      <c r="C2392" s="32"/>
      <c r="D2392" s="32"/>
      <c r="E2392" s="32"/>
    </row>
    <row r="2393" spans="1:5" ht="15.75" thickBot="1">
      <c r="A2393" s="32"/>
      <c r="B2393" s="32"/>
      <c r="C2393" s="32"/>
      <c r="D2393" s="32"/>
      <c r="E2393" s="32"/>
    </row>
    <row r="2394" spans="1:5" ht="15.75" thickBot="1">
      <c r="A2394" s="32"/>
      <c r="B2394" s="32"/>
      <c r="C2394" s="32"/>
      <c r="D2394" s="32"/>
      <c r="E2394" s="32"/>
    </row>
    <row r="2395" spans="1:5" ht="15.75" thickBot="1">
      <c r="A2395" s="32"/>
      <c r="B2395" s="32"/>
      <c r="C2395" s="32"/>
      <c r="D2395" s="32"/>
      <c r="E2395" s="32"/>
    </row>
    <row r="2396" spans="1:5" ht="15.75" thickBot="1">
      <c r="A2396" s="32"/>
      <c r="B2396" s="32"/>
      <c r="C2396" s="32"/>
      <c r="D2396" s="32"/>
      <c r="E2396" s="32"/>
    </row>
    <row r="2397" spans="1:5" ht="15.75" thickBot="1">
      <c r="A2397" s="32"/>
      <c r="B2397" s="32"/>
      <c r="C2397" s="32"/>
      <c r="D2397" s="32"/>
      <c r="E2397" s="32"/>
    </row>
    <row r="2398" spans="1:5" ht="15.75" thickBot="1">
      <c r="A2398" s="32"/>
      <c r="B2398" s="32"/>
      <c r="C2398" s="32"/>
      <c r="D2398" s="32"/>
      <c r="E2398" s="32"/>
    </row>
    <row r="2399" spans="1:5" ht="15.75" thickBot="1">
      <c r="A2399" s="32"/>
      <c r="B2399" s="32"/>
      <c r="C2399" s="32"/>
      <c r="D2399" s="32"/>
      <c r="E2399" s="32"/>
    </row>
    <row r="2400" spans="1:5" ht="15.75" thickBot="1">
      <c r="A2400" s="32"/>
      <c r="B2400" s="32"/>
      <c r="C2400" s="32"/>
      <c r="D2400" s="32"/>
      <c r="E2400" s="32"/>
    </row>
    <row r="2401" spans="1:5" ht="15.75" thickBot="1">
      <c r="A2401" s="32"/>
      <c r="B2401" s="32"/>
      <c r="C2401" s="32"/>
      <c r="D2401" s="32"/>
      <c r="E2401" s="32"/>
    </row>
    <row r="2402" spans="1:5" ht="15.75" thickBot="1">
      <c r="A2402" s="32"/>
      <c r="B2402" s="32"/>
      <c r="C2402" s="32"/>
      <c r="D2402" s="32"/>
      <c r="E2402" s="32"/>
    </row>
    <row r="2403" spans="1:5" ht="15.75" thickBot="1">
      <c r="A2403" s="32"/>
      <c r="B2403" s="32"/>
      <c r="C2403" s="32"/>
      <c r="D2403" s="32"/>
      <c r="E2403" s="32"/>
    </row>
    <row r="2404" spans="1:5" ht="15.75" thickBot="1">
      <c r="A2404" s="32"/>
      <c r="B2404" s="32"/>
      <c r="C2404" s="32"/>
      <c r="D2404" s="32"/>
      <c r="E2404" s="32"/>
    </row>
    <row r="2405" spans="1:5" ht="15.75" thickBot="1">
      <c r="A2405" s="32"/>
      <c r="B2405" s="32"/>
      <c r="C2405" s="32"/>
      <c r="D2405" s="32"/>
      <c r="E2405" s="32"/>
    </row>
    <row r="2406" spans="1:5" ht="15.75" thickBot="1">
      <c r="A2406" s="32"/>
      <c r="B2406" s="32"/>
      <c r="C2406" s="32"/>
      <c r="D2406" s="32"/>
      <c r="E2406" s="32"/>
    </row>
    <row r="2407" spans="1:5" ht="15.75" thickBot="1">
      <c r="A2407" s="32"/>
      <c r="B2407" s="32"/>
      <c r="C2407" s="32"/>
      <c r="D2407" s="32"/>
      <c r="E2407" s="32"/>
    </row>
    <row r="2408" spans="1:5" ht="15.75" thickBot="1">
      <c r="A2408" s="32"/>
      <c r="B2408" s="32"/>
      <c r="C2408" s="32"/>
      <c r="D2408" s="32"/>
      <c r="E2408" s="32"/>
    </row>
    <row r="2409" spans="1:5" ht="15.75" thickBot="1">
      <c r="A2409" s="32"/>
      <c r="B2409" s="32"/>
      <c r="C2409" s="32"/>
      <c r="D2409" s="32"/>
      <c r="E2409" s="32"/>
    </row>
    <row r="2410" spans="1:5" ht="15.75" thickBot="1">
      <c r="A2410" s="32"/>
      <c r="B2410" s="32"/>
      <c r="C2410" s="32"/>
      <c r="D2410" s="32"/>
      <c r="E2410" s="32"/>
    </row>
    <row r="2411" spans="1:5" ht="15.75" thickBot="1">
      <c r="A2411" s="32"/>
      <c r="B2411" s="32"/>
      <c r="C2411" s="32"/>
      <c r="D2411" s="32"/>
      <c r="E2411" s="32"/>
    </row>
    <row r="2412" spans="1:5" ht="15.75" thickBot="1">
      <c r="A2412" s="32"/>
      <c r="B2412" s="32"/>
      <c r="C2412" s="32"/>
      <c r="D2412" s="32"/>
      <c r="E2412" s="32"/>
    </row>
    <row r="2413" spans="1:5" ht="15.75" thickBot="1">
      <c r="A2413" s="32"/>
      <c r="B2413" s="32"/>
      <c r="C2413" s="32"/>
      <c r="D2413" s="32"/>
      <c r="E2413" s="32"/>
    </row>
    <row r="2414" spans="1:5" ht="15.75" thickBot="1">
      <c r="A2414" s="32"/>
      <c r="B2414" s="32"/>
      <c r="C2414" s="32"/>
      <c r="D2414" s="32"/>
      <c r="E2414" s="32"/>
    </row>
    <row r="2415" spans="1:5" ht="15.75" thickBot="1">
      <c r="A2415" s="32"/>
      <c r="B2415" s="32"/>
      <c r="C2415" s="32"/>
      <c r="D2415" s="32"/>
      <c r="E2415" s="32"/>
    </row>
    <row r="2416" spans="1:5" ht="15.75" thickBot="1">
      <c r="A2416" s="32"/>
      <c r="B2416" s="32"/>
      <c r="C2416" s="32"/>
      <c r="D2416" s="32"/>
      <c r="E2416" s="32"/>
    </row>
    <row r="2417" spans="1:5" ht="15.75" thickBot="1">
      <c r="A2417" s="32"/>
      <c r="B2417" s="32"/>
      <c r="C2417" s="32"/>
      <c r="D2417" s="32"/>
      <c r="E2417" s="32"/>
    </row>
    <row r="2418" spans="1:5" ht="15.75" thickBot="1">
      <c r="A2418" s="32"/>
      <c r="B2418" s="32"/>
      <c r="C2418" s="32"/>
      <c r="D2418" s="32"/>
      <c r="E2418" s="32"/>
    </row>
    <row r="2419" spans="1:5" ht="15.75" thickBot="1">
      <c r="A2419" s="32"/>
      <c r="B2419" s="32"/>
      <c r="C2419" s="32"/>
      <c r="D2419" s="32"/>
      <c r="E2419" s="32"/>
    </row>
    <row r="2420" spans="1:5" ht="15.75" thickBot="1">
      <c r="A2420" s="32"/>
      <c r="B2420" s="32"/>
      <c r="C2420" s="32"/>
      <c r="D2420" s="32"/>
      <c r="E2420" s="32"/>
    </row>
    <row r="2421" spans="1:5" ht="15.75" thickBot="1">
      <c r="A2421" s="32"/>
      <c r="B2421" s="32"/>
      <c r="C2421" s="32"/>
      <c r="D2421" s="32"/>
      <c r="E2421" s="32"/>
    </row>
    <row r="2422" spans="1:5" ht="15.75" thickBot="1">
      <c r="A2422" s="32"/>
      <c r="B2422" s="32"/>
      <c r="C2422" s="32"/>
      <c r="D2422" s="32"/>
      <c r="E2422" s="32"/>
    </row>
    <row r="2423" spans="1:5" ht="15.75" thickBot="1">
      <c r="A2423" s="32"/>
      <c r="B2423" s="32"/>
      <c r="C2423" s="32"/>
      <c r="D2423" s="32"/>
      <c r="E2423" s="32"/>
    </row>
    <row r="2424" spans="1:5" ht="15.75" thickBot="1">
      <c r="A2424" s="32"/>
      <c r="B2424" s="32"/>
      <c r="C2424" s="32"/>
      <c r="D2424" s="32"/>
      <c r="E2424" s="32"/>
    </row>
    <row r="2425" spans="1:5" ht="15.75" thickBot="1">
      <c r="A2425" s="32"/>
      <c r="B2425" s="32"/>
      <c r="C2425" s="32"/>
      <c r="D2425" s="32"/>
      <c r="E2425" s="32"/>
    </row>
    <row r="2426" spans="1:5" ht="15.75" thickBot="1">
      <c r="A2426" s="32"/>
      <c r="B2426" s="32"/>
      <c r="C2426" s="32"/>
      <c r="D2426" s="32"/>
      <c r="E2426" s="32"/>
    </row>
    <row r="2427" spans="1:5" ht="15.75" thickBot="1">
      <c r="A2427" s="32"/>
      <c r="B2427" s="32"/>
      <c r="C2427" s="32"/>
      <c r="D2427" s="32"/>
      <c r="E2427" s="32"/>
    </row>
    <row r="2428" spans="1:5" ht="15.75" thickBot="1">
      <c r="A2428" s="32"/>
      <c r="B2428" s="32"/>
      <c r="C2428" s="32"/>
      <c r="D2428" s="32"/>
      <c r="E2428" s="32"/>
    </row>
    <row r="2429" spans="1:5" ht="15.75" thickBot="1">
      <c r="A2429" s="32"/>
      <c r="B2429" s="32"/>
      <c r="C2429" s="32"/>
      <c r="D2429" s="32"/>
      <c r="E2429" s="32"/>
    </row>
    <row r="2430" spans="1:5" ht="15.75" thickBot="1">
      <c r="A2430" s="32"/>
      <c r="B2430" s="32"/>
      <c r="C2430" s="32"/>
      <c r="D2430" s="32"/>
      <c r="E2430" s="32"/>
    </row>
    <row r="2431" spans="1:5" ht="15.75" thickBot="1">
      <c r="A2431" s="32"/>
      <c r="B2431" s="32"/>
      <c r="C2431" s="32"/>
      <c r="D2431" s="32"/>
      <c r="E2431" s="32"/>
    </row>
    <row r="2432" spans="1:5" ht="15.75" thickBot="1">
      <c r="A2432" s="32"/>
      <c r="B2432" s="32"/>
      <c r="C2432" s="32"/>
      <c r="D2432" s="32"/>
      <c r="E2432" s="32"/>
    </row>
    <row r="2433" spans="1:5" ht="15.75" thickBot="1">
      <c r="A2433" s="32"/>
      <c r="B2433" s="32"/>
      <c r="C2433" s="32"/>
      <c r="D2433" s="32"/>
      <c r="E2433" s="32"/>
    </row>
    <row r="2434" spans="1:5" ht="15.75" thickBot="1">
      <c r="A2434" s="32"/>
      <c r="B2434" s="32"/>
      <c r="C2434" s="32"/>
      <c r="D2434" s="32"/>
      <c r="E2434" s="32"/>
    </row>
    <row r="2435" spans="1:5" ht="15.75" thickBot="1">
      <c r="A2435" s="32"/>
      <c r="B2435" s="32"/>
      <c r="C2435" s="32"/>
      <c r="D2435" s="32"/>
      <c r="E2435" s="32"/>
    </row>
    <row r="2436" spans="1:5" ht="15.75" thickBot="1">
      <c r="A2436" s="32"/>
      <c r="B2436" s="32"/>
      <c r="C2436" s="32"/>
      <c r="D2436" s="32"/>
      <c r="E2436" s="32"/>
    </row>
    <row r="2437" spans="1:5" ht="15.75" thickBot="1">
      <c r="A2437" s="32"/>
      <c r="B2437" s="32"/>
      <c r="C2437" s="32"/>
      <c r="D2437" s="32"/>
      <c r="E2437" s="32"/>
    </row>
    <row r="2438" spans="1:5" ht="15.75" thickBot="1">
      <c r="A2438" s="32"/>
      <c r="B2438" s="32"/>
      <c r="C2438" s="32"/>
      <c r="D2438" s="32"/>
      <c r="E2438" s="32"/>
    </row>
    <row r="2439" spans="1:5" ht="15.75" thickBot="1">
      <c r="A2439" s="32"/>
      <c r="B2439" s="32"/>
      <c r="C2439" s="32"/>
      <c r="D2439" s="32"/>
      <c r="E2439" s="32"/>
    </row>
    <row r="2440" spans="1:5" ht="15.75" thickBot="1">
      <c r="A2440" s="32"/>
      <c r="B2440" s="32"/>
      <c r="C2440" s="32"/>
      <c r="D2440" s="32"/>
      <c r="E2440" s="32"/>
    </row>
    <row r="2441" spans="1:5" ht="15.75" thickBot="1">
      <c r="A2441" s="32"/>
      <c r="B2441" s="32"/>
      <c r="C2441" s="32"/>
      <c r="D2441" s="32"/>
      <c r="E2441" s="32"/>
    </row>
    <row r="2442" spans="1:5" ht="15.75" thickBot="1">
      <c r="A2442" s="32"/>
      <c r="B2442" s="32"/>
      <c r="C2442" s="32"/>
      <c r="D2442" s="32"/>
      <c r="E2442" s="32"/>
    </row>
    <row r="2443" spans="1:5" ht="15.75" thickBot="1">
      <c r="A2443" s="32"/>
      <c r="B2443" s="32"/>
      <c r="C2443" s="32"/>
      <c r="D2443" s="32"/>
      <c r="E2443" s="32"/>
    </row>
    <row r="2444" spans="1:5" ht="15.75" thickBot="1">
      <c r="A2444" s="32"/>
      <c r="B2444" s="32"/>
      <c r="C2444" s="32"/>
      <c r="D2444" s="32"/>
      <c r="E2444" s="32"/>
    </row>
    <row r="2445" spans="1:5" ht="15.75" thickBot="1">
      <c r="A2445" s="32"/>
      <c r="B2445" s="32"/>
      <c r="C2445" s="32"/>
      <c r="D2445" s="32"/>
      <c r="E2445" s="32"/>
    </row>
    <row r="2446" spans="1:5" ht="15.75" thickBot="1">
      <c r="A2446" s="32"/>
      <c r="B2446" s="32"/>
      <c r="C2446" s="32"/>
      <c r="D2446" s="32"/>
      <c r="E2446" s="32"/>
    </row>
    <row r="2447" spans="1:5" ht="15.75" thickBot="1">
      <c r="A2447" s="32"/>
      <c r="B2447" s="32"/>
      <c r="C2447" s="32"/>
      <c r="D2447" s="32"/>
      <c r="E2447" s="32"/>
    </row>
    <row r="2448" spans="1:5" ht="15.75" thickBot="1">
      <c r="A2448" s="32"/>
      <c r="B2448" s="32"/>
      <c r="C2448" s="32"/>
      <c r="D2448" s="32"/>
      <c r="E2448" s="32"/>
    </row>
    <row r="2449" spans="1:5" ht="15.75" thickBot="1">
      <c r="A2449" s="32"/>
      <c r="B2449" s="32"/>
      <c r="C2449" s="32"/>
      <c r="D2449" s="32"/>
      <c r="E2449" s="32"/>
    </row>
    <row r="2450" spans="1:5" ht="15.75" thickBot="1">
      <c r="A2450" s="32"/>
      <c r="B2450" s="32"/>
      <c r="C2450" s="32"/>
      <c r="D2450" s="32"/>
      <c r="E2450" s="32"/>
    </row>
    <row r="2451" spans="1:5" ht="15.75" thickBot="1">
      <c r="A2451" s="32"/>
      <c r="B2451" s="32"/>
      <c r="C2451" s="32"/>
      <c r="D2451" s="32"/>
      <c r="E2451" s="32"/>
    </row>
    <row r="2452" spans="1:5" ht="15.75" thickBot="1">
      <c r="A2452" s="32"/>
      <c r="B2452" s="32"/>
      <c r="C2452" s="32"/>
      <c r="D2452" s="32"/>
      <c r="E2452" s="32"/>
    </row>
    <row r="2453" spans="1:5" ht="15.75" thickBot="1">
      <c r="A2453" s="32"/>
      <c r="B2453" s="32"/>
      <c r="C2453" s="32"/>
      <c r="D2453" s="32"/>
      <c r="E2453" s="32"/>
    </row>
    <row r="2454" spans="1:5" ht="15.75" thickBot="1">
      <c r="A2454" s="32"/>
      <c r="B2454" s="32"/>
      <c r="C2454" s="32"/>
      <c r="D2454" s="32"/>
      <c r="E2454" s="32"/>
    </row>
    <row r="2455" spans="1:5" ht="15.75" thickBot="1">
      <c r="A2455" s="32"/>
      <c r="B2455" s="32"/>
      <c r="C2455" s="32"/>
      <c r="D2455" s="32"/>
      <c r="E2455" s="32"/>
    </row>
    <row r="2456" spans="1:5" ht="15.75" thickBot="1">
      <c r="A2456" s="32"/>
      <c r="B2456" s="32"/>
      <c r="C2456" s="32"/>
      <c r="D2456" s="32"/>
      <c r="E2456" s="32"/>
    </row>
    <row r="2457" spans="1:5" ht="15.75" thickBot="1">
      <c r="A2457" s="32"/>
      <c r="B2457" s="32"/>
      <c r="C2457" s="32"/>
      <c r="D2457" s="32"/>
      <c r="E2457" s="32"/>
    </row>
    <row r="2458" spans="1:5" ht="15.75" thickBot="1">
      <c r="A2458" s="32"/>
      <c r="B2458" s="32"/>
      <c r="C2458" s="32"/>
      <c r="D2458" s="32"/>
      <c r="E2458" s="32"/>
    </row>
    <row r="2459" spans="1:5" ht="15.75" thickBot="1">
      <c r="A2459" s="32"/>
      <c r="B2459" s="32"/>
      <c r="C2459" s="32"/>
      <c r="D2459" s="32"/>
      <c r="E2459" s="32"/>
    </row>
    <row r="2460" spans="1:5" ht="15.75" thickBot="1">
      <c r="A2460" s="32"/>
      <c r="B2460" s="32"/>
      <c r="C2460" s="32"/>
      <c r="D2460" s="32"/>
      <c r="E2460" s="32"/>
    </row>
    <row r="2461" spans="1:5" ht="15.75" thickBot="1">
      <c r="A2461" s="32"/>
      <c r="B2461" s="32"/>
      <c r="C2461" s="32"/>
      <c r="D2461" s="32"/>
      <c r="E2461" s="32"/>
    </row>
    <row r="2462" spans="1:5" ht="15.75" thickBot="1">
      <c r="A2462" s="32"/>
      <c r="B2462" s="32"/>
      <c r="C2462" s="32"/>
      <c r="D2462" s="32"/>
      <c r="E2462" s="32"/>
    </row>
    <row r="2463" spans="1:5" ht="15.75" thickBot="1">
      <c r="A2463" s="32"/>
      <c r="B2463" s="32"/>
      <c r="C2463" s="32"/>
      <c r="D2463" s="32"/>
      <c r="E2463" s="32"/>
    </row>
    <row r="2464" spans="1:5" ht="15.75" thickBot="1">
      <c r="A2464" s="32"/>
      <c r="B2464" s="32"/>
      <c r="C2464" s="32"/>
      <c r="D2464" s="32"/>
      <c r="E2464" s="32"/>
    </row>
    <row r="2465" spans="1:5" ht="15.75" thickBot="1">
      <c r="A2465" s="32"/>
      <c r="B2465" s="32"/>
      <c r="C2465" s="32"/>
      <c r="D2465" s="32"/>
      <c r="E2465" s="32"/>
    </row>
    <row r="2466" spans="1:5" ht="15.75" thickBot="1">
      <c r="A2466" s="32"/>
      <c r="B2466" s="32"/>
      <c r="C2466" s="32"/>
      <c r="D2466" s="32"/>
      <c r="E2466" s="32"/>
    </row>
    <row r="2467" spans="1:5" ht="15.75" thickBot="1">
      <c r="A2467" s="32"/>
      <c r="B2467" s="32"/>
      <c r="C2467" s="32"/>
      <c r="D2467" s="32"/>
      <c r="E2467" s="32"/>
    </row>
    <row r="2468" spans="1:5" ht="15.75" thickBot="1">
      <c r="A2468" s="32"/>
      <c r="B2468" s="32"/>
      <c r="C2468" s="32"/>
      <c r="D2468" s="32"/>
      <c r="E2468" s="32"/>
    </row>
    <row r="2469" spans="1:5" ht="15.75" thickBot="1">
      <c r="A2469" s="32"/>
      <c r="B2469" s="32"/>
      <c r="C2469" s="32"/>
      <c r="D2469" s="32"/>
      <c r="E2469" s="32"/>
    </row>
    <row r="2470" spans="1:5" ht="15.75" thickBot="1">
      <c r="A2470" s="32"/>
      <c r="B2470" s="32"/>
      <c r="C2470" s="32"/>
      <c r="D2470" s="32"/>
      <c r="E2470" s="32"/>
    </row>
    <row r="2471" spans="1:5" ht="15.75" thickBot="1">
      <c r="A2471" s="32"/>
      <c r="B2471" s="32"/>
      <c r="C2471" s="32"/>
      <c r="D2471" s="32"/>
      <c r="E2471" s="32"/>
    </row>
    <row r="2472" spans="1:5" ht="15.75" thickBot="1">
      <c r="A2472" s="32"/>
      <c r="B2472" s="32"/>
      <c r="C2472" s="32"/>
      <c r="D2472" s="32"/>
      <c r="E2472" s="32"/>
    </row>
    <row r="2473" spans="1:5" ht="15.75" thickBot="1">
      <c r="A2473" s="32"/>
      <c r="B2473" s="32"/>
      <c r="C2473" s="32"/>
      <c r="D2473" s="32"/>
      <c r="E2473" s="32"/>
    </row>
    <row r="2474" spans="1:5" ht="15.75" thickBot="1">
      <c r="A2474" s="32"/>
      <c r="B2474" s="32"/>
      <c r="C2474" s="32"/>
      <c r="D2474" s="32"/>
      <c r="E2474" s="32"/>
    </row>
    <row r="2475" spans="1:5" ht="15.75" thickBot="1">
      <c r="A2475" s="32"/>
      <c r="B2475" s="32"/>
      <c r="C2475" s="32"/>
      <c r="D2475" s="32"/>
      <c r="E2475" s="32"/>
    </row>
    <row r="2476" spans="1:5" ht="15.75" thickBot="1">
      <c r="A2476" s="32"/>
      <c r="B2476" s="32"/>
      <c r="C2476" s="32"/>
      <c r="D2476" s="32"/>
      <c r="E2476" s="32"/>
    </row>
    <row r="2477" spans="1:5" ht="15.75" thickBot="1">
      <c r="A2477" s="32"/>
      <c r="B2477" s="32"/>
      <c r="C2477" s="32"/>
      <c r="D2477" s="32"/>
      <c r="E2477" s="32"/>
    </row>
    <row r="2478" spans="1:5" ht="15.75" thickBot="1">
      <c r="A2478" s="32"/>
      <c r="B2478" s="32"/>
      <c r="C2478" s="32"/>
      <c r="D2478" s="32"/>
      <c r="E2478" s="32"/>
    </row>
    <row r="2479" spans="1:5" ht="15.75" thickBot="1">
      <c r="A2479" s="32"/>
      <c r="B2479" s="32"/>
      <c r="C2479" s="32"/>
      <c r="D2479" s="32"/>
      <c r="E2479" s="32"/>
    </row>
    <row r="2480" spans="1:5" ht="15.75" thickBot="1">
      <c r="A2480" s="32"/>
      <c r="B2480" s="32"/>
      <c r="C2480" s="32"/>
      <c r="D2480" s="32"/>
      <c r="E2480" s="32"/>
    </row>
    <row r="2481" spans="1:5" ht="15.75" thickBot="1">
      <c r="A2481" s="32"/>
      <c r="B2481" s="32"/>
      <c r="C2481" s="32"/>
      <c r="D2481" s="32"/>
      <c r="E2481" s="32"/>
    </row>
    <row r="2482" spans="1:5" ht="15.75" thickBot="1">
      <c r="A2482" s="32"/>
      <c r="B2482" s="32"/>
      <c r="C2482" s="32"/>
      <c r="D2482" s="32"/>
      <c r="E2482" s="32"/>
    </row>
    <row r="2483" spans="1:5" ht="15.75" thickBot="1">
      <c r="A2483" s="32"/>
      <c r="B2483" s="32"/>
      <c r="C2483" s="32"/>
      <c r="D2483" s="32"/>
      <c r="E2483" s="32"/>
    </row>
    <row r="2484" spans="1:5" ht="15.75" thickBot="1">
      <c r="A2484" s="32"/>
      <c r="B2484" s="32"/>
      <c r="C2484" s="32"/>
      <c r="D2484" s="32"/>
      <c r="E2484" s="32"/>
    </row>
    <row r="2485" spans="1:5" ht="15.75" thickBot="1">
      <c r="A2485" s="32"/>
      <c r="B2485" s="32"/>
      <c r="C2485" s="32"/>
      <c r="D2485" s="32"/>
      <c r="E2485" s="32"/>
    </row>
    <row r="2486" spans="1:5" ht="15.75" thickBot="1">
      <c r="A2486" s="32"/>
      <c r="B2486" s="32"/>
      <c r="C2486" s="32"/>
      <c r="D2486" s="32"/>
      <c r="E2486" s="32"/>
    </row>
    <row r="2487" spans="1:5" ht="15.75" thickBot="1">
      <c r="A2487" s="32"/>
      <c r="B2487" s="32"/>
      <c r="C2487" s="32"/>
      <c r="D2487" s="32"/>
      <c r="E2487" s="32"/>
    </row>
    <row r="2488" spans="1:5" ht="15.75" thickBot="1">
      <c r="A2488" s="32"/>
      <c r="B2488" s="32"/>
      <c r="C2488" s="32"/>
      <c r="D2488" s="32"/>
      <c r="E2488" s="32"/>
    </row>
    <row r="2489" spans="1:5" ht="15.75" thickBot="1">
      <c r="A2489" s="32"/>
      <c r="B2489" s="32"/>
      <c r="C2489" s="32"/>
      <c r="D2489" s="32"/>
      <c r="E2489" s="32"/>
    </row>
    <row r="2490" spans="1:5" ht="15.75" thickBot="1">
      <c r="A2490" s="32"/>
      <c r="B2490" s="32"/>
      <c r="C2490" s="32"/>
      <c r="D2490" s="32"/>
      <c r="E2490" s="32"/>
    </row>
    <row r="2491" spans="1:5" ht="15.75" thickBot="1">
      <c r="A2491" s="32"/>
      <c r="B2491" s="32"/>
      <c r="C2491" s="32"/>
      <c r="D2491" s="32"/>
      <c r="E2491" s="32"/>
    </row>
    <row r="2492" spans="1:5" ht="15.75" thickBot="1">
      <c r="A2492" s="32"/>
      <c r="B2492" s="32"/>
      <c r="C2492" s="32"/>
      <c r="D2492" s="32"/>
      <c r="E2492" s="32"/>
    </row>
    <row r="2493" spans="1:5" ht="15.75" thickBot="1">
      <c r="A2493" s="32"/>
      <c r="B2493" s="32"/>
      <c r="C2493" s="32"/>
      <c r="D2493" s="32"/>
      <c r="E2493" s="32"/>
    </row>
    <row r="2494" spans="1:5" ht="15.75" thickBot="1">
      <c r="A2494" s="32"/>
      <c r="B2494" s="32"/>
      <c r="C2494" s="32"/>
      <c r="D2494" s="32"/>
      <c r="E2494" s="32"/>
    </row>
    <row r="2495" spans="1:5" ht="15.75" thickBot="1">
      <c r="A2495" s="32"/>
      <c r="B2495" s="32"/>
      <c r="C2495" s="32"/>
      <c r="D2495" s="32"/>
      <c r="E2495" s="32"/>
    </row>
    <row r="2496" spans="1:5" ht="15.75" thickBot="1">
      <c r="A2496" s="32"/>
      <c r="B2496" s="32"/>
      <c r="C2496" s="32"/>
      <c r="D2496" s="32"/>
      <c r="E2496" s="32"/>
    </row>
    <row r="2497" spans="1:5" ht="15.75" thickBot="1">
      <c r="A2497" s="32"/>
      <c r="B2497" s="32"/>
      <c r="C2497" s="32"/>
      <c r="D2497" s="32"/>
      <c r="E2497" s="32"/>
    </row>
    <row r="2498" spans="1:5" ht="15.75" thickBot="1">
      <c r="A2498" s="32"/>
      <c r="B2498" s="32"/>
      <c r="C2498" s="32"/>
      <c r="D2498" s="32"/>
      <c r="E2498" s="32"/>
    </row>
    <row r="2499" spans="1:5" ht="15.75" thickBot="1">
      <c r="A2499" s="32"/>
      <c r="B2499" s="32"/>
      <c r="C2499" s="32"/>
      <c r="D2499" s="32"/>
      <c r="E2499" s="32"/>
    </row>
    <row r="2500" spans="1:5" ht="15.75" thickBot="1">
      <c r="A2500" s="32"/>
      <c r="B2500" s="32"/>
      <c r="C2500" s="32"/>
      <c r="D2500" s="32"/>
      <c r="E2500" s="32"/>
    </row>
    <row r="2501" spans="1:5" ht="15.75" thickBot="1">
      <c r="A2501" s="32"/>
      <c r="B2501" s="32"/>
      <c r="C2501" s="32"/>
      <c r="D2501" s="32"/>
      <c r="E2501" s="32"/>
    </row>
    <row r="2502" spans="1:5" ht="15.75" thickBot="1">
      <c r="A2502" s="32"/>
      <c r="B2502" s="32"/>
      <c r="C2502" s="32"/>
      <c r="D2502" s="32"/>
      <c r="E2502" s="32"/>
    </row>
    <row r="2503" spans="1:5" ht="15.75" thickBot="1">
      <c r="A2503" s="32"/>
      <c r="B2503" s="32"/>
      <c r="C2503" s="32"/>
      <c r="D2503" s="32"/>
      <c r="E2503" s="32"/>
    </row>
    <row r="2504" spans="1:5" ht="15.75" thickBot="1">
      <c r="A2504" s="32"/>
      <c r="B2504" s="32"/>
      <c r="C2504" s="32"/>
      <c r="D2504" s="32"/>
      <c r="E2504" s="32"/>
    </row>
    <row r="2505" spans="1:5" ht="15.75" thickBot="1">
      <c r="A2505" s="32"/>
      <c r="B2505" s="32"/>
      <c r="C2505" s="32"/>
      <c r="D2505" s="32"/>
      <c r="E2505" s="32"/>
    </row>
    <row r="2506" spans="1:5" ht="15.75" thickBot="1">
      <c r="A2506" s="32"/>
      <c r="B2506" s="32"/>
      <c r="C2506" s="32"/>
      <c r="D2506" s="32"/>
      <c r="E2506" s="32"/>
    </row>
    <row r="2507" spans="1:5" ht="15.75" thickBot="1">
      <c r="A2507" s="32"/>
      <c r="B2507" s="32"/>
      <c r="C2507" s="32"/>
      <c r="D2507" s="32"/>
      <c r="E2507" s="32"/>
    </row>
    <row r="2508" spans="1:5" ht="15.75" thickBot="1">
      <c r="A2508" s="32"/>
      <c r="B2508" s="32"/>
      <c r="C2508" s="32"/>
      <c r="D2508" s="32"/>
      <c r="E2508" s="32"/>
    </row>
    <row r="2509" spans="1:5" ht="15.75" thickBot="1">
      <c r="A2509" s="32"/>
      <c r="B2509" s="32"/>
      <c r="C2509" s="32"/>
      <c r="D2509" s="32"/>
      <c r="E2509" s="32"/>
    </row>
    <row r="2510" spans="1:5" ht="15.75" thickBot="1">
      <c r="A2510" s="32"/>
      <c r="B2510" s="32"/>
      <c r="C2510" s="32"/>
      <c r="D2510" s="32"/>
      <c r="E2510" s="32"/>
    </row>
    <row r="2511" spans="1:5" ht="15.75" thickBot="1">
      <c r="A2511" s="32"/>
      <c r="B2511" s="32"/>
      <c r="C2511" s="32"/>
      <c r="D2511" s="32"/>
      <c r="E2511" s="32"/>
    </row>
    <row r="2512" spans="1:5" ht="15.75" thickBot="1">
      <c r="A2512" s="32"/>
      <c r="B2512" s="32"/>
      <c r="C2512" s="32"/>
      <c r="D2512" s="32"/>
      <c r="E2512" s="32"/>
    </row>
    <row r="2513" spans="1:5" ht="15.75" thickBot="1">
      <c r="A2513" s="32"/>
      <c r="B2513" s="32"/>
      <c r="C2513" s="32"/>
      <c r="D2513" s="32"/>
      <c r="E2513" s="32"/>
    </row>
    <row r="2514" spans="1:5" ht="15.75" thickBot="1">
      <c r="A2514" s="32"/>
      <c r="B2514" s="32"/>
      <c r="C2514" s="32"/>
      <c r="D2514" s="32"/>
      <c r="E2514" s="32"/>
    </row>
    <row r="2515" spans="1:5" ht="15.75" thickBot="1">
      <c r="A2515" s="32"/>
      <c r="B2515" s="32"/>
      <c r="C2515" s="32"/>
      <c r="D2515" s="32"/>
      <c r="E2515" s="32"/>
    </row>
    <row r="2516" spans="1:5" ht="15.75" thickBot="1">
      <c r="A2516" s="32"/>
      <c r="B2516" s="32"/>
      <c r="C2516" s="32"/>
      <c r="D2516" s="32"/>
      <c r="E2516" s="32"/>
    </row>
    <row r="2517" spans="1:5" ht="15.75" thickBot="1">
      <c r="A2517" s="32"/>
      <c r="B2517" s="32"/>
      <c r="C2517" s="32"/>
      <c r="D2517" s="32"/>
      <c r="E2517" s="32"/>
    </row>
    <row r="2518" spans="1:5" ht="15.75" thickBot="1">
      <c r="A2518" s="32"/>
      <c r="B2518" s="32"/>
      <c r="C2518" s="32"/>
      <c r="D2518" s="32"/>
      <c r="E2518" s="32"/>
    </row>
    <row r="2519" spans="1:5" ht="15.75" thickBot="1">
      <c r="A2519" s="32"/>
      <c r="B2519" s="32"/>
      <c r="C2519" s="32"/>
      <c r="D2519" s="32"/>
      <c r="E2519" s="32"/>
    </row>
    <row r="2520" spans="1:5" ht="15.75" thickBot="1">
      <c r="A2520" s="32"/>
      <c r="B2520" s="32"/>
      <c r="C2520" s="32"/>
      <c r="D2520" s="32"/>
      <c r="E2520" s="32"/>
    </row>
    <row r="2521" spans="1:5" ht="15.75" thickBot="1">
      <c r="A2521" s="32"/>
      <c r="B2521" s="32"/>
      <c r="C2521" s="32"/>
      <c r="D2521" s="32"/>
      <c r="E2521" s="32"/>
    </row>
    <row r="2522" spans="1:5" ht="15.75" thickBot="1">
      <c r="A2522" s="32"/>
      <c r="B2522" s="32"/>
      <c r="C2522" s="32"/>
      <c r="D2522" s="32"/>
      <c r="E2522" s="32"/>
    </row>
    <row r="2523" spans="1:5" ht="15.75" thickBot="1">
      <c r="A2523" s="32"/>
      <c r="B2523" s="32"/>
      <c r="C2523" s="32"/>
      <c r="D2523" s="32"/>
      <c r="E2523" s="32"/>
    </row>
    <row r="2524" spans="1:5" ht="15.75" thickBot="1">
      <c r="A2524" s="32"/>
      <c r="B2524" s="32"/>
      <c r="C2524" s="32"/>
      <c r="D2524" s="32"/>
      <c r="E2524" s="32"/>
    </row>
    <row r="2525" spans="1:5" ht="15.75" thickBot="1">
      <c r="A2525" s="32"/>
      <c r="B2525" s="32"/>
      <c r="C2525" s="32"/>
      <c r="D2525" s="32"/>
      <c r="E2525" s="32"/>
    </row>
    <row r="2526" spans="1:5" ht="15.75" thickBot="1">
      <c r="A2526" s="32"/>
      <c r="B2526" s="32"/>
      <c r="C2526" s="32"/>
      <c r="D2526" s="32"/>
      <c r="E2526" s="32"/>
    </row>
    <row r="2527" spans="1:5" ht="15.75" thickBot="1">
      <c r="A2527" s="32"/>
      <c r="B2527" s="32"/>
      <c r="C2527" s="32"/>
      <c r="D2527" s="32"/>
      <c r="E2527" s="32"/>
    </row>
    <row r="2528" spans="1:5" ht="15.75" thickBot="1">
      <c r="A2528" s="32"/>
      <c r="B2528" s="32"/>
      <c r="C2528" s="32"/>
      <c r="D2528" s="32"/>
      <c r="E2528" s="32"/>
    </row>
    <row r="2529" spans="1:5" ht="15.75" thickBot="1">
      <c r="A2529" s="32"/>
      <c r="B2529" s="32"/>
      <c r="C2529" s="32"/>
      <c r="D2529" s="32"/>
      <c r="E2529" s="32"/>
    </row>
    <row r="2530" spans="1:5" ht="15.75" thickBot="1">
      <c r="A2530" s="32"/>
      <c r="B2530" s="32"/>
      <c r="C2530" s="32"/>
      <c r="D2530" s="32"/>
      <c r="E2530" s="32"/>
    </row>
    <row r="2531" spans="1:5" ht="15.75" thickBot="1">
      <c r="A2531" s="32"/>
      <c r="B2531" s="32"/>
      <c r="C2531" s="32"/>
      <c r="D2531" s="32"/>
      <c r="E2531" s="32"/>
    </row>
    <row r="2532" spans="1:5" ht="15.75" thickBot="1">
      <c r="A2532" s="32"/>
      <c r="B2532" s="32"/>
      <c r="C2532" s="32"/>
      <c r="D2532" s="32"/>
      <c r="E2532" s="32"/>
    </row>
    <row r="2533" spans="1:5" ht="15.75" thickBot="1">
      <c r="A2533" s="32"/>
      <c r="B2533" s="32"/>
      <c r="C2533" s="32"/>
      <c r="D2533" s="32"/>
      <c r="E2533" s="32"/>
    </row>
    <row r="2534" spans="1:5" ht="15.75" thickBot="1">
      <c r="A2534" s="32"/>
      <c r="B2534" s="32"/>
      <c r="C2534" s="32"/>
      <c r="D2534" s="32"/>
      <c r="E2534" s="32"/>
    </row>
    <row r="2535" spans="1:5" ht="15.75" thickBot="1">
      <c r="A2535" s="32"/>
      <c r="B2535" s="32"/>
      <c r="C2535" s="32"/>
      <c r="D2535" s="32"/>
      <c r="E2535" s="32"/>
    </row>
    <row r="2536" spans="1:5" ht="15.75" thickBot="1">
      <c r="A2536" s="32"/>
      <c r="B2536" s="32"/>
      <c r="C2536" s="32"/>
      <c r="D2536" s="32"/>
      <c r="E2536" s="32"/>
    </row>
    <row r="2537" spans="1:5" ht="15.75" thickBot="1">
      <c r="A2537" s="32"/>
      <c r="B2537" s="32"/>
      <c r="C2537" s="32"/>
      <c r="D2537" s="32"/>
      <c r="E2537" s="32"/>
    </row>
    <row r="2538" spans="1:5" ht="15.75" thickBot="1">
      <c r="A2538" s="32"/>
      <c r="B2538" s="32"/>
      <c r="C2538" s="32"/>
      <c r="D2538" s="32"/>
      <c r="E2538" s="32"/>
    </row>
    <row r="2539" spans="1:5" ht="15.75" thickBot="1">
      <c r="A2539" s="32"/>
      <c r="B2539" s="32"/>
      <c r="C2539" s="32"/>
      <c r="D2539" s="32"/>
      <c r="E2539" s="32"/>
    </row>
    <row r="2540" spans="1:5" ht="15.75" thickBot="1">
      <c r="A2540" s="32"/>
      <c r="B2540" s="32"/>
      <c r="C2540" s="32"/>
      <c r="D2540" s="32"/>
      <c r="E2540" s="32"/>
    </row>
    <row r="2541" spans="1:5" ht="15.75" thickBot="1">
      <c r="A2541" s="32"/>
      <c r="B2541" s="32"/>
      <c r="C2541" s="32"/>
      <c r="D2541" s="32"/>
      <c r="E2541" s="32"/>
    </row>
    <row r="2542" spans="1:5" ht="15.75" thickBot="1">
      <c r="A2542" s="32"/>
      <c r="B2542" s="32"/>
      <c r="C2542" s="32"/>
      <c r="D2542" s="32"/>
      <c r="E2542" s="32"/>
    </row>
    <row r="2543" spans="1:5" ht="15.75" thickBot="1">
      <c r="A2543" s="32"/>
      <c r="B2543" s="32"/>
      <c r="C2543" s="32"/>
      <c r="D2543" s="32"/>
      <c r="E2543" s="32"/>
    </row>
    <row r="2544" spans="1:5" ht="15.75" thickBot="1">
      <c r="A2544" s="32"/>
      <c r="B2544" s="32"/>
      <c r="C2544" s="32"/>
      <c r="D2544" s="32"/>
      <c r="E2544" s="32"/>
    </row>
    <row r="2545" spans="1:5" ht="15.75" thickBot="1">
      <c r="A2545" s="32"/>
      <c r="B2545" s="32"/>
      <c r="C2545" s="32"/>
      <c r="D2545" s="32"/>
      <c r="E2545" s="32"/>
    </row>
    <row r="2546" spans="1:5" ht="15.75" thickBot="1">
      <c r="A2546" s="32"/>
      <c r="B2546" s="32"/>
      <c r="C2546" s="32"/>
      <c r="D2546" s="32"/>
      <c r="E2546" s="32"/>
    </row>
    <row r="2547" spans="1:5" ht="15.75" thickBot="1">
      <c r="A2547" s="32"/>
      <c r="B2547" s="32"/>
      <c r="C2547" s="32"/>
      <c r="D2547" s="32"/>
      <c r="E2547" s="32"/>
    </row>
    <row r="2548" spans="1:5" ht="15.75" thickBot="1">
      <c r="A2548" s="32"/>
      <c r="B2548" s="32"/>
      <c r="C2548" s="32"/>
      <c r="D2548" s="32"/>
      <c r="E2548" s="32"/>
    </row>
    <row r="2549" spans="1:5" ht="15.75" thickBot="1">
      <c r="A2549" s="32"/>
      <c r="B2549" s="32"/>
      <c r="C2549" s="32"/>
      <c r="D2549" s="32"/>
      <c r="E2549" s="32"/>
    </row>
    <row r="2550" spans="1:5" ht="15.75" thickBot="1">
      <c r="A2550" s="32"/>
      <c r="B2550" s="32"/>
      <c r="C2550" s="32"/>
      <c r="D2550" s="32"/>
      <c r="E2550" s="32"/>
    </row>
    <row r="2551" spans="1:5" ht="15.75" thickBot="1">
      <c r="A2551" s="32"/>
      <c r="B2551" s="32"/>
      <c r="C2551" s="32"/>
      <c r="D2551" s="32"/>
      <c r="E2551" s="32"/>
    </row>
    <row r="2552" spans="1:5" ht="15.75" thickBot="1">
      <c r="A2552" s="32"/>
      <c r="B2552" s="32"/>
      <c r="C2552" s="32"/>
      <c r="D2552" s="32"/>
      <c r="E2552" s="32"/>
    </row>
    <row r="2553" spans="1:5" ht="15.75" thickBot="1">
      <c r="A2553" s="32"/>
      <c r="B2553" s="32"/>
      <c r="C2553" s="32"/>
      <c r="D2553" s="32"/>
      <c r="E2553" s="32"/>
    </row>
    <row r="2554" spans="1:5" ht="15.75" thickBot="1">
      <c r="A2554" s="32"/>
      <c r="B2554" s="32"/>
      <c r="C2554" s="32"/>
      <c r="D2554" s="32"/>
      <c r="E2554" s="32"/>
    </row>
    <row r="2555" spans="1:5" ht="15.75" thickBot="1">
      <c r="A2555" s="32"/>
      <c r="B2555" s="32"/>
      <c r="C2555" s="32"/>
      <c r="D2555" s="32"/>
      <c r="E2555" s="32"/>
    </row>
    <row r="2556" spans="1:5" ht="15.75" thickBot="1">
      <c r="A2556" s="32"/>
      <c r="B2556" s="32"/>
      <c r="C2556" s="32"/>
      <c r="D2556" s="32"/>
      <c r="E2556" s="32"/>
    </row>
    <row r="2557" spans="1:5" ht="15.75" thickBot="1">
      <c r="A2557" s="32"/>
      <c r="B2557" s="32"/>
      <c r="C2557" s="32"/>
      <c r="D2557" s="32"/>
      <c r="E2557" s="32"/>
    </row>
    <row r="2558" spans="1:5" ht="15.75" thickBot="1">
      <c r="A2558" s="32"/>
      <c r="B2558" s="32"/>
      <c r="C2558" s="32"/>
      <c r="D2558" s="32"/>
      <c r="E2558" s="32"/>
    </row>
    <row r="2559" spans="1:5" ht="15.75" thickBot="1">
      <c r="A2559" s="32"/>
      <c r="B2559" s="32"/>
      <c r="C2559" s="32"/>
      <c r="D2559" s="32"/>
      <c r="E2559" s="32"/>
    </row>
    <row r="2560" spans="1:5" ht="15.75" thickBot="1">
      <c r="A2560" s="32"/>
      <c r="B2560" s="32"/>
      <c r="C2560" s="32"/>
      <c r="D2560" s="32"/>
      <c r="E2560" s="32"/>
    </row>
    <row r="2561" spans="1:5" ht="15.75" thickBot="1">
      <c r="A2561" s="32"/>
      <c r="B2561" s="32"/>
      <c r="C2561" s="32"/>
      <c r="D2561" s="32"/>
      <c r="E2561" s="32"/>
    </row>
    <row r="2562" spans="1:5" ht="15.75" thickBot="1">
      <c r="A2562" s="32"/>
      <c r="B2562" s="32"/>
      <c r="C2562" s="32"/>
      <c r="D2562" s="32"/>
      <c r="E2562" s="32"/>
    </row>
    <row r="2563" spans="1:5" ht="15.75" thickBot="1">
      <c r="A2563" s="32"/>
      <c r="B2563" s="32"/>
      <c r="C2563" s="32"/>
      <c r="D2563" s="32"/>
      <c r="E2563" s="32"/>
    </row>
    <row r="2564" spans="1:5" ht="15.75" thickBot="1">
      <c r="A2564" s="32"/>
      <c r="B2564" s="32"/>
      <c r="C2564" s="32"/>
      <c r="D2564" s="32"/>
      <c r="E2564" s="32"/>
    </row>
    <row r="2565" spans="1:5" ht="15.75" thickBot="1">
      <c r="A2565" s="32"/>
      <c r="B2565" s="32"/>
      <c r="C2565" s="32"/>
      <c r="D2565" s="32"/>
      <c r="E2565" s="32"/>
    </row>
    <row r="2566" spans="1:5" ht="15.75" thickBot="1">
      <c r="A2566" s="32"/>
      <c r="B2566" s="32"/>
      <c r="C2566" s="32"/>
      <c r="D2566" s="32"/>
      <c r="E2566" s="32"/>
    </row>
    <row r="2567" spans="1:5" ht="15.75" thickBot="1">
      <c r="A2567" s="32"/>
      <c r="B2567" s="32"/>
      <c r="C2567" s="32"/>
      <c r="D2567" s="32"/>
      <c r="E2567" s="32"/>
    </row>
    <row r="2568" spans="1:5" ht="15.75" thickBot="1">
      <c r="A2568" s="32"/>
      <c r="B2568" s="32"/>
      <c r="C2568" s="32"/>
      <c r="D2568" s="32"/>
      <c r="E2568" s="32"/>
    </row>
    <row r="2569" spans="1:5" ht="15.75" thickBot="1">
      <c r="A2569" s="32"/>
      <c r="B2569" s="32"/>
      <c r="C2569" s="32"/>
      <c r="D2569" s="32"/>
      <c r="E2569" s="32"/>
    </row>
    <row r="2570" spans="1:5" ht="15.75" thickBot="1">
      <c r="A2570" s="32"/>
      <c r="B2570" s="32"/>
      <c r="C2570" s="32"/>
      <c r="D2570" s="32"/>
      <c r="E2570" s="32"/>
    </row>
    <row r="2571" spans="1:5" ht="15.75" thickBot="1">
      <c r="A2571" s="32"/>
      <c r="B2571" s="32"/>
      <c r="C2571" s="32"/>
      <c r="D2571" s="32"/>
      <c r="E2571" s="32"/>
    </row>
    <row r="2572" spans="1:5" ht="15.75" thickBot="1">
      <c r="A2572" s="32"/>
      <c r="B2572" s="32"/>
      <c r="C2572" s="32"/>
      <c r="D2572" s="32"/>
      <c r="E2572" s="32"/>
    </row>
    <row r="2573" spans="1:5" ht="15.75" thickBot="1">
      <c r="A2573" s="32"/>
      <c r="B2573" s="32"/>
      <c r="C2573" s="32"/>
      <c r="D2573" s="32"/>
      <c r="E2573" s="32"/>
    </row>
    <row r="2574" spans="1:5" ht="15.75" thickBot="1">
      <c r="A2574" s="32"/>
      <c r="B2574" s="32"/>
      <c r="C2574" s="32"/>
      <c r="D2574" s="32"/>
      <c r="E2574" s="32"/>
    </row>
    <row r="2575" spans="1:5" ht="15.75" thickBot="1">
      <c r="A2575" s="32"/>
      <c r="B2575" s="32"/>
      <c r="C2575" s="32"/>
      <c r="D2575" s="32"/>
      <c r="E2575" s="32"/>
    </row>
    <row r="2576" spans="1:5" ht="15.75" thickBot="1">
      <c r="A2576" s="32"/>
      <c r="B2576" s="32"/>
      <c r="C2576" s="32"/>
      <c r="D2576" s="32"/>
      <c r="E2576" s="32"/>
    </row>
    <row r="2577" spans="1:5" ht="15.75" thickBot="1">
      <c r="A2577" s="32"/>
      <c r="B2577" s="32"/>
      <c r="C2577" s="32"/>
      <c r="D2577" s="32"/>
      <c r="E2577" s="32"/>
    </row>
    <row r="2578" spans="1:5" ht="15.75" thickBot="1">
      <c r="A2578" s="32"/>
      <c r="B2578" s="32"/>
      <c r="C2578" s="32"/>
      <c r="D2578" s="32"/>
      <c r="E2578" s="32"/>
    </row>
    <row r="2579" spans="1:5" ht="15.75" thickBot="1">
      <c r="A2579" s="32"/>
      <c r="B2579" s="32"/>
      <c r="C2579" s="32"/>
      <c r="D2579" s="32"/>
      <c r="E2579" s="32"/>
    </row>
    <row r="2580" spans="1:5" ht="15.75" thickBot="1">
      <c r="A2580" s="32"/>
      <c r="B2580" s="32"/>
      <c r="C2580" s="32"/>
      <c r="D2580" s="32"/>
      <c r="E2580" s="32"/>
    </row>
    <row r="2581" spans="1:5" ht="15.75" thickBot="1">
      <c r="A2581" s="32"/>
      <c r="B2581" s="32"/>
      <c r="C2581" s="32"/>
      <c r="D2581" s="32"/>
      <c r="E2581" s="32"/>
    </row>
    <row r="2582" spans="1:5" ht="15.75" thickBot="1">
      <c r="A2582" s="32"/>
      <c r="B2582" s="32"/>
      <c r="C2582" s="32"/>
      <c r="D2582" s="32"/>
      <c r="E2582" s="32"/>
    </row>
    <row r="2583" spans="1:5" ht="15.75" thickBot="1">
      <c r="A2583" s="32"/>
      <c r="B2583" s="32"/>
      <c r="C2583" s="32"/>
      <c r="D2583" s="32"/>
      <c r="E2583" s="32"/>
    </row>
    <row r="2584" spans="1:5" ht="15.75" thickBot="1">
      <c r="A2584" s="32"/>
      <c r="B2584" s="32"/>
      <c r="C2584" s="32"/>
      <c r="D2584" s="32"/>
      <c r="E2584" s="32"/>
    </row>
    <row r="2585" spans="1:5" ht="15.75" thickBot="1">
      <c r="A2585" s="32"/>
      <c r="B2585" s="32"/>
      <c r="C2585" s="32"/>
      <c r="D2585" s="32"/>
      <c r="E2585" s="32"/>
    </row>
    <row r="2586" spans="1:5" ht="15.75" thickBot="1">
      <c r="A2586" s="32"/>
      <c r="B2586" s="32"/>
      <c r="C2586" s="32"/>
      <c r="D2586" s="32"/>
      <c r="E2586" s="32"/>
    </row>
    <row r="2587" spans="1:5" ht="15.75" thickBot="1">
      <c r="A2587" s="32"/>
      <c r="B2587" s="32"/>
      <c r="C2587" s="32"/>
      <c r="D2587" s="32"/>
      <c r="E2587" s="32"/>
    </row>
    <row r="2588" spans="1:5" ht="15.75" thickBot="1">
      <c r="A2588" s="32"/>
      <c r="B2588" s="32"/>
      <c r="C2588" s="32"/>
      <c r="D2588" s="32"/>
      <c r="E2588" s="32"/>
    </row>
    <row r="2589" spans="1:5" ht="15.75" thickBot="1">
      <c r="A2589" s="32"/>
      <c r="B2589" s="32"/>
      <c r="C2589" s="32"/>
      <c r="D2589" s="32"/>
      <c r="E2589" s="32"/>
    </row>
    <row r="2590" spans="1:5" ht="15.75" thickBot="1">
      <c r="A2590" s="32"/>
      <c r="B2590" s="32"/>
      <c r="C2590" s="32"/>
      <c r="D2590" s="32"/>
      <c r="E2590" s="32"/>
    </row>
    <row r="2591" spans="1:5" ht="15.75" thickBot="1">
      <c r="A2591" s="32"/>
      <c r="B2591" s="32"/>
      <c r="C2591" s="32"/>
      <c r="D2591" s="32"/>
      <c r="E2591" s="32"/>
    </row>
    <row r="2592" spans="1:5" ht="15.75" thickBot="1">
      <c r="A2592" s="32"/>
      <c r="B2592" s="32"/>
      <c r="C2592" s="32"/>
      <c r="D2592" s="32"/>
      <c r="E2592" s="32"/>
    </row>
    <row r="2593" spans="1:5" ht="15.75" thickBot="1">
      <c r="A2593" s="32"/>
      <c r="B2593" s="32"/>
      <c r="C2593" s="32"/>
      <c r="D2593" s="32"/>
      <c r="E2593" s="32"/>
    </row>
    <row r="2594" spans="1:5" ht="15.75" thickBot="1">
      <c r="A2594" s="32"/>
      <c r="B2594" s="32"/>
      <c r="C2594" s="32"/>
      <c r="D2594" s="32"/>
      <c r="E2594" s="32"/>
    </row>
    <row r="2595" spans="1:5" ht="15.75" thickBot="1">
      <c r="A2595" s="32"/>
      <c r="B2595" s="32"/>
      <c r="C2595" s="32"/>
      <c r="D2595" s="32"/>
      <c r="E2595" s="32"/>
    </row>
    <row r="2596" spans="1:5" ht="15.75" thickBot="1">
      <c r="A2596" s="32"/>
      <c r="B2596" s="32"/>
      <c r="C2596" s="32"/>
      <c r="D2596" s="32"/>
      <c r="E2596" s="32"/>
    </row>
    <row r="2597" spans="1:5" ht="15.75" thickBot="1">
      <c r="A2597" s="32"/>
      <c r="B2597" s="32"/>
      <c r="C2597" s="32"/>
      <c r="D2597" s="32"/>
      <c r="E2597" s="32"/>
    </row>
    <row r="2598" spans="1:5" ht="15.75" thickBot="1">
      <c r="A2598" s="32"/>
      <c r="B2598" s="32"/>
      <c r="C2598" s="32"/>
      <c r="D2598" s="32"/>
      <c r="E2598" s="32"/>
    </row>
    <row r="2599" spans="1:5" ht="15.75" thickBot="1">
      <c r="A2599" s="32"/>
      <c r="B2599" s="32"/>
      <c r="C2599" s="32"/>
      <c r="D2599" s="32"/>
      <c r="E2599" s="32"/>
    </row>
    <row r="2600" spans="1:5" ht="15.75" thickBot="1">
      <c r="A2600" s="32"/>
      <c r="B2600" s="32"/>
      <c r="C2600" s="32"/>
      <c r="D2600" s="32"/>
      <c r="E2600" s="32"/>
    </row>
    <row r="2601" spans="1:5" ht="15.75" thickBot="1">
      <c r="A2601" s="32"/>
      <c r="B2601" s="32"/>
      <c r="C2601" s="32"/>
      <c r="D2601" s="32"/>
      <c r="E2601" s="32"/>
    </row>
    <row r="2602" spans="1:5" ht="15.75" thickBot="1">
      <c r="A2602" s="32"/>
      <c r="B2602" s="32"/>
      <c r="C2602" s="32"/>
      <c r="D2602" s="32"/>
      <c r="E2602" s="32"/>
    </row>
    <row r="2603" spans="1:5" ht="15.75" thickBot="1">
      <c r="A2603" s="32"/>
      <c r="B2603" s="32"/>
      <c r="C2603" s="32"/>
      <c r="D2603" s="32"/>
      <c r="E2603" s="32"/>
    </row>
    <row r="2604" spans="1:5" ht="15.75" thickBot="1">
      <c r="A2604" s="32"/>
      <c r="B2604" s="32"/>
      <c r="C2604" s="32"/>
      <c r="D2604" s="32"/>
      <c r="E2604" s="32"/>
    </row>
    <row r="2605" spans="1:5" ht="15.75" thickBot="1">
      <c r="A2605" s="32"/>
      <c r="B2605" s="32"/>
      <c r="C2605" s="32"/>
      <c r="D2605" s="32"/>
      <c r="E2605" s="32"/>
    </row>
    <row r="2606" spans="1:5" ht="15.75" thickBot="1">
      <c r="A2606" s="32"/>
      <c r="B2606" s="32"/>
      <c r="C2606" s="32"/>
      <c r="D2606" s="32"/>
      <c r="E2606" s="32"/>
    </row>
    <row r="2607" spans="1:5" ht="15.75" thickBot="1">
      <c r="A2607" s="32"/>
      <c r="B2607" s="32"/>
      <c r="C2607" s="32"/>
      <c r="D2607" s="32"/>
      <c r="E2607" s="32"/>
    </row>
    <row r="2608" spans="1:5" ht="15.75" thickBot="1">
      <c r="A2608" s="32"/>
      <c r="B2608" s="32"/>
      <c r="C2608" s="32"/>
      <c r="D2608" s="32"/>
      <c r="E2608" s="32"/>
    </row>
    <row r="2609" spans="1:5" ht="15.75" thickBot="1">
      <c r="A2609" s="32"/>
      <c r="B2609" s="32"/>
      <c r="C2609" s="32"/>
      <c r="D2609" s="32"/>
      <c r="E2609" s="32"/>
    </row>
    <row r="2610" spans="1:5" ht="15.75" thickBot="1">
      <c r="A2610" s="32"/>
      <c r="B2610" s="32"/>
      <c r="C2610" s="32"/>
      <c r="D2610" s="32"/>
      <c r="E2610" s="32"/>
    </row>
    <row r="2611" spans="1:5" ht="15.75" thickBot="1">
      <c r="A2611" s="32"/>
      <c r="B2611" s="32"/>
      <c r="C2611" s="32"/>
      <c r="D2611" s="32"/>
      <c r="E2611" s="32"/>
    </row>
    <row r="2612" spans="1:5" ht="15.75" thickBot="1">
      <c r="A2612" s="32"/>
      <c r="B2612" s="32"/>
      <c r="C2612" s="32"/>
      <c r="D2612" s="32"/>
      <c r="E2612" s="32"/>
    </row>
    <row r="2613" spans="1:5" ht="15.75" thickBot="1">
      <c r="A2613" s="32"/>
      <c r="B2613" s="32"/>
      <c r="C2613" s="32"/>
      <c r="D2613" s="32"/>
      <c r="E2613" s="32"/>
    </row>
    <row r="2614" spans="1:5" ht="15.75" thickBot="1">
      <c r="A2614" s="32"/>
      <c r="B2614" s="32"/>
      <c r="C2614" s="32"/>
      <c r="D2614" s="32"/>
      <c r="E2614" s="32"/>
    </row>
    <row r="2615" spans="1:5" ht="15.75" thickBot="1">
      <c r="A2615" s="32"/>
      <c r="B2615" s="32"/>
      <c r="C2615" s="32"/>
      <c r="D2615" s="32"/>
      <c r="E2615" s="32"/>
    </row>
    <row r="2616" spans="1:5" ht="15.75" thickBot="1">
      <c r="A2616" s="32"/>
      <c r="B2616" s="32"/>
      <c r="C2616" s="32"/>
      <c r="D2616" s="32"/>
      <c r="E2616" s="32"/>
    </row>
    <row r="2617" spans="1:5" ht="15.75" thickBot="1">
      <c r="A2617" s="32"/>
      <c r="B2617" s="32"/>
      <c r="C2617" s="32"/>
      <c r="D2617" s="32"/>
      <c r="E2617" s="32"/>
    </row>
    <row r="2618" spans="1:5" ht="15.75" thickBot="1">
      <c r="A2618" s="32"/>
      <c r="B2618" s="32"/>
      <c r="C2618" s="32"/>
      <c r="D2618" s="32"/>
      <c r="E2618" s="32"/>
    </row>
    <row r="2619" spans="1:5" ht="15.75" thickBot="1">
      <c r="A2619" s="32"/>
      <c r="B2619" s="32"/>
      <c r="C2619" s="32"/>
      <c r="D2619" s="32"/>
      <c r="E2619" s="32"/>
    </row>
    <row r="2620" spans="1:5" ht="15.75" thickBot="1">
      <c r="A2620" s="32"/>
      <c r="B2620" s="32"/>
      <c r="C2620" s="32"/>
      <c r="D2620" s="32"/>
      <c r="E2620" s="32"/>
    </row>
    <row r="2621" spans="1:5" ht="15.75" thickBot="1">
      <c r="A2621" s="32"/>
      <c r="B2621" s="32"/>
      <c r="C2621" s="32"/>
      <c r="D2621" s="32"/>
      <c r="E2621" s="32"/>
    </row>
    <row r="2622" spans="1:5" ht="15.75" thickBot="1">
      <c r="A2622" s="32"/>
      <c r="B2622" s="32"/>
      <c r="C2622" s="32"/>
      <c r="D2622" s="32"/>
      <c r="E2622" s="32"/>
    </row>
    <row r="2623" spans="1:5" ht="15.75" thickBot="1">
      <c r="A2623" s="32"/>
      <c r="B2623" s="32"/>
      <c r="C2623" s="32"/>
      <c r="D2623" s="32"/>
      <c r="E2623" s="32"/>
    </row>
    <row r="2624" spans="1:5" ht="15.75" thickBot="1">
      <c r="A2624" s="32"/>
      <c r="B2624" s="32"/>
      <c r="C2624" s="32"/>
      <c r="D2624" s="32"/>
      <c r="E2624" s="32"/>
    </row>
    <row r="2625" spans="1:5" ht="15.75" thickBot="1">
      <c r="A2625" s="32"/>
      <c r="B2625" s="32"/>
      <c r="C2625" s="32"/>
      <c r="D2625" s="32"/>
      <c r="E2625" s="32"/>
    </row>
    <row r="2626" spans="1:5" ht="15.75" thickBot="1">
      <c r="A2626" s="32"/>
      <c r="B2626" s="32"/>
      <c r="C2626" s="32"/>
      <c r="D2626" s="32"/>
      <c r="E2626" s="32"/>
    </row>
    <row r="2627" spans="1:5" ht="15.75" thickBot="1">
      <c r="A2627" s="32"/>
      <c r="B2627" s="32"/>
      <c r="C2627" s="32"/>
      <c r="D2627" s="32"/>
      <c r="E2627" s="32"/>
    </row>
    <row r="2628" spans="1:5" ht="15.75" thickBot="1">
      <c r="A2628" s="32"/>
      <c r="B2628" s="32"/>
      <c r="C2628" s="32"/>
      <c r="D2628" s="32"/>
      <c r="E2628" s="32"/>
    </row>
    <row r="2629" spans="1:5" ht="15.75" thickBot="1">
      <c r="A2629" s="32"/>
      <c r="B2629" s="32"/>
      <c r="C2629" s="32"/>
      <c r="D2629" s="32"/>
      <c r="E2629" s="32"/>
    </row>
    <row r="2630" spans="1:5" ht="15.75" thickBot="1">
      <c r="A2630" s="32"/>
      <c r="B2630" s="32"/>
      <c r="C2630" s="32"/>
      <c r="D2630" s="32"/>
      <c r="E2630" s="32"/>
    </row>
    <row r="2631" spans="1:5" ht="15.75" thickBot="1">
      <c r="A2631" s="32"/>
      <c r="B2631" s="32"/>
      <c r="C2631" s="32"/>
      <c r="D2631" s="32"/>
      <c r="E2631" s="32"/>
    </row>
    <row r="2632" spans="1:5" ht="15.75" thickBot="1">
      <c r="A2632" s="32"/>
      <c r="B2632" s="32"/>
      <c r="C2632" s="32"/>
      <c r="D2632" s="32"/>
      <c r="E2632" s="32"/>
    </row>
    <row r="2633" spans="1:5" ht="15.75" thickBot="1">
      <c r="A2633" s="32"/>
      <c r="B2633" s="32"/>
      <c r="C2633" s="32"/>
      <c r="D2633" s="32"/>
      <c r="E2633" s="32"/>
    </row>
    <row r="2634" spans="1:5" ht="15.75" thickBot="1">
      <c r="A2634" s="32"/>
      <c r="B2634" s="32"/>
      <c r="C2634" s="32"/>
      <c r="D2634" s="32"/>
      <c r="E2634" s="32"/>
    </row>
    <row r="2635" spans="1:5" ht="15.75" thickBot="1">
      <c r="A2635" s="32"/>
      <c r="B2635" s="32"/>
      <c r="C2635" s="32"/>
      <c r="D2635" s="32"/>
      <c r="E2635" s="32"/>
    </row>
    <row r="2636" spans="1:5" ht="15.75" thickBot="1">
      <c r="A2636" s="32"/>
      <c r="B2636" s="32"/>
      <c r="C2636" s="32"/>
      <c r="D2636" s="32"/>
      <c r="E2636" s="32"/>
    </row>
    <row r="2637" spans="1:5" ht="15.75" thickBot="1">
      <c r="A2637" s="32"/>
      <c r="B2637" s="32"/>
      <c r="C2637" s="32"/>
      <c r="D2637" s="32"/>
      <c r="E2637" s="32"/>
    </row>
    <row r="2638" spans="1:5" ht="15.75" thickBot="1">
      <c r="A2638" s="32"/>
      <c r="B2638" s="32"/>
      <c r="C2638" s="32"/>
      <c r="D2638" s="32"/>
      <c r="E2638" s="32"/>
    </row>
    <row r="2639" spans="1:5" ht="15.75" thickBot="1">
      <c r="A2639" s="32"/>
      <c r="B2639" s="32"/>
      <c r="C2639" s="32"/>
      <c r="D2639" s="32"/>
      <c r="E2639" s="32"/>
    </row>
    <row r="2640" spans="1:5" ht="15.75" thickBot="1">
      <c r="A2640" s="32"/>
      <c r="B2640" s="32"/>
      <c r="C2640" s="32"/>
      <c r="D2640" s="32"/>
      <c r="E2640" s="32"/>
    </row>
    <row r="2641" spans="1:5" ht="15.75" thickBot="1">
      <c r="A2641" s="32"/>
      <c r="B2641" s="32"/>
      <c r="C2641" s="32"/>
      <c r="D2641" s="32"/>
      <c r="E2641" s="32"/>
    </row>
    <row r="2642" spans="1:5" ht="15.75" thickBot="1">
      <c r="A2642" s="32"/>
      <c r="B2642" s="32"/>
      <c r="C2642" s="32"/>
      <c r="D2642" s="32"/>
      <c r="E2642" s="32"/>
    </row>
    <row r="2643" spans="1:5" ht="15.75" thickBot="1">
      <c r="A2643" s="32"/>
      <c r="B2643" s="32"/>
      <c r="C2643" s="32"/>
      <c r="D2643" s="32"/>
      <c r="E2643" s="32"/>
    </row>
    <row r="2644" spans="1:5" ht="15.75" thickBot="1">
      <c r="A2644" s="32"/>
      <c r="B2644" s="32"/>
      <c r="C2644" s="32"/>
      <c r="D2644" s="32"/>
      <c r="E2644" s="32"/>
    </row>
    <row r="2645" spans="1:5" ht="15.75" thickBot="1">
      <c r="A2645" s="32"/>
      <c r="B2645" s="32"/>
      <c r="C2645" s="32"/>
      <c r="D2645" s="32"/>
      <c r="E2645" s="32"/>
    </row>
    <row r="2646" spans="1:5" ht="15.75" thickBot="1">
      <c r="A2646" s="32"/>
      <c r="B2646" s="32"/>
      <c r="C2646" s="32"/>
      <c r="D2646" s="32"/>
      <c r="E2646" s="32"/>
    </row>
    <row r="2647" spans="1:5" ht="15.75" thickBot="1">
      <c r="A2647" s="32"/>
      <c r="B2647" s="32"/>
      <c r="C2647" s="32"/>
      <c r="D2647" s="32"/>
      <c r="E2647" s="32"/>
    </row>
    <row r="2648" spans="1:5" ht="15.75" thickBot="1">
      <c r="A2648" s="32"/>
      <c r="B2648" s="32"/>
      <c r="C2648" s="32"/>
      <c r="D2648" s="32"/>
      <c r="E2648" s="32"/>
    </row>
    <row r="2649" spans="1:5" ht="15.75" thickBot="1">
      <c r="A2649" s="32"/>
      <c r="B2649" s="32"/>
      <c r="C2649" s="32"/>
      <c r="D2649" s="32"/>
      <c r="E2649" s="32"/>
    </row>
    <row r="2650" spans="1:5" ht="15.75" thickBot="1">
      <c r="A2650" s="32"/>
      <c r="B2650" s="32"/>
      <c r="C2650" s="32"/>
      <c r="D2650" s="32"/>
      <c r="E2650" s="32"/>
    </row>
    <row r="2651" spans="1:5" ht="15.75" thickBot="1">
      <c r="A2651" s="32"/>
      <c r="B2651" s="32"/>
      <c r="C2651" s="32"/>
      <c r="D2651" s="32"/>
      <c r="E2651" s="32"/>
    </row>
    <row r="2652" spans="1:5" ht="15.75" thickBot="1">
      <c r="A2652" s="32"/>
      <c r="B2652" s="32"/>
      <c r="C2652" s="32"/>
      <c r="D2652" s="32"/>
      <c r="E2652" s="32"/>
    </row>
    <row r="2653" spans="1:5" ht="15.75" thickBot="1">
      <c r="A2653" s="32"/>
      <c r="B2653" s="32"/>
      <c r="C2653" s="32"/>
      <c r="D2653" s="32"/>
      <c r="E2653" s="32"/>
    </row>
    <row r="2654" spans="1:5" ht="15.75" thickBot="1">
      <c r="A2654" s="32"/>
      <c r="B2654" s="32"/>
      <c r="C2654" s="32"/>
      <c r="D2654" s="32"/>
      <c r="E2654" s="32"/>
    </row>
    <row r="2655" spans="1:5" ht="15.75" thickBot="1">
      <c r="A2655" s="32"/>
      <c r="B2655" s="32"/>
      <c r="C2655" s="32"/>
      <c r="D2655" s="32"/>
      <c r="E2655" s="32"/>
    </row>
    <row r="2656" spans="1:5" ht="15.75" thickBot="1">
      <c r="A2656" s="32"/>
      <c r="B2656" s="32"/>
      <c r="C2656" s="32"/>
      <c r="D2656" s="32"/>
      <c r="E2656" s="32"/>
    </row>
    <row r="2657" spans="1:5" ht="15.75" thickBot="1">
      <c r="A2657" s="32"/>
      <c r="B2657" s="32"/>
      <c r="C2657" s="32"/>
      <c r="D2657" s="32"/>
      <c r="E2657" s="32"/>
    </row>
    <row r="2658" spans="1:5" ht="15.75" thickBot="1">
      <c r="A2658" s="32"/>
      <c r="B2658" s="32"/>
      <c r="C2658" s="32"/>
      <c r="D2658" s="32"/>
      <c r="E2658" s="32"/>
    </row>
    <row r="2659" spans="1:5" ht="15.75" thickBot="1">
      <c r="A2659" s="32"/>
      <c r="B2659" s="32"/>
      <c r="C2659" s="32"/>
      <c r="D2659" s="32"/>
      <c r="E2659" s="32"/>
    </row>
    <row r="2660" spans="1:5" ht="15.75" thickBot="1">
      <c r="A2660" s="32"/>
      <c r="B2660" s="32"/>
      <c r="C2660" s="32"/>
      <c r="D2660" s="32"/>
      <c r="E2660" s="32"/>
    </row>
    <row r="2661" spans="1:5" ht="15.75" thickBot="1">
      <c r="A2661" s="32"/>
      <c r="B2661" s="32"/>
      <c r="C2661" s="32"/>
      <c r="D2661" s="32"/>
      <c r="E2661" s="32"/>
    </row>
    <row r="2662" spans="1:5" ht="15.75" thickBot="1">
      <c r="A2662" s="32"/>
      <c r="B2662" s="32"/>
      <c r="C2662" s="32"/>
      <c r="D2662" s="32"/>
      <c r="E2662" s="32"/>
    </row>
    <row r="2663" spans="1:5" ht="15.75" thickBot="1">
      <c r="A2663" s="32"/>
      <c r="B2663" s="32"/>
      <c r="C2663" s="32"/>
      <c r="D2663" s="32"/>
      <c r="E2663" s="32"/>
    </row>
    <row r="2664" spans="1:5" ht="15.75" thickBot="1">
      <c r="A2664" s="32"/>
      <c r="B2664" s="32"/>
      <c r="C2664" s="32"/>
      <c r="D2664" s="32"/>
      <c r="E2664" s="32"/>
    </row>
    <row r="2665" spans="1:5" ht="15.75" thickBot="1">
      <c r="A2665" s="32"/>
      <c r="B2665" s="32"/>
      <c r="C2665" s="32"/>
      <c r="D2665" s="32"/>
      <c r="E2665" s="32"/>
    </row>
    <row r="2666" spans="1:5" ht="15.75" thickBot="1">
      <c r="A2666" s="32"/>
      <c r="B2666" s="32"/>
      <c r="C2666" s="32"/>
      <c r="D2666" s="32"/>
      <c r="E2666" s="32"/>
    </row>
    <row r="2667" spans="1:5" ht="15.75" thickBot="1">
      <c r="A2667" s="32"/>
      <c r="B2667" s="32"/>
      <c r="C2667" s="32"/>
      <c r="D2667" s="32"/>
      <c r="E2667" s="32"/>
    </row>
    <row r="2668" spans="1:5" ht="15.75" thickBot="1">
      <c r="A2668" s="32"/>
      <c r="B2668" s="32"/>
      <c r="C2668" s="32"/>
      <c r="D2668" s="32"/>
      <c r="E2668" s="32"/>
    </row>
    <row r="2669" spans="1:5" ht="15.75" thickBot="1">
      <c r="A2669" s="32"/>
      <c r="B2669" s="32"/>
      <c r="C2669" s="32"/>
      <c r="D2669" s="32"/>
      <c r="E2669" s="32"/>
    </row>
    <row r="2670" spans="1:5" ht="15.75" thickBot="1">
      <c r="A2670" s="32"/>
      <c r="B2670" s="32"/>
      <c r="C2670" s="32"/>
      <c r="D2670" s="32"/>
      <c r="E2670" s="32"/>
    </row>
    <row r="2671" spans="1:5" ht="15.75" thickBot="1">
      <c r="A2671" s="32"/>
      <c r="B2671" s="32"/>
      <c r="C2671" s="32"/>
      <c r="D2671" s="32"/>
      <c r="E2671" s="32"/>
    </row>
    <row r="2672" spans="1:5" ht="15.75" thickBot="1">
      <c r="A2672" s="32"/>
      <c r="B2672" s="32"/>
      <c r="C2672" s="32"/>
      <c r="D2672" s="32"/>
      <c r="E2672" s="32"/>
    </row>
    <row r="2673" spans="1:5" ht="15.75" thickBot="1">
      <c r="A2673" s="32"/>
      <c r="B2673" s="32"/>
      <c r="C2673" s="32"/>
      <c r="D2673" s="32"/>
      <c r="E2673" s="32"/>
    </row>
    <row r="2674" spans="1:5" ht="15.75" thickBot="1">
      <c r="A2674" s="32"/>
      <c r="B2674" s="32"/>
      <c r="C2674" s="32"/>
      <c r="D2674" s="32"/>
      <c r="E2674" s="32"/>
    </row>
    <row r="2675" spans="1:5" ht="15.75" thickBot="1">
      <c r="A2675" s="32"/>
      <c r="B2675" s="32"/>
      <c r="C2675" s="32"/>
      <c r="D2675" s="32"/>
      <c r="E2675" s="32"/>
    </row>
    <row r="2676" spans="1:5" ht="15.75" thickBot="1">
      <c r="A2676" s="32"/>
      <c r="B2676" s="32"/>
      <c r="C2676" s="32"/>
      <c r="D2676" s="32"/>
      <c r="E2676" s="32"/>
    </row>
    <row r="2677" spans="1:5" ht="15.75" thickBot="1">
      <c r="A2677" s="32"/>
      <c r="B2677" s="32"/>
      <c r="C2677" s="32"/>
      <c r="D2677" s="32"/>
      <c r="E2677" s="32"/>
    </row>
    <row r="2678" spans="1:5" ht="15.75" thickBot="1">
      <c r="A2678" s="32"/>
      <c r="B2678" s="32"/>
      <c r="C2678" s="32"/>
      <c r="D2678" s="32"/>
      <c r="E2678" s="32"/>
    </row>
    <row r="2679" spans="1:5" ht="15.75" thickBot="1">
      <c r="A2679" s="32"/>
      <c r="B2679" s="32"/>
      <c r="C2679" s="32"/>
      <c r="D2679" s="32"/>
      <c r="E2679" s="32"/>
    </row>
    <row r="2680" spans="1:5" ht="15.75" thickBot="1">
      <c r="A2680" s="32"/>
      <c r="B2680" s="32"/>
      <c r="C2680" s="32"/>
      <c r="D2680" s="32"/>
      <c r="E2680" s="32"/>
    </row>
    <row r="2681" spans="1:5" ht="15.75" thickBot="1">
      <c r="A2681" s="32"/>
      <c r="B2681" s="32"/>
      <c r="C2681" s="32"/>
      <c r="D2681" s="32"/>
      <c r="E2681" s="32"/>
    </row>
    <row r="2682" spans="1:5" ht="15.75" thickBot="1">
      <c r="A2682" s="32"/>
      <c r="B2682" s="32"/>
      <c r="C2682" s="32"/>
      <c r="D2682" s="32"/>
      <c r="E2682" s="32"/>
    </row>
    <row r="2683" spans="1:5" ht="15.75" thickBot="1">
      <c r="A2683" s="32"/>
      <c r="B2683" s="32"/>
      <c r="C2683" s="32"/>
      <c r="D2683" s="32"/>
      <c r="E2683" s="32"/>
    </row>
    <row r="2684" spans="1:5" ht="15.75" thickBot="1">
      <c r="A2684" s="32"/>
      <c r="B2684" s="32"/>
      <c r="C2684" s="32"/>
      <c r="D2684" s="32"/>
      <c r="E2684" s="32"/>
    </row>
    <row r="2685" spans="1:5" ht="15.75" thickBot="1">
      <c r="A2685" s="32"/>
      <c r="B2685" s="32"/>
      <c r="C2685" s="32"/>
      <c r="D2685" s="32"/>
      <c r="E2685" s="32"/>
    </row>
    <row r="2686" spans="1:5" ht="15.75" thickBot="1">
      <c r="A2686" s="32"/>
      <c r="B2686" s="32"/>
      <c r="C2686" s="32"/>
      <c r="D2686" s="32"/>
      <c r="E2686" s="32"/>
    </row>
    <row r="2687" spans="1:5" ht="15.75" thickBot="1">
      <c r="A2687" s="32"/>
      <c r="B2687" s="32"/>
      <c r="C2687" s="32"/>
      <c r="D2687" s="32"/>
      <c r="E2687" s="32"/>
    </row>
    <row r="2688" spans="1:5" ht="15.75" thickBot="1">
      <c r="A2688" s="32"/>
      <c r="B2688" s="32"/>
      <c r="C2688" s="32"/>
      <c r="D2688" s="32"/>
      <c r="E2688" s="32"/>
    </row>
    <row r="2689" spans="1:5" ht="15.75" thickBot="1">
      <c r="A2689" s="32"/>
      <c r="B2689" s="32"/>
      <c r="C2689" s="32"/>
      <c r="D2689" s="32"/>
      <c r="E2689" s="32"/>
    </row>
    <row r="2690" spans="1:5" ht="15.75" thickBot="1">
      <c r="A2690" s="32"/>
      <c r="B2690" s="32"/>
      <c r="C2690" s="32"/>
      <c r="D2690" s="32"/>
      <c r="E2690" s="32"/>
    </row>
    <row r="2691" spans="1:5" ht="15.75" thickBot="1">
      <c r="A2691" s="32"/>
      <c r="B2691" s="32"/>
      <c r="C2691" s="32"/>
      <c r="D2691" s="32"/>
      <c r="E2691" s="32"/>
    </row>
    <row r="2692" spans="1:5" ht="15.75" thickBot="1">
      <c r="A2692" s="32"/>
      <c r="B2692" s="32"/>
      <c r="C2692" s="32"/>
      <c r="D2692" s="32"/>
      <c r="E2692" s="32"/>
    </row>
    <row r="2693" spans="1:5" ht="15.75" thickBot="1">
      <c r="A2693" s="32"/>
      <c r="B2693" s="32"/>
      <c r="C2693" s="32"/>
      <c r="D2693" s="32"/>
      <c r="E2693" s="32"/>
    </row>
    <row r="2694" spans="1:5" ht="15.75" thickBot="1">
      <c r="A2694" s="32"/>
      <c r="B2694" s="32"/>
      <c r="C2694" s="32"/>
      <c r="D2694" s="32"/>
      <c r="E2694" s="32"/>
    </row>
    <row r="2695" spans="1:5" ht="15.75" thickBot="1">
      <c r="A2695" s="32"/>
      <c r="B2695" s="32"/>
      <c r="C2695" s="32"/>
      <c r="D2695" s="32"/>
      <c r="E2695" s="32"/>
    </row>
    <row r="2696" spans="1:5" ht="15.75" thickBot="1">
      <c r="A2696" s="32"/>
      <c r="B2696" s="32"/>
      <c r="C2696" s="32"/>
      <c r="D2696" s="32"/>
      <c r="E2696" s="32"/>
    </row>
    <row r="2697" spans="1:5" ht="15.75" thickBot="1">
      <c r="A2697" s="32"/>
      <c r="B2697" s="32"/>
      <c r="C2697" s="32"/>
      <c r="D2697" s="32"/>
      <c r="E2697" s="32"/>
    </row>
    <row r="2698" spans="1:5" ht="15.75" thickBot="1">
      <c r="A2698" s="32"/>
      <c r="B2698" s="32"/>
      <c r="C2698" s="32"/>
      <c r="D2698" s="32"/>
      <c r="E2698" s="32"/>
    </row>
    <row r="2699" spans="1:5" ht="15.75" thickBot="1">
      <c r="A2699" s="32"/>
      <c r="B2699" s="32"/>
      <c r="C2699" s="32"/>
      <c r="D2699" s="32"/>
      <c r="E2699" s="32"/>
    </row>
    <row r="2700" spans="1:5" ht="15.75" thickBot="1">
      <c r="A2700" s="32"/>
      <c r="B2700" s="32"/>
      <c r="C2700" s="32"/>
      <c r="D2700" s="32"/>
      <c r="E2700" s="32"/>
    </row>
    <row r="2701" spans="1:5" ht="15.75" thickBot="1">
      <c r="A2701" s="32"/>
      <c r="B2701" s="32"/>
      <c r="C2701" s="32"/>
      <c r="D2701" s="32"/>
      <c r="E2701" s="32"/>
    </row>
    <row r="2702" spans="1:5" ht="15.75" thickBot="1">
      <c r="A2702" s="32"/>
      <c r="B2702" s="32"/>
      <c r="C2702" s="32"/>
      <c r="D2702" s="32"/>
      <c r="E2702" s="32"/>
    </row>
    <row r="2703" spans="1:5" ht="15.75" thickBot="1">
      <c r="A2703" s="32"/>
      <c r="B2703" s="32"/>
      <c r="C2703" s="32"/>
      <c r="D2703" s="32"/>
      <c r="E2703" s="32"/>
    </row>
    <row r="2704" spans="1:5" ht="15.75" thickBot="1">
      <c r="A2704" s="32"/>
      <c r="B2704" s="32"/>
      <c r="C2704" s="32"/>
      <c r="D2704" s="32"/>
      <c r="E2704" s="32"/>
    </row>
    <row r="2705" spans="1:5" ht="15.75" thickBot="1">
      <c r="A2705" s="32"/>
      <c r="B2705" s="32"/>
      <c r="C2705" s="32"/>
      <c r="D2705" s="32"/>
      <c r="E2705" s="32"/>
    </row>
    <row r="2706" spans="1:5" ht="15.75" thickBot="1">
      <c r="A2706" s="32"/>
      <c r="B2706" s="32"/>
      <c r="C2706" s="32"/>
      <c r="D2706" s="32"/>
      <c r="E2706" s="32"/>
    </row>
    <row r="2707" spans="1:5" ht="15.75" thickBot="1">
      <c r="A2707" s="32"/>
      <c r="B2707" s="32"/>
      <c r="C2707" s="32"/>
      <c r="D2707" s="32"/>
      <c r="E2707" s="32"/>
    </row>
    <row r="2708" spans="1:5" ht="15.75" thickBot="1">
      <c r="A2708" s="32"/>
      <c r="B2708" s="32"/>
      <c r="C2708" s="32"/>
      <c r="D2708" s="32"/>
      <c r="E2708" s="32"/>
    </row>
    <row r="2709" spans="1:5" ht="15.75" thickBot="1">
      <c r="A2709" s="32"/>
      <c r="B2709" s="32"/>
      <c r="C2709" s="32"/>
      <c r="D2709" s="32"/>
      <c r="E2709" s="32"/>
    </row>
    <row r="2710" spans="1:5" ht="15.75" thickBot="1">
      <c r="A2710" s="32"/>
      <c r="B2710" s="32"/>
      <c r="C2710" s="32"/>
      <c r="D2710" s="32"/>
      <c r="E2710" s="32"/>
    </row>
    <row r="2711" spans="1:5" ht="15.75" thickBot="1">
      <c r="A2711" s="32"/>
      <c r="B2711" s="32"/>
      <c r="C2711" s="32"/>
      <c r="D2711" s="32"/>
      <c r="E2711" s="32"/>
    </row>
    <row r="2712" spans="1:5" ht="15.75" thickBot="1">
      <c r="A2712" s="32"/>
      <c r="B2712" s="32"/>
      <c r="C2712" s="32"/>
      <c r="D2712" s="32"/>
      <c r="E2712" s="32"/>
    </row>
    <row r="2713" spans="1:5" ht="15.75" thickBot="1">
      <c r="A2713" s="32"/>
      <c r="B2713" s="32"/>
      <c r="C2713" s="32"/>
      <c r="D2713" s="32"/>
      <c r="E2713" s="32"/>
    </row>
    <row r="2714" spans="1:5" ht="15.75" thickBot="1">
      <c r="A2714" s="32"/>
      <c r="B2714" s="32"/>
      <c r="C2714" s="32"/>
      <c r="D2714" s="32"/>
      <c r="E2714" s="32"/>
    </row>
    <row r="2715" spans="1:5" ht="15.75" thickBot="1">
      <c r="A2715" s="32"/>
      <c r="B2715" s="32"/>
      <c r="C2715" s="32"/>
      <c r="D2715" s="32"/>
      <c r="E2715" s="32"/>
    </row>
    <row r="2716" spans="1:5" ht="15.75" thickBot="1">
      <c r="A2716" s="32"/>
      <c r="B2716" s="32"/>
      <c r="C2716" s="32"/>
      <c r="D2716" s="32"/>
      <c r="E2716" s="32"/>
    </row>
    <row r="2717" spans="1:5" ht="15.75" thickBot="1">
      <c r="A2717" s="32"/>
      <c r="B2717" s="32"/>
      <c r="C2717" s="32"/>
      <c r="D2717" s="32"/>
      <c r="E2717" s="32"/>
    </row>
    <row r="2718" spans="1:5" ht="15.75" thickBot="1">
      <c r="A2718" s="32"/>
      <c r="B2718" s="32"/>
      <c r="C2718" s="32"/>
      <c r="D2718" s="32"/>
      <c r="E2718" s="32"/>
    </row>
    <row r="2719" spans="1:5" ht="15.75" thickBot="1">
      <c r="A2719" s="32"/>
      <c r="B2719" s="32"/>
      <c r="C2719" s="32"/>
      <c r="D2719" s="32"/>
      <c r="E2719" s="32"/>
    </row>
    <row r="2720" spans="1:5" ht="15.75" thickBot="1">
      <c r="A2720" s="32"/>
      <c r="B2720" s="32"/>
      <c r="C2720" s="32"/>
      <c r="D2720" s="32"/>
      <c r="E2720" s="32"/>
    </row>
    <row r="2721" spans="1:5" ht="15.75" thickBot="1">
      <c r="A2721" s="32"/>
      <c r="B2721" s="32"/>
      <c r="C2721" s="32"/>
      <c r="D2721" s="32"/>
      <c r="E2721" s="32"/>
    </row>
    <row r="2722" spans="1:5" ht="15.75" thickBot="1">
      <c r="A2722" s="32"/>
      <c r="B2722" s="32"/>
      <c r="C2722" s="32"/>
      <c r="D2722" s="32"/>
      <c r="E2722" s="32"/>
    </row>
    <row r="2723" spans="1:5" ht="15.75" thickBot="1">
      <c r="A2723" s="32"/>
      <c r="B2723" s="32"/>
      <c r="C2723" s="32"/>
      <c r="D2723" s="32"/>
      <c r="E2723" s="32"/>
    </row>
    <row r="2724" spans="1:5" ht="15.75" thickBot="1">
      <c r="A2724" s="32"/>
      <c r="B2724" s="32"/>
      <c r="C2724" s="32"/>
      <c r="D2724" s="32"/>
      <c r="E2724" s="32"/>
    </row>
    <row r="2725" spans="1:5" ht="15.75" thickBot="1">
      <c r="A2725" s="32"/>
      <c r="B2725" s="32"/>
      <c r="C2725" s="32"/>
      <c r="D2725" s="32"/>
      <c r="E2725" s="32"/>
    </row>
    <row r="2726" spans="1:5" ht="15.75" thickBot="1">
      <c r="A2726" s="32"/>
      <c r="B2726" s="32"/>
      <c r="C2726" s="32"/>
      <c r="D2726" s="32"/>
      <c r="E2726" s="32"/>
    </row>
    <row r="2727" spans="1:5" ht="15.75" thickBot="1">
      <c r="A2727" s="32"/>
      <c r="B2727" s="32"/>
      <c r="C2727" s="32"/>
      <c r="D2727" s="32"/>
      <c r="E2727" s="32"/>
    </row>
    <row r="2728" spans="1:5" ht="15.75" thickBot="1">
      <c r="A2728" s="32"/>
      <c r="B2728" s="32"/>
      <c r="C2728" s="32"/>
      <c r="D2728" s="32"/>
      <c r="E2728" s="32"/>
    </row>
    <row r="2729" spans="1:5" ht="15.75" thickBot="1">
      <c r="A2729" s="32"/>
      <c r="B2729" s="32"/>
      <c r="C2729" s="32"/>
      <c r="D2729" s="32"/>
      <c r="E2729" s="32"/>
    </row>
    <row r="2730" spans="1:5" ht="15.75" thickBot="1">
      <c r="A2730" s="32"/>
      <c r="B2730" s="32"/>
      <c r="C2730" s="32"/>
      <c r="D2730" s="32"/>
      <c r="E2730" s="32"/>
    </row>
    <row r="2731" spans="1:5" ht="15.75" thickBot="1">
      <c r="A2731" s="32"/>
      <c r="B2731" s="32"/>
      <c r="C2731" s="32"/>
      <c r="D2731" s="32"/>
      <c r="E2731" s="32"/>
    </row>
    <row r="2732" spans="1:5" ht="15.75" thickBot="1">
      <c r="A2732" s="32"/>
      <c r="B2732" s="32"/>
      <c r="C2732" s="32"/>
      <c r="D2732" s="32"/>
      <c r="E2732" s="32"/>
    </row>
    <row r="2733" spans="1:5" ht="15.75" thickBot="1">
      <c r="A2733" s="32"/>
      <c r="B2733" s="32"/>
      <c r="C2733" s="32"/>
      <c r="D2733" s="32"/>
      <c r="E2733" s="32"/>
    </row>
    <row r="2734" spans="1:5" ht="15.75" thickBot="1">
      <c r="A2734" s="32"/>
      <c r="B2734" s="32"/>
      <c r="C2734" s="32"/>
      <c r="D2734" s="32"/>
      <c r="E2734" s="32"/>
    </row>
    <row r="2735" spans="1:5" ht="15.75" thickBot="1">
      <c r="A2735" s="32"/>
      <c r="B2735" s="32"/>
      <c r="C2735" s="32"/>
      <c r="D2735" s="32"/>
      <c r="E2735" s="32"/>
    </row>
    <row r="2736" spans="1:5" ht="15.75" thickBot="1">
      <c r="A2736" s="32"/>
      <c r="B2736" s="32"/>
      <c r="C2736" s="32"/>
      <c r="D2736" s="32"/>
      <c r="E2736" s="32"/>
    </row>
    <row r="2737" spans="1:5" ht="15.75" thickBot="1">
      <c r="A2737" s="32"/>
      <c r="B2737" s="32"/>
      <c r="C2737" s="32"/>
      <c r="D2737" s="32"/>
      <c r="E2737" s="32"/>
    </row>
    <row r="2738" spans="1:5" ht="15.75" thickBot="1">
      <c r="A2738" s="32"/>
      <c r="B2738" s="32"/>
      <c r="C2738" s="32"/>
      <c r="D2738" s="32"/>
      <c r="E2738" s="32"/>
    </row>
    <row r="2739" spans="1:5" ht="15.75" thickBot="1">
      <c r="A2739" s="32"/>
      <c r="B2739" s="32"/>
      <c r="C2739" s="32"/>
      <c r="D2739" s="32"/>
      <c r="E2739" s="32"/>
    </row>
    <row r="2740" spans="1:5" ht="15.75" thickBot="1">
      <c r="A2740" s="32"/>
      <c r="B2740" s="32"/>
      <c r="C2740" s="32"/>
      <c r="D2740" s="32"/>
      <c r="E2740" s="32"/>
    </row>
    <row r="2741" spans="1:5" ht="15.75" thickBot="1">
      <c r="A2741" s="32"/>
      <c r="B2741" s="32"/>
      <c r="C2741" s="32"/>
      <c r="D2741" s="32"/>
      <c r="E2741" s="32"/>
    </row>
    <row r="2742" spans="1:5" ht="15.75" thickBot="1">
      <c r="A2742" s="32"/>
      <c r="B2742" s="32"/>
      <c r="C2742" s="32"/>
      <c r="D2742" s="32"/>
      <c r="E2742" s="32"/>
    </row>
    <row r="2743" spans="1:5" ht="15.75" thickBot="1">
      <c r="A2743" s="32"/>
      <c r="B2743" s="32"/>
      <c r="C2743" s="32"/>
      <c r="D2743" s="32"/>
      <c r="E2743" s="32"/>
    </row>
    <row r="2744" spans="1:5" ht="15.75" thickBot="1">
      <c r="A2744" s="32"/>
      <c r="B2744" s="32"/>
      <c r="C2744" s="32"/>
      <c r="D2744" s="32"/>
      <c r="E2744" s="32"/>
    </row>
    <row r="2745" spans="1:5" ht="15.75" thickBot="1">
      <c r="A2745" s="32"/>
      <c r="B2745" s="32"/>
      <c r="C2745" s="32"/>
      <c r="D2745" s="32"/>
      <c r="E2745" s="32"/>
    </row>
    <row r="2746" spans="1:5" ht="15.75" thickBot="1">
      <c r="A2746" s="32"/>
      <c r="B2746" s="32"/>
      <c r="C2746" s="32"/>
      <c r="D2746" s="32"/>
      <c r="E2746" s="32"/>
    </row>
    <row r="2747" spans="1:5" ht="15.75" thickBot="1">
      <c r="A2747" s="32"/>
      <c r="B2747" s="32"/>
      <c r="C2747" s="32"/>
      <c r="D2747" s="32"/>
      <c r="E2747" s="32"/>
    </row>
    <row r="2748" spans="1:5" ht="15.75" thickBot="1">
      <c r="A2748" s="32"/>
      <c r="B2748" s="32"/>
      <c r="C2748" s="32"/>
      <c r="D2748" s="32"/>
      <c r="E2748" s="32"/>
    </row>
    <row r="2749" spans="1:5" ht="15.75" thickBot="1">
      <c r="A2749" s="32"/>
      <c r="B2749" s="32"/>
      <c r="C2749" s="32"/>
      <c r="D2749" s="32"/>
      <c r="E2749" s="32"/>
    </row>
    <row r="2750" spans="1:5" ht="15.75" thickBot="1">
      <c r="A2750" s="32"/>
      <c r="B2750" s="32"/>
      <c r="C2750" s="32"/>
      <c r="D2750" s="32"/>
      <c r="E2750" s="32"/>
    </row>
    <row r="2751" spans="1:5" ht="15.75" thickBot="1">
      <c r="A2751" s="32"/>
      <c r="B2751" s="32"/>
      <c r="C2751" s="32"/>
      <c r="D2751" s="32"/>
      <c r="E2751" s="32"/>
    </row>
    <row r="2752" spans="1:5" ht="15.75" thickBot="1">
      <c r="A2752" s="32"/>
      <c r="B2752" s="32"/>
      <c r="C2752" s="32"/>
      <c r="D2752" s="32"/>
      <c r="E2752" s="32"/>
    </row>
    <row r="2753" spans="1:5" ht="15.75" thickBot="1">
      <c r="A2753" s="32"/>
      <c r="B2753" s="32"/>
      <c r="C2753" s="32"/>
      <c r="D2753" s="32"/>
      <c r="E2753" s="32"/>
    </row>
    <row r="2754" spans="1:5" ht="15.75" thickBot="1">
      <c r="A2754" s="32"/>
      <c r="B2754" s="32"/>
      <c r="C2754" s="32"/>
      <c r="D2754" s="32"/>
      <c r="E2754" s="32"/>
    </row>
    <row r="2755" spans="1:5" ht="15.75" thickBot="1">
      <c r="A2755" s="32"/>
      <c r="B2755" s="32"/>
      <c r="C2755" s="32"/>
      <c r="D2755" s="32"/>
      <c r="E2755" s="32"/>
    </row>
    <row r="2756" spans="1:5" ht="15.75" thickBot="1">
      <c r="A2756" s="32"/>
      <c r="B2756" s="32"/>
      <c r="C2756" s="32"/>
      <c r="D2756" s="32"/>
      <c r="E2756" s="32"/>
    </row>
    <row r="2757" spans="1:5" ht="15.75" thickBot="1">
      <c r="A2757" s="32"/>
      <c r="B2757" s="32"/>
      <c r="C2757" s="32"/>
      <c r="D2757" s="32"/>
      <c r="E2757" s="32"/>
    </row>
    <row r="2758" spans="1:5" ht="15.75" thickBot="1">
      <c r="A2758" s="32"/>
      <c r="B2758" s="32"/>
      <c r="C2758" s="32"/>
      <c r="D2758" s="32"/>
      <c r="E2758" s="32"/>
    </row>
    <row r="2759" spans="1:5" ht="15.75" thickBot="1">
      <c r="A2759" s="32"/>
      <c r="B2759" s="32"/>
      <c r="C2759" s="32"/>
      <c r="D2759" s="32"/>
      <c r="E2759" s="32"/>
    </row>
    <row r="2760" spans="1:5" ht="15.75" thickBot="1">
      <c r="A2760" s="32"/>
      <c r="B2760" s="32"/>
      <c r="C2760" s="32"/>
      <c r="D2760" s="32"/>
      <c r="E2760" s="32"/>
    </row>
    <row r="2761" spans="1:5" ht="15.75" thickBot="1">
      <c r="A2761" s="32"/>
      <c r="B2761" s="32"/>
      <c r="C2761" s="32"/>
      <c r="D2761" s="32"/>
      <c r="E2761" s="32"/>
    </row>
    <row r="2762" spans="1:5" ht="15.75" thickBot="1">
      <c r="A2762" s="32"/>
      <c r="B2762" s="32"/>
      <c r="C2762" s="32"/>
      <c r="D2762" s="32"/>
      <c r="E2762" s="32"/>
    </row>
    <row r="2763" spans="1:5" ht="15.75" thickBot="1">
      <c r="A2763" s="32"/>
      <c r="B2763" s="32"/>
      <c r="C2763" s="32"/>
      <c r="D2763" s="32"/>
      <c r="E2763" s="32"/>
    </row>
    <row r="2764" spans="1:5" ht="15.75" thickBot="1">
      <c r="A2764" s="32"/>
      <c r="B2764" s="32"/>
      <c r="C2764" s="32"/>
      <c r="D2764" s="32"/>
      <c r="E2764" s="32"/>
    </row>
    <row r="2765" spans="1:5" ht="15.75" thickBot="1">
      <c r="A2765" s="32"/>
      <c r="B2765" s="32"/>
      <c r="C2765" s="32"/>
      <c r="D2765" s="32"/>
      <c r="E2765" s="32"/>
    </row>
    <row r="2766" spans="1:5" ht="15.75" thickBot="1">
      <c r="A2766" s="32"/>
      <c r="B2766" s="32"/>
      <c r="C2766" s="32"/>
      <c r="D2766" s="32"/>
      <c r="E2766" s="32"/>
    </row>
    <row r="2767" spans="1:5" ht="15.75" thickBot="1">
      <c r="A2767" s="32"/>
      <c r="B2767" s="32"/>
      <c r="C2767" s="32"/>
      <c r="D2767" s="32"/>
      <c r="E2767" s="32"/>
    </row>
    <row r="2768" spans="1:5" ht="15.75" thickBot="1">
      <c r="A2768" s="32"/>
      <c r="B2768" s="32"/>
      <c r="C2768" s="32"/>
      <c r="D2768" s="32"/>
      <c r="E2768" s="32"/>
    </row>
    <row r="2769" spans="1:5" ht="15.75" thickBot="1">
      <c r="A2769" s="32"/>
      <c r="B2769" s="32"/>
      <c r="C2769" s="32"/>
      <c r="D2769" s="32"/>
      <c r="E2769" s="32"/>
    </row>
    <row r="2770" spans="1:5" ht="15.75" thickBot="1">
      <c r="A2770" s="32"/>
      <c r="B2770" s="32"/>
      <c r="C2770" s="32"/>
      <c r="D2770" s="32"/>
      <c r="E2770" s="32"/>
    </row>
    <row r="2771" spans="1:5" ht="15.75" thickBot="1">
      <c r="A2771" s="32"/>
      <c r="B2771" s="32"/>
      <c r="C2771" s="32"/>
      <c r="D2771" s="32"/>
      <c r="E2771" s="32"/>
    </row>
    <row r="2772" spans="1:5" ht="15.75" thickBot="1">
      <c r="A2772" s="32"/>
      <c r="B2772" s="32"/>
      <c r="C2772" s="32"/>
      <c r="D2772" s="32"/>
      <c r="E2772" s="32"/>
    </row>
    <row r="2773" spans="1:5" ht="15.75" thickBot="1">
      <c r="A2773" s="32"/>
      <c r="B2773" s="32"/>
      <c r="C2773" s="32"/>
      <c r="D2773" s="32"/>
      <c r="E2773" s="32"/>
    </row>
    <row r="2774" spans="1:5" ht="15.75" thickBot="1">
      <c r="A2774" s="32"/>
      <c r="B2774" s="32"/>
      <c r="C2774" s="32"/>
      <c r="D2774" s="32"/>
      <c r="E2774" s="32"/>
    </row>
    <row r="2775" spans="1:5" ht="15.75" thickBot="1">
      <c r="A2775" s="32"/>
      <c r="B2775" s="32"/>
      <c r="C2775" s="32"/>
      <c r="D2775" s="32"/>
      <c r="E2775" s="32"/>
    </row>
    <row r="2776" spans="1:5" ht="15.75" thickBot="1">
      <c r="A2776" s="32"/>
      <c r="B2776" s="32"/>
      <c r="C2776" s="32"/>
      <c r="D2776" s="32"/>
      <c r="E2776" s="32"/>
    </row>
    <row r="2777" spans="1:5" ht="15.75" thickBot="1">
      <c r="A2777" s="32"/>
      <c r="B2777" s="32"/>
      <c r="C2777" s="32"/>
      <c r="D2777" s="32"/>
      <c r="E2777" s="32"/>
    </row>
    <row r="2778" spans="1:5" ht="15.75" thickBot="1">
      <c r="A2778" s="32"/>
      <c r="B2778" s="32"/>
      <c r="C2778" s="32"/>
      <c r="D2778" s="32"/>
      <c r="E2778" s="32"/>
    </row>
    <row r="2779" spans="1:5" ht="15.75" thickBot="1">
      <c r="A2779" s="32"/>
      <c r="B2779" s="32"/>
      <c r="C2779" s="32"/>
      <c r="D2779" s="32"/>
      <c r="E2779" s="32"/>
    </row>
    <row r="2780" spans="1:5" ht="15.75" thickBot="1">
      <c r="A2780" s="32"/>
      <c r="B2780" s="32"/>
      <c r="C2780" s="32"/>
      <c r="D2780" s="32"/>
      <c r="E2780" s="32"/>
    </row>
    <row r="2781" spans="1:5" ht="15.75" thickBot="1">
      <c r="A2781" s="32"/>
      <c r="B2781" s="32"/>
      <c r="C2781" s="32"/>
      <c r="D2781" s="32"/>
      <c r="E2781" s="32"/>
    </row>
    <row r="2782" spans="1:5" ht="15.75" thickBot="1">
      <c r="A2782" s="32"/>
      <c r="B2782" s="32"/>
      <c r="C2782" s="32"/>
      <c r="D2782" s="32"/>
      <c r="E2782" s="32"/>
    </row>
    <row r="2783" spans="1:5" ht="15.75" thickBot="1">
      <c r="A2783" s="32"/>
      <c r="B2783" s="32"/>
      <c r="C2783" s="32"/>
      <c r="D2783" s="32"/>
      <c r="E2783" s="32"/>
    </row>
    <row r="2784" spans="1:5" ht="15.75" thickBot="1">
      <c r="A2784" s="32"/>
      <c r="B2784" s="32"/>
      <c r="C2784" s="32"/>
      <c r="D2784" s="32"/>
      <c r="E2784" s="32"/>
    </row>
    <row r="2785" spans="1:5" ht="15.75" thickBot="1">
      <c r="A2785" s="32"/>
      <c r="B2785" s="32"/>
      <c r="C2785" s="32"/>
      <c r="D2785" s="32"/>
      <c r="E2785" s="32"/>
    </row>
    <row r="2786" spans="1:5" ht="15.75" thickBot="1">
      <c r="A2786" s="32"/>
      <c r="B2786" s="32"/>
      <c r="C2786" s="32"/>
      <c r="D2786" s="32"/>
      <c r="E2786" s="32"/>
    </row>
    <row r="2787" spans="1:5" ht="15.75" thickBot="1">
      <c r="A2787" s="32"/>
      <c r="B2787" s="32"/>
      <c r="C2787" s="32"/>
      <c r="D2787" s="32"/>
      <c r="E2787" s="32"/>
    </row>
    <row r="2788" spans="1:5" ht="15.75" thickBot="1">
      <c r="A2788" s="32"/>
      <c r="B2788" s="32"/>
      <c r="C2788" s="32"/>
      <c r="D2788" s="32"/>
      <c r="E2788" s="32"/>
    </row>
    <row r="2789" spans="1:5" ht="15.75" thickBot="1">
      <c r="A2789" s="32"/>
      <c r="B2789" s="32"/>
      <c r="C2789" s="32"/>
      <c r="D2789" s="32"/>
      <c r="E2789" s="32"/>
    </row>
    <row r="2790" spans="1:5" ht="15.75" thickBot="1">
      <c r="A2790" s="32"/>
      <c r="B2790" s="32"/>
      <c r="C2790" s="32"/>
      <c r="D2790" s="32"/>
      <c r="E2790" s="32"/>
    </row>
    <row r="2791" spans="1:5" ht="15.75" thickBot="1">
      <c r="A2791" s="32"/>
      <c r="B2791" s="32"/>
      <c r="C2791" s="32"/>
      <c r="D2791" s="32"/>
      <c r="E2791" s="32"/>
    </row>
    <row r="2792" spans="1:5" ht="15.75" thickBot="1">
      <c r="A2792" s="32"/>
      <c r="B2792" s="32"/>
      <c r="C2792" s="32"/>
      <c r="D2792" s="32"/>
      <c r="E2792" s="32"/>
    </row>
    <row r="2793" spans="1:5" ht="15.75" thickBot="1">
      <c r="A2793" s="32"/>
      <c r="B2793" s="32"/>
      <c r="C2793" s="32"/>
      <c r="D2793" s="32"/>
      <c r="E2793" s="32"/>
    </row>
    <row r="2794" spans="1:5" ht="15.75" thickBot="1">
      <c r="A2794" s="32"/>
      <c r="B2794" s="32"/>
      <c r="C2794" s="32"/>
      <c r="D2794" s="32"/>
      <c r="E2794" s="32"/>
    </row>
    <row r="2795" spans="1:5" ht="15.75" thickBot="1">
      <c r="A2795" s="32"/>
      <c r="B2795" s="32"/>
      <c r="C2795" s="32"/>
      <c r="D2795" s="32"/>
      <c r="E2795" s="32"/>
    </row>
    <row r="2796" spans="1:5" ht="15.75" thickBot="1">
      <c r="A2796" s="32"/>
      <c r="B2796" s="32"/>
      <c r="C2796" s="32"/>
      <c r="D2796" s="32"/>
      <c r="E2796" s="32"/>
    </row>
    <row r="2797" spans="1:5" ht="15.75" thickBot="1">
      <c r="A2797" s="32"/>
      <c r="B2797" s="32"/>
      <c r="C2797" s="32"/>
      <c r="D2797" s="32"/>
      <c r="E2797" s="32"/>
    </row>
    <row r="2798" spans="1:5" ht="15.75" thickBot="1">
      <c r="A2798" s="32"/>
      <c r="B2798" s="32"/>
      <c r="C2798" s="32"/>
      <c r="D2798" s="32"/>
      <c r="E2798" s="32"/>
    </row>
    <row r="2799" spans="1:5" ht="15.75" thickBot="1">
      <c r="A2799" s="32"/>
      <c r="B2799" s="32"/>
      <c r="C2799" s="32"/>
      <c r="D2799" s="32"/>
      <c r="E2799" s="32"/>
    </row>
    <row r="2800" spans="1:5" ht="15.75" thickBot="1">
      <c r="A2800" s="32"/>
      <c r="B2800" s="32"/>
      <c r="C2800" s="32"/>
      <c r="D2800" s="32"/>
      <c r="E2800" s="32"/>
    </row>
    <row r="2801" spans="1:5" ht="15.75" thickBot="1">
      <c r="A2801" s="32"/>
      <c r="B2801" s="32"/>
      <c r="C2801" s="32"/>
      <c r="D2801" s="32"/>
      <c r="E2801" s="32"/>
    </row>
    <row r="2802" spans="1:5" ht="15.75" thickBot="1">
      <c r="A2802" s="32"/>
      <c r="B2802" s="32"/>
      <c r="C2802" s="32"/>
      <c r="D2802" s="32"/>
      <c r="E2802" s="32"/>
    </row>
    <row r="2803" spans="1:5" ht="15.75" thickBot="1">
      <c r="A2803" s="32"/>
      <c r="B2803" s="32"/>
      <c r="C2803" s="32"/>
      <c r="D2803" s="32"/>
      <c r="E2803" s="32"/>
    </row>
    <row r="2804" spans="1:5" ht="15.75" thickBot="1">
      <c r="A2804" s="32"/>
      <c r="B2804" s="32"/>
      <c r="C2804" s="32"/>
      <c r="D2804" s="32"/>
      <c r="E2804" s="32"/>
    </row>
    <row r="2805" spans="1:5" ht="15.75" thickBot="1">
      <c r="A2805" s="32"/>
      <c r="B2805" s="32"/>
      <c r="C2805" s="32"/>
      <c r="D2805" s="32"/>
      <c r="E2805" s="32"/>
    </row>
    <row r="2806" spans="1:5" ht="15.75" thickBot="1">
      <c r="A2806" s="32"/>
      <c r="B2806" s="32"/>
      <c r="C2806" s="32"/>
      <c r="D2806" s="32"/>
      <c r="E2806" s="32"/>
    </row>
    <row r="2807" spans="1:5" ht="15.75" thickBot="1">
      <c r="A2807" s="32"/>
      <c r="B2807" s="32"/>
      <c r="C2807" s="32"/>
      <c r="D2807" s="32"/>
      <c r="E2807" s="32"/>
    </row>
    <row r="2808" spans="1:5" ht="15.75" thickBot="1">
      <c r="A2808" s="32"/>
      <c r="B2808" s="32"/>
      <c r="C2808" s="32"/>
      <c r="D2808" s="32"/>
      <c r="E2808" s="32"/>
    </row>
    <row r="2809" spans="1:5" ht="15.75" thickBot="1">
      <c r="A2809" s="32"/>
      <c r="B2809" s="32"/>
      <c r="C2809" s="32"/>
      <c r="D2809" s="32"/>
      <c r="E2809" s="32"/>
    </row>
    <row r="2810" spans="1:5" ht="15.75" thickBot="1">
      <c r="A2810" s="32"/>
      <c r="B2810" s="32"/>
      <c r="C2810" s="32"/>
      <c r="D2810" s="32"/>
      <c r="E2810" s="32"/>
    </row>
    <row r="2811" spans="1:5" ht="15.75" thickBot="1">
      <c r="A2811" s="32"/>
      <c r="B2811" s="32"/>
      <c r="C2811" s="32"/>
      <c r="D2811" s="32"/>
      <c r="E2811" s="32"/>
    </row>
    <row r="2812" spans="1:5" ht="15.75" thickBot="1">
      <c r="A2812" s="32"/>
      <c r="B2812" s="32"/>
      <c r="C2812" s="32"/>
      <c r="D2812" s="32"/>
      <c r="E2812" s="32"/>
    </row>
    <row r="2813" spans="1:5" ht="15.75" thickBot="1">
      <c r="A2813" s="32"/>
      <c r="B2813" s="32"/>
      <c r="C2813" s="32"/>
      <c r="D2813" s="32"/>
      <c r="E2813" s="32"/>
    </row>
    <row r="2814" spans="1:5" ht="15.75" thickBot="1">
      <c r="A2814" s="32"/>
      <c r="B2814" s="32"/>
      <c r="C2814" s="32"/>
      <c r="D2814" s="32"/>
      <c r="E2814" s="32"/>
    </row>
    <row r="2815" spans="1:5" ht="15.75" thickBot="1">
      <c r="A2815" s="32"/>
      <c r="B2815" s="32"/>
      <c r="C2815" s="32"/>
      <c r="D2815" s="32"/>
      <c r="E2815" s="32"/>
    </row>
    <row r="2816" spans="1:5" ht="15.75" thickBot="1">
      <c r="A2816" s="32"/>
      <c r="B2816" s="32"/>
      <c r="C2816" s="32"/>
      <c r="D2816" s="32"/>
      <c r="E2816" s="32"/>
    </row>
    <row r="2817" spans="1:5" ht="15.75" thickBot="1">
      <c r="A2817" s="32"/>
      <c r="B2817" s="32"/>
      <c r="C2817" s="32"/>
      <c r="D2817" s="32"/>
      <c r="E2817" s="32"/>
    </row>
    <row r="2818" spans="1:5" ht="15.75" thickBot="1">
      <c r="A2818" s="32"/>
      <c r="B2818" s="32"/>
      <c r="C2818" s="32"/>
      <c r="D2818" s="32"/>
      <c r="E2818" s="32"/>
    </row>
    <row r="2819" spans="1:5" ht="15.75" thickBot="1">
      <c r="A2819" s="32"/>
      <c r="B2819" s="32"/>
      <c r="C2819" s="32"/>
      <c r="D2819" s="32"/>
      <c r="E2819" s="32"/>
    </row>
    <row r="2820" spans="1:5" ht="15.75" thickBot="1">
      <c r="A2820" s="32"/>
      <c r="B2820" s="32"/>
      <c r="C2820" s="32"/>
      <c r="D2820" s="32"/>
      <c r="E2820" s="32"/>
    </row>
    <row r="2821" spans="1:5" ht="15.75" thickBot="1">
      <c r="A2821" s="32"/>
      <c r="B2821" s="32"/>
      <c r="C2821" s="32"/>
      <c r="D2821" s="32"/>
      <c r="E2821" s="32"/>
    </row>
    <row r="2822" spans="1:5" ht="15.75" thickBot="1">
      <c r="A2822" s="32"/>
      <c r="B2822" s="32"/>
      <c r="C2822" s="32"/>
      <c r="D2822" s="32"/>
      <c r="E2822" s="32"/>
    </row>
    <row r="2823" spans="1:5" ht="15.75" thickBot="1">
      <c r="A2823" s="32"/>
      <c r="B2823" s="32"/>
      <c r="C2823" s="32"/>
      <c r="D2823" s="32"/>
      <c r="E2823" s="32"/>
    </row>
    <row r="2824" spans="1:5" ht="15.75" thickBot="1">
      <c r="A2824" s="32"/>
      <c r="B2824" s="32"/>
      <c r="C2824" s="32"/>
      <c r="D2824" s="32"/>
      <c r="E2824" s="32"/>
    </row>
    <row r="2825" spans="1:5" ht="15.75" thickBot="1">
      <c r="A2825" s="32"/>
      <c r="B2825" s="32"/>
      <c r="C2825" s="32"/>
      <c r="D2825" s="32"/>
      <c r="E2825" s="32"/>
    </row>
    <row r="2826" spans="1:5" ht="15.75" thickBot="1">
      <c r="A2826" s="32"/>
      <c r="B2826" s="32"/>
      <c r="C2826" s="32"/>
      <c r="D2826" s="32"/>
      <c r="E2826" s="32"/>
    </row>
    <row r="2827" spans="1:5" ht="15.75" thickBot="1">
      <c r="A2827" s="32"/>
      <c r="B2827" s="32"/>
      <c r="C2827" s="32"/>
      <c r="D2827" s="32"/>
      <c r="E2827" s="32"/>
    </row>
    <row r="2828" spans="1:5" ht="15.75" thickBot="1">
      <c r="A2828" s="32"/>
      <c r="B2828" s="32"/>
      <c r="C2828" s="32"/>
      <c r="D2828" s="32"/>
      <c r="E2828" s="32"/>
    </row>
    <row r="2829" spans="1:5" ht="15.75" thickBot="1">
      <c r="A2829" s="32"/>
      <c r="B2829" s="32"/>
      <c r="C2829" s="32"/>
      <c r="D2829" s="32"/>
      <c r="E2829" s="32"/>
    </row>
    <row r="2830" spans="1:5" ht="15.75" thickBot="1">
      <c r="A2830" s="32"/>
      <c r="B2830" s="32"/>
      <c r="C2830" s="32"/>
      <c r="D2830" s="32"/>
      <c r="E2830" s="32"/>
    </row>
    <row r="2831" spans="1:5" ht="15.75" thickBot="1">
      <c r="A2831" s="32"/>
      <c r="B2831" s="32"/>
      <c r="C2831" s="32"/>
      <c r="D2831" s="32"/>
      <c r="E2831" s="32"/>
    </row>
    <row r="2832" spans="1:5" ht="15.75" thickBot="1">
      <c r="A2832" s="32"/>
      <c r="B2832" s="32"/>
      <c r="C2832" s="32"/>
      <c r="D2832" s="32"/>
      <c r="E2832" s="32"/>
    </row>
    <row r="2833" spans="1:5" ht="15.75" thickBot="1">
      <c r="A2833" s="32"/>
      <c r="B2833" s="32"/>
      <c r="C2833" s="32"/>
      <c r="D2833" s="32"/>
      <c r="E2833" s="32"/>
    </row>
    <row r="2834" spans="1:5" ht="15.75" thickBot="1">
      <c r="A2834" s="32"/>
      <c r="B2834" s="32"/>
      <c r="C2834" s="32"/>
      <c r="D2834" s="32"/>
      <c r="E2834" s="32"/>
    </row>
    <row r="2835" spans="1:5" ht="15.75" thickBot="1">
      <c r="A2835" s="32"/>
      <c r="B2835" s="32"/>
      <c r="C2835" s="32"/>
      <c r="D2835" s="32"/>
      <c r="E2835" s="32"/>
    </row>
    <row r="2836" spans="1:5" ht="15.75" thickBot="1">
      <c r="A2836" s="32"/>
      <c r="B2836" s="32"/>
      <c r="C2836" s="32"/>
      <c r="D2836" s="32"/>
      <c r="E2836" s="32"/>
    </row>
    <row r="2837" spans="1:5" ht="15.75" thickBot="1">
      <c r="A2837" s="32"/>
      <c r="B2837" s="32"/>
      <c r="C2837" s="32"/>
      <c r="D2837" s="32"/>
      <c r="E2837" s="32"/>
    </row>
    <row r="2838" spans="1:5" ht="15.75" thickBot="1">
      <c r="A2838" s="32"/>
      <c r="B2838" s="32"/>
      <c r="C2838" s="32"/>
      <c r="D2838" s="32"/>
      <c r="E2838" s="32"/>
    </row>
    <row r="2839" spans="1:5" ht="15.75" thickBot="1">
      <c r="A2839" s="32"/>
      <c r="B2839" s="32"/>
      <c r="C2839" s="32"/>
      <c r="D2839" s="32"/>
      <c r="E2839" s="32"/>
    </row>
    <row r="2840" spans="1:5" ht="15.75" thickBot="1">
      <c r="A2840" s="32"/>
      <c r="B2840" s="32"/>
      <c r="C2840" s="32"/>
      <c r="D2840" s="32"/>
      <c r="E2840" s="32"/>
    </row>
    <row r="2841" spans="1:5" ht="15.75" thickBot="1">
      <c r="A2841" s="32"/>
      <c r="B2841" s="32"/>
      <c r="C2841" s="32"/>
      <c r="D2841" s="32"/>
      <c r="E2841" s="32"/>
    </row>
    <row r="2842" spans="1:5" ht="15.75" thickBot="1">
      <c r="A2842" s="32"/>
      <c r="B2842" s="32"/>
      <c r="C2842" s="32"/>
      <c r="D2842" s="32"/>
      <c r="E2842" s="32"/>
    </row>
    <row r="2843" spans="1:5" ht="15.75" thickBot="1">
      <c r="A2843" s="32"/>
      <c r="B2843" s="32"/>
      <c r="C2843" s="32"/>
      <c r="D2843" s="32"/>
      <c r="E2843" s="32"/>
    </row>
    <row r="2844" spans="1:5" ht="15.75" thickBot="1">
      <c r="A2844" s="32"/>
      <c r="B2844" s="32"/>
      <c r="C2844" s="32"/>
      <c r="D2844" s="32"/>
      <c r="E2844" s="32"/>
    </row>
    <row r="2845" spans="1:5" ht="15.75" thickBot="1">
      <c r="A2845" s="32"/>
      <c r="B2845" s="32"/>
      <c r="C2845" s="32"/>
      <c r="D2845" s="32"/>
      <c r="E2845" s="32"/>
    </row>
    <row r="2846" spans="1:5" ht="15.75" thickBot="1">
      <c r="A2846" s="32"/>
      <c r="B2846" s="32"/>
      <c r="C2846" s="32"/>
      <c r="D2846" s="32"/>
      <c r="E2846" s="32"/>
    </row>
    <row r="2847" spans="1:5" ht="15.75" thickBot="1">
      <c r="A2847" s="32"/>
      <c r="B2847" s="32"/>
      <c r="C2847" s="32"/>
      <c r="D2847" s="32"/>
      <c r="E2847" s="32"/>
    </row>
    <row r="2848" spans="1:5" ht="15.75" thickBot="1">
      <c r="A2848" s="32"/>
      <c r="B2848" s="32"/>
      <c r="C2848" s="32"/>
      <c r="D2848" s="32"/>
      <c r="E2848" s="32"/>
    </row>
    <row r="2849" spans="1:5" ht="15.75" thickBot="1">
      <c r="A2849" s="32"/>
      <c r="B2849" s="32"/>
      <c r="C2849" s="32"/>
      <c r="D2849" s="32"/>
      <c r="E2849" s="32"/>
    </row>
    <row r="2850" spans="1:5" ht="15.75" thickBot="1">
      <c r="A2850" s="32"/>
      <c r="B2850" s="32"/>
      <c r="C2850" s="32"/>
      <c r="D2850" s="32"/>
      <c r="E2850" s="32"/>
    </row>
    <row r="2851" spans="1:5" ht="15.75" thickBot="1">
      <c r="A2851" s="32"/>
      <c r="B2851" s="32"/>
      <c r="C2851" s="32"/>
      <c r="D2851" s="32"/>
      <c r="E2851" s="32"/>
    </row>
    <row r="2852" spans="1:5" ht="15.75" thickBot="1">
      <c r="A2852" s="32"/>
      <c r="B2852" s="32"/>
      <c r="C2852" s="32"/>
      <c r="D2852" s="32"/>
      <c r="E2852" s="32"/>
    </row>
    <row r="2853" spans="1:5" ht="15.75" thickBot="1">
      <c r="A2853" s="32"/>
      <c r="B2853" s="32"/>
      <c r="C2853" s="32"/>
      <c r="D2853" s="32"/>
      <c r="E2853" s="32"/>
    </row>
    <row r="2854" spans="1:5" ht="15.75" thickBot="1">
      <c r="A2854" s="32"/>
      <c r="B2854" s="32"/>
      <c r="C2854" s="32"/>
      <c r="D2854" s="32"/>
      <c r="E2854" s="32"/>
    </row>
    <row r="2855" spans="1:5" ht="15.75" thickBot="1">
      <c r="A2855" s="32"/>
      <c r="B2855" s="32"/>
      <c r="C2855" s="32"/>
      <c r="D2855" s="32"/>
      <c r="E2855" s="32"/>
    </row>
    <row r="2856" spans="1:5" ht="15.75" thickBot="1">
      <c r="A2856" s="32"/>
      <c r="B2856" s="32"/>
      <c r="C2856" s="32"/>
      <c r="D2856" s="32"/>
      <c r="E2856" s="32"/>
    </row>
    <row r="2857" spans="1:5" ht="15.75" thickBot="1">
      <c r="A2857" s="32"/>
      <c r="B2857" s="32"/>
      <c r="C2857" s="32"/>
      <c r="D2857" s="32"/>
      <c r="E2857" s="32"/>
    </row>
    <row r="2858" spans="1:5" ht="15.75" thickBot="1">
      <c r="A2858" s="32"/>
      <c r="B2858" s="32"/>
      <c r="C2858" s="32"/>
      <c r="D2858" s="32"/>
      <c r="E2858" s="32"/>
    </row>
    <row r="2859" spans="1:5" ht="15.75" thickBot="1">
      <c r="A2859" s="32"/>
      <c r="B2859" s="32"/>
      <c r="C2859" s="32"/>
      <c r="D2859" s="32"/>
      <c r="E2859" s="32"/>
    </row>
    <row r="2860" spans="1:5" ht="15.75" thickBot="1">
      <c r="A2860" s="32"/>
      <c r="B2860" s="32"/>
      <c r="C2860" s="32"/>
      <c r="D2860" s="32"/>
      <c r="E2860" s="32"/>
    </row>
    <row r="2861" spans="1:5" ht="15.75" thickBot="1">
      <c r="A2861" s="32"/>
      <c r="B2861" s="32"/>
      <c r="C2861" s="32"/>
      <c r="D2861" s="32"/>
      <c r="E2861" s="32"/>
    </row>
    <row r="2862" spans="1:5" ht="15.75" thickBot="1">
      <c r="A2862" s="32"/>
      <c r="B2862" s="32"/>
      <c r="C2862" s="32"/>
      <c r="D2862" s="32"/>
      <c r="E2862" s="32"/>
    </row>
    <row r="2863" spans="1:5" ht="15.75" thickBot="1">
      <c r="A2863" s="32"/>
      <c r="B2863" s="32"/>
      <c r="C2863" s="32"/>
      <c r="D2863" s="32"/>
      <c r="E2863" s="32"/>
    </row>
    <row r="2864" spans="1:5" ht="15.75" thickBot="1">
      <c r="A2864" s="32"/>
      <c r="B2864" s="32"/>
      <c r="C2864" s="32"/>
      <c r="D2864" s="32"/>
      <c r="E2864" s="32"/>
    </row>
    <row r="2865" spans="1:5" ht="15.75" thickBot="1">
      <c r="A2865" s="32"/>
      <c r="B2865" s="32"/>
      <c r="C2865" s="32"/>
      <c r="D2865" s="32"/>
      <c r="E2865" s="32"/>
    </row>
    <row r="2866" spans="1:5" ht="15.75" thickBot="1">
      <c r="A2866" s="32"/>
      <c r="B2866" s="32"/>
      <c r="C2866" s="32"/>
      <c r="D2866" s="32"/>
      <c r="E2866" s="32"/>
    </row>
    <row r="2867" spans="1:5" ht="15.75" thickBot="1">
      <c r="A2867" s="32"/>
      <c r="B2867" s="32"/>
      <c r="C2867" s="32"/>
      <c r="D2867" s="32"/>
      <c r="E2867" s="32"/>
    </row>
    <row r="2868" spans="1:5" ht="15.75" thickBot="1">
      <c r="A2868" s="32"/>
      <c r="B2868" s="32"/>
      <c r="C2868" s="32"/>
      <c r="D2868" s="32"/>
      <c r="E2868" s="32"/>
    </row>
    <row r="2869" spans="1:5" ht="15.75" thickBot="1">
      <c r="A2869" s="32"/>
      <c r="B2869" s="32"/>
      <c r="C2869" s="32"/>
      <c r="D2869" s="32"/>
      <c r="E2869" s="32"/>
    </row>
    <row r="2870" spans="1:5" ht="15.75" thickBot="1">
      <c r="A2870" s="32"/>
      <c r="B2870" s="32"/>
      <c r="C2870" s="32"/>
      <c r="D2870" s="32"/>
      <c r="E2870" s="32"/>
    </row>
    <row r="2871" spans="1:5" ht="15.75" thickBot="1">
      <c r="A2871" s="32"/>
      <c r="B2871" s="32"/>
      <c r="C2871" s="32"/>
      <c r="D2871" s="32"/>
      <c r="E2871" s="32"/>
    </row>
    <row r="2872" spans="1:5" ht="15.75" thickBot="1">
      <c r="A2872" s="32"/>
      <c r="B2872" s="32"/>
      <c r="C2872" s="32"/>
      <c r="D2872" s="32"/>
      <c r="E2872" s="32"/>
    </row>
    <row r="2873" spans="1:5" ht="15.75" thickBot="1">
      <c r="A2873" s="32"/>
      <c r="B2873" s="32"/>
      <c r="C2873" s="32"/>
      <c r="D2873" s="32"/>
      <c r="E2873" s="32"/>
    </row>
    <row r="2874" spans="1:5" ht="15.75" thickBot="1">
      <c r="A2874" s="32"/>
      <c r="B2874" s="32"/>
      <c r="C2874" s="32"/>
      <c r="D2874" s="32"/>
      <c r="E2874" s="32"/>
    </row>
    <row r="2875" spans="1:5" ht="15.75" thickBot="1">
      <c r="A2875" s="32"/>
      <c r="B2875" s="32"/>
      <c r="C2875" s="32"/>
      <c r="D2875" s="32"/>
      <c r="E2875" s="32"/>
    </row>
    <row r="2876" spans="1:5" ht="15.75" thickBot="1">
      <c r="A2876" s="32"/>
      <c r="B2876" s="32"/>
      <c r="C2876" s="32"/>
      <c r="D2876" s="32"/>
      <c r="E2876" s="32"/>
    </row>
    <row r="2877" spans="1:5" ht="15.75" thickBot="1">
      <c r="A2877" s="32"/>
      <c r="B2877" s="32"/>
      <c r="C2877" s="32"/>
      <c r="D2877" s="32"/>
      <c r="E2877" s="32"/>
    </row>
    <row r="2878" spans="1:5" ht="15.75" thickBot="1">
      <c r="A2878" s="32"/>
      <c r="B2878" s="32"/>
      <c r="C2878" s="32"/>
      <c r="D2878" s="32"/>
      <c r="E2878" s="32"/>
    </row>
    <row r="2879" spans="1:5" ht="15.75" thickBot="1">
      <c r="A2879" s="32"/>
      <c r="B2879" s="32"/>
      <c r="C2879" s="32"/>
      <c r="D2879" s="32"/>
      <c r="E2879" s="32"/>
    </row>
    <row r="2880" spans="1:5" ht="15.75" thickBot="1">
      <c r="A2880" s="32"/>
      <c r="B2880" s="32"/>
      <c r="C2880" s="32"/>
      <c r="D2880" s="32"/>
      <c r="E2880" s="32"/>
    </row>
    <row r="2881" spans="1:5" ht="15.75" thickBot="1">
      <c r="A2881" s="32"/>
      <c r="B2881" s="32"/>
      <c r="C2881" s="32"/>
      <c r="D2881" s="32"/>
      <c r="E2881" s="32"/>
    </row>
    <row r="2882" spans="1:5" ht="15.75" thickBot="1">
      <c r="A2882" s="32"/>
      <c r="B2882" s="32"/>
      <c r="C2882" s="32"/>
      <c r="D2882" s="32"/>
      <c r="E2882" s="32"/>
    </row>
    <row r="2883" spans="1:5" ht="15.75" thickBot="1">
      <c r="A2883" s="32"/>
      <c r="B2883" s="32"/>
      <c r="C2883" s="32"/>
      <c r="D2883" s="32"/>
      <c r="E2883" s="32"/>
    </row>
    <row r="2884" spans="1:5" ht="15.75" thickBot="1">
      <c r="A2884" s="32"/>
      <c r="B2884" s="32"/>
      <c r="C2884" s="32"/>
      <c r="D2884" s="32"/>
      <c r="E2884" s="32"/>
    </row>
    <row r="2885" spans="1:5" ht="15.75" thickBot="1">
      <c r="A2885" s="32"/>
      <c r="B2885" s="32"/>
      <c r="C2885" s="32"/>
      <c r="D2885" s="32"/>
      <c r="E2885" s="32"/>
    </row>
    <row r="2886" spans="1:5" ht="15.75" thickBot="1">
      <c r="A2886" s="32"/>
      <c r="B2886" s="32"/>
      <c r="C2886" s="32"/>
      <c r="D2886" s="32"/>
      <c r="E2886" s="32"/>
    </row>
    <row r="2887" spans="1:5" ht="15.75" thickBot="1">
      <c r="A2887" s="32"/>
      <c r="B2887" s="32"/>
      <c r="C2887" s="32"/>
      <c r="D2887" s="32"/>
      <c r="E2887" s="32"/>
    </row>
    <row r="2888" spans="1:5" ht="15.75" thickBot="1">
      <c r="A2888" s="32"/>
      <c r="B2888" s="32"/>
      <c r="C2888" s="32"/>
      <c r="D2888" s="32"/>
      <c r="E2888" s="32"/>
    </row>
    <row r="2889" spans="1:5" ht="15.75" thickBot="1">
      <c r="A2889" s="32"/>
      <c r="B2889" s="32"/>
      <c r="C2889" s="32"/>
      <c r="D2889" s="32"/>
      <c r="E2889" s="32"/>
    </row>
    <row r="2890" spans="1:5" ht="15.75" thickBot="1">
      <c r="A2890" s="32"/>
      <c r="B2890" s="32"/>
      <c r="C2890" s="32"/>
      <c r="D2890" s="32"/>
      <c r="E2890" s="32"/>
    </row>
    <row r="2891" spans="1:5" ht="15.75" thickBot="1">
      <c r="A2891" s="32"/>
      <c r="B2891" s="32"/>
      <c r="C2891" s="32"/>
      <c r="D2891" s="32"/>
      <c r="E2891" s="32"/>
    </row>
    <row r="2892" spans="1:5" ht="15.75" thickBot="1">
      <c r="A2892" s="32"/>
      <c r="B2892" s="32"/>
      <c r="C2892" s="32"/>
      <c r="D2892" s="32"/>
      <c r="E2892" s="32"/>
    </row>
    <row r="2893" spans="1:5" ht="15.75" thickBot="1">
      <c r="A2893" s="32"/>
      <c r="B2893" s="32"/>
      <c r="C2893" s="32"/>
      <c r="D2893" s="32"/>
      <c r="E2893" s="32"/>
    </row>
    <row r="2894" spans="1:5" ht="15.75" thickBot="1">
      <c r="A2894" s="32"/>
      <c r="B2894" s="32"/>
      <c r="C2894" s="32"/>
      <c r="D2894" s="32"/>
      <c r="E2894" s="32"/>
    </row>
    <row r="2895" spans="1:5" ht="15.75" thickBot="1">
      <c r="A2895" s="32"/>
      <c r="B2895" s="32"/>
      <c r="C2895" s="32"/>
      <c r="D2895" s="32"/>
      <c r="E2895" s="32"/>
    </row>
    <row r="2896" spans="1:5" ht="15.75" thickBot="1">
      <c r="A2896" s="32"/>
      <c r="B2896" s="32"/>
      <c r="C2896" s="32"/>
      <c r="D2896" s="32"/>
      <c r="E2896" s="32"/>
    </row>
    <row r="2897" spans="1:5" ht="15.75" thickBot="1">
      <c r="A2897" s="32"/>
      <c r="B2897" s="32"/>
      <c r="C2897" s="32"/>
      <c r="D2897" s="32"/>
      <c r="E2897" s="32"/>
    </row>
    <row r="2898" spans="1:5" ht="15.75" thickBot="1">
      <c r="A2898" s="32"/>
      <c r="B2898" s="32"/>
      <c r="C2898" s="32"/>
      <c r="D2898" s="32"/>
      <c r="E2898" s="32"/>
    </row>
    <row r="2899" spans="1:5" ht="15.75" thickBot="1">
      <c r="A2899" s="32"/>
      <c r="B2899" s="32"/>
      <c r="C2899" s="32"/>
      <c r="D2899" s="32"/>
      <c r="E2899" s="32"/>
    </row>
    <row r="2900" spans="1:5" ht="15.75" thickBot="1">
      <c r="A2900" s="32"/>
      <c r="B2900" s="32"/>
      <c r="C2900" s="32"/>
      <c r="D2900" s="32"/>
      <c r="E2900" s="32"/>
    </row>
    <row r="2901" spans="1:5" ht="15.75" thickBot="1">
      <c r="A2901" s="32"/>
      <c r="B2901" s="32"/>
      <c r="C2901" s="32"/>
      <c r="D2901" s="32"/>
      <c r="E2901" s="32"/>
    </row>
    <row r="2902" spans="1:5" ht="15.75" thickBot="1">
      <c r="A2902" s="32"/>
      <c r="B2902" s="32"/>
      <c r="C2902" s="32"/>
      <c r="D2902" s="32"/>
      <c r="E2902" s="32"/>
    </row>
    <row r="2903" spans="1:5" ht="15.75" thickBot="1">
      <c r="A2903" s="32"/>
      <c r="B2903" s="32"/>
      <c r="C2903" s="32"/>
      <c r="D2903" s="32"/>
      <c r="E2903" s="32"/>
    </row>
    <row r="2904" spans="1:5" ht="15.75" thickBot="1">
      <c r="A2904" s="32"/>
      <c r="B2904" s="32"/>
      <c r="C2904" s="32"/>
      <c r="D2904" s="32"/>
      <c r="E2904" s="32"/>
    </row>
    <row r="2905" spans="1:5" ht="15.75" thickBot="1">
      <c r="A2905" s="32"/>
      <c r="B2905" s="32"/>
      <c r="C2905" s="32"/>
      <c r="D2905" s="32"/>
      <c r="E2905" s="32"/>
    </row>
    <row r="2906" spans="1:5" ht="15.75" thickBot="1">
      <c r="A2906" s="32"/>
      <c r="B2906" s="32"/>
      <c r="C2906" s="32"/>
      <c r="D2906" s="32"/>
      <c r="E2906" s="32"/>
    </row>
    <row r="2907" spans="1:5" ht="15.75" thickBot="1">
      <c r="A2907" s="32"/>
      <c r="B2907" s="32"/>
      <c r="C2907" s="32"/>
      <c r="D2907" s="32"/>
      <c r="E2907" s="32"/>
    </row>
    <row r="2908" spans="1:5" ht="15.75" thickBot="1">
      <c r="A2908" s="32"/>
      <c r="B2908" s="32"/>
      <c r="C2908" s="32"/>
      <c r="D2908" s="32"/>
      <c r="E2908" s="32"/>
    </row>
    <row r="2909" spans="1:5" ht="15.75" thickBot="1">
      <c r="A2909" s="32"/>
      <c r="B2909" s="32"/>
      <c r="C2909" s="32"/>
      <c r="D2909" s="32"/>
      <c r="E2909" s="32"/>
    </row>
    <row r="2910" spans="1:5" ht="15.75" thickBot="1">
      <c r="A2910" s="32"/>
      <c r="B2910" s="32"/>
      <c r="C2910" s="32"/>
      <c r="D2910" s="32"/>
      <c r="E2910" s="32"/>
    </row>
    <row r="2911" spans="1:5" ht="15.75" thickBot="1">
      <c r="A2911" s="32"/>
      <c r="B2911" s="32"/>
      <c r="C2911" s="32"/>
      <c r="D2911" s="32"/>
      <c r="E2911" s="32"/>
    </row>
    <row r="2912" spans="1:5" ht="15.75" thickBot="1">
      <c r="A2912" s="32"/>
      <c r="B2912" s="32"/>
      <c r="C2912" s="32"/>
      <c r="D2912" s="32"/>
      <c r="E2912" s="32"/>
    </row>
    <row r="2913" spans="1:5" ht="15.75" thickBot="1">
      <c r="A2913" s="32"/>
      <c r="B2913" s="32"/>
      <c r="C2913" s="32"/>
      <c r="D2913" s="32"/>
      <c r="E2913" s="32"/>
    </row>
    <row r="2914" spans="1:5" ht="15.75" thickBot="1">
      <c r="A2914" s="32"/>
      <c r="B2914" s="32"/>
      <c r="C2914" s="32"/>
      <c r="D2914" s="32"/>
      <c r="E2914" s="32"/>
    </row>
    <row r="2915" spans="1:5" ht="15.75" thickBot="1">
      <c r="A2915" s="32"/>
      <c r="B2915" s="32"/>
      <c r="C2915" s="32"/>
      <c r="D2915" s="32"/>
      <c r="E2915" s="32"/>
    </row>
    <row r="2916" spans="1:5" ht="15.75" thickBot="1">
      <c r="A2916" s="32"/>
      <c r="B2916" s="32"/>
      <c r="C2916" s="32"/>
      <c r="D2916" s="32"/>
      <c r="E2916" s="32"/>
    </row>
    <row r="2917" spans="1:5" ht="15.75" thickBot="1">
      <c r="A2917" s="32"/>
      <c r="B2917" s="32"/>
      <c r="C2917" s="32"/>
      <c r="D2917" s="32"/>
      <c r="E2917" s="32"/>
    </row>
    <row r="2918" spans="1:5" ht="15.75" thickBot="1">
      <c r="A2918" s="32"/>
      <c r="B2918" s="32"/>
      <c r="C2918" s="32"/>
      <c r="D2918" s="32"/>
      <c r="E2918" s="32"/>
    </row>
    <row r="2919" spans="1:5" ht="15.75" thickBot="1">
      <c r="A2919" s="32"/>
      <c r="B2919" s="32"/>
      <c r="C2919" s="32"/>
      <c r="D2919" s="32"/>
      <c r="E2919" s="32"/>
    </row>
    <row r="2920" spans="1:5" ht="15.75" thickBot="1">
      <c r="A2920" s="32"/>
      <c r="B2920" s="32"/>
      <c r="C2920" s="32"/>
      <c r="D2920" s="32"/>
      <c r="E2920" s="32"/>
    </row>
    <row r="2921" spans="1:5" ht="15.75" thickBot="1">
      <c r="A2921" s="32"/>
      <c r="B2921" s="32"/>
      <c r="C2921" s="32"/>
      <c r="D2921" s="32"/>
      <c r="E2921" s="32"/>
    </row>
    <row r="2922" spans="1:5" ht="15.75" thickBot="1">
      <c r="A2922" s="32"/>
      <c r="B2922" s="32"/>
      <c r="C2922" s="32"/>
      <c r="D2922" s="32"/>
      <c r="E2922" s="32"/>
    </row>
    <row r="2923" spans="1:5" ht="15.75" thickBot="1">
      <c r="A2923" s="32"/>
      <c r="B2923" s="32"/>
      <c r="C2923" s="32"/>
      <c r="D2923" s="32"/>
      <c r="E2923" s="32"/>
    </row>
    <row r="2924" spans="1:5" ht="15.75" thickBot="1">
      <c r="A2924" s="32"/>
      <c r="B2924" s="32"/>
      <c r="C2924" s="32"/>
      <c r="D2924" s="32"/>
      <c r="E2924" s="32"/>
    </row>
    <row r="2925" spans="1:5" ht="15.75" thickBot="1">
      <c r="A2925" s="32"/>
      <c r="B2925" s="32"/>
      <c r="C2925" s="32"/>
      <c r="D2925" s="32"/>
      <c r="E2925" s="32"/>
    </row>
    <row r="2926" spans="1:5" ht="15.75" thickBot="1">
      <c r="A2926" s="32"/>
      <c r="B2926" s="32"/>
      <c r="C2926" s="32"/>
      <c r="D2926" s="32"/>
      <c r="E2926" s="32"/>
    </row>
    <row r="2927" spans="1:5" ht="15.75" thickBot="1">
      <c r="A2927" s="32"/>
      <c r="B2927" s="32"/>
      <c r="C2927" s="32"/>
      <c r="D2927" s="32"/>
      <c r="E2927" s="32"/>
    </row>
    <row r="2928" spans="1:5" ht="15.75" thickBot="1">
      <c r="A2928" s="32"/>
      <c r="B2928" s="32"/>
      <c r="C2928" s="32"/>
      <c r="D2928" s="32"/>
      <c r="E2928" s="32"/>
    </row>
    <row r="2929" spans="1:5" ht="15.75" thickBot="1">
      <c r="A2929" s="32"/>
      <c r="B2929" s="32"/>
      <c r="C2929" s="32"/>
      <c r="D2929" s="32"/>
      <c r="E2929" s="32"/>
    </row>
    <row r="2930" spans="1:5" ht="15.75" thickBot="1">
      <c r="A2930" s="32"/>
      <c r="B2930" s="32"/>
      <c r="C2930" s="32"/>
      <c r="D2930" s="32"/>
      <c r="E2930" s="32"/>
    </row>
    <row r="2931" spans="1:5" ht="15.75" thickBot="1">
      <c r="A2931" s="32"/>
      <c r="B2931" s="32"/>
      <c r="C2931" s="32"/>
      <c r="D2931" s="32"/>
      <c r="E2931" s="32"/>
    </row>
    <row r="2932" spans="1:5" ht="15.75" thickBot="1">
      <c r="A2932" s="32"/>
      <c r="B2932" s="32"/>
      <c r="C2932" s="32"/>
      <c r="D2932" s="32"/>
      <c r="E2932" s="32"/>
    </row>
    <row r="2933" spans="1:5" ht="15.75" thickBot="1">
      <c r="A2933" s="32"/>
      <c r="B2933" s="32"/>
      <c r="C2933" s="32"/>
      <c r="D2933" s="32"/>
      <c r="E2933" s="32"/>
    </row>
    <row r="2934" spans="1:5" ht="15.75" thickBot="1">
      <c r="A2934" s="32"/>
      <c r="B2934" s="32"/>
      <c r="C2934" s="32"/>
      <c r="D2934" s="32"/>
      <c r="E2934" s="32"/>
    </row>
    <row r="2935" spans="1:5" ht="15.75" thickBot="1">
      <c r="A2935" s="32"/>
      <c r="B2935" s="32"/>
      <c r="C2935" s="32"/>
      <c r="D2935" s="32"/>
      <c r="E2935" s="32"/>
    </row>
    <row r="2936" spans="1:5" ht="15.75" thickBot="1">
      <c r="A2936" s="32"/>
      <c r="B2936" s="32"/>
      <c r="C2936" s="32"/>
      <c r="D2936" s="32"/>
      <c r="E2936" s="32"/>
    </row>
    <row r="2937" spans="1:5" ht="15.75" thickBot="1">
      <c r="A2937" s="32"/>
      <c r="B2937" s="32"/>
      <c r="C2937" s="32"/>
      <c r="D2937" s="32"/>
      <c r="E2937" s="32"/>
    </row>
    <row r="2938" spans="1:5" ht="15.75" thickBot="1">
      <c r="A2938" s="32"/>
      <c r="B2938" s="32"/>
      <c r="C2938" s="32"/>
      <c r="D2938" s="32"/>
      <c r="E2938" s="32"/>
    </row>
    <row r="2939" spans="1:5" ht="15.75" thickBot="1">
      <c r="A2939" s="32"/>
      <c r="B2939" s="32"/>
      <c r="C2939" s="32"/>
      <c r="D2939" s="32"/>
      <c r="E2939" s="32"/>
    </row>
    <row r="2940" spans="1:5" ht="15.75" thickBot="1">
      <c r="A2940" s="32"/>
      <c r="B2940" s="32"/>
      <c r="C2940" s="32"/>
      <c r="D2940" s="32"/>
      <c r="E2940" s="32"/>
    </row>
    <row r="2941" spans="1:5" ht="15.75" thickBot="1">
      <c r="A2941" s="32"/>
      <c r="B2941" s="32"/>
      <c r="C2941" s="32"/>
      <c r="D2941" s="32"/>
      <c r="E2941" s="32"/>
    </row>
    <row r="2942" spans="1:5" ht="15.75" thickBot="1">
      <c r="A2942" s="32"/>
      <c r="B2942" s="32"/>
      <c r="C2942" s="32"/>
      <c r="D2942" s="32"/>
      <c r="E2942" s="32"/>
    </row>
    <row r="2943" spans="1:5" ht="15.75" thickBot="1">
      <c r="A2943" s="32"/>
      <c r="B2943" s="32"/>
      <c r="C2943" s="32"/>
      <c r="D2943" s="32"/>
      <c r="E2943" s="32"/>
    </row>
    <row r="2944" spans="1:5" ht="15.75" thickBot="1">
      <c r="A2944" s="32"/>
      <c r="B2944" s="32"/>
      <c r="C2944" s="32"/>
      <c r="D2944" s="32"/>
      <c r="E2944" s="32"/>
    </row>
    <row r="2945" spans="1:5" ht="15.75" thickBot="1">
      <c r="A2945" s="32"/>
      <c r="B2945" s="32"/>
      <c r="C2945" s="32"/>
      <c r="D2945" s="32"/>
      <c r="E2945" s="32"/>
    </row>
    <row r="2946" spans="1:5" ht="15.75" thickBot="1">
      <c r="A2946" s="32"/>
      <c r="B2946" s="32"/>
      <c r="C2946" s="32"/>
      <c r="D2946" s="32"/>
      <c r="E2946" s="32"/>
    </row>
    <row r="2947" spans="1:5" ht="15.75" thickBot="1">
      <c r="A2947" s="32"/>
      <c r="B2947" s="32"/>
      <c r="C2947" s="32"/>
      <c r="D2947" s="32"/>
      <c r="E2947" s="32"/>
    </row>
    <row r="2948" spans="1:5" ht="15.75" thickBot="1">
      <c r="A2948" s="32"/>
      <c r="B2948" s="32"/>
      <c r="C2948" s="32"/>
      <c r="D2948" s="32"/>
      <c r="E2948" s="32"/>
    </row>
    <row r="2949" spans="1:5" ht="15.75" thickBot="1">
      <c r="A2949" s="32"/>
      <c r="B2949" s="32"/>
      <c r="C2949" s="32"/>
      <c r="D2949" s="32"/>
      <c r="E2949" s="32"/>
    </row>
    <row r="2950" spans="1:5" ht="15.75" thickBot="1">
      <c r="A2950" s="32"/>
      <c r="B2950" s="32"/>
      <c r="C2950" s="32"/>
      <c r="D2950" s="32"/>
      <c r="E2950" s="32"/>
    </row>
    <row r="2951" spans="1:5" ht="15.75" thickBot="1">
      <c r="A2951" s="32"/>
      <c r="B2951" s="32"/>
      <c r="C2951" s="32"/>
      <c r="D2951" s="32"/>
      <c r="E2951" s="32"/>
    </row>
    <row r="2952" spans="1:5" ht="15.75" thickBot="1">
      <c r="A2952" s="32"/>
      <c r="B2952" s="32"/>
      <c r="C2952" s="32"/>
      <c r="D2952" s="32"/>
      <c r="E2952" s="32"/>
    </row>
    <row r="2953" spans="1:5" ht="15.75" thickBot="1">
      <c r="A2953" s="32"/>
      <c r="B2953" s="32"/>
      <c r="C2953" s="32"/>
      <c r="D2953" s="32"/>
      <c r="E2953" s="32"/>
    </row>
    <row r="2954" spans="1:5" ht="15.75" thickBot="1">
      <c r="A2954" s="32"/>
      <c r="B2954" s="32"/>
      <c r="C2954" s="32"/>
      <c r="D2954" s="32"/>
      <c r="E2954" s="32"/>
    </row>
    <row r="2955" spans="1:5" ht="15.75" thickBot="1">
      <c r="A2955" s="32"/>
      <c r="B2955" s="32"/>
      <c r="C2955" s="32"/>
      <c r="D2955" s="32"/>
      <c r="E2955" s="32"/>
    </row>
    <row r="2956" spans="1:5" ht="15.75" thickBot="1">
      <c r="A2956" s="32"/>
      <c r="B2956" s="32"/>
      <c r="C2956" s="32"/>
      <c r="D2956" s="32"/>
      <c r="E2956" s="32"/>
    </row>
    <row r="2957" spans="1:5" ht="15.75" thickBot="1">
      <c r="A2957" s="32"/>
      <c r="B2957" s="32"/>
      <c r="C2957" s="32"/>
      <c r="D2957" s="32"/>
      <c r="E2957" s="32"/>
    </row>
    <row r="2958" spans="1:5" ht="15.75" thickBot="1">
      <c r="A2958" s="32"/>
      <c r="B2958" s="32"/>
      <c r="C2958" s="32"/>
      <c r="D2958" s="32"/>
      <c r="E2958" s="32"/>
    </row>
    <row r="2959" spans="1:5" ht="15.75" thickBot="1">
      <c r="A2959" s="32"/>
      <c r="B2959" s="32"/>
      <c r="C2959" s="32"/>
      <c r="D2959" s="32"/>
      <c r="E2959" s="32"/>
    </row>
    <row r="2960" spans="1:5" ht="15.75" thickBot="1">
      <c r="A2960" s="32"/>
      <c r="B2960" s="32"/>
      <c r="C2960" s="32"/>
      <c r="D2960" s="32"/>
      <c r="E2960" s="32"/>
    </row>
    <row r="2961" spans="1:5" ht="15.75" thickBot="1">
      <c r="A2961" s="32"/>
      <c r="B2961" s="32"/>
      <c r="C2961" s="32"/>
      <c r="D2961" s="32"/>
      <c r="E2961" s="32"/>
    </row>
    <row r="2962" spans="1:5" ht="15.75" thickBot="1">
      <c r="A2962" s="32"/>
      <c r="B2962" s="32"/>
      <c r="C2962" s="32"/>
      <c r="D2962" s="32"/>
      <c r="E2962" s="32"/>
    </row>
    <row r="2963" spans="1:5" ht="15.75" thickBot="1">
      <c r="A2963" s="32"/>
      <c r="B2963" s="32"/>
      <c r="C2963" s="32"/>
      <c r="D2963" s="32"/>
      <c r="E2963" s="32"/>
    </row>
    <row r="2964" spans="1:5" ht="15.75" thickBot="1">
      <c r="A2964" s="32"/>
      <c r="B2964" s="32"/>
      <c r="C2964" s="32"/>
      <c r="D2964" s="32"/>
      <c r="E2964" s="32"/>
    </row>
    <row r="2965" spans="1:5" ht="15.75" thickBot="1">
      <c r="A2965" s="32"/>
      <c r="B2965" s="32"/>
      <c r="C2965" s="32"/>
      <c r="D2965" s="32"/>
      <c r="E2965" s="32"/>
    </row>
    <row r="2966" spans="1:5" ht="15.75" thickBot="1">
      <c r="A2966" s="32"/>
      <c r="B2966" s="32"/>
      <c r="C2966" s="32"/>
      <c r="D2966" s="32"/>
      <c r="E2966" s="32"/>
    </row>
    <row r="2967" spans="1:5" ht="15.75" thickBot="1">
      <c r="A2967" s="32"/>
      <c r="B2967" s="32"/>
      <c r="C2967" s="32"/>
      <c r="D2967" s="32"/>
      <c r="E2967" s="32"/>
    </row>
    <row r="2968" spans="1:5" ht="15.75" thickBot="1">
      <c r="A2968" s="32"/>
      <c r="B2968" s="32"/>
      <c r="C2968" s="32"/>
      <c r="D2968" s="32"/>
      <c r="E2968" s="32"/>
    </row>
    <row r="2969" spans="1:5" ht="15.75" thickBot="1">
      <c r="A2969" s="32"/>
      <c r="B2969" s="32"/>
      <c r="C2969" s="32"/>
      <c r="D2969" s="32"/>
      <c r="E2969" s="32"/>
    </row>
    <row r="2970" spans="1:5" ht="15.75" thickBot="1">
      <c r="A2970" s="32"/>
      <c r="B2970" s="32"/>
      <c r="C2970" s="32"/>
      <c r="D2970" s="32"/>
      <c r="E2970" s="32"/>
    </row>
    <row r="2971" spans="1:5" ht="15.75" thickBot="1">
      <c r="A2971" s="32"/>
      <c r="B2971" s="32"/>
      <c r="C2971" s="32"/>
      <c r="D2971" s="32"/>
      <c r="E2971" s="32"/>
    </row>
    <row r="2972" spans="1:5" ht="15.75" thickBot="1">
      <c r="A2972" s="32"/>
      <c r="B2972" s="32"/>
      <c r="C2972" s="32"/>
      <c r="D2972" s="32"/>
      <c r="E2972" s="32"/>
    </row>
    <row r="2973" spans="1:5" ht="15.75" thickBot="1">
      <c r="A2973" s="32"/>
      <c r="B2973" s="32"/>
      <c r="C2973" s="32"/>
      <c r="D2973" s="32"/>
      <c r="E2973" s="32"/>
    </row>
    <row r="2974" spans="1:5" ht="15.75" thickBot="1">
      <c r="A2974" s="32"/>
      <c r="B2974" s="32"/>
      <c r="C2974" s="32"/>
      <c r="D2974" s="32"/>
      <c r="E2974" s="32"/>
    </row>
    <row r="2975" spans="1:5" ht="15.75" thickBot="1">
      <c r="A2975" s="32"/>
      <c r="B2975" s="32"/>
      <c r="C2975" s="32"/>
      <c r="D2975" s="32"/>
      <c r="E2975" s="32"/>
    </row>
    <row r="2976" spans="1:5" ht="15.75" thickBot="1">
      <c r="A2976" s="32"/>
      <c r="B2976" s="32"/>
      <c r="C2976" s="32"/>
      <c r="D2976" s="32"/>
      <c r="E2976" s="32"/>
    </row>
    <row r="2977" spans="1:5" ht="15.75" thickBot="1">
      <c r="A2977" s="32"/>
      <c r="B2977" s="32"/>
      <c r="C2977" s="32"/>
      <c r="D2977" s="32"/>
      <c r="E2977" s="32"/>
    </row>
    <row r="2978" spans="1:5" ht="15.75" thickBot="1">
      <c r="A2978" s="32"/>
      <c r="B2978" s="32"/>
      <c r="C2978" s="32"/>
      <c r="D2978" s="32"/>
      <c r="E2978" s="32"/>
    </row>
    <row r="2979" spans="1:5" ht="15.75" thickBot="1">
      <c r="A2979" s="32"/>
      <c r="B2979" s="32"/>
      <c r="C2979" s="32"/>
      <c r="D2979" s="32"/>
      <c r="E2979" s="32"/>
    </row>
    <row r="2980" spans="1:5" ht="15.75" thickBot="1">
      <c r="A2980" s="32"/>
      <c r="B2980" s="32"/>
      <c r="C2980" s="32"/>
      <c r="D2980" s="32"/>
      <c r="E2980" s="32"/>
    </row>
    <row r="2981" spans="1:5" ht="15.75" thickBot="1">
      <c r="A2981" s="32"/>
      <c r="B2981" s="32"/>
      <c r="C2981" s="32"/>
      <c r="D2981" s="32"/>
      <c r="E2981" s="32"/>
    </row>
    <row r="2982" spans="1:5" ht="15.75" thickBot="1">
      <c r="A2982" s="32"/>
      <c r="B2982" s="32"/>
      <c r="C2982" s="32"/>
      <c r="D2982" s="32"/>
      <c r="E2982" s="32"/>
    </row>
    <row r="2983" spans="1:5" ht="15.75" thickBot="1">
      <c r="A2983" s="32"/>
      <c r="B2983" s="32"/>
      <c r="C2983" s="32"/>
      <c r="D2983" s="32"/>
      <c r="E2983" s="32"/>
    </row>
    <row r="2984" spans="1:5" ht="15.75" thickBot="1">
      <c r="A2984" s="32"/>
      <c r="B2984" s="32"/>
      <c r="C2984" s="32"/>
      <c r="D2984" s="32"/>
      <c r="E2984" s="32"/>
    </row>
    <row r="2985" spans="1:5" ht="15.75" thickBot="1">
      <c r="A2985" s="32"/>
      <c r="B2985" s="32"/>
      <c r="C2985" s="32"/>
      <c r="D2985" s="32"/>
      <c r="E2985" s="32"/>
    </row>
    <row r="2986" spans="1:5" ht="15.75" thickBot="1">
      <c r="A2986" s="32"/>
      <c r="B2986" s="32"/>
      <c r="C2986" s="32"/>
      <c r="D2986" s="32"/>
      <c r="E2986" s="32"/>
    </row>
    <row r="2987" spans="1:5" ht="15.75" thickBot="1">
      <c r="A2987" s="32"/>
      <c r="B2987" s="32"/>
      <c r="C2987" s="32"/>
      <c r="D2987" s="32"/>
      <c r="E2987" s="32"/>
    </row>
    <row r="2988" spans="1:5" ht="15.75" thickBot="1">
      <c r="A2988" s="32"/>
      <c r="B2988" s="32"/>
      <c r="C2988" s="32"/>
      <c r="D2988" s="32"/>
      <c r="E2988" s="32"/>
    </row>
    <row r="2989" spans="1:5" ht="15.75" thickBot="1">
      <c r="A2989" s="32"/>
      <c r="B2989" s="32"/>
      <c r="C2989" s="32"/>
      <c r="D2989" s="32"/>
      <c r="E2989" s="32"/>
    </row>
    <row r="2990" spans="1:5" ht="15.75" thickBot="1">
      <c r="A2990" s="32"/>
      <c r="B2990" s="32"/>
      <c r="C2990" s="32"/>
      <c r="D2990" s="32"/>
      <c r="E2990" s="32"/>
    </row>
    <row r="2991" spans="1:5" ht="15.75" thickBot="1">
      <c r="A2991" s="32"/>
      <c r="B2991" s="32"/>
      <c r="C2991" s="32"/>
      <c r="D2991" s="32"/>
      <c r="E2991" s="32"/>
    </row>
    <row r="2992" spans="1:5" ht="15.75" thickBot="1">
      <c r="A2992" s="32"/>
      <c r="B2992" s="32"/>
      <c r="C2992" s="32"/>
      <c r="D2992" s="32"/>
      <c r="E2992" s="32"/>
    </row>
    <row r="2993" spans="1:5" ht="15.75" thickBot="1">
      <c r="A2993" s="32"/>
      <c r="B2993" s="32"/>
      <c r="C2993" s="32"/>
      <c r="D2993" s="32"/>
      <c r="E2993" s="32"/>
    </row>
    <row r="2994" spans="1:5" ht="15.75" thickBot="1">
      <c r="A2994" s="32"/>
      <c r="B2994" s="32"/>
      <c r="C2994" s="32"/>
      <c r="D2994" s="32"/>
      <c r="E2994" s="32"/>
    </row>
    <row r="2995" spans="1:5" ht="15.75" thickBot="1">
      <c r="A2995" s="32"/>
      <c r="B2995" s="32"/>
      <c r="C2995" s="32"/>
      <c r="D2995" s="32"/>
      <c r="E2995" s="32"/>
    </row>
    <row r="2996" spans="1:5" ht="15.75" thickBot="1">
      <c r="A2996" s="32"/>
      <c r="B2996" s="32"/>
      <c r="C2996" s="32"/>
      <c r="D2996" s="32"/>
      <c r="E2996" s="32"/>
    </row>
    <row r="2997" spans="1:5" ht="15.75" thickBot="1">
      <c r="A2997" s="32"/>
      <c r="B2997" s="32"/>
      <c r="C2997" s="32"/>
      <c r="D2997" s="32"/>
      <c r="E2997" s="32"/>
    </row>
    <row r="2998" spans="1:5" ht="15.75" thickBot="1">
      <c r="A2998" s="32"/>
      <c r="B2998" s="32"/>
      <c r="C2998" s="32"/>
      <c r="D2998" s="32"/>
      <c r="E2998" s="32"/>
    </row>
    <row r="2999" spans="1:5" ht="15.75" thickBot="1">
      <c r="A2999" s="32"/>
      <c r="B2999" s="32"/>
      <c r="C2999" s="32"/>
      <c r="D2999" s="32"/>
      <c r="E2999" s="32"/>
    </row>
    <row r="3000" spans="1:5" ht="15.75" thickBot="1">
      <c r="A3000" s="32"/>
      <c r="B3000" s="32"/>
      <c r="C3000" s="32"/>
      <c r="D3000" s="32"/>
      <c r="E3000" s="32"/>
    </row>
    <row r="3001" spans="1:5" ht="15.75" thickBot="1">
      <c r="A3001" s="32"/>
      <c r="B3001" s="32"/>
      <c r="C3001" s="32"/>
      <c r="D3001" s="32"/>
      <c r="E3001" s="32"/>
    </row>
    <row r="3002" spans="1:5" ht="15.75" thickBot="1">
      <c r="A3002" s="32"/>
      <c r="B3002" s="32"/>
      <c r="C3002" s="32"/>
      <c r="D3002" s="32"/>
      <c r="E3002" s="32"/>
    </row>
    <row r="3003" spans="1:5" ht="15.75" thickBot="1">
      <c r="A3003" s="32"/>
      <c r="B3003" s="32"/>
      <c r="C3003" s="32"/>
      <c r="D3003" s="32"/>
      <c r="E3003" s="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40" customWidth="1"/>
    <col min="3" max="3" width="18" customWidth="1"/>
    <col min="4" max="4" width="20" customWidth="1"/>
    <col min="5" max="6" width="15" customWidth="1"/>
  </cols>
  <sheetData>
    <row r="1" spans="1:6">
      <c r="A1" s="8" t="s">
        <v>26</v>
      </c>
      <c r="B1" s="8" t="s">
        <v>27</v>
      </c>
      <c r="C1" s="8" t="s">
        <v>34</v>
      </c>
      <c r="D1" s="8" t="s">
        <v>35</v>
      </c>
      <c r="E1" s="8" t="s">
        <v>36</v>
      </c>
      <c r="F1" s="8" t="s">
        <v>37</v>
      </c>
    </row>
    <row r="2" spans="1:6">
      <c r="A2" t="str">
        <f>IFERROR(_xlfn.SINGLE(INDEX('ROMANEIO POR ITEM'!#REF!, SMALL(IF(_xlfn.SINGLE('ROMANEIO POR ITEM'!#REF!)&lt;&gt;0,_xlfn.SINGLE( ROW('ROMANEIO POR ITEM'!#REF!))-ROW('ROMANEIO POR ITEM'!#REF!)+1), ROW(A1)))), "")</f>
        <v/>
      </c>
      <c r="B2" t="str">
        <f>IF(A2="", "", VLOOKUP(A2, 'ROMANEIO POR ITEM'!#REF!, 2, FALSE))</f>
        <v/>
      </c>
      <c r="C2" t="str">
        <f>IF(A2="", "", VLOOKUP(A2, 'ROMANEIO POR ITEM'!#REF!, 3, FALSE))</f>
        <v/>
      </c>
      <c r="D2" t="str">
        <f>IF(A2="", "", VLOOKUP(A2, 'ROMANEIO POR ITEM'!#REF!, 4, FALSE))</f>
        <v/>
      </c>
      <c r="E2" t="str">
        <f>IF(A2="", "", VLOOKUP(A2, 'ROMANEIO POR ITEM'!#REF!, 5, FALSE))</f>
        <v/>
      </c>
      <c r="F2" t="str">
        <f>IF(A2="", "", VLOOKUP(A2, 'ROMANEIO POR ITEM'!#REF!, 6, FALSE))</f>
        <v/>
      </c>
    </row>
    <row r="3" spans="1:6">
      <c r="A3" t="str">
        <f>IFERROR(_xlfn.SINGLE(INDEX('ROMANEIO POR ITEM'!#REF!, SMALL(IF(_xlfn.SINGLE('ROMANEIO POR ITEM'!#REF!)&lt;&gt;0,_xlfn.SINGLE( ROW('ROMANEIO POR ITEM'!#REF!))-ROW('ROMANEIO POR ITEM'!#REF!)+1), ROW(A2)))), "")</f>
        <v/>
      </c>
      <c r="B3" t="str">
        <f>IF(A3="", "", VLOOKUP(A3, 'ROMANEIO POR ITEM'!#REF!, 2, FALSE))</f>
        <v/>
      </c>
      <c r="C3" t="str">
        <f>IF(A3="", "", VLOOKUP(A3, 'ROMANEIO POR ITEM'!#REF!, 3, FALSE))</f>
        <v/>
      </c>
      <c r="D3" t="str">
        <f>IF(A3="", "", VLOOKUP(A3, 'ROMANEIO POR ITEM'!#REF!, 4, FALSE))</f>
        <v/>
      </c>
      <c r="E3" t="str">
        <f>IF(A3="", "", VLOOKUP(A3, 'ROMANEIO POR ITEM'!#REF!, 5, FALSE))</f>
        <v/>
      </c>
      <c r="F3" t="str">
        <f>IF(A3="", "", VLOOKUP(A3, 'ROMANEIO POR ITEM'!#REF!, 6, FALSE))</f>
        <v/>
      </c>
    </row>
    <row r="4" spans="1:6">
      <c r="A4" t="str">
        <f>IFERROR(_xlfn.SINGLE(INDEX('ROMANEIO POR ITEM'!#REF!, SMALL(IF(_xlfn.SINGLE('ROMANEIO POR ITEM'!#REF!)&lt;&gt;0,_xlfn.SINGLE( ROW('ROMANEIO POR ITEM'!#REF!))-ROW('ROMANEIO POR ITEM'!#REF!)+1), ROW(A3)))), "")</f>
        <v/>
      </c>
      <c r="B4" t="str">
        <f>IF(A4="", "", VLOOKUP(A4, 'ROMANEIO POR ITEM'!#REF!, 2, FALSE))</f>
        <v/>
      </c>
      <c r="C4" t="str">
        <f>IF(A4="", "", VLOOKUP(A4, 'ROMANEIO POR ITEM'!#REF!, 3, FALSE))</f>
        <v/>
      </c>
      <c r="D4" t="str">
        <f>IF(A4="", "", VLOOKUP(A4, 'ROMANEIO POR ITEM'!#REF!, 4, FALSE))</f>
        <v/>
      </c>
      <c r="E4" t="str">
        <f>IF(A4="", "", VLOOKUP(A4, 'ROMANEIO POR ITEM'!#REF!, 5, FALSE))</f>
        <v/>
      </c>
      <c r="F4" t="str">
        <f>IF(A4="", "", VLOOKUP(A4, 'ROMANEIO POR ITEM'!#REF!, 6, FALSE))</f>
        <v/>
      </c>
    </row>
    <row r="5" spans="1:6">
      <c r="A5" t="str">
        <f>IFERROR(_xlfn.SINGLE(INDEX('ROMANEIO POR ITEM'!#REF!, SMALL(IF(_xlfn.SINGLE('ROMANEIO POR ITEM'!#REF!)&lt;&gt;0,_xlfn.SINGLE( ROW('ROMANEIO POR ITEM'!#REF!))-ROW('ROMANEIO POR ITEM'!#REF!)+1), ROW(A4)))), "")</f>
        <v/>
      </c>
      <c r="B5" t="str">
        <f>IF(A5="", "", VLOOKUP(A5, 'ROMANEIO POR ITEM'!#REF!, 2, FALSE))</f>
        <v/>
      </c>
      <c r="C5" t="str">
        <f>IF(A5="", "", VLOOKUP(A5, 'ROMANEIO POR ITEM'!#REF!, 3, FALSE))</f>
        <v/>
      </c>
      <c r="D5" t="str">
        <f>IF(A5="", "", VLOOKUP(A5, 'ROMANEIO POR ITEM'!#REF!, 4, FALSE))</f>
        <v/>
      </c>
      <c r="E5" t="str">
        <f>IF(A5="", "", VLOOKUP(A5, 'ROMANEIO POR ITEM'!#REF!, 5, FALSE))</f>
        <v/>
      </c>
      <c r="F5" t="str">
        <f>IF(A5="", "", VLOOKUP(A5, 'ROMANEIO POR ITEM'!#REF!, 6, FALSE))</f>
        <v/>
      </c>
    </row>
    <row r="6" spans="1:6">
      <c r="A6" t="str">
        <f>IFERROR(_xlfn.SINGLE(INDEX('ROMANEIO POR ITEM'!#REF!, SMALL(IF(_xlfn.SINGLE('ROMANEIO POR ITEM'!#REF!)&lt;&gt;0,_xlfn.SINGLE( ROW('ROMANEIO POR ITEM'!#REF!))-ROW('ROMANEIO POR ITEM'!#REF!)+1), ROW(A5)))), "")</f>
        <v/>
      </c>
      <c r="B6" t="str">
        <f>IF(A6="", "", VLOOKUP(A6, 'ROMANEIO POR ITEM'!#REF!, 2, FALSE))</f>
        <v/>
      </c>
      <c r="C6" t="str">
        <f>IF(A6="", "", VLOOKUP(A6, 'ROMANEIO POR ITEM'!#REF!, 3, FALSE))</f>
        <v/>
      </c>
      <c r="D6" t="str">
        <f>IF(A6="", "", VLOOKUP(A6, 'ROMANEIO POR ITEM'!#REF!, 4, FALSE))</f>
        <v/>
      </c>
      <c r="E6" t="str">
        <f>IF(A6="", "", VLOOKUP(A6, 'ROMANEIO POR ITEM'!#REF!, 5, FALSE))</f>
        <v/>
      </c>
      <c r="F6" t="str">
        <f>IF(A6="", "", VLOOKUP(A6, 'ROMANEIO POR ITEM'!#REF!, 6, FALSE))</f>
        <v/>
      </c>
    </row>
    <row r="7" spans="1:6">
      <c r="A7" t="str">
        <f>IFERROR(_xlfn.SINGLE(INDEX('ROMANEIO POR ITEM'!#REF!, SMALL(IF(_xlfn.SINGLE('ROMANEIO POR ITEM'!#REF!)&lt;&gt;0,_xlfn.SINGLE( ROW('ROMANEIO POR ITEM'!#REF!))-ROW('ROMANEIO POR ITEM'!#REF!)+1), ROW(A6)))), "")</f>
        <v/>
      </c>
      <c r="B7" t="str">
        <f>IF(A7="", "", VLOOKUP(A7, 'ROMANEIO POR ITEM'!#REF!, 2, FALSE))</f>
        <v/>
      </c>
      <c r="C7" t="str">
        <f>IF(A7="", "", VLOOKUP(A7, 'ROMANEIO POR ITEM'!#REF!, 3, FALSE))</f>
        <v/>
      </c>
      <c r="D7" t="str">
        <f>IF(A7="", "", VLOOKUP(A7, 'ROMANEIO POR ITEM'!#REF!, 4, FALSE))</f>
        <v/>
      </c>
      <c r="E7" t="str">
        <f>IF(A7="", "", VLOOKUP(A7, 'ROMANEIO POR ITEM'!#REF!, 5, FALSE))</f>
        <v/>
      </c>
      <c r="F7" t="str">
        <f>IF(A7="", "", VLOOKUP(A7, 'ROMANEIO POR ITEM'!#REF!, 6, FALSE))</f>
        <v/>
      </c>
    </row>
    <row r="8" spans="1:6">
      <c r="A8" t="str">
        <f>IFERROR(_xlfn.SINGLE(INDEX('ROMANEIO POR ITEM'!#REF!, SMALL(IF(_xlfn.SINGLE('ROMANEIO POR ITEM'!#REF!)&lt;&gt;0,_xlfn.SINGLE( ROW('ROMANEIO POR ITEM'!#REF!))-ROW('ROMANEIO POR ITEM'!#REF!)+1), ROW(A7)))), "")</f>
        <v/>
      </c>
      <c r="B8" t="str">
        <f>IF(A8="", "", VLOOKUP(A8, 'ROMANEIO POR ITEM'!#REF!, 2, FALSE))</f>
        <v/>
      </c>
      <c r="C8" t="str">
        <f>IF(A8="", "", VLOOKUP(A8, 'ROMANEIO POR ITEM'!#REF!, 3, FALSE))</f>
        <v/>
      </c>
      <c r="D8" t="str">
        <f>IF(A8="", "", VLOOKUP(A8, 'ROMANEIO POR ITEM'!#REF!, 4, FALSE))</f>
        <v/>
      </c>
      <c r="E8" t="str">
        <f>IF(A8="", "", VLOOKUP(A8, 'ROMANEIO POR ITEM'!#REF!, 5, FALSE))</f>
        <v/>
      </c>
      <c r="F8" t="str">
        <f>IF(A8="", "", VLOOKUP(A8, 'ROMANEIO POR ITEM'!#REF!, 6, FALSE))</f>
        <v/>
      </c>
    </row>
    <row r="9" spans="1:6">
      <c r="A9" t="str">
        <f>IFERROR(_xlfn.SINGLE(INDEX('ROMANEIO POR ITEM'!#REF!, SMALL(IF(_xlfn.SINGLE('ROMANEIO POR ITEM'!#REF!)&lt;&gt;0,_xlfn.SINGLE( ROW('ROMANEIO POR ITEM'!#REF!))-ROW('ROMANEIO POR ITEM'!#REF!)+1), ROW(A8)))), "")</f>
        <v/>
      </c>
      <c r="B9" t="str">
        <f>IF(A9="", "", VLOOKUP(A9, 'ROMANEIO POR ITEM'!#REF!, 2, FALSE))</f>
        <v/>
      </c>
      <c r="C9" t="str">
        <f>IF(A9="", "", VLOOKUP(A9, 'ROMANEIO POR ITEM'!#REF!, 3, FALSE))</f>
        <v/>
      </c>
      <c r="D9" t="str">
        <f>IF(A9="", "", VLOOKUP(A9, 'ROMANEIO POR ITEM'!#REF!, 4, FALSE))</f>
        <v/>
      </c>
      <c r="E9" t="str">
        <f>IF(A9="", "", VLOOKUP(A9, 'ROMANEIO POR ITEM'!#REF!, 5, FALSE))</f>
        <v/>
      </c>
      <c r="F9" t="str">
        <f>IF(A9="", "", VLOOKUP(A9, 'ROMANEIO POR ITEM'!#REF!, 6, FALSE))</f>
        <v/>
      </c>
    </row>
    <row r="10" spans="1:6">
      <c r="A10" t="str">
        <f>IFERROR(_xlfn.SINGLE(INDEX('ROMANEIO POR ITEM'!#REF!, SMALL(IF(_xlfn.SINGLE('ROMANEIO POR ITEM'!#REF!)&lt;&gt;0,_xlfn.SINGLE( ROW('ROMANEIO POR ITEM'!#REF!))-ROW('ROMANEIO POR ITEM'!#REF!)+1), ROW(A9)))), "")</f>
        <v/>
      </c>
      <c r="B10" t="str">
        <f>IF(A10="", "", VLOOKUP(A10, 'ROMANEIO POR ITEM'!#REF!, 2, FALSE))</f>
        <v/>
      </c>
      <c r="C10" t="str">
        <f>IF(A10="", "", VLOOKUP(A10, 'ROMANEIO POR ITEM'!#REF!, 3, FALSE))</f>
        <v/>
      </c>
      <c r="D10" t="str">
        <f>IF(A10="", "", VLOOKUP(A10, 'ROMANEIO POR ITEM'!#REF!, 4, FALSE))</f>
        <v/>
      </c>
      <c r="E10" t="str">
        <f>IF(A10="", "", VLOOKUP(A10, 'ROMANEIO POR ITEM'!#REF!, 5, FALSE))</f>
        <v/>
      </c>
      <c r="F10" t="str">
        <f>IF(A10="", "", VLOOKUP(A10, 'ROMANEIO POR ITEM'!#REF!, 6, FALSE))</f>
        <v/>
      </c>
    </row>
    <row r="11" spans="1:6">
      <c r="A11" t="str">
        <f>IFERROR(_xlfn.SINGLE(INDEX('ROMANEIO POR ITEM'!#REF!, SMALL(IF(_xlfn.SINGLE('ROMANEIO POR ITEM'!#REF!)&lt;&gt;0,_xlfn.SINGLE( ROW('ROMANEIO POR ITEM'!#REF!))-ROW('ROMANEIO POR ITEM'!#REF!)+1), ROW(A10)))), "")</f>
        <v/>
      </c>
      <c r="B11" t="str">
        <f>IF(A11="", "", VLOOKUP(A11, 'ROMANEIO POR ITEM'!#REF!, 2, FALSE))</f>
        <v/>
      </c>
      <c r="C11" t="str">
        <f>IF(A11="", "", VLOOKUP(A11, 'ROMANEIO POR ITEM'!#REF!, 3, FALSE))</f>
        <v/>
      </c>
      <c r="D11" t="str">
        <f>IF(A11="", "", VLOOKUP(A11, 'ROMANEIO POR ITEM'!#REF!, 4, FALSE))</f>
        <v/>
      </c>
      <c r="E11" t="str">
        <f>IF(A11="", "", VLOOKUP(A11, 'ROMANEIO POR ITEM'!#REF!, 5, FALSE))</f>
        <v/>
      </c>
      <c r="F11" t="str">
        <f>IF(A11="", "", VLOOKUP(A11, 'ROMANEIO POR ITEM'!#REF!, 6, FALSE))</f>
        <v/>
      </c>
    </row>
    <row r="12" spans="1:6">
      <c r="A12" t="str">
        <f>IFERROR(_xlfn.SINGLE(INDEX('ROMANEIO POR ITEM'!#REF!, SMALL(IF(_xlfn.SINGLE('ROMANEIO POR ITEM'!#REF!)&lt;&gt;0,_xlfn.SINGLE( ROW('ROMANEIO POR ITEM'!#REF!))-ROW('ROMANEIO POR ITEM'!#REF!)+1), ROW(A11)))), "")</f>
        <v/>
      </c>
      <c r="B12" t="str">
        <f>IF(A12="", "", VLOOKUP(A12, 'ROMANEIO POR ITEM'!#REF!, 2, FALSE))</f>
        <v/>
      </c>
      <c r="C12" t="str">
        <f>IF(A12="", "", VLOOKUP(A12, 'ROMANEIO POR ITEM'!#REF!, 3, FALSE))</f>
        <v/>
      </c>
      <c r="D12" t="str">
        <f>IF(A12="", "", VLOOKUP(A12, 'ROMANEIO POR ITEM'!#REF!, 4, FALSE))</f>
        <v/>
      </c>
      <c r="E12" t="str">
        <f>IF(A12="", "", VLOOKUP(A12, 'ROMANEIO POR ITEM'!#REF!, 5, FALSE))</f>
        <v/>
      </c>
      <c r="F12" t="str">
        <f>IF(A12="", "", VLOOKUP(A12, 'ROMANEIO POR ITEM'!#REF!, 6, FALSE))</f>
        <v/>
      </c>
    </row>
    <row r="13" spans="1:6">
      <c r="A13" t="str">
        <f>IFERROR(_xlfn.SINGLE(INDEX('ROMANEIO POR ITEM'!#REF!, SMALL(IF(_xlfn.SINGLE('ROMANEIO POR ITEM'!#REF!)&lt;&gt;0,_xlfn.SINGLE( ROW('ROMANEIO POR ITEM'!#REF!))-ROW('ROMANEIO POR ITEM'!#REF!)+1), ROW(A12)))), "")</f>
        <v/>
      </c>
      <c r="B13" t="str">
        <f>IF(A13="", "", VLOOKUP(A13, 'ROMANEIO POR ITEM'!#REF!, 2, FALSE))</f>
        <v/>
      </c>
      <c r="C13" t="str">
        <f>IF(A13="", "", VLOOKUP(A13, 'ROMANEIO POR ITEM'!#REF!, 3, FALSE))</f>
        <v/>
      </c>
      <c r="D13" t="str">
        <f>IF(A13="", "", VLOOKUP(A13, 'ROMANEIO POR ITEM'!#REF!, 4, FALSE))</f>
        <v/>
      </c>
      <c r="E13" t="str">
        <f>IF(A13="", "", VLOOKUP(A13, 'ROMANEIO POR ITEM'!#REF!, 5, FALSE))</f>
        <v/>
      </c>
      <c r="F13" t="str">
        <f>IF(A13="", "", VLOOKUP(A13, 'ROMANEIO POR ITEM'!#REF!, 6, FALSE))</f>
        <v/>
      </c>
    </row>
    <row r="14" spans="1:6">
      <c r="A14" t="str">
        <f>IFERROR(_xlfn.SINGLE(INDEX('ROMANEIO POR ITEM'!#REF!, SMALL(IF(_xlfn.SINGLE('ROMANEIO POR ITEM'!#REF!)&lt;&gt;0,_xlfn.SINGLE( ROW('ROMANEIO POR ITEM'!#REF!))-ROW('ROMANEIO POR ITEM'!#REF!)+1), ROW(A13)))), "")</f>
        <v/>
      </c>
      <c r="B14" t="str">
        <f>IF(A14="", "", VLOOKUP(A14, 'ROMANEIO POR ITEM'!#REF!, 2, FALSE))</f>
        <v/>
      </c>
      <c r="C14" t="str">
        <f>IF(A14="", "", VLOOKUP(A14, 'ROMANEIO POR ITEM'!#REF!, 3, FALSE))</f>
        <v/>
      </c>
      <c r="D14" t="str">
        <f>IF(A14="", "", VLOOKUP(A14, 'ROMANEIO POR ITEM'!#REF!, 4, FALSE))</f>
        <v/>
      </c>
      <c r="E14" t="str">
        <f>IF(A14="", "", VLOOKUP(A14, 'ROMANEIO POR ITEM'!#REF!, 5, FALSE))</f>
        <v/>
      </c>
      <c r="F14" t="str">
        <f>IF(A14="", "", VLOOKUP(A14, 'ROMANEIO POR ITEM'!#REF!, 6, FALSE))</f>
        <v/>
      </c>
    </row>
    <row r="15" spans="1:6">
      <c r="A15" t="str">
        <f>IFERROR(_xlfn.SINGLE(INDEX('ROMANEIO POR ITEM'!#REF!, SMALL(IF(_xlfn.SINGLE('ROMANEIO POR ITEM'!#REF!)&lt;&gt;0,_xlfn.SINGLE( ROW('ROMANEIO POR ITEM'!#REF!))-ROW('ROMANEIO POR ITEM'!#REF!)+1), ROW(A14)))), "")</f>
        <v/>
      </c>
      <c r="B15" t="str">
        <f>IF(A15="", "", VLOOKUP(A15, 'ROMANEIO POR ITEM'!#REF!, 2, FALSE))</f>
        <v/>
      </c>
      <c r="C15" t="str">
        <f>IF(A15="", "", VLOOKUP(A15, 'ROMANEIO POR ITEM'!#REF!, 3, FALSE))</f>
        <v/>
      </c>
      <c r="D15" t="str">
        <f>IF(A15="", "", VLOOKUP(A15, 'ROMANEIO POR ITEM'!#REF!, 4, FALSE))</f>
        <v/>
      </c>
      <c r="E15" t="str">
        <f>IF(A15="", "", VLOOKUP(A15, 'ROMANEIO POR ITEM'!#REF!, 5, FALSE))</f>
        <v/>
      </c>
      <c r="F15" t="str">
        <f>IF(A15="", "", VLOOKUP(A15, 'ROMANEIO POR ITEM'!#REF!, 6, FALSE))</f>
        <v/>
      </c>
    </row>
    <row r="16" spans="1:6">
      <c r="A16" t="str">
        <f>IFERROR(_xlfn.SINGLE(INDEX('ROMANEIO POR ITEM'!#REF!, SMALL(IF(_xlfn.SINGLE('ROMANEIO POR ITEM'!#REF!)&lt;&gt;0,_xlfn.SINGLE( ROW('ROMANEIO POR ITEM'!#REF!))-ROW('ROMANEIO POR ITEM'!#REF!)+1), ROW(A15)))), "")</f>
        <v/>
      </c>
      <c r="B16" t="str">
        <f>IF(A16="", "", VLOOKUP(A16, 'ROMANEIO POR ITEM'!#REF!, 2, FALSE))</f>
        <v/>
      </c>
      <c r="C16" t="str">
        <f>IF(A16="", "", VLOOKUP(A16, 'ROMANEIO POR ITEM'!#REF!, 3, FALSE))</f>
        <v/>
      </c>
      <c r="D16" t="str">
        <f>IF(A16="", "", VLOOKUP(A16, 'ROMANEIO POR ITEM'!#REF!, 4, FALSE))</f>
        <v/>
      </c>
      <c r="E16" t="str">
        <f>IF(A16="", "", VLOOKUP(A16, 'ROMANEIO POR ITEM'!#REF!, 5, FALSE))</f>
        <v/>
      </c>
      <c r="F16" t="str">
        <f>IF(A16="", "", VLOOKUP(A16, 'ROMANEIO POR ITEM'!#REF!, 6, FALSE))</f>
        <v/>
      </c>
    </row>
    <row r="17" spans="1:6">
      <c r="A17" t="str">
        <f>IFERROR(_xlfn.SINGLE(INDEX('ROMANEIO POR ITEM'!#REF!, SMALL(IF(_xlfn.SINGLE('ROMANEIO POR ITEM'!#REF!)&lt;&gt;0,_xlfn.SINGLE( ROW('ROMANEIO POR ITEM'!#REF!))-ROW('ROMANEIO POR ITEM'!#REF!)+1), ROW(A16)))), "")</f>
        <v/>
      </c>
      <c r="B17" t="str">
        <f>IF(A17="", "", VLOOKUP(A17, 'ROMANEIO POR ITEM'!#REF!, 2, FALSE))</f>
        <v/>
      </c>
      <c r="C17" t="str">
        <f>IF(A17="", "", VLOOKUP(A17, 'ROMANEIO POR ITEM'!#REF!, 3, FALSE))</f>
        <v/>
      </c>
      <c r="D17" t="str">
        <f>IF(A17="", "", VLOOKUP(A17, 'ROMANEIO POR ITEM'!#REF!, 4, FALSE))</f>
        <v/>
      </c>
      <c r="E17" t="str">
        <f>IF(A17="", "", VLOOKUP(A17, 'ROMANEIO POR ITEM'!#REF!, 5, FALSE))</f>
        <v/>
      </c>
      <c r="F17" t="str">
        <f>IF(A17="", "", VLOOKUP(A17, 'ROMANEIO POR ITEM'!#REF!, 6, FALSE))</f>
        <v/>
      </c>
    </row>
    <row r="18" spans="1:6">
      <c r="A18" t="str">
        <f>IFERROR(_xlfn.SINGLE(INDEX('ROMANEIO POR ITEM'!#REF!, SMALL(IF(_xlfn.SINGLE('ROMANEIO POR ITEM'!#REF!)&lt;&gt;0,_xlfn.SINGLE( ROW('ROMANEIO POR ITEM'!#REF!))-ROW('ROMANEIO POR ITEM'!#REF!)+1), ROW(A17)))), "")</f>
        <v/>
      </c>
      <c r="B18" t="str">
        <f>IF(A18="", "", VLOOKUP(A18, 'ROMANEIO POR ITEM'!#REF!, 2, FALSE))</f>
        <v/>
      </c>
      <c r="C18" t="str">
        <f>IF(A18="", "", VLOOKUP(A18, 'ROMANEIO POR ITEM'!#REF!, 3, FALSE))</f>
        <v/>
      </c>
      <c r="D18" t="str">
        <f>IF(A18="", "", VLOOKUP(A18, 'ROMANEIO POR ITEM'!#REF!, 4, FALSE))</f>
        <v/>
      </c>
      <c r="E18" t="str">
        <f>IF(A18="", "", VLOOKUP(A18, 'ROMANEIO POR ITEM'!#REF!, 5, FALSE))</f>
        <v/>
      </c>
      <c r="F18" t="str">
        <f>IF(A18="", "", VLOOKUP(A18, 'ROMANEIO POR ITEM'!#REF!, 6, FALSE))</f>
        <v/>
      </c>
    </row>
    <row r="19" spans="1:6">
      <c r="A19" t="str">
        <f>IFERROR(_xlfn.SINGLE(INDEX('ROMANEIO POR ITEM'!#REF!, SMALL(IF(_xlfn.SINGLE('ROMANEIO POR ITEM'!#REF!)&lt;&gt;0,_xlfn.SINGLE( ROW('ROMANEIO POR ITEM'!#REF!))-ROW('ROMANEIO POR ITEM'!#REF!)+1), ROW(A18)))), "")</f>
        <v/>
      </c>
      <c r="B19" t="str">
        <f>IF(A19="", "", VLOOKUP(A19, 'ROMANEIO POR ITEM'!#REF!, 2, FALSE))</f>
        <v/>
      </c>
      <c r="C19" t="str">
        <f>IF(A19="", "", VLOOKUP(A19, 'ROMANEIO POR ITEM'!#REF!, 3, FALSE))</f>
        <v/>
      </c>
      <c r="D19" t="str">
        <f>IF(A19="", "", VLOOKUP(A19, 'ROMANEIO POR ITEM'!#REF!, 4, FALSE))</f>
        <v/>
      </c>
      <c r="E19" t="str">
        <f>IF(A19="", "", VLOOKUP(A19, 'ROMANEIO POR ITEM'!#REF!, 5, FALSE))</f>
        <v/>
      </c>
      <c r="F19" t="str">
        <f>IF(A19="", "", VLOOKUP(A19, 'ROMANEIO POR ITEM'!#REF!, 6, FALSE))</f>
        <v/>
      </c>
    </row>
    <row r="20" spans="1:6">
      <c r="A20" t="str">
        <f>IFERROR(_xlfn.SINGLE(INDEX('ROMANEIO POR ITEM'!#REF!, SMALL(IF(_xlfn.SINGLE('ROMANEIO POR ITEM'!#REF!)&lt;&gt;0,_xlfn.SINGLE( ROW('ROMANEIO POR ITEM'!#REF!))-ROW('ROMANEIO POR ITEM'!#REF!)+1), ROW(A19)))), "")</f>
        <v/>
      </c>
      <c r="B20" t="str">
        <f>IF(A20="", "", VLOOKUP(A20, 'ROMANEIO POR ITEM'!#REF!, 2, FALSE))</f>
        <v/>
      </c>
      <c r="C20" t="str">
        <f>IF(A20="", "", VLOOKUP(A20, 'ROMANEIO POR ITEM'!#REF!, 3, FALSE))</f>
        <v/>
      </c>
      <c r="D20" t="str">
        <f>IF(A20="", "", VLOOKUP(A20, 'ROMANEIO POR ITEM'!#REF!, 4, FALSE))</f>
        <v/>
      </c>
      <c r="E20" t="str">
        <f>IF(A20="", "", VLOOKUP(A20, 'ROMANEIO POR ITEM'!#REF!, 5, FALSE))</f>
        <v/>
      </c>
      <c r="F20" t="str">
        <f>IF(A20="", "", VLOOKUP(A20, 'ROMANEIO POR ITEM'!#REF!, 6, FALSE))</f>
        <v/>
      </c>
    </row>
    <row r="21" spans="1:6">
      <c r="A21" t="str">
        <f>IFERROR(_xlfn.SINGLE(INDEX('ROMANEIO POR ITEM'!#REF!, SMALL(IF(_xlfn.SINGLE('ROMANEIO POR ITEM'!#REF!)&lt;&gt;0,_xlfn.SINGLE( ROW('ROMANEIO POR ITEM'!#REF!))-ROW('ROMANEIO POR ITEM'!#REF!)+1), ROW(A20)))), "")</f>
        <v/>
      </c>
      <c r="B21" t="str">
        <f>IF(A21="", "", VLOOKUP(A21, 'ROMANEIO POR ITEM'!#REF!, 2, FALSE))</f>
        <v/>
      </c>
      <c r="C21" t="str">
        <f>IF(A21="", "", VLOOKUP(A21, 'ROMANEIO POR ITEM'!#REF!, 3, FALSE))</f>
        <v/>
      </c>
      <c r="D21" t="str">
        <f>IF(A21="", "", VLOOKUP(A21, 'ROMANEIO POR ITEM'!#REF!, 4, FALSE))</f>
        <v/>
      </c>
      <c r="E21" t="str">
        <f>IF(A21="", "", VLOOKUP(A21, 'ROMANEIO POR ITEM'!#REF!, 5, FALSE))</f>
        <v/>
      </c>
      <c r="F21" t="str">
        <f>IF(A21="", "", VLOOKUP(A21, 'ROMANEIO POR ITEM'!#REF!, 6, FALSE))</f>
        <v/>
      </c>
    </row>
    <row r="22" spans="1:6">
      <c r="A22" t="str">
        <f>IFERROR(_xlfn.SINGLE(INDEX('ROMANEIO POR ITEM'!#REF!, SMALL(IF(_xlfn.SINGLE('ROMANEIO POR ITEM'!#REF!)&lt;&gt;0,_xlfn.SINGLE( ROW('ROMANEIO POR ITEM'!#REF!))-ROW('ROMANEIO POR ITEM'!#REF!)+1), ROW(A21)))), "")</f>
        <v/>
      </c>
      <c r="B22" t="str">
        <f>IF(A22="", "", VLOOKUP(A22, 'ROMANEIO POR ITEM'!#REF!, 2, FALSE))</f>
        <v/>
      </c>
      <c r="C22" t="str">
        <f>IF(A22="", "", VLOOKUP(A22, 'ROMANEIO POR ITEM'!#REF!, 3, FALSE))</f>
        <v/>
      </c>
      <c r="D22" t="str">
        <f>IF(A22="", "", VLOOKUP(A22, 'ROMANEIO POR ITEM'!#REF!, 4, FALSE))</f>
        <v/>
      </c>
      <c r="E22" t="str">
        <f>IF(A22="", "", VLOOKUP(A22, 'ROMANEIO POR ITEM'!#REF!, 5, FALSE))</f>
        <v/>
      </c>
      <c r="F22" t="str">
        <f>IF(A22="", "", VLOOKUP(A22, 'ROMANEIO POR ITEM'!#REF!, 6, FALSE))</f>
        <v/>
      </c>
    </row>
    <row r="23" spans="1:6">
      <c r="A23" t="str">
        <f>IFERROR(_xlfn.SINGLE(INDEX('ROMANEIO POR ITEM'!#REF!, SMALL(IF(_xlfn.SINGLE('ROMANEIO POR ITEM'!#REF!)&lt;&gt;0,_xlfn.SINGLE( ROW('ROMANEIO POR ITEM'!#REF!))-ROW('ROMANEIO POR ITEM'!#REF!)+1), ROW(A22)))), "")</f>
        <v/>
      </c>
      <c r="B23" t="str">
        <f>IF(A23="", "", VLOOKUP(A23, 'ROMANEIO POR ITEM'!#REF!, 2, FALSE))</f>
        <v/>
      </c>
      <c r="C23" t="str">
        <f>IF(A23="", "", VLOOKUP(A23, 'ROMANEIO POR ITEM'!#REF!, 3, FALSE))</f>
        <v/>
      </c>
      <c r="D23" t="str">
        <f>IF(A23="", "", VLOOKUP(A23, 'ROMANEIO POR ITEM'!#REF!, 4, FALSE))</f>
        <v/>
      </c>
      <c r="E23" t="str">
        <f>IF(A23="", "", VLOOKUP(A23, 'ROMANEIO POR ITEM'!#REF!, 5, FALSE))</f>
        <v/>
      </c>
      <c r="F23" t="str">
        <f>IF(A23="", "", VLOOKUP(A23, 'ROMANEIO POR ITEM'!#REF!, 6, FALSE))</f>
        <v/>
      </c>
    </row>
    <row r="24" spans="1:6">
      <c r="A24" t="str">
        <f>IFERROR(_xlfn.SINGLE(INDEX('ROMANEIO POR ITEM'!#REF!, SMALL(IF(_xlfn.SINGLE('ROMANEIO POR ITEM'!#REF!)&lt;&gt;0,_xlfn.SINGLE( ROW('ROMANEIO POR ITEM'!#REF!))-ROW('ROMANEIO POR ITEM'!#REF!)+1), ROW(A23)))), "")</f>
        <v/>
      </c>
      <c r="B24" t="str">
        <f>IF(A24="", "", VLOOKUP(A24, 'ROMANEIO POR ITEM'!#REF!, 2, FALSE))</f>
        <v/>
      </c>
      <c r="C24" t="str">
        <f>IF(A24="", "", VLOOKUP(A24, 'ROMANEIO POR ITEM'!#REF!, 3, FALSE))</f>
        <v/>
      </c>
      <c r="D24" t="str">
        <f>IF(A24="", "", VLOOKUP(A24, 'ROMANEIO POR ITEM'!#REF!, 4, FALSE))</f>
        <v/>
      </c>
      <c r="E24" t="str">
        <f>IF(A24="", "", VLOOKUP(A24, 'ROMANEIO POR ITEM'!#REF!, 5, FALSE))</f>
        <v/>
      </c>
      <c r="F24" t="str">
        <f>IF(A24="", "", VLOOKUP(A24, 'ROMANEIO POR ITEM'!#REF!, 6, FALSE))</f>
        <v/>
      </c>
    </row>
    <row r="25" spans="1:6">
      <c r="A25" t="str">
        <f>IFERROR(_xlfn.SINGLE(INDEX('ROMANEIO POR ITEM'!#REF!, SMALL(IF(_xlfn.SINGLE('ROMANEIO POR ITEM'!#REF!)&lt;&gt;0,_xlfn.SINGLE( ROW('ROMANEIO POR ITEM'!#REF!))-ROW('ROMANEIO POR ITEM'!#REF!)+1), ROW(A24)))), "")</f>
        <v/>
      </c>
      <c r="B25" t="str">
        <f>IF(A25="", "", VLOOKUP(A25, 'ROMANEIO POR ITEM'!#REF!, 2, FALSE))</f>
        <v/>
      </c>
      <c r="C25" t="str">
        <f>IF(A25="", "", VLOOKUP(A25, 'ROMANEIO POR ITEM'!#REF!, 3, FALSE))</f>
        <v/>
      </c>
      <c r="D25" t="str">
        <f>IF(A25="", "", VLOOKUP(A25, 'ROMANEIO POR ITEM'!#REF!, 4, FALSE))</f>
        <v/>
      </c>
      <c r="E25" t="str">
        <f>IF(A25="", "", VLOOKUP(A25, 'ROMANEIO POR ITEM'!#REF!, 5, FALSE))</f>
        <v/>
      </c>
      <c r="F25" t="str">
        <f>IF(A25="", "", VLOOKUP(A25, 'ROMANEIO POR ITEM'!#REF!, 6, FALSE))</f>
        <v/>
      </c>
    </row>
    <row r="26" spans="1:6">
      <c r="A26" t="str">
        <f>IFERROR(_xlfn.SINGLE(INDEX('ROMANEIO POR ITEM'!#REF!, SMALL(IF(_xlfn.SINGLE('ROMANEIO POR ITEM'!#REF!)&lt;&gt;0,_xlfn.SINGLE( ROW('ROMANEIO POR ITEM'!#REF!))-ROW('ROMANEIO POR ITEM'!#REF!)+1), ROW(A25)))), "")</f>
        <v/>
      </c>
      <c r="B26" t="str">
        <f>IF(A26="", "", VLOOKUP(A26, 'ROMANEIO POR ITEM'!#REF!, 2, FALSE))</f>
        <v/>
      </c>
      <c r="C26" t="str">
        <f>IF(A26="", "", VLOOKUP(A26, 'ROMANEIO POR ITEM'!#REF!, 3, FALSE))</f>
        <v/>
      </c>
      <c r="D26" t="str">
        <f>IF(A26="", "", VLOOKUP(A26, 'ROMANEIO POR ITEM'!#REF!, 4, FALSE))</f>
        <v/>
      </c>
      <c r="E26" t="str">
        <f>IF(A26="", "", VLOOKUP(A26, 'ROMANEIO POR ITEM'!#REF!, 5, FALSE))</f>
        <v/>
      </c>
      <c r="F26" t="str">
        <f>IF(A26="", "", VLOOKUP(A26, 'ROMANEIO POR ITEM'!#REF!, 6, FALSE))</f>
        <v/>
      </c>
    </row>
    <row r="27" spans="1:6">
      <c r="A27" t="str">
        <f>IFERROR(_xlfn.SINGLE(INDEX('ROMANEIO POR ITEM'!#REF!, SMALL(IF(_xlfn.SINGLE('ROMANEIO POR ITEM'!#REF!)&lt;&gt;0,_xlfn.SINGLE( ROW('ROMANEIO POR ITEM'!#REF!))-ROW('ROMANEIO POR ITEM'!#REF!)+1), ROW(A26)))), "")</f>
        <v/>
      </c>
      <c r="B27" t="str">
        <f>IF(A27="", "", VLOOKUP(A27, 'ROMANEIO POR ITEM'!#REF!, 2, FALSE))</f>
        <v/>
      </c>
      <c r="C27" t="str">
        <f>IF(A27="", "", VLOOKUP(A27, 'ROMANEIO POR ITEM'!#REF!, 3, FALSE))</f>
        <v/>
      </c>
      <c r="D27" t="str">
        <f>IF(A27="", "", VLOOKUP(A27, 'ROMANEIO POR ITEM'!#REF!, 4, FALSE))</f>
        <v/>
      </c>
      <c r="E27" t="str">
        <f>IF(A27="", "", VLOOKUP(A27, 'ROMANEIO POR ITEM'!#REF!, 5, FALSE))</f>
        <v/>
      </c>
      <c r="F27" t="str">
        <f>IF(A27="", "", VLOOKUP(A27, 'ROMANEIO POR ITEM'!#REF!, 6, FALSE))</f>
        <v/>
      </c>
    </row>
    <row r="28" spans="1:6">
      <c r="A28" t="str">
        <f>IFERROR(_xlfn.SINGLE(INDEX('ROMANEIO POR ITEM'!#REF!, SMALL(IF(_xlfn.SINGLE('ROMANEIO POR ITEM'!#REF!)&lt;&gt;0,_xlfn.SINGLE( ROW('ROMANEIO POR ITEM'!#REF!))-ROW('ROMANEIO POR ITEM'!#REF!)+1), ROW(A27)))), "")</f>
        <v/>
      </c>
      <c r="B28" t="str">
        <f>IF(A28="", "", VLOOKUP(A28, 'ROMANEIO POR ITEM'!#REF!, 2, FALSE))</f>
        <v/>
      </c>
      <c r="C28" t="str">
        <f>IF(A28="", "", VLOOKUP(A28, 'ROMANEIO POR ITEM'!#REF!, 3, FALSE))</f>
        <v/>
      </c>
      <c r="D28" t="str">
        <f>IF(A28="", "", VLOOKUP(A28, 'ROMANEIO POR ITEM'!#REF!, 4, FALSE))</f>
        <v/>
      </c>
      <c r="E28" t="str">
        <f>IF(A28="", "", VLOOKUP(A28, 'ROMANEIO POR ITEM'!#REF!, 5, FALSE))</f>
        <v/>
      </c>
      <c r="F28" t="str">
        <f>IF(A28="", "", VLOOKUP(A28, 'ROMANEIO POR ITEM'!#REF!, 6, FALSE))</f>
        <v/>
      </c>
    </row>
    <row r="29" spans="1:6">
      <c r="A29" t="str">
        <f>IFERROR(_xlfn.SINGLE(INDEX('ROMANEIO POR ITEM'!#REF!, SMALL(IF(_xlfn.SINGLE('ROMANEIO POR ITEM'!#REF!)&lt;&gt;0,_xlfn.SINGLE( ROW('ROMANEIO POR ITEM'!#REF!))-ROW('ROMANEIO POR ITEM'!#REF!)+1), ROW(A28)))), "")</f>
        <v/>
      </c>
      <c r="B29" t="str">
        <f>IF(A29="", "", VLOOKUP(A29, 'ROMANEIO POR ITEM'!#REF!, 2, FALSE))</f>
        <v/>
      </c>
      <c r="C29" t="str">
        <f>IF(A29="", "", VLOOKUP(A29, 'ROMANEIO POR ITEM'!#REF!, 3, FALSE))</f>
        <v/>
      </c>
      <c r="D29" t="str">
        <f>IF(A29="", "", VLOOKUP(A29, 'ROMANEIO POR ITEM'!#REF!, 4, FALSE))</f>
        <v/>
      </c>
      <c r="E29" t="str">
        <f>IF(A29="", "", VLOOKUP(A29, 'ROMANEIO POR ITEM'!#REF!, 5, FALSE))</f>
        <v/>
      </c>
      <c r="F29" t="str">
        <f>IF(A29="", "", VLOOKUP(A29, 'ROMANEIO POR ITEM'!#REF!, 6, FALSE))</f>
        <v/>
      </c>
    </row>
    <row r="30" spans="1:6">
      <c r="A30" t="str">
        <f>IFERROR(_xlfn.SINGLE(INDEX('ROMANEIO POR ITEM'!#REF!, SMALL(IF(_xlfn.SINGLE('ROMANEIO POR ITEM'!#REF!)&lt;&gt;0,_xlfn.SINGLE( ROW('ROMANEIO POR ITEM'!#REF!))-ROW('ROMANEIO POR ITEM'!#REF!)+1), ROW(A29)))), "")</f>
        <v/>
      </c>
      <c r="B30" t="str">
        <f>IF(A30="", "", VLOOKUP(A30, 'ROMANEIO POR ITEM'!#REF!, 2, FALSE))</f>
        <v/>
      </c>
      <c r="C30" t="str">
        <f>IF(A30="", "", VLOOKUP(A30, 'ROMANEIO POR ITEM'!#REF!, 3, FALSE))</f>
        <v/>
      </c>
      <c r="D30" t="str">
        <f>IF(A30="", "", VLOOKUP(A30, 'ROMANEIO POR ITEM'!#REF!, 4, FALSE))</f>
        <v/>
      </c>
      <c r="E30" t="str">
        <f>IF(A30="", "", VLOOKUP(A30, 'ROMANEIO POR ITEM'!#REF!, 5, FALSE))</f>
        <v/>
      </c>
      <c r="F30" t="str">
        <f>IF(A30="", "", VLOOKUP(A30, 'ROMANEIO POR ITEM'!#REF!, 6, FALSE))</f>
        <v/>
      </c>
    </row>
    <row r="31" spans="1:6">
      <c r="A31" t="str">
        <f>IFERROR(_xlfn.SINGLE(INDEX('ROMANEIO POR ITEM'!#REF!, SMALL(IF(_xlfn.SINGLE('ROMANEIO POR ITEM'!#REF!)&lt;&gt;0,_xlfn.SINGLE( ROW('ROMANEIO POR ITEM'!#REF!))-ROW('ROMANEIO POR ITEM'!#REF!)+1), ROW(A30)))), "")</f>
        <v/>
      </c>
      <c r="B31" t="str">
        <f>IF(A31="", "", VLOOKUP(A31, 'ROMANEIO POR ITEM'!#REF!, 2, FALSE))</f>
        <v/>
      </c>
      <c r="C31" t="str">
        <f>IF(A31="", "", VLOOKUP(A31, 'ROMANEIO POR ITEM'!#REF!, 3, FALSE))</f>
        <v/>
      </c>
      <c r="D31" t="str">
        <f>IF(A31="", "", VLOOKUP(A31, 'ROMANEIO POR ITEM'!#REF!, 4, FALSE))</f>
        <v/>
      </c>
      <c r="E31" t="str">
        <f>IF(A31="", "", VLOOKUP(A31, 'ROMANEIO POR ITEM'!#REF!, 5, FALSE))</f>
        <v/>
      </c>
      <c r="F31" t="str">
        <f>IF(A31="", "", VLOOKUP(A31, 'ROMANEIO POR ITEM'!#REF!, 6, FALSE))</f>
        <v/>
      </c>
    </row>
    <row r="32" spans="1:6">
      <c r="A32" t="str">
        <f>IFERROR(_xlfn.SINGLE(INDEX('ROMANEIO POR ITEM'!#REF!, SMALL(IF(_xlfn.SINGLE('ROMANEIO POR ITEM'!#REF!)&lt;&gt;0,_xlfn.SINGLE( ROW('ROMANEIO POR ITEM'!#REF!))-ROW('ROMANEIO POR ITEM'!#REF!)+1), ROW(A31)))), "")</f>
        <v/>
      </c>
      <c r="B32" t="str">
        <f>IF(A32="", "", VLOOKUP(A32, 'ROMANEIO POR ITEM'!#REF!, 2, FALSE))</f>
        <v/>
      </c>
      <c r="C32" t="str">
        <f>IF(A32="", "", VLOOKUP(A32, 'ROMANEIO POR ITEM'!#REF!, 3, FALSE))</f>
        <v/>
      </c>
      <c r="D32" t="str">
        <f>IF(A32="", "", VLOOKUP(A32, 'ROMANEIO POR ITEM'!#REF!, 4, FALSE))</f>
        <v/>
      </c>
      <c r="E32" t="str">
        <f>IF(A32="", "", VLOOKUP(A32, 'ROMANEIO POR ITEM'!#REF!, 5, FALSE))</f>
        <v/>
      </c>
      <c r="F32" t="str">
        <f>IF(A32="", "", VLOOKUP(A32, 'ROMANEIO POR ITEM'!#REF!, 6, FALSE))</f>
        <v/>
      </c>
    </row>
    <row r="33" spans="1:6">
      <c r="A33" t="str">
        <f>IFERROR(_xlfn.SINGLE(INDEX('ROMANEIO POR ITEM'!#REF!, SMALL(IF(_xlfn.SINGLE('ROMANEIO POR ITEM'!#REF!)&lt;&gt;0,_xlfn.SINGLE( ROW('ROMANEIO POR ITEM'!#REF!))-ROW('ROMANEIO POR ITEM'!#REF!)+1), ROW(A32)))), "")</f>
        <v/>
      </c>
      <c r="B33" t="str">
        <f>IF(A33="", "", VLOOKUP(A33, 'ROMANEIO POR ITEM'!#REF!, 2, FALSE))</f>
        <v/>
      </c>
      <c r="C33" t="str">
        <f>IF(A33="", "", VLOOKUP(A33, 'ROMANEIO POR ITEM'!#REF!, 3, FALSE))</f>
        <v/>
      </c>
      <c r="D33" t="str">
        <f>IF(A33="", "", VLOOKUP(A33, 'ROMANEIO POR ITEM'!#REF!, 4, FALSE))</f>
        <v/>
      </c>
      <c r="E33" t="str">
        <f>IF(A33="", "", VLOOKUP(A33, 'ROMANEIO POR ITEM'!#REF!, 5, FALSE))</f>
        <v/>
      </c>
      <c r="F33" t="str">
        <f>IF(A33="", "", VLOOKUP(A33, 'ROMANEIO POR ITEM'!#REF!, 6, FALSE))</f>
        <v/>
      </c>
    </row>
    <row r="34" spans="1:6">
      <c r="A34" t="str">
        <f>IFERROR(_xlfn.SINGLE(INDEX('ROMANEIO POR ITEM'!#REF!, SMALL(IF(_xlfn.SINGLE('ROMANEIO POR ITEM'!#REF!)&lt;&gt;0,_xlfn.SINGLE( ROW('ROMANEIO POR ITEM'!#REF!))-ROW('ROMANEIO POR ITEM'!#REF!)+1), ROW(A33)))), "")</f>
        <v/>
      </c>
      <c r="B34" t="str">
        <f>IF(A34="", "", VLOOKUP(A34, 'ROMANEIO POR ITEM'!#REF!, 2, FALSE))</f>
        <v/>
      </c>
      <c r="C34" t="str">
        <f>IF(A34="", "", VLOOKUP(A34, 'ROMANEIO POR ITEM'!#REF!, 3, FALSE))</f>
        <v/>
      </c>
      <c r="D34" t="str">
        <f>IF(A34="", "", VLOOKUP(A34, 'ROMANEIO POR ITEM'!#REF!, 4, FALSE))</f>
        <v/>
      </c>
      <c r="E34" t="str">
        <f>IF(A34="", "", VLOOKUP(A34, 'ROMANEIO POR ITEM'!#REF!, 5, FALSE))</f>
        <v/>
      </c>
      <c r="F34" t="str">
        <f>IF(A34="", "", VLOOKUP(A34, 'ROMANEIO POR ITEM'!#REF!, 6, FALSE))</f>
        <v/>
      </c>
    </row>
    <row r="35" spans="1:6">
      <c r="A35" t="str">
        <f>IFERROR(_xlfn.SINGLE(INDEX('ROMANEIO POR ITEM'!#REF!, SMALL(IF(_xlfn.SINGLE('ROMANEIO POR ITEM'!#REF!)&lt;&gt;0,_xlfn.SINGLE( ROW('ROMANEIO POR ITEM'!#REF!))-ROW('ROMANEIO POR ITEM'!#REF!)+1), ROW(A34)))), "")</f>
        <v/>
      </c>
      <c r="B35" t="str">
        <f>IF(A35="", "", VLOOKUP(A35, 'ROMANEIO POR ITEM'!#REF!, 2, FALSE))</f>
        <v/>
      </c>
      <c r="C35" t="str">
        <f>IF(A35="", "", VLOOKUP(A35, 'ROMANEIO POR ITEM'!#REF!, 3, FALSE))</f>
        <v/>
      </c>
      <c r="D35" t="str">
        <f>IF(A35="", "", VLOOKUP(A35, 'ROMANEIO POR ITEM'!#REF!, 4, FALSE))</f>
        <v/>
      </c>
      <c r="E35" t="str">
        <f>IF(A35="", "", VLOOKUP(A35, 'ROMANEIO POR ITEM'!#REF!, 5, FALSE))</f>
        <v/>
      </c>
      <c r="F35" t="str">
        <f>IF(A35="", "", VLOOKUP(A35, 'ROMANEIO POR ITEM'!#REF!, 6, FALSE))</f>
        <v/>
      </c>
    </row>
    <row r="36" spans="1:6">
      <c r="A36" t="str">
        <f>IFERROR(_xlfn.SINGLE(INDEX('ROMANEIO POR ITEM'!#REF!, SMALL(IF(_xlfn.SINGLE('ROMANEIO POR ITEM'!#REF!)&lt;&gt;0,_xlfn.SINGLE( ROW('ROMANEIO POR ITEM'!#REF!))-ROW('ROMANEIO POR ITEM'!#REF!)+1), ROW(A35)))), "")</f>
        <v/>
      </c>
      <c r="B36" t="str">
        <f>IF(A36="", "", VLOOKUP(A36, 'ROMANEIO POR ITEM'!#REF!, 2, FALSE))</f>
        <v/>
      </c>
      <c r="C36" t="str">
        <f>IF(A36="", "", VLOOKUP(A36, 'ROMANEIO POR ITEM'!#REF!, 3, FALSE))</f>
        <v/>
      </c>
      <c r="D36" t="str">
        <f>IF(A36="", "", VLOOKUP(A36, 'ROMANEIO POR ITEM'!#REF!, 4, FALSE))</f>
        <v/>
      </c>
      <c r="E36" t="str">
        <f>IF(A36="", "", VLOOKUP(A36, 'ROMANEIO POR ITEM'!#REF!, 5, FALSE))</f>
        <v/>
      </c>
      <c r="F36" t="str">
        <f>IF(A36="", "", VLOOKUP(A36, 'ROMANEIO POR ITEM'!#REF!, 6, FALSE))</f>
        <v/>
      </c>
    </row>
    <row r="37" spans="1:6">
      <c r="A37" t="str">
        <f>IFERROR(_xlfn.SINGLE(INDEX('ROMANEIO POR ITEM'!#REF!, SMALL(IF(_xlfn.SINGLE('ROMANEIO POR ITEM'!#REF!)&lt;&gt;0,_xlfn.SINGLE( ROW('ROMANEIO POR ITEM'!#REF!))-ROW('ROMANEIO POR ITEM'!#REF!)+1), ROW(A36)))), "")</f>
        <v/>
      </c>
      <c r="B37" t="str">
        <f>IF(A37="", "", VLOOKUP(A37, 'ROMANEIO POR ITEM'!#REF!, 2, FALSE))</f>
        <v/>
      </c>
      <c r="C37" t="str">
        <f>IF(A37="", "", VLOOKUP(A37, 'ROMANEIO POR ITEM'!#REF!, 3, FALSE))</f>
        <v/>
      </c>
      <c r="D37" t="str">
        <f>IF(A37="", "", VLOOKUP(A37, 'ROMANEIO POR ITEM'!#REF!, 4, FALSE))</f>
        <v/>
      </c>
      <c r="E37" t="str">
        <f>IF(A37="", "", VLOOKUP(A37, 'ROMANEIO POR ITEM'!#REF!, 5, FALSE))</f>
        <v/>
      </c>
      <c r="F37" t="str">
        <f>IF(A37="", "", VLOOKUP(A37, 'ROMANEIO POR ITEM'!#REF!, 6, FALSE))</f>
        <v/>
      </c>
    </row>
    <row r="38" spans="1:6">
      <c r="A38" t="str">
        <f>IFERROR(_xlfn.SINGLE(INDEX('ROMANEIO POR ITEM'!#REF!, SMALL(IF(_xlfn.SINGLE('ROMANEIO POR ITEM'!#REF!)&lt;&gt;0,_xlfn.SINGLE( ROW('ROMANEIO POR ITEM'!#REF!))-ROW('ROMANEIO POR ITEM'!#REF!)+1), ROW(A37)))), "")</f>
        <v/>
      </c>
      <c r="B38" t="str">
        <f>IF(A38="", "", VLOOKUP(A38, 'ROMANEIO POR ITEM'!#REF!, 2, FALSE))</f>
        <v/>
      </c>
      <c r="C38" t="str">
        <f>IF(A38="", "", VLOOKUP(A38, 'ROMANEIO POR ITEM'!#REF!, 3, FALSE))</f>
        <v/>
      </c>
      <c r="D38" t="str">
        <f>IF(A38="", "", VLOOKUP(A38, 'ROMANEIO POR ITEM'!#REF!, 4, FALSE))</f>
        <v/>
      </c>
      <c r="E38" t="str">
        <f>IF(A38="", "", VLOOKUP(A38, 'ROMANEIO POR ITEM'!#REF!, 5, FALSE))</f>
        <v/>
      </c>
      <c r="F38" t="str">
        <f>IF(A38="", "", VLOOKUP(A38, 'ROMANEIO POR ITEM'!#REF!, 6, FALSE))</f>
        <v/>
      </c>
    </row>
    <row r="39" spans="1:6">
      <c r="A39" t="str">
        <f>IFERROR(_xlfn.SINGLE(INDEX('ROMANEIO POR ITEM'!#REF!, SMALL(IF(_xlfn.SINGLE('ROMANEIO POR ITEM'!#REF!)&lt;&gt;0,_xlfn.SINGLE( ROW('ROMANEIO POR ITEM'!#REF!))-ROW('ROMANEIO POR ITEM'!#REF!)+1), ROW(A38)))), "")</f>
        <v/>
      </c>
      <c r="B39" t="str">
        <f>IF(A39="", "", VLOOKUP(A39, 'ROMANEIO POR ITEM'!#REF!, 2, FALSE))</f>
        <v/>
      </c>
      <c r="C39" t="str">
        <f>IF(A39="", "", VLOOKUP(A39, 'ROMANEIO POR ITEM'!#REF!, 3, FALSE))</f>
        <v/>
      </c>
      <c r="D39" t="str">
        <f>IF(A39="", "", VLOOKUP(A39, 'ROMANEIO POR ITEM'!#REF!, 4, FALSE))</f>
        <v/>
      </c>
      <c r="E39" t="str">
        <f>IF(A39="", "", VLOOKUP(A39, 'ROMANEIO POR ITEM'!#REF!, 5, FALSE))</f>
        <v/>
      </c>
      <c r="F39" t="str">
        <f>IF(A39="", "", VLOOKUP(A39, 'ROMANEIO POR ITEM'!#REF!, 6, FALSE))</f>
        <v/>
      </c>
    </row>
    <row r="40" spans="1:6">
      <c r="A40" t="str">
        <f>IFERROR(_xlfn.SINGLE(INDEX('ROMANEIO POR ITEM'!#REF!, SMALL(IF(_xlfn.SINGLE('ROMANEIO POR ITEM'!#REF!)&lt;&gt;0,_xlfn.SINGLE( ROW('ROMANEIO POR ITEM'!#REF!))-ROW('ROMANEIO POR ITEM'!#REF!)+1), ROW(A39)))), "")</f>
        <v/>
      </c>
      <c r="B40" t="str">
        <f>IF(A40="", "", VLOOKUP(A40, 'ROMANEIO POR ITEM'!#REF!, 2, FALSE))</f>
        <v/>
      </c>
      <c r="C40" t="str">
        <f>IF(A40="", "", VLOOKUP(A40, 'ROMANEIO POR ITEM'!#REF!, 3, FALSE))</f>
        <v/>
      </c>
      <c r="D40" t="str">
        <f>IF(A40="", "", VLOOKUP(A40, 'ROMANEIO POR ITEM'!#REF!, 4, FALSE))</f>
        <v/>
      </c>
      <c r="E40" t="str">
        <f>IF(A40="", "", VLOOKUP(A40, 'ROMANEIO POR ITEM'!#REF!, 5, FALSE))</f>
        <v/>
      </c>
      <c r="F40" t="str">
        <f>IF(A40="", "", VLOOKUP(A40, 'ROMANEIO POR ITEM'!#REF!, 6, FALSE))</f>
        <v/>
      </c>
    </row>
    <row r="41" spans="1:6">
      <c r="A41" t="str">
        <f>IFERROR(_xlfn.SINGLE(INDEX('ROMANEIO POR ITEM'!#REF!, SMALL(IF(_xlfn.SINGLE('ROMANEIO POR ITEM'!#REF!)&lt;&gt;0,_xlfn.SINGLE( ROW('ROMANEIO POR ITEM'!#REF!))-ROW('ROMANEIO POR ITEM'!#REF!)+1), ROW(A40)))), "")</f>
        <v/>
      </c>
      <c r="B41" t="str">
        <f>IF(A41="", "", VLOOKUP(A41, 'ROMANEIO POR ITEM'!#REF!, 2, FALSE))</f>
        <v/>
      </c>
      <c r="C41" t="str">
        <f>IF(A41="", "", VLOOKUP(A41, 'ROMANEIO POR ITEM'!#REF!, 3, FALSE))</f>
        <v/>
      </c>
      <c r="D41" t="str">
        <f>IF(A41="", "", VLOOKUP(A41, 'ROMANEIO POR ITEM'!#REF!, 4, FALSE))</f>
        <v/>
      </c>
      <c r="E41" t="str">
        <f>IF(A41="", "", VLOOKUP(A41, 'ROMANEIO POR ITEM'!#REF!, 5, FALSE))</f>
        <v/>
      </c>
      <c r="F41" t="str">
        <f>IF(A41="", "", VLOOKUP(A41, 'ROMANEIO POR ITEM'!#REF!, 6, FALSE))</f>
        <v/>
      </c>
    </row>
    <row r="42" spans="1:6">
      <c r="A42" t="str">
        <f>IFERROR(_xlfn.SINGLE(INDEX('ROMANEIO POR ITEM'!#REF!, SMALL(IF(_xlfn.SINGLE('ROMANEIO POR ITEM'!#REF!)&lt;&gt;0,_xlfn.SINGLE( ROW('ROMANEIO POR ITEM'!#REF!))-ROW('ROMANEIO POR ITEM'!#REF!)+1), ROW(A41)))), "")</f>
        <v/>
      </c>
      <c r="B42" t="str">
        <f>IF(A42="", "", VLOOKUP(A42, 'ROMANEIO POR ITEM'!#REF!, 2, FALSE))</f>
        <v/>
      </c>
      <c r="C42" t="str">
        <f>IF(A42="", "", VLOOKUP(A42, 'ROMANEIO POR ITEM'!#REF!, 3, FALSE))</f>
        <v/>
      </c>
      <c r="D42" t="str">
        <f>IF(A42="", "", VLOOKUP(A42, 'ROMANEIO POR ITEM'!#REF!, 4, FALSE))</f>
        <v/>
      </c>
      <c r="E42" t="str">
        <f>IF(A42="", "", VLOOKUP(A42, 'ROMANEIO POR ITEM'!#REF!, 5, FALSE))</f>
        <v/>
      </c>
      <c r="F42" t="str">
        <f>IF(A42="", "", VLOOKUP(A42, 'ROMANEIO POR ITEM'!#REF!, 6, FALSE))</f>
        <v/>
      </c>
    </row>
    <row r="43" spans="1:6">
      <c r="A43" t="str">
        <f>IFERROR(_xlfn.SINGLE(INDEX('ROMANEIO POR ITEM'!#REF!, SMALL(IF(_xlfn.SINGLE('ROMANEIO POR ITEM'!#REF!)&lt;&gt;0,_xlfn.SINGLE( ROW('ROMANEIO POR ITEM'!#REF!))-ROW('ROMANEIO POR ITEM'!#REF!)+1), ROW(A42)))), "")</f>
        <v/>
      </c>
      <c r="B43" t="str">
        <f>IF(A43="", "", VLOOKUP(A43, 'ROMANEIO POR ITEM'!#REF!, 2, FALSE))</f>
        <v/>
      </c>
      <c r="C43" t="str">
        <f>IF(A43="", "", VLOOKUP(A43, 'ROMANEIO POR ITEM'!#REF!, 3, FALSE))</f>
        <v/>
      </c>
      <c r="D43" t="str">
        <f>IF(A43="", "", VLOOKUP(A43, 'ROMANEIO POR ITEM'!#REF!, 4, FALSE))</f>
        <v/>
      </c>
      <c r="E43" t="str">
        <f>IF(A43="", "", VLOOKUP(A43, 'ROMANEIO POR ITEM'!#REF!, 5, FALSE))</f>
        <v/>
      </c>
      <c r="F43" t="str">
        <f>IF(A43="", "", VLOOKUP(A43, 'ROMANEIO POR ITEM'!#REF!, 6, FALSE))</f>
        <v/>
      </c>
    </row>
    <row r="44" spans="1:6">
      <c r="A44" t="str">
        <f>IFERROR(_xlfn.SINGLE(INDEX('ROMANEIO POR ITEM'!#REF!, SMALL(IF(_xlfn.SINGLE('ROMANEIO POR ITEM'!#REF!)&lt;&gt;0,_xlfn.SINGLE( ROW('ROMANEIO POR ITEM'!#REF!))-ROW('ROMANEIO POR ITEM'!#REF!)+1), ROW(A43)))), "")</f>
        <v/>
      </c>
      <c r="B44" t="str">
        <f>IF(A44="", "", VLOOKUP(A44, 'ROMANEIO POR ITEM'!#REF!, 2, FALSE))</f>
        <v/>
      </c>
      <c r="C44" t="str">
        <f>IF(A44="", "", VLOOKUP(A44, 'ROMANEIO POR ITEM'!#REF!, 3, FALSE))</f>
        <v/>
      </c>
      <c r="D44" t="str">
        <f>IF(A44="", "", VLOOKUP(A44, 'ROMANEIO POR ITEM'!#REF!, 4, FALSE))</f>
        <v/>
      </c>
      <c r="E44" t="str">
        <f>IF(A44="", "", VLOOKUP(A44, 'ROMANEIO POR ITEM'!#REF!, 5, FALSE))</f>
        <v/>
      </c>
      <c r="F44" t="str">
        <f>IF(A44="", "", VLOOKUP(A44, 'ROMANEIO POR ITEM'!#REF!, 6, FALSE))</f>
        <v/>
      </c>
    </row>
    <row r="45" spans="1:6">
      <c r="A45" t="str">
        <f>IFERROR(_xlfn.SINGLE(INDEX('ROMANEIO POR ITEM'!#REF!, SMALL(IF(_xlfn.SINGLE('ROMANEIO POR ITEM'!#REF!)&lt;&gt;0,_xlfn.SINGLE( ROW('ROMANEIO POR ITEM'!#REF!))-ROW('ROMANEIO POR ITEM'!#REF!)+1), ROW(A44)))), "")</f>
        <v/>
      </c>
      <c r="B45" t="str">
        <f>IF(A45="", "", VLOOKUP(A45, 'ROMANEIO POR ITEM'!#REF!, 2, FALSE))</f>
        <v/>
      </c>
      <c r="C45" t="str">
        <f>IF(A45="", "", VLOOKUP(A45, 'ROMANEIO POR ITEM'!#REF!, 3, FALSE))</f>
        <v/>
      </c>
      <c r="D45" t="str">
        <f>IF(A45="", "", VLOOKUP(A45, 'ROMANEIO POR ITEM'!#REF!, 4, FALSE))</f>
        <v/>
      </c>
      <c r="E45" t="str">
        <f>IF(A45="", "", VLOOKUP(A45, 'ROMANEIO POR ITEM'!#REF!, 5, FALSE))</f>
        <v/>
      </c>
      <c r="F45" t="str">
        <f>IF(A45="", "", VLOOKUP(A45, 'ROMANEIO POR ITEM'!#REF!, 6, FALSE))</f>
        <v/>
      </c>
    </row>
    <row r="46" spans="1:6">
      <c r="A46" t="str">
        <f>IFERROR(_xlfn.SINGLE(INDEX('ROMANEIO POR ITEM'!#REF!, SMALL(IF(_xlfn.SINGLE('ROMANEIO POR ITEM'!#REF!)&lt;&gt;0,_xlfn.SINGLE( ROW('ROMANEIO POR ITEM'!#REF!))-ROW('ROMANEIO POR ITEM'!#REF!)+1), ROW(A45)))), "")</f>
        <v/>
      </c>
      <c r="B46" t="str">
        <f>IF(A46="", "", VLOOKUP(A46, 'ROMANEIO POR ITEM'!#REF!, 2, FALSE))</f>
        <v/>
      </c>
      <c r="C46" t="str">
        <f>IF(A46="", "", VLOOKUP(A46, 'ROMANEIO POR ITEM'!#REF!, 3, FALSE))</f>
        <v/>
      </c>
      <c r="D46" t="str">
        <f>IF(A46="", "", VLOOKUP(A46, 'ROMANEIO POR ITEM'!#REF!, 4, FALSE))</f>
        <v/>
      </c>
      <c r="E46" t="str">
        <f>IF(A46="", "", VLOOKUP(A46, 'ROMANEIO POR ITEM'!#REF!, 5, FALSE))</f>
        <v/>
      </c>
      <c r="F46" t="str">
        <f>IF(A46="", "", VLOOKUP(A46, 'ROMANEIO POR ITEM'!#REF!, 6, FALSE))</f>
        <v/>
      </c>
    </row>
    <row r="47" spans="1:6">
      <c r="A47" t="str">
        <f>IFERROR(_xlfn.SINGLE(INDEX('ROMANEIO POR ITEM'!#REF!, SMALL(IF(_xlfn.SINGLE('ROMANEIO POR ITEM'!#REF!)&lt;&gt;0,_xlfn.SINGLE( ROW('ROMANEIO POR ITEM'!#REF!))-ROW('ROMANEIO POR ITEM'!#REF!)+1), ROW(A46)))), "")</f>
        <v/>
      </c>
      <c r="B47" t="str">
        <f>IF(A47="", "", VLOOKUP(A47, 'ROMANEIO POR ITEM'!#REF!, 2, FALSE))</f>
        <v/>
      </c>
      <c r="C47" t="str">
        <f>IF(A47="", "", VLOOKUP(A47, 'ROMANEIO POR ITEM'!#REF!, 3, FALSE))</f>
        <v/>
      </c>
      <c r="D47" t="str">
        <f>IF(A47="", "", VLOOKUP(A47, 'ROMANEIO POR ITEM'!#REF!, 4, FALSE))</f>
        <v/>
      </c>
      <c r="E47" t="str">
        <f>IF(A47="", "", VLOOKUP(A47, 'ROMANEIO POR ITEM'!#REF!, 5, FALSE))</f>
        <v/>
      </c>
      <c r="F47" t="str">
        <f>IF(A47="", "", VLOOKUP(A47, 'ROMANEIO POR ITEM'!#REF!, 6, FALSE))</f>
        <v/>
      </c>
    </row>
    <row r="48" spans="1:6">
      <c r="A48" t="str">
        <f>IFERROR(_xlfn.SINGLE(INDEX('ROMANEIO POR ITEM'!#REF!, SMALL(IF(_xlfn.SINGLE('ROMANEIO POR ITEM'!#REF!)&lt;&gt;0,_xlfn.SINGLE( ROW('ROMANEIO POR ITEM'!#REF!))-ROW('ROMANEIO POR ITEM'!#REF!)+1), ROW(A47)))), "")</f>
        <v/>
      </c>
      <c r="B48" t="str">
        <f>IF(A48="", "", VLOOKUP(A48, 'ROMANEIO POR ITEM'!#REF!, 2, FALSE))</f>
        <v/>
      </c>
      <c r="C48" t="str">
        <f>IF(A48="", "", VLOOKUP(A48, 'ROMANEIO POR ITEM'!#REF!, 3, FALSE))</f>
        <v/>
      </c>
      <c r="D48" t="str">
        <f>IF(A48="", "", VLOOKUP(A48, 'ROMANEIO POR ITEM'!#REF!, 4, FALSE))</f>
        <v/>
      </c>
      <c r="E48" t="str">
        <f>IF(A48="", "", VLOOKUP(A48, 'ROMANEIO POR ITEM'!#REF!, 5, FALSE))</f>
        <v/>
      </c>
      <c r="F48" t="str">
        <f>IF(A48="", "", VLOOKUP(A48, 'ROMANEIO POR ITEM'!#REF!, 6, FALSE))</f>
        <v/>
      </c>
    </row>
    <row r="49" spans="1:6">
      <c r="A49" t="str">
        <f>IFERROR(_xlfn.SINGLE(INDEX('ROMANEIO POR ITEM'!#REF!, SMALL(IF(_xlfn.SINGLE('ROMANEIO POR ITEM'!#REF!)&lt;&gt;0,_xlfn.SINGLE( ROW('ROMANEIO POR ITEM'!#REF!))-ROW('ROMANEIO POR ITEM'!#REF!)+1), ROW(A48)))), "")</f>
        <v/>
      </c>
      <c r="B49" t="str">
        <f>IF(A49="", "", VLOOKUP(A49, 'ROMANEIO POR ITEM'!#REF!, 2, FALSE))</f>
        <v/>
      </c>
      <c r="C49" t="str">
        <f>IF(A49="", "", VLOOKUP(A49, 'ROMANEIO POR ITEM'!#REF!, 3, FALSE))</f>
        <v/>
      </c>
      <c r="D49" t="str">
        <f>IF(A49="", "", VLOOKUP(A49, 'ROMANEIO POR ITEM'!#REF!, 4, FALSE))</f>
        <v/>
      </c>
      <c r="E49" t="str">
        <f>IF(A49="", "", VLOOKUP(A49, 'ROMANEIO POR ITEM'!#REF!, 5, FALSE))</f>
        <v/>
      </c>
      <c r="F49" t="str">
        <f>IF(A49="", "", VLOOKUP(A49, 'ROMANEIO POR ITEM'!#REF!, 6, FALSE))</f>
        <v/>
      </c>
    </row>
    <row r="50" spans="1:6">
      <c r="A50" t="str">
        <f>IFERROR(_xlfn.SINGLE(INDEX('ROMANEIO POR ITEM'!#REF!, SMALL(IF(_xlfn.SINGLE('ROMANEIO POR ITEM'!#REF!)&lt;&gt;0,_xlfn.SINGLE( ROW('ROMANEIO POR ITEM'!#REF!))-ROW('ROMANEIO POR ITEM'!#REF!)+1), ROW(A49)))), "")</f>
        <v/>
      </c>
      <c r="B50" t="str">
        <f>IF(A50="", "", VLOOKUP(A50, 'ROMANEIO POR ITEM'!#REF!, 2, FALSE))</f>
        <v/>
      </c>
      <c r="C50" t="str">
        <f>IF(A50="", "", VLOOKUP(A50, 'ROMANEIO POR ITEM'!#REF!, 3, FALSE))</f>
        <v/>
      </c>
      <c r="D50" t="str">
        <f>IF(A50="", "", VLOOKUP(A50, 'ROMANEIO POR ITEM'!#REF!, 4, FALSE))</f>
        <v/>
      </c>
      <c r="E50" t="str">
        <f>IF(A50="", "", VLOOKUP(A50, 'ROMANEIO POR ITEM'!#REF!, 5, FALSE))</f>
        <v/>
      </c>
      <c r="F50" t="str">
        <f>IF(A50="", "", VLOOKUP(A50, 'ROMANEIO POR ITEM'!#REF!, 6, FALSE))</f>
        <v/>
      </c>
    </row>
    <row r="51" spans="1:6">
      <c r="A51" t="str">
        <f>IFERROR(_xlfn.SINGLE(INDEX('ROMANEIO POR ITEM'!#REF!, SMALL(IF(_xlfn.SINGLE('ROMANEIO POR ITEM'!#REF!)&lt;&gt;0,_xlfn.SINGLE( ROW('ROMANEIO POR ITEM'!#REF!))-ROW('ROMANEIO POR ITEM'!#REF!)+1), ROW(A50)))), "")</f>
        <v/>
      </c>
      <c r="B51" t="str">
        <f>IF(A51="", "", VLOOKUP(A51, 'ROMANEIO POR ITEM'!#REF!, 2, FALSE))</f>
        <v/>
      </c>
      <c r="C51" t="str">
        <f>IF(A51="", "", VLOOKUP(A51, 'ROMANEIO POR ITEM'!#REF!, 3, FALSE))</f>
        <v/>
      </c>
      <c r="D51" t="str">
        <f>IF(A51="", "", VLOOKUP(A51, 'ROMANEIO POR ITEM'!#REF!, 4, FALSE))</f>
        <v/>
      </c>
      <c r="E51" t="str">
        <f>IF(A51="", "", VLOOKUP(A51, 'ROMANEIO POR ITEM'!#REF!, 5, FALSE))</f>
        <v/>
      </c>
      <c r="F51" t="str">
        <f>IF(A51="", "", VLOOKUP(A51, 'ROMANEIO POR ITEM'!#REF!, 6, FALSE))</f>
        <v/>
      </c>
    </row>
    <row r="52" spans="1:6">
      <c r="A52" t="str">
        <f>IFERROR(_xlfn.SINGLE(INDEX('ROMANEIO POR ITEM'!#REF!, SMALL(IF(_xlfn.SINGLE('ROMANEIO POR ITEM'!#REF!)&lt;&gt;0,_xlfn.SINGLE( ROW('ROMANEIO POR ITEM'!#REF!))-ROW('ROMANEIO POR ITEM'!#REF!)+1), ROW(A51)))), "")</f>
        <v/>
      </c>
      <c r="B52" t="str">
        <f>IF(A52="", "", VLOOKUP(A52, 'ROMANEIO POR ITEM'!#REF!, 2, FALSE))</f>
        <v/>
      </c>
      <c r="C52" t="str">
        <f>IF(A52="", "", VLOOKUP(A52, 'ROMANEIO POR ITEM'!#REF!, 3, FALSE))</f>
        <v/>
      </c>
      <c r="D52" t="str">
        <f>IF(A52="", "", VLOOKUP(A52, 'ROMANEIO POR ITEM'!#REF!, 4, FALSE))</f>
        <v/>
      </c>
      <c r="E52" t="str">
        <f>IF(A52="", "", VLOOKUP(A52, 'ROMANEIO POR ITEM'!#REF!, 5, FALSE))</f>
        <v/>
      </c>
      <c r="F52" t="str">
        <f>IF(A52="", "", VLOOKUP(A52, 'ROMANEIO POR ITEM'!#REF!, 6, FALSE))</f>
        <v/>
      </c>
    </row>
    <row r="53" spans="1:6">
      <c r="A53" t="str">
        <f>IFERROR(_xlfn.SINGLE(INDEX('ROMANEIO POR ITEM'!#REF!, SMALL(IF(_xlfn.SINGLE('ROMANEIO POR ITEM'!#REF!)&lt;&gt;0,_xlfn.SINGLE( ROW('ROMANEIO POR ITEM'!#REF!))-ROW('ROMANEIO POR ITEM'!#REF!)+1), ROW(A52)))), "")</f>
        <v/>
      </c>
      <c r="B53" t="str">
        <f>IF(A53="", "", VLOOKUP(A53, 'ROMANEIO POR ITEM'!#REF!, 2, FALSE))</f>
        <v/>
      </c>
      <c r="C53" t="str">
        <f>IF(A53="", "", VLOOKUP(A53, 'ROMANEIO POR ITEM'!#REF!, 3, FALSE))</f>
        <v/>
      </c>
      <c r="D53" t="str">
        <f>IF(A53="", "", VLOOKUP(A53, 'ROMANEIO POR ITEM'!#REF!, 4, FALSE))</f>
        <v/>
      </c>
      <c r="E53" t="str">
        <f>IF(A53="", "", VLOOKUP(A53, 'ROMANEIO POR ITEM'!#REF!, 5, FALSE))</f>
        <v/>
      </c>
      <c r="F53" t="str">
        <f>IF(A53="", "", VLOOKUP(A53, 'ROMANEIO POR ITEM'!#REF!, 6, FALSE))</f>
        <v/>
      </c>
    </row>
    <row r="54" spans="1:6">
      <c r="A54" t="str">
        <f>IFERROR(_xlfn.SINGLE(INDEX('ROMANEIO POR ITEM'!#REF!, SMALL(IF(_xlfn.SINGLE('ROMANEIO POR ITEM'!#REF!)&lt;&gt;0,_xlfn.SINGLE( ROW('ROMANEIO POR ITEM'!#REF!))-ROW('ROMANEIO POR ITEM'!#REF!)+1), ROW(A53)))), "")</f>
        <v/>
      </c>
      <c r="B54" t="str">
        <f>IF(A54="", "", VLOOKUP(A54, 'ROMANEIO POR ITEM'!#REF!, 2, FALSE))</f>
        <v/>
      </c>
      <c r="C54" t="str">
        <f>IF(A54="", "", VLOOKUP(A54, 'ROMANEIO POR ITEM'!#REF!, 3, FALSE))</f>
        <v/>
      </c>
      <c r="D54" t="str">
        <f>IF(A54="", "", VLOOKUP(A54, 'ROMANEIO POR ITEM'!#REF!, 4, FALSE))</f>
        <v/>
      </c>
      <c r="E54" t="str">
        <f>IF(A54="", "", VLOOKUP(A54, 'ROMANEIO POR ITEM'!#REF!, 5, FALSE))</f>
        <v/>
      </c>
      <c r="F54" t="str">
        <f>IF(A54="", "", VLOOKUP(A54, 'ROMANEIO POR ITEM'!#REF!, 6, FALSE))</f>
        <v/>
      </c>
    </row>
    <row r="55" spans="1:6">
      <c r="A55" t="str">
        <f>IFERROR(_xlfn.SINGLE(INDEX('ROMANEIO POR ITEM'!#REF!, SMALL(IF(_xlfn.SINGLE('ROMANEIO POR ITEM'!#REF!)&lt;&gt;0,_xlfn.SINGLE( ROW('ROMANEIO POR ITEM'!#REF!))-ROW('ROMANEIO POR ITEM'!#REF!)+1), ROW(A54)))), "")</f>
        <v/>
      </c>
      <c r="B55" t="str">
        <f>IF(A55="", "", VLOOKUP(A55, 'ROMANEIO POR ITEM'!#REF!, 2, FALSE))</f>
        <v/>
      </c>
      <c r="C55" t="str">
        <f>IF(A55="", "", VLOOKUP(A55, 'ROMANEIO POR ITEM'!#REF!, 3, FALSE))</f>
        <v/>
      </c>
      <c r="D55" t="str">
        <f>IF(A55="", "", VLOOKUP(A55, 'ROMANEIO POR ITEM'!#REF!, 4, FALSE))</f>
        <v/>
      </c>
      <c r="E55" t="str">
        <f>IF(A55="", "", VLOOKUP(A55, 'ROMANEIO POR ITEM'!#REF!, 5, FALSE))</f>
        <v/>
      </c>
      <c r="F55" t="str">
        <f>IF(A55="", "", VLOOKUP(A55, 'ROMANEIO POR ITEM'!#REF!, 6, FALSE))</f>
        <v/>
      </c>
    </row>
    <row r="56" spans="1:6">
      <c r="A56" t="str">
        <f>IFERROR(_xlfn.SINGLE(INDEX('ROMANEIO POR ITEM'!#REF!, SMALL(IF(_xlfn.SINGLE('ROMANEIO POR ITEM'!#REF!)&lt;&gt;0,_xlfn.SINGLE( ROW('ROMANEIO POR ITEM'!#REF!))-ROW('ROMANEIO POR ITEM'!#REF!)+1), ROW(A55)))), "")</f>
        <v/>
      </c>
      <c r="B56" t="str">
        <f>IF(A56="", "", VLOOKUP(A56, 'ROMANEIO POR ITEM'!#REF!, 2, FALSE))</f>
        <v/>
      </c>
      <c r="C56" t="str">
        <f>IF(A56="", "", VLOOKUP(A56, 'ROMANEIO POR ITEM'!#REF!, 3, FALSE))</f>
        <v/>
      </c>
      <c r="D56" t="str">
        <f>IF(A56="", "", VLOOKUP(A56, 'ROMANEIO POR ITEM'!#REF!, 4, FALSE))</f>
        <v/>
      </c>
      <c r="E56" t="str">
        <f>IF(A56="", "", VLOOKUP(A56, 'ROMANEIO POR ITEM'!#REF!, 5, FALSE))</f>
        <v/>
      </c>
      <c r="F56" t="str">
        <f>IF(A56="", "", VLOOKUP(A56, 'ROMANEIO POR ITEM'!#REF!, 6, FALSE))</f>
        <v/>
      </c>
    </row>
    <row r="57" spans="1:6">
      <c r="A57" t="str">
        <f>IFERROR(_xlfn.SINGLE(INDEX('ROMANEIO POR ITEM'!#REF!, SMALL(IF(_xlfn.SINGLE('ROMANEIO POR ITEM'!#REF!)&lt;&gt;0,_xlfn.SINGLE( ROW('ROMANEIO POR ITEM'!#REF!))-ROW('ROMANEIO POR ITEM'!#REF!)+1), ROW(A56)))), "")</f>
        <v/>
      </c>
      <c r="B57" t="str">
        <f>IF(A57="", "", VLOOKUP(A57, 'ROMANEIO POR ITEM'!#REF!, 2, FALSE))</f>
        <v/>
      </c>
      <c r="C57" t="str">
        <f>IF(A57="", "", VLOOKUP(A57, 'ROMANEIO POR ITEM'!#REF!, 3, FALSE))</f>
        <v/>
      </c>
      <c r="D57" t="str">
        <f>IF(A57="", "", VLOOKUP(A57, 'ROMANEIO POR ITEM'!#REF!, 4, FALSE))</f>
        <v/>
      </c>
      <c r="E57" t="str">
        <f>IF(A57="", "", VLOOKUP(A57, 'ROMANEIO POR ITEM'!#REF!, 5, FALSE))</f>
        <v/>
      </c>
      <c r="F57" t="str">
        <f>IF(A57="", "", VLOOKUP(A57, 'ROMANEIO POR ITEM'!#REF!, 6, FALSE))</f>
        <v/>
      </c>
    </row>
    <row r="58" spans="1:6">
      <c r="A58" t="str">
        <f>IFERROR(_xlfn.SINGLE(INDEX('ROMANEIO POR ITEM'!#REF!, SMALL(IF(_xlfn.SINGLE('ROMANEIO POR ITEM'!#REF!)&lt;&gt;0,_xlfn.SINGLE( ROW('ROMANEIO POR ITEM'!#REF!))-ROW('ROMANEIO POR ITEM'!#REF!)+1), ROW(A57)))), "")</f>
        <v/>
      </c>
      <c r="B58" t="str">
        <f>IF(A58="", "", VLOOKUP(A58, 'ROMANEIO POR ITEM'!#REF!, 2, FALSE))</f>
        <v/>
      </c>
      <c r="C58" t="str">
        <f>IF(A58="", "", VLOOKUP(A58, 'ROMANEIO POR ITEM'!#REF!, 3, FALSE))</f>
        <v/>
      </c>
      <c r="D58" t="str">
        <f>IF(A58="", "", VLOOKUP(A58, 'ROMANEIO POR ITEM'!#REF!, 4, FALSE))</f>
        <v/>
      </c>
      <c r="E58" t="str">
        <f>IF(A58="", "", VLOOKUP(A58, 'ROMANEIO POR ITEM'!#REF!, 5, FALSE))</f>
        <v/>
      </c>
      <c r="F58" t="str">
        <f>IF(A58="", "", VLOOKUP(A58, 'ROMANEIO POR ITEM'!#REF!, 6, FALSE))</f>
        <v/>
      </c>
    </row>
    <row r="59" spans="1:6">
      <c r="A59" t="str">
        <f>IFERROR(_xlfn.SINGLE(INDEX('ROMANEIO POR ITEM'!#REF!, SMALL(IF(_xlfn.SINGLE('ROMANEIO POR ITEM'!#REF!)&lt;&gt;0,_xlfn.SINGLE( ROW('ROMANEIO POR ITEM'!#REF!))-ROW('ROMANEIO POR ITEM'!#REF!)+1), ROW(A58)))), "")</f>
        <v/>
      </c>
      <c r="B59" t="str">
        <f>IF(A59="", "", VLOOKUP(A59, 'ROMANEIO POR ITEM'!#REF!, 2, FALSE))</f>
        <v/>
      </c>
      <c r="C59" t="str">
        <f>IF(A59="", "", VLOOKUP(A59, 'ROMANEIO POR ITEM'!#REF!, 3, FALSE))</f>
        <v/>
      </c>
      <c r="D59" t="str">
        <f>IF(A59="", "", VLOOKUP(A59, 'ROMANEIO POR ITEM'!#REF!, 4, FALSE))</f>
        <v/>
      </c>
      <c r="E59" t="str">
        <f>IF(A59="", "", VLOOKUP(A59, 'ROMANEIO POR ITEM'!#REF!, 5, FALSE))</f>
        <v/>
      </c>
      <c r="F59" t="str">
        <f>IF(A59="", "", VLOOKUP(A59, 'ROMANEIO POR ITEM'!#REF!, 6, FALSE))</f>
        <v/>
      </c>
    </row>
    <row r="60" spans="1:6">
      <c r="A60" t="str">
        <f>IFERROR(_xlfn.SINGLE(INDEX('ROMANEIO POR ITEM'!#REF!, SMALL(IF(_xlfn.SINGLE('ROMANEIO POR ITEM'!#REF!)&lt;&gt;0,_xlfn.SINGLE( ROW('ROMANEIO POR ITEM'!#REF!))-ROW('ROMANEIO POR ITEM'!#REF!)+1), ROW(A59)))), "")</f>
        <v/>
      </c>
      <c r="B60" t="str">
        <f>IF(A60="", "", VLOOKUP(A60, 'ROMANEIO POR ITEM'!#REF!, 2, FALSE))</f>
        <v/>
      </c>
      <c r="C60" t="str">
        <f>IF(A60="", "", VLOOKUP(A60, 'ROMANEIO POR ITEM'!#REF!, 3, FALSE))</f>
        <v/>
      </c>
      <c r="D60" t="str">
        <f>IF(A60="", "", VLOOKUP(A60, 'ROMANEIO POR ITEM'!#REF!, 4, FALSE))</f>
        <v/>
      </c>
      <c r="E60" t="str">
        <f>IF(A60="", "", VLOOKUP(A60, 'ROMANEIO POR ITEM'!#REF!, 5, FALSE))</f>
        <v/>
      </c>
      <c r="F60" t="str">
        <f>IF(A60="", "", VLOOKUP(A60, 'ROMANEIO POR ITEM'!#REF!, 6, FALSE))</f>
        <v/>
      </c>
    </row>
    <row r="61" spans="1:6">
      <c r="A61" t="str">
        <f>IFERROR(_xlfn.SINGLE(INDEX('ROMANEIO POR ITEM'!#REF!, SMALL(IF(_xlfn.SINGLE('ROMANEIO POR ITEM'!#REF!)&lt;&gt;0,_xlfn.SINGLE( ROW('ROMANEIO POR ITEM'!#REF!))-ROW('ROMANEIO POR ITEM'!#REF!)+1), ROW(A60)))), "")</f>
        <v/>
      </c>
      <c r="B61" t="str">
        <f>IF(A61="", "", VLOOKUP(A61, 'ROMANEIO POR ITEM'!#REF!, 2, FALSE))</f>
        <v/>
      </c>
      <c r="C61" t="str">
        <f>IF(A61="", "", VLOOKUP(A61, 'ROMANEIO POR ITEM'!#REF!, 3, FALSE))</f>
        <v/>
      </c>
      <c r="D61" t="str">
        <f>IF(A61="", "", VLOOKUP(A61, 'ROMANEIO POR ITEM'!#REF!, 4, FALSE))</f>
        <v/>
      </c>
      <c r="E61" t="str">
        <f>IF(A61="", "", VLOOKUP(A61, 'ROMANEIO POR ITEM'!#REF!, 5, FALSE))</f>
        <v/>
      </c>
      <c r="F61" t="str">
        <f>IF(A61="", "", VLOOKUP(A61, 'ROMANEIO POR ITEM'!#REF!, 6, FALSE))</f>
        <v/>
      </c>
    </row>
    <row r="62" spans="1:6">
      <c r="A62" t="str">
        <f>IFERROR(_xlfn.SINGLE(INDEX('ROMANEIO POR ITEM'!#REF!, SMALL(IF(_xlfn.SINGLE('ROMANEIO POR ITEM'!#REF!)&lt;&gt;0,_xlfn.SINGLE( ROW('ROMANEIO POR ITEM'!#REF!))-ROW('ROMANEIO POR ITEM'!#REF!)+1), ROW(A61)))), "")</f>
        <v/>
      </c>
      <c r="B62" t="str">
        <f>IF(A62="", "", VLOOKUP(A62, 'ROMANEIO POR ITEM'!#REF!, 2, FALSE))</f>
        <v/>
      </c>
      <c r="C62" t="str">
        <f>IF(A62="", "", VLOOKUP(A62, 'ROMANEIO POR ITEM'!#REF!, 3, FALSE))</f>
        <v/>
      </c>
      <c r="D62" t="str">
        <f>IF(A62="", "", VLOOKUP(A62, 'ROMANEIO POR ITEM'!#REF!, 4, FALSE))</f>
        <v/>
      </c>
      <c r="E62" t="str">
        <f>IF(A62="", "", VLOOKUP(A62, 'ROMANEIO POR ITEM'!#REF!, 5, FALSE))</f>
        <v/>
      </c>
      <c r="F62" t="str">
        <f>IF(A62="", "", VLOOKUP(A62, 'ROMANEIO POR ITEM'!#REF!, 6, FALSE))</f>
        <v/>
      </c>
    </row>
    <row r="63" spans="1:6">
      <c r="A63" t="str">
        <f>IFERROR(_xlfn.SINGLE(INDEX('ROMANEIO POR ITEM'!#REF!, SMALL(IF(_xlfn.SINGLE('ROMANEIO POR ITEM'!#REF!)&lt;&gt;0,_xlfn.SINGLE( ROW('ROMANEIO POR ITEM'!#REF!))-ROW('ROMANEIO POR ITEM'!#REF!)+1), ROW(A62)))), "")</f>
        <v/>
      </c>
      <c r="B63" t="str">
        <f>IF(A63="", "", VLOOKUP(A63, 'ROMANEIO POR ITEM'!#REF!, 2, FALSE))</f>
        <v/>
      </c>
      <c r="C63" t="str">
        <f>IF(A63="", "", VLOOKUP(A63, 'ROMANEIO POR ITEM'!#REF!, 3, FALSE))</f>
        <v/>
      </c>
      <c r="D63" t="str">
        <f>IF(A63="", "", VLOOKUP(A63, 'ROMANEIO POR ITEM'!#REF!, 4, FALSE))</f>
        <v/>
      </c>
      <c r="E63" t="str">
        <f>IF(A63="", "", VLOOKUP(A63, 'ROMANEIO POR ITEM'!#REF!, 5, FALSE))</f>
        <v/>
      </c>
      <c r="F63" t="str">
        <f>IF(A63="", "", VLOOKUP(A63, 'ROMANEIO POR ITEM'!#REF!, 6, FALSE))</f>
        <v/>
      </c>
    </row>
    <row r="64" spans="1:6">
      <c r="A64" t="str">
        <f>IFERROR(_xlfn.SINGLE(INDEX('ROMANEIO POR ITEM'!#REF!, SMALL(IF(_xlfn.SINGLE('ROMANEIO POR ITEM'!#REF!)&lt;&gt;0,_xlfn.SINGLE( ROW('ROMANEIO POR ITEM'!#REF!))-ROW('ROMANEIO POR ITEM'!#REF!)+1), ROW(A63)))), "")</f>
        <v/>
      </c>
      <c r="B64" t="str">
        <f>IF(A64="", "", VLOOKUP(A64, 'ROMANEIO POR ITEM'!#REF!, 2, FALSE))</f>
        <v/>
      </c>
      <c r="C64" t="str">
        <f>IF(A64="", "", VLOOKUP(A64, 'ROMANEIO POR ITEM'!#REF!, 3, FALSE))</f>
        <v/>
      </c>
      <c r="D64" t="str">
        <f>IF(A64="", "", VLOOKUP(A64, 'ROMANEIO POR ITEM'!#REF!, 4, FALSE))</f>
        <v/>
      </c>
      <c r="E64" t="str">
        <f>IF(A64="", "", VLOOKUP(A64, 'ROMANEIO POR ITEM'!#REF!, 5, FALSE))</f>
        <v/>
      </c>
      <c r="F64" t="str">
        <f>IF(A64="", "", VLOOKUP(A64, 'ROMANEIO POR ITEM'!#REF!, 6, FALSE))</f>
        <v/>
      </c>
    </row>
    <row r="65" spans="1:6">
      <c r="A65" t="str">
        <f>IFERROR(_xlfn.SINGLE(INDEX('ROMANEIO POR ITEM'!#REF!, SMALL(IF(_xlfn.SINGLE('ROMANEIO POR ITEM'!#REF!)&lt;&gt;0,_xlfn.SINGLE( ROW('ROMANEIO POR ITEM'!#REF!))-ROW('ROMANEIO POR ITEM'!#REF!)+1), ROW(A64)))), "")</f>
        <v/>
      </c>
      <c r="B65" t="str">
        <f>IF(A65="", "", VLOOKUP(A65, 'ROMANEIO POR ITEM'!#REF!, 2, FALSE))</f>
        <v/>
      </c>
      <c r="C65" t="str">
        <f>IF(A65="", "", VLOOKUP(A65, 'ROMANEIO POR ITEM'!#REF!, 3, FALSE))</f>
        <v/>
      </c>
      <c r="D65" t="str">
        <f>IF(A65="", "", VLOOKUP(A65, 'ROMANEIO POR ITEM'!#REF!, 4, FALSE))</f>
        <v/>
      </c>
      <c r="E65" t="str">
        <f>IF(A65="", "", VLOOKUP(A65, 'ROMANEIO POR ITEM'!#REF!, 5, FALSE))</f>
        <v/>
      </c>
      <c r="F65" t="str">
        <f>IF(A65="", "", VLOOKUP(A65, 'ROMANEIO POR ITEM'!#REF!, 6, FALSE))</f>
        <v/>
      </c>
    </row>
    <row r="66" spans="1:6">
      <c r="A66" t="str">
        <f>IFERROR(_xlfn.SINGLE(INDEX('ROMANEIO POR ITEM'!#REF!, SMALL(IF(_xlfn.SINGLE('ROMANEIO POR ITEM'!#REF!)&lt;&gt;0,_xlfn.SINGLE( ROW('ROMANEIO POR ITEM'!#REF!))-ROW('ROMANEIO POR ITEM'!#REF!)+1), ROW(A65)))), "")</f>
        <v/>
      </c>
      <c r="B66" t="str">
        <f>IF(A66="", "", VLOOKUP(A66, 'ROMANEIO POR ITEM'!#REF!, 2, FALSE))</f>
        <v/>
      </c>
      <c r="C66" t="str">
        <f>IF(A66="", "", VLOOKUP(A66, 'ROMANEIO POR ITEM'!#REF!, 3, FALSE))</f>
        <v/>
      </c>
      <c r="D66" t="str">
        <f>IF(A66="", "", VLOOKUP(A66, 'ROMANEIO POR ITEM'!#REF!, 4, FALSE))</f>
        <v/>
      </c>
      <c r="E66" t="str">
        <f>IF(A66="", "", VLOOKUP(A66, 'ROMANEIO POR ITEM'!#REF!, 5, FALSE))</f>
        <v/>
      </c>
      <c r="F66" t="str">
        <f>IF(A66="", "", VLOOKUP(A66, 'ROMANEIO POR ITEM'!#REF!, 6, FALSE))</f>
        <v/>
      </c>
    </row>
    <row r="67" spans="1:6">
      <c r="A67" t="str">
        <f>IFERROR(_xlfn.SINGLE(INDEX('ROMANEIO POR ITEM'!#REF!, SMALL(IF(_xlfn.SINGLE('ROMANEIO POR ITEM'!#REF!)&lt;&gt;0,_xlfn.SINGLE( ROW('ROMANEIO POR ITEM'!#REF!))-ROW('ROMANEIO POR ITEM'!#REF!)+1), ROW(A66)))), "")</f>
        <v/>
      </c>
      <c r="B67" t="str">
        <f>IF(A67="", "", VLOOKUP(A67, 'ROMANEIO POR ITEM'!#REF!, 2, FALSE))</f>
        <v/>
      </c>
      <c r="C67" t="str">
        <f>IF(A67="", "", VLOOKUP(A67, 'ROMANEIO POR ITEM'!#REF!, 3, FALSE))</f>
        <v/>
      </c>
      <c r="D67" t="str">
        <f>IF(A67="", "", VLOOKUP(A67, 'ROMANEIO POR ITEM'!#REF!, 4, FALSE))</f>
        <v/>
      </c>
      <c r="E67" t="str">
        <f>IF(A67="", "", VLOOKUP(A67, 'ROMANEIO POR ITEM'!#REF!, 5, FALSE))</f>
        <v/>
      </c>
      <c r="F67" t="str">
        <f>IF(A67="", "", VLOOKUP(A67, 'ROMANEIO POR ITEM'!#REF!, 6, FALSE))</f>
        <v/>
      </c>
    </row>
    <row r="68" spans="1:6">
      <c r="A68" t="str">
        <f>IFERROR(_xlfn.SINGLE(INDEX('ROMANEIO POR ITEM'!#REF!, SMALL(IF(_xlfn.SINGLE('ROMANEIO POR ITEM'!#REF!)&lt;&gt;0,_xlfn.SINGLE( ROW('ROMANEIO POR ITEM'!#REF!))-ROW('ROMANEIO POR ITEM'!#REF!)+1), ROW(A67)))), "")</f>
        <v/>
      </c>
      <c r="B68" t="str">
        <f>IF(A68="", "", VLOOKUP(A68, 'ROMANEIO POR ITEM'!#REF!, 2, FALSE))</f>
        <v/>
      </c>
      <c r="C68" t="str">
        <f>IF(A68="", "", VLOOKUP(A68, 'ROMANEIO POR ITEM'!#REF!, 3, FALSE))</f>
        <v/>
      </c>
      <c r="D68" t="str">
        <f>IF(A68="", "", VLOOKUP(A68, 'ROMANEIO POR ITEM'!#REF!, 4, FALSE))</f>
        <v/>
      </c>
      <c r="E68" t="str">
        <f>IF(A68="", "", VLOOKUP(A68, 'ROMANEIO POR ITEM'!#REF!, 5, FALSE))</f>
        <v/>
      </c>
      <c r="F68" t="str">
        <f>IF(A68="", "", VLOOKUP(A68, 'ROMANEIO POR ITEM'!#REF!, 6, FALSE))</f>
        <v/>
      </c>
    </row>
    <row r="69" spans="1:6">
      <c r="A69" t="str">
        <f>IFERROR(_xlfn.SINGLE(INDEX('ROMANEIO POR ITEM'!#REF!, SMALL(IF(_xlfn.SINGLE('ROMANEIO POR ITEM'!#REF!)&lt;&gt;0,_xlfn.SINGLE( ROW('ROMANEIO POR ITEM'!#REF!))-ROW('ROMANEIO POR ITEM'!#REF!)+1), ROW(A68)))), "")</f>
        <v/>
      </c>
      <c r="B69" t="str">
        <f>IF(A69="", "", VLOOKUP(A69, 'ROMANEIO POR ITEM'!#REF!, 2, FALSE))</f>
        <v/>
      </c>
      <c r="C69" t="str">
        <f>IF(A69="", "", VLOOKUP(A69, 'ROMANEIO POR ITEM'!#REF!, 3, FALSE))</f>
        <v/>
      </c>
      <c r="D69" t="str">
        <f>IF(A69="", "", VLOOKUP(A69, 'ROMANEIO POR ITEM'!#REF!, 4, FALSE))</f>
        <v/>
      </c>
      <c r="E69" t="str">
        <f>IF(A69="", "", VLOOKUP(A69, 'ROMANEIO POR ITEM'!#REF!, 5, FALSE))</f>
        <v/>
      </c>
      <c r="F69" t="str">
        <f>IF(A69="", "", VLOOKUP(A69, 'ROMANEIO POR ITEM'!#REF!, 6, FALSE))</f>
        <v/>
      </c>
    </row>
    <row r="70" spans="1:6">
      <c r="A70" t="str">
        <f>IFERROR(_xlfn.SINGLE(INDEX('ROMANEIO POR ITEM'!#REF!, SMALL(IF(_xlfn.SINGLE('ROMANEIO POR ITEM'!#REF!)&lt;&gt;0,_xlfn.SINGLE( ROW('ROMANEIO POR ITEM'!#REF!))-ROW('ROMANEIO POR ITEM'!#REF!)+1), ROW(A69)))), "")</f>
        <v/>
      </c>
      <c r="B70" t="str">
        <f>IF(A70="", "", VLOOKUP(A70, 'ROMANEIO POR ITEM'!#REF!, 2, FALSE))</f>
        <v/>
      </c>
      <c r="C70" t="str">
        <f>IF(A70="", "", VLOOKUP(A70, 'ROMANEIO POR ITEM'!#REF!, 3, FALSE))</f>
        <v/>
      </c>
      <c r="D70" t="str">
        <f>IF(A70="", "", VLOOKUP(A70, 'ROMANEIO POR ITEM'!#REF!, 4, FALSE))</f>
        <v/>
      </c>
      <c r="E70" t="str">
        <f>IF(A70="", "", VLOOKUP(A70, 'ROMANEIO POR ITEM'!#REF!, 5, FALSE))</f>
        <v/>
      </c>
      <c r="F70" t="str">
        <f>IF(A70="", "", VLOOKUP(A70, 'ROMANEIO POR ITEM'!#REF!, 6, FALSE))</f>
        <v/>
      </c>
    </row>
    <row r="71" spans="1:6">
      <c r="A71" t="str">
        <f>IFERROR(_xlfn.SINGLE(INDEX('ROMANEIO POR ITEM'!#REF!, SMALL(IF(_xlfn.SINGLE('ROMANEIO POR ITEM'!#REF!)&lt;&gt;0,_xlfn.SINGLE( ROW('ROMANEIO POR ITEM'!#REF!))-ROW('ROMANEIO POR ITEM'!#REF!)+1), ROW(A70)))), "")</f>
        <v/>
      </c>
      <c r="B71" t="str">
        <f>IF(A71="", "", VLOOKUP(A71, 'ROMANEIO POR ITEM'!#REF!, 2, FALSE))</f>
        <v/>
      </c>
      <c r="C71" t="str">
        <f>IF(A71="", "", VLOOKUP(A71, 'ROMANEIO POR ITEM'!#REF!, 3, FALSE))</f>
        <v/>
      </c>
      <c r="D71" t="str">
        <f>IF(A71="", "", VLOOKUP(A71, 'ROMANEIO POR ITEM'!#REF!, 4, FALSE))</f>
        <v/>
      </c>
      <c r="E71" t="str">
        <f>IF(A71="", "", VLOOKUP(A71, 'ROMANEIO POR ITEM'!#REF!, 5, FALSE))</f>
        <v/>
      </c>
      <c r="F71" t="str">
        <f>IF(A71="", "", VLOOKUP(A71, 'ROMANEIO POR ITEM'!#REF!, 6, FALSE))</f>
        <v/>
      </c>
    </row>
    <row r="72" spans="1:6">
      <c r="A72" t="str">
        <f>IFERROR(_xlfn.SINGLE(INDEX('ROMANEIO POR ITEM'!#REF!, SMALL(IF(_xlfn.SINGLE('ROMANEIO POR ITEM'!#REF!)&lt;&gt;0,_xlfn.SINGLE( ROW('ROMANEIO POR ITEM'!#REF!))-ROW('ROMANEIO POR ITEM'!#REF!)+1), ROW(A71)))), "")</f>
        <v/>
      </c>
      <c r="B72" t="str">
        <f>IF(A72="", "", VLOOKUP(A72, 'ROMANEIO POR ITEM'!#REF!, 2, FALSE))</f>
        <v/>
      </c>
      <c r="C72" t="str">
        <f>IF(A72="", "", VLOOKUP(A72, 'ROMANEIO POR ITEM'!#REF!, 3, FALSE))</f>
        <v/>
      </c>
      <c r="D72" t="str">
        <f>IF(A72="", "", VLOOKUP(A72, 'ROMANEIO POR ITEM'!#REF!, 4, FALSE))</f>
        <v/>
      </c>
      <c r="E72" t="str">
        <f>IF(A72="", "", VLOOKUP(A72, 'ROMANEIO POR ITEM'!#REF!, 5, FALSE))</f>
        <v/>
      </c>
      <c r="F72" t="str">
        <f>IF(A72="", "", VLOOKUP(A72, 'ROMANEIO POR ITEM'!#REF!, 6, FALSE))</f>
        <v/>
      </c>
    </row>
    <row r="73" spans="1:6">
      <c r="A73" t="str">
        <f>IFERROR(_xlfn.SINGLE(INDEX('ROMANEIO POR ITEM'!#REF!, SMALL(IF(_xlfn.SINGLE('ROMANEIO POR ITEM'!#REF!)&lt;&gt;0,_xlfn.SINGLE( ROW('ROMANEIO POR ITEM'!#REF!))-ROW('ROMANEIO POR ITEM'!#REF!)+1), ROW(A72)))), "")</f>
        <v/>
      </c>
      <c r="B73" t="str">
        <f>IF(A73="", "", VLOOKUP(A73, 'ROMANEIO POR ITEM'!#REF!, 2, FALSE))</f>
        <v/>
      </c>
      <c r="C73" t="str">
        <f>IF(A73="", "", VLOOKUP(A73, 'ROMANEIO POR ITEM'!#REF!, 3, FALSE))</f>
        <v/>
      </c>
      <c r="D73" t="str">
        <f>IF(A73="", "", VLOOKUP(A73, 'ROMANEIO POR ITEM'!#REF!, 4, FALSE))</f>
        <v/>
      </c>
      <c r="E73" t="str">
        <f>IF(A73="", "", VLOOKUP(A73, 'ROMANEIO POR ITEM'!#REF!, 5, FALSE))</f>
        <v/>
      </c>
      <c r="F73" t="str">
        <f>IF(A73="", "", VLOOKUP(A73, 'ROMANEIO POR ITEM'!#REF!, 6, FALSE))</f>
        <v/>
      </c>
    </row>
    <row r="74" spans="1:6">
      <c r="A74" t="str">
        <f>IFERROR(_xlfn.SINGLE(INDEX('ROMANEIO POR ITEM'!#REF!, SMALL(IF(_xlfn.SINGLE('ROMANEIO POR ITEM'!#REF!)&lt;&gt;0,_xlfn.SINGLE( ROW('ROMANEIO POR ITEM'!#REF!))-ROW('ROMANEIO POR ITEM'!#REF!)+1), ROW(A73)))), "")</f>
        <v/>
      </c>
      <c r="B74" t="str">
        <f>IF(A74="", "", VLOOKUP(A74, 'ROMANEIO POR ITEM'!#REF!, 2, FALSE))</f>
        <v/>
      </c>
      <c r="C74" t="str">
        <f>IF(A74="", "", VLOOKUP(A74, 'ROMANEIO POR ITEM'!#REF!, 3, FALSE))</f>
        <v/>
      </c>
      <c r="D74" t="str">
        <f>IF(A74="", "", VLOOKUP(A74, 'ROMANEIO POR ITEM'!#REF!, 4, FALSE))</f>
        <v/>
      </c>
      <c r="E74" t="str">
        <f>IF(A74="", "", VLOOKUP(A74, 'ROMANEIO POR ITEM'!#REF!, 5, FALSE))</f>
        <v/>
      </c>
      <c r="F74" t="str">
        <f>IF(A74="", "", VLOOKUP(A74, 'ROMANEIO POR ITEM'!#REF!, 6, FALSE))</f>
        <v/>
      </c>
    </row>
    <row r="75" spans="1:6">
      <c r="A75" t="str">
        <f>IFERROR(_xlfn.SINGLE(INDEX('ROMANEIO POR ITEM'!#REF!, SMALL(IF(_xlfn.SINGLE('ROMANEIO POR ITEM'!#REF!)&lt;&gt;0,_xlfn.SINGLE( ROW('ROMANEIO POR ITEM'!#REF!))-ROW('ROMANEIO POR ITEM'!#REF!)+1), ROW(A74)))), "")</f>
        <v/>
      </c>
      <c r="B75" t="str">
        <f>IF(A75="", "", VLOOKUP(A75, 'ROMANEIO POR ITEM'!#REF!, 2, FALSE))</f>
        <v/>
      </c>
      <c r="C75" t="str">
        <f>IF(A75="", "", VLOOKUP(A75, 'ROMANEIO POR ITEM'!#REF!, 3, FALSE))</f>
        <v/>
      </c>
      <c r="D75" t="str">
        <f>IF(A75="", "", VLOOKUP(A75, 'ROMANEIO POR ITEM'!#REF!, 4, FALSE))</f>
        <v/>
      </c>
      <c r="E75" t="str">
        <f>IF(A75="", "", VLOOKUP(A75, 'ROMANEIO POR ITEM'!#REF!, 5, FALSE))</f>
        <v/>
      </c>
      <c r="F75" t="str">
        <f>IF(A75="", "", VLOOKUP(A75, 'ROMANEIO POR ITEM'!#REF!, 6, FALSE))</f>
        <v/>
      </c>
    </row>
    <row r="76" spans="1:6">
      <c r="A76" t="str">
        <f>IFERROR(_xlfn.SINGLE(INDEX('ROMANEIO POR ITEM'!#REF!, SMALL(IF(_xlfn.SINGLE('ROMANEIO POR ITEM'!#REF!)&lt;&gt;0,_xlfn.SINGLE( ROW('ROMANEIO POR ITEM'!#REF!))-ROW('ROMANEIO POR ITEM'!#REF!)+1), ROW(A75)))), "")</f>
        <v/>
      </c>
      <c r="B76" t="str">
        <f>IF(A76="", "", VLOOKUP(A76, 'ROMANEIO POR ITEM'!#REF!, 2, FALSE))</f>
        <v/>
      </c>
      <c r="C76" t="str">
        <f>IF(A76="", "", VLOOKUP(A76, 'ROMANEIO POR ITEM'!#REF!, 3, FALSE))</f>
        <v/>
      </c>
      <c r="D76" t="str">
        <f>IF(A76="", "", VLOOKUP(A76, 'ROMANEIO POR ITEM'!#REF!, 4, FALSE))</f>
        <v/>
      </c>
      <c r="E76" t="str">
        <f>IF(A76="", "", VLOOKUP(A76, 'ROMANEIO POR ITEM'!#REF!, 5, FALSE))</f>
        <v/>
      </c>
      <c r="F76" t="str">
        <f>IF(A76="", "", VLOOKUP(A76, 'ROMANEIO POR ITEM'!#REF!, 6, FALSE))</f>
        <v/>
      </c>
    </row>
    <row r="77" spans="1:6">
      <c r="A77" t="str">
        <f>IFERROR(_xlfn.SINGLE(INDEX('ROMANEIO POR ITEM'!#REF!, SMALL(IF(_xlfn.SINGLE('ROMANEIO POR ITEM'!#REF!)&lt;&gt;0,_xlfn.SINGLE( ROW('ROMANEIO POR ITEM'!#REF!))-ROW('ROMANEIO POR ITEM'!#REF!)+1), ROW(A76)))), "")</f>
        <v/>
      </c>
      <c r="B77" t="str">
        <f>IF(A77="", "", VLOOKUP(A77, 'ROMANEIO POR ITEM'!#REF!, 2, FALSE))</f>
        <v/>
      </c>
      <c r="C77" t="str">
        <f>IF(A77="", "", VLOOKUP(A77, 'ROMANEIO POR ITEM'!#REF!, 3, FALSE))</f>
        <v/>
      </c>
      <c r="D77" t="str">
        <f>IF(A77="", "", VLOOKUP(A77, 'ROMANEIO POR ITEM'!#REF!, 4, FALSE))</f>
        <v/>
      </c>
      <c r="E77" t="str">
        <f>IF(A77="", "", VLOOKUP(A77, 'ROMANEIO POR ITEM'!#REF!, 5, FALSE))</f>
        <v/>
      </c>
      <c r="F77" t="str">
        <f>IF(A77="", "", VLOOKUP(A77, 'ROMANEIO POR ITEM'!#REF!, 6, FALSE))</f>
        <v/>
      </c>
    </row>
    <row r="78" spans="1:6">
      <c r="A78" t="str">
        <f>IFERROR(_xlfn.SINGLE(INDEX('ROMANEIO POR ITEM'!#REF!, SMALL(IF(_xlfn.SINGLE('ROMANEIO POR ITEM'!#REF!)&lt;&gt;0,_xlfn.SINGLE( ROW('ROMANEIO POR ITEM'!#REF!))-ROW('ROMANEIO POR ITEM'!#REF!)+1), ROW(A77)))), "")</f>
        <v/>
      </c>
      <c r="B78" t="str">
        <f>IF(A78="", "", VLOOKUP(A78, 'ROMANEIO POR ITEM'!#REF!, 2, FALSE))</f>
        <v/>
      </c>
      <c r="C78" t="str">
        <f>IF(A78="", "", VLOOKUP(A78, 'ROMANEIO POR ITEM'!#REF!, 3, FALSE))</f>
        <v/>
      </c>
      <c r="D78" t="str">
        <f>IF(A78="", "", VLOOKUP(A78, 'ROMANEIO POR ITEM'!#REF!, 4, FALSE))</f>
        <v/>
      </c>
      <c r="E78" t="str">
        <f>IF(A78="", "", VLOOKUP(A78, 'ROMANEIO POR ITEM'!#REF!, 5, FALSE))</f>
        <v/>
      </c>
      <c r="F78" t="str">
        <f>IF(A78="", "", VLOOKUP(A78, 'ROMANEIO POR ITEM'!#REF!, 6, FALSE))</f>
        <v/>
      </c>
    </row>
    <row r="79" spans="1:6">
      <c r="A79" t="str">
        <f>IFERROR(_xlfn.SINGLE(INDEX('ROMANEIO POR ITEM'!#REF!, SMALL(IF(_xlfn.SINGLE('ROMANEIO POR ITEM'!#REF!)&lt;&gt;0,_xlfn.SINGLE( ROW('ROMANEIO POR ITEM'!#REF!))-ROW('ROMANEIO POR ITEM'!#REF!)+1), ROW(A78)))), "")</f>
        <v/>
      </c>
      <c r="B79" t="str">
        <f>IF(A79="", "", VLOOKUP(A79, 'ROMANEIO POR ITEM'!#REF!, 2, FALSE))</f>
        <v/>
      </c>
      <c r="C79" t="str">
        <f>IF(A79="", "", VLOOKUP(A79, 'ROMANEIO POR ITEM'!#REF!, 3, FALSE))</f>
        <v/>
      </c>
      <c r="D79" t="str">
        <f>IF(A79="", "", VLOOKUP(A79, 'ROMANEIO POR ITEM'!#REF!, 4, FALSE))</f>
        <v/>
      </c>
      <c r="E79" t="str">
        <f>IF(A79="", "", VLOOKUP(A79, 'ROMANEIO POR ITEM'!#REF!, 5, FALSE))</f>
        <v/>
      </c>
      <c r="F79" t="str">
        <f>IF(A79="", "", VLOOKUP(A79, 'ROMANEIO POR ITEM'!#REF!, 6, FALSE))</f>
        <v/>
      </c>
    </row>
    <row r="80" spans="1:6">
      <c r="A80" t="str">
        <f>IFERROR(_xlfn.SINGLE(INDEX('ROMANEIO POR ITEM'!#REF!, SMALL(IF(_xlfn.SINGLE('ROMANEIO POR ITEM'!#REF!)&lt;&gt;0,_xlfn.SINGLE( ROW('ROMANEIO POR ITEM'!#REF!))-ROW('ROMANEIO POR ITEM'!#REF!)+1), ROW(A79)))), "")</f>
        <v/>
      </c>
      <c r="B80" t="str">
        <f>IF(A80="", "", VLOOKUP(A80, 'ROMANEIO POR ITEM'!#REF!, 2, FALSE))</f>
        <v/>
      </c>
      <c r="C80" t="str">
        <f>IF(A80="", "", VLOOKUP(A80, 'ROMANEIO POR ITEM'!#REF!, 3, FALSE))</f>
        <v/>
      </c>
      <c r="D80" t="str">
        <f>IF(A80="", "", VLOOKUP(A80, 'ROMANEIO POR ITEM'!#REF!, 4, FALSE))</f>
        <v/>
      </c>
      <c r="E80" t="str">
        <f>IF(A80="", "", VLOOKUP(A80, 'ROMANEIO POR ITEM'!#REF!, 5, FALSE))</f>
        <v/>
      </c>
      <c r="F80" t="str">
        <f>IF(A80="", "", VLOOKUP(A80, 'ROMANEIO POR ITEM'!#REF!, 6, FALSE))</f>
        <v/>
      </c>
    </row>
    <row r="81" spans="1:6">
      <c r="A81" t="str">
        <f>IFERROR(_xlfn.SINGLE(INDEX('ROMANEIO POR ITEM'!#REF!, SMALL(IF(_xlfn.SINGLE('ROMANEIO POR ITEM'!#REF!)&lt;&gt;0,_xlfn.SINGLE( ROW('ROMANEIO POR ITEM'!#REF!))-ROW('ROMANEIO POR ITEM'!#REF!)+1), ROW(A80)))), "")</f>
        <v/>
      </c>
      <c r="B81" t="str">
        <f>IF(A81="", "", VLOOKUP(A81, 'ROMANEIO POR ITEM'!#REF!, 2, FALSE))</f>
        <v/>
      </c>
      <c r="C81" t="str">
        <f>IF(A81="", "", VLOOKUP(A81, 'ROMANEIO POR ITEM'!#REF!, 3, FALSE))</f>
        <v/>
      </c>
      <c r="D81" t="str">
        <f>IF(A81="", "", VLOOKUP(A81, 'ROMANEIO POR ITEM'!#REF!, 4, FALSE))</f>
        <v/>
      </c>
      <c r="E81" t="str">
        <f>IF(A81="", "", VLOOKUP(A81, 'ROMANEIO POR ITEM'!#REF!, 5, FALSE))</f>
        <v/>
      </c>
      <c r="F81" t="str">
        <f>IF(A81="", "", VLOOKUP(A81, 'ROMANEIO POR ITEM'!#REF!, 6, FALSE))</f>
        <v/>
      </c>
    </row>
    <row r="82" spans="1:6">
      <c r="A82" t="str">
        <f>IFERROR(_xlfn.SINGLE(INDEX('ROMANEIO POR ITEM'!#REF!, SMALL(IF(_xlfn.SINGLE('ROMANEIO POR ITEM'!#REF!)&lt;&gt;0,_xlfn.SINGLE( ROW('ROMANEIO POR ITEM'!#REF!))-ROW('ROMANEIO POR ITEM'!#REF!)+1), ROW(A81)))), "")</f>
        <v/>
      </c>
      <c r="B82" t="str">
        <f>IF(A82="", "", VLOOKUP(A82, 'ROMANEIO POR ITEM'!#REF!, 2, FALSE))</f>
        <v/>
      </c>
      <c r="C82" t="str">
        <f>IF(A82="", "", VLOOKUP(A82, 'ROMANEIO POR ITEM'!#REF!, 3, FALSE))</f>
        <v/>
      </c>
      <c r="D82" t="str">
        <f>IF(A82="", "", VLOOKUP(A82, 'ROMANEIO POR ITEM'!#REF!, 4, FALSE))</f>
        <v/>
      </c>
      <c r="E82" t="str">
        <f>IF(A82="", "", VLOOKUP(A82, 'ROMANEIO POR ITEM'!#REF!, 5, FALSE))</f>
        <v/>
      </c>
      <c r="F82" t="str">
        <f>IF(A82="", "", VLOOKUP(A82, 'ROMANEIO POR ITEM'!#REF!, 6, FALSE))</f>
        <v/>
      </c>
    </row>
    <row r="83" spans="1:6">
      <c r="A83" t="str">
        <f>IFERROR(_xlfn.SINGLE(INDEX('ROMANEIO POR ITEM'!#REF!, SMALL(IF(_xlfn.SINGLE('ROMANEIO POR ITEM'!#REF!)&lt;&gt;0,_xlfn.SINGLE( ROW('ROMANEIO POR ITEM'!#REF!))-ROW('ROMANEIO POR ITEM'!#REF!)+1), ROW(A82)))), "")</f>
        <v/>
      </c>
      <c r="B83" t="str">
        <f>IF(A83="", "", VLOOKUP(A83, 'ROMANEIO POR ITEM'!#REF!, 2, FALSE))</f>
        <v/>
      </c>
      <c r="C83" t="str">
        <f>IF(A83="", "", VLOOKUP(A83, 'ROMANEIO POR ITEM'!#REF!, 3, FALSE))</f>
        <v/>
      </c>
      <c r="D83" t="str">
        <f>IF(A83="", "", VLOOKUP(A83, 'ROMANEIO POR ITEM'!#REF!, 4, FALSE))</f>
        <v/>
      </c>
      <c r="E83" t="str">
        <f>IF(A83="", "", VLOOKUP(A83, 'ROMANEIO POR ITEM'!#REF!, 5, FALSE))</f>
        <v/>
      </c>
      <c r="F83" t="str">
        <f>IF(A83="", "", VLOOKUP(A83, 'ROMANEIO POR ITEM'!#REF!, 6, FALSE))</f>
        <v/>
      </c>
    </row>
    <row r="84" spans="1:6">
      <c r="A84" t="str">
        <f>IFERROR(_xlfn.SINGLE(INDEX('ROMANEIO POR ITEM'!#REF!, SMALL(IF(_xlfn.SINGLE('ROMANEIO POR ITEM'!#REF!)&lt;&gt;0,_xlfn.SINGLE( ROW('ROMANEIO POR ITEM'!#REF!))-ROW('ROMANEIO POR ITEM'!#REF!)+1), ROW(A83)))), "")</f>
        <v/>
      </c>
      <c r="B84" t="str">
        <f>IF(A84="", "", VLOOKUP(A84, 'ROMANEIO POR ITEM'!#REF!, 2, FALSE))</f>
        <v/>
      </c>
      <c r="C84" t="str">
        <f>IF(A84="", "", VLOOKUP(A84, 'ROMANEIO POR ITEM'!#REF!, 3, FALSE))</f>
        <v/>
      </c>
      <c r="D84" t="str">
        <f>IF(A84="", "", VLOOKUP(A84, 'ROMANEIO POR ITEM'!#REF!, 4, FALSE))</f>
        <v/>
      </c>
      <c r="E84" t="str">
        <f>IF(A84="", "", VLOOKUP(A84, 'ROMANEIO POR ITEM'!#REF!, 5, FALSE))</f>
        <v/>
      </c>
      <c r="F84" t="str">
        <f>IF(A84="", "", VLOOKUP(A84, 'ROMANEIO POR ITEM'!#REF!, 6, FALSE))</f>
        <v/>
      </c>
    </row>
    <row r="85" spans="1:6">
      <c r="A85" t="str">
        <f>IFERROR(_xlfn.SINGLE(INDEX('ROMANEIO POR ITEM'!#REF!, SMALL(IF(_xlfn.SINGLE('ROMANEIO POR ITEM'!#REF!)&lt;&gt;0,_xlfn.SINGLE( ROW('ROMANEIO POR ITEM'!#REF!))-ROW('ROMANEIO POR ITEM'!#REF!)+1), ROW(A84)))), "")</f>
        <v/>
      </c>
      <c r="B85" t="str">
        <f>IF(A85="", "", VLOOKUP(A85, 'ROMANEIO POR ITEM'!#REF!, 2, FALSE))</f>
        <v/>
      </c>
      <c r="C85" t="str">
        <f>IF(A85="", "", VLOOKUP(A85, 'ROMANEIO POR ITEM'!#REF!, 3, FALSE))</f>
        <v/>
      </c>
      <c r="D85" t="str">
        <f>IF(A85="", "", VLOOKUP(A85, 'ROMANEIO POR ITEM'!#REF!, 4, FALSE))</f>
        <v/>
      </c>
      <c r="E85" t="str">
        <f>IF(A85="", "", VLOOKUP(A85, 'ROMANEIO POR ITEM'!#REF!, 5, FALSE))</f>
        <v/>
      </c>
      <c r="F85" t="str">
        <f>IF(A85="", "", VLOOKUP(A85, 'ROMANEIO POR ITEM'!#REF!, 6, FALSE))</f>
        <v/>
      </c>
    </row>
    <row r="86" spans="1:6">
      <c r="A86" t="str">
        <f>IFERROR(_xlfn.SINGLE(INDEX('ROMANEIO POR ITEM'!#REF!, SMALL(IF(_xlfn.SINGLE('ROMANEIO POR ITEM'!#REF!)&lt;&gt;0,_xlfn.SINGLE( ROW('ROMANEIO POR ITEM'!#REF!))-ROW('ROMANEIO POR ITEM'!#REF!)+1), ROW(A85)))), "")</f>
        <v/>
      </c>
      <c r="B86" t="str">
        <f>IF(A86="", "", VLOOKUP(A86, 'ROMANEIO POR ITEM'!#REF!, 2, FALSE))</f>
        <v/>
      </c>
      <c r="C86" t="str">
        <f>IF(A86="", "", VLOOKUP(A86, 'ROMANEIO POR ITEM'!#REF!, 3, FALSE))</f>
        <v/>
      </c>
      <c r="D86" t="str">
        <f>IF(A86="", "", VLOOKUP(A86, 'ROMANEIO POR ITEM'!#REF!, 4, FALSE))</f>
        <v/>
      </c>
      <c r="E86" t="str">
        <f>IF(A86="", "", VLOOKUP(A86, 'ROMANEIO POR ITEM'!#REF!, 5, FALSE))</f>
        <v/>
      </c>
      <c r="F86" t="str">
        <f>IF(A86="", "", VLOOKUP(A86, 'ROMANEIO POR ITEM'!#REF!, 6, FALSE))</f>
        <v/>
      </c>
    </row>
    <row r="87" spans="1:6">
      <c r="A87" t="str">
        <f>IFERROR(_xlfn.SINGLE(INDEX('ROMANEIO POR ITEM'!#REF!, SMALL(IF(_xlfn.SINGLE('ROMANEIO POR ITEM'!#REF!)&lt;&gt;0,_xlfn.SINGLE( ROW('ROMANEIO POR ITEM'!#REF!))-ROW('ROMANEIO POR ITEM'!#REF!)+1), ROW(A86)))), "")</f>
        <v/>
      </c>
      <c r="B87" t="str">
        <f>IF(A87="", "", VLOOKUP(A87, 'ROMANEIO POR ITEM'!#REF!, 2, FALSE))</f>
        <v/>
      </c>
      <c r="C87" t="str">
        <f>IF(A87="", "", VLOOKUP(A87, 'ROMANEIO POR ITEM'!#REF!, 3, FALSE))</f>
        <v/>
      </c>
      <c r="D87" t="str">
        <f>IF(A87="", "", VLOOKUP(A87, 'ROMANEIO POR ITEM'!#REF!, 4, FALSE))</f>
        <v/>
      </c>
      <c r="E87" t="str">
        <f>IF(A87="", "", VLOOKUP(A87, 'ROMANEIO POR ITEM'!#REF!, 5, FALSE))</f>
        <v/>
      </c>
      <c r="F87" t="str">
        <f>IF(A87="", "", VLOOKUP(A87, 'ROMANEIO POR ITEM'!#REF!, 6, FALSE))</f>
        <v/>
      </c>
    </row>
    <row r="88" spans="1:6">
      <c r="A88" t="str">
        <f>IFERROR(_xlfn.SINGLE(INDEX('ROMANEIO POR ITEM'!#REF!, SMALL(IF(_xlfn.SINGLE('ROMANEIO POR ITEM'!#REF!)&lt;&gt;0,_xlfn.SINGLE( ROW('ROMANEIO POR ITEM'!#REF!))-ROW('ROMANEIO POR ITEM'!#REF!)+1), ROW(A87)))), "")</f>
        <v/>
      </c>
      <c r="B88" t="str">
        <f>IF(A88="", "", VLOOKUP(A88, 'ROMANEIO POR ITEM'!#REF!, 2, FALSE))</f>
        <v/>
      </c>
      <c r="C88" t="str">
        <f>IF(A88="", "", VLOOKUP(A88, 'ROMANEIO POR ITEM'!#REF!, 3, FALSE))</f>
        <v/>
      </c>
      <c r="D88" t="str">
        <f>IF(A88="", "", VLOOKUP(A88, 'ROMANEIO POR ITEM'!#REF!, 4, FALSE))</f>
        <v/>
      </c>
      <c r="E88" t="str">
        <f>IF(A88="", "", VLOOKUP(A88, 'ROMANEIO POR ITEM'!#REF!, 5, FALSE))</f>
        <v/>
      </c>
      <c r="F88" t="str">
        <f>IF(A88="", "", VLOOKUP(A88, 'ROMANEIO POR ITEM'!#REF!, 6, FALSE))</f>
        <v/>
      </c>
    </row>
    <row r="89" spans="1:6">
      <c r="A89" t="str">
        <f>IFERROR(_xlfn.SINGLE(INDEX('ROMANEIO POR ITEM'!#REF!, SMALL(IF(_xlfn.SINGLE('ROMANEIO POR ITEM'!#REF!)&lt;&gt;0,_xlfn.SINGLE( ROW('ROMANEIO POR ITEM'!#REF!))-ROW('ROMANEIO POR ITEM'!#REF!)+1), ROW(A88)))), "")</f>
        <v/>
      </c>
      <c r="B89" t="str">
        <f>IF(A89="", "", VLOOKUP(A89, 'ROMANEIO POR ITEM'!#REF!, 2, FALSE))</f>
        <v/>
      </c>
      <c r="C89" t="str">
        <f>IF(A89="", "", VLOOKUP(A89, 'ROMANEIO POR ITEM'!#REF!, 3, FALSE))</f>
        <v/>
      </c>
      <c r="D89" t="str">
        <f>IF(A89="", "", VLOOKUP(A89, 'ROMANEIO POR ITEM'!#REF!, 4, FALSE))</f>
        <v/>
      </c>
      <c r="E89" t="str">
        <f>IF(A89="", "", VLOOKUP(A89, 'ROMANEIO POR ITEM'!#REF!, 5, FALSE))</f>
        <v/>
      </c>
      <c r="F89" t="str">
        <f>IF(A89="", "", VLOOKUP(A89, 'ROMANEIO POR ITEM'!#REF!, 6, FALSE))</f>
        <v/>
      </c>
    </row>
    <row r="90" spans="1:6">
      <c r="A90" t="str">
        <f>IFERROR(_xlfn.SINGLE(INDEX('ROMANEIO POR ITEM'!#REF!, SMALL(IF(_xlfn.SINGLE('ROMANEIO POR ITEM'!#REF!)&lt;&gt;0,_xlfn.SINGLE( ROW('ROMANEIO POR ITEM'!#REF!))-ROW('ROMANEIO POR ITEM'!#REF!)+1), ROW(A89)))), "")</f>
        <v/>
      </c>
      <c r="B90" t="str">
        <f>IF(A90="", "", VLOOKUP(A90, 'ROMANEIO POR ITEM'!#REF!, 2, FALSE))</f>
        <v/>
      </c>
      <c r="C90" t="str">
        <f>IF(A90="", "", VLOOKUP(A90, 'ROMANEIO POR ITEM'!#REF!, 3, FALSE))</f>
        <v/>
      </c>
      <c r="D90" t="str">
        <f>IF(A90="", "", VLOOKUP(A90, 'ROMANEIO POR ITEM'!#REF!, 4, FALSE))</f>
        <v/>
      </c>
      <c r="E90" t="str">
        <f>IF(A90="", "", VLOOKUP(A90, 'ROMANEIO POR ITEM'!#REF!, 5, FALSE))</f>
        <v/>
      </c>
      <c r="F90" t="str">
        <f>IF(A90="", "", VLOOKUP(A90, 'ROMANEIO POR ITEM'!#REF!, 6, FALSE))</f>
        <v/>
      </c>
    </row>
    <row r="91" spans="1:6">
      <c r="A91" t="str">
        <f>IFERROR(_xlfn.SINGLE(INDEX('ROMANEIO POR ITEM'!#REF!, SMALL(IF(_xlfn.SINGLE('ROMANEIO POR ITEM'!#REF!)&lt;&gt;0,_xlfn.SINGLE( ROW('ROMANEIO POR ITEM'!#REF!))-ROW('ROMANEIO POR ITEM'!#REF!)+1), ROW(A90)))), "")</f>
        <v/>
      </c>
      <c r="B91" t="str">
        <f>IF(A91="", "", VLOOKUP(A91, 'ROMANEIO POR ITEM'!#REF!, 2, FALSE))</f>
        <v/>
      </c>
      <c r="C91" t="str">
        <f>IF(A91="", "", VLOOKUP(A91, 'ROMANEIO POR ITEM'!#REF!, 3, FALSE))</f>
        <v/>
      </c>
      <c r="D91" t="str">
        <f>IF(A91="", "", VLOOKUP(A91, 'ROMANEIO POR ITEM'!#REF!, 4, FALSE))</f>
        <v/>
      </c>
      <c r="E91" t="str">
        <f>IF(A91="", "", VLOOKUP(A91, 'ROMANEIO POR ITEM'!#REF!, 5, FALSE))</f>
        <v/>
      </c>
      <c r="F91" t="str">
        <f>IF(A91="", "", VLOOKUP(A91, 'ROMANEIO POR ITEM'!#REF!, 6, FALSE))</f>
        <v/>
      </c>
    </row>
    <row r="92" spans="1:6">
      <c r="A92" t="str">
        <f>IFERROR(_xlfn.SINGLE(INDEX('ROMANEIO POR ITEM'!#REF!, SMALL(IF(_xlfn.SINGLE('ROMANEIO POR ITEM'!#REF!)&lt;&gt;0,_xlfn.SINGLE( ROW('ROMANEIO POR ITEM'!#REF!))-ROW('ROMANEIO POR ITEM'!#REF!)+1), ROW(A91)))), "")</f>
        <v/>
      </c>
      <c r="B92" t="str">
        <f>IF(A92="", "", VLOOKUP(A92, 'ROMANEIO POR ITEM'!#REF!, 2, FALSE))</f>
        <v/>
      </c>
      <c r="C92" t="str">
        <f>IF(A92="", "", VLOOKUP(A92, 'ROMANEIO POR ITEM'!#REF!, 3, FALSE))</f>
        <v/>
      </c>
      <c r="D92" t="str">
        <f>IF(A92="", "", VLOOKUP(A92, 'ROMANEIO POR ITEM'!#REF!, 4, FALSE))</f>
        <v/>
      </c>
      <c r="E92" t="str">
        <f>IF(A92="", "", VLOOKUP(A92, 'ROMANEIO POR ITEM'!#REF!, 5, FALSE))</f>
        <v/>
      </c>
      <c r="F92" t="str">
        <f>IF(A92="", "", VLOOKUP(A92, 'ROMANEIO POR ITEM'!#REF!, 6, FALSE))</f>
        <v/>
      </c>
    </row>
    <row r="93" spans="1:6">
      <c r="A93" t="str">
        <f>IFERROR(_xlfn.SINGLE(INDEX('ROMANEIO POR ITEM'!#REF!, SMALL(IF(_xlfn.SINGLE('ROMANEIO POR ITEM'!#REF!)&lt;&gt;0,_xlfn.SINGLE( ROW('ROMANEIO POR ITEM'!#REF!))-ROW('ROMANEIO POR ITEM'!#REF!)+1), ROW(A92)))), "")</f>
        <v/>
      </c>
      <c r="B93" t="str">
        <f>IF(A93="", "", VLOOKUP(A93, 'ROMANEIO POR ITEM'!#REF!, 2, FALSE))</f>
        <v/>
      </c>
      <c r="C93" t="str">
        <f>IF(A93="", "", VLOOKUP(A93, 'ROMANEIO POR ITEM'!#REF!, 3, FALSE))</f>
        <v/>
      </c>
      <c r="D93" t="str">
        <f>IF(A93="", "", VLOOKUP(A93, 'ROMANEIO POR ITEM'!#REF!, 4, FALSE))</f>
        <v/>
      </c>
      <c r="E93" t="str">
        <f>IF(A93="", "", VLOOKUP(A93, 'ROMANEIO POR ITEM'!#REF!, 5, FALSE))</f>
        <v/>
      </c>
      <c r="F93" t="str">
        <f>IF(A93="", "", VLOOKUP(A93, 'ROMANEIO POR ITEM'!#REF!, 6, FALSE))</f>
        <v/>
      </c>
    </row>
    <row r="94" spans="1:6">
      <c r="A94" t="str">
        <f>IFERROR(_xlfn.SINGLE(INDEX('ROMANEIO POR ITEM'!#REF!, SMALL(IF(_xlfn.SINGLE('ROMANEIO POR ITEM'!#REF!)&lt;&gt;0,_xlfn.SINGLE( ROW('ROMANEIO POR ITEM'!#REF!))-ROW('ROMANEIO POR ITEM'!#REF!)+1), ROW(A93)))), "")</f>
        <v/>
      </c>
      <c r="B94" t="str">
        <f>IF(A94="", "", VLOOKUP(A94, 'ROMANEIO POR ITEM'!#REF!, 2, FALSE))</f>
        <v/>
      </c>
      <c r="C94" t="str">
        <f>IF(A94="", "", VLOOKUP(A94, 'ROMANEIO POR ITEM'!#REF!, 3, FALSE))</f>
        <v/>
      </c>
      <c r="D94" t="str">
        <f>IF(A94="", "", VLOOKUP(A94, 'ROMANEIO POR ITEM'!#REF!, 4, FALSE))</f>
        <v/>
      </c>
      <c r="E94" t="str">
        <f>IF(A94="", "", VLOOKUP(A94, 'ROMANEIO POR ITEM'!#REF!, 5, FALSE))</f>
        <v/>
      </c>
      <c r="F94" t="str">
        <f>IF(A94="", "", VLOOKUP(A94, 'ROMANEIO POR ITEM'!#REF!, 6, FALSE))</f>
        <v/>
      </c>
    </row>
    <row r="95" spans="1:6">
      <c r="A95" t="str">
        <f>IFERROR(_xlfn.SINGLE(INDEX('ROMANEIO POR ITEM'!#REF!, SMALL(IF(_xlfn.SINGLE('ROMANEIO POR ITEM'!#REF!)&lt;&gt;0,_xlfn.SINGLE( ROW('ROMANEIO POR ITEM'!#REF!))-ROW('ROMANEIO POR ITEM'!#REF!)+1), ROW(A94)))), "")</f>
        <v/>
      </c>
      <c r="B95" t="str">
        <f>IF(A95="", "", VLOOKUP(A95, 'ROMANEIO POR ITEM'!#REF!, 2, FALSE))</f>
        <v/>
      </c>
      <c r="C95" t="str">
        <f>IF(A95="", "", VLOOKUP(A95, 'ROMANEIO POR ITEM'!#REF!, 3, FALSE))</f>
        <v/>
      </c>
      <c r="D95" t="str">
        <f>IF(A95="", "", VLOOKUP(A95, 'ROMANEIO POR ITEM'!#REF!, 4, FALSE))</f>
        <v/>
      </c>
      <c r="E95" t="str">
        <f>IF(A95="", "", VLOOKUP(A95, 'ROMANEIO POR ITEM'!#REF!, 5, FALSE))</f>
        <v/>
      </c>
      <c r="F95" t="str">
        <f>IF(A95="", "", VLOOKUP(A95, 'ROMANEIO POR ITEM'!#REF!, 6, FALSE))</f>
        <v/>
      </c>
    </row>
    <row r="96" spans="1:6">
      <c r="A96" t="str">
        <f>IFERROR(_xlfn.SINGLE(INDEX('ROMANEIO POR ITEM'!#REF!, SMALL(IF(_xlfn.SINGLE('ROMANEIO POR ITEM'!#REF!)&lt;&gt;0,_xlfn.SINGLE( ROW('ROMANEIO POR ITEM'!#REF!))-ROW('ROMANEIO POR ITEM'!#REF!)+1), ROW(A95)))), "")</f>
        <v/>
      </c>
      <c r="B96" t="str">
        <f>IF(A96="", "", VLOOKUP(A96, 'ROMANEIO POR ITEM'!#REF!, 2, FALSE))</f>
        <v/>
      </c>
      <c r="C96" t="str">
        <f>IF(A96="", "", VLOOKUP(A96, 'ROMANEIO POR ITEM'!#REF!, 3, FALSE))</f>
        <v/>
      </c>
      <c r="D96" t="str">
        <f>IF(A96="", "", VLOOKUP(A96, 'ROMANEIO POR ITEM'!#REF!, 4, FALSE))</f>
        <v/>
      </c>
      <c r="E96" t="str">
        <f>IF(A96="", "", VLOOKUP(A96, 'ROMANEIO POR ITEM'!#REF!, 5, FALSE))</f>
        <v/>
      </c>
      <c r="F96" t="str">
        <f>IF(A96="", "", VLOOKUP(A96, 'ROMANEIO POR ITEM'!#REF!, 6, FALSE))</f>
        <v/>
      </c>
    </row>
    <row r="97" spans="1:6">
      <c r="A97" t="str">
        <f>IFERROR(_xlfn.SINGLE(INDEX('ROMANEIO POR ITEM'!#REF!, SMALL(IF(_xlfn.SINGLE('ROMANEIO POR ITEM'!#REF!)&lt;&gt;0,_xlfn.SINGLE( ROW('ROMANEIO POR ITEM'!#REF!))-ROW('ROMANEIO POR ITEM'!#REF!)+1), ROW(A96)))), "")</f>
        <v/>
      </c>
      <c r="B97" t="str">
        <f>IF(A97="", "", VLOOKUP(A97, 'ROMANEIO POR ITEM'!#REF!, 2, FALSE))</f>
        <v/>
      </c>
      <c r="C97" t="str">
        <f>IF(A97="", "", VLOOKUP(A97, 'ROMANEIO POR ITEM'!#REF!, 3, FALSE))</f>
        <v/>
      </c>
      <c r="D97" t="str">
        <f>IF(A97="", "", VLOOKUP(A97, 'ROMANEIO POR ITEM'!#REF!, 4, FALSE))</f>
        <v/>
      </c>
      <c r="E97" t="str">
        <f>IF(A97="", "", VLOOKUP(A97, 'ROMANEIO POR ITEM'!#REF!, 5, FALSE))</f>
        <v/>
      </c>
      <c r="F97" t="str">
        <f>IF(A97="", "", VLOOKUP(A97, 'ROMANEIO POR ITEM'!#REF!, 6, FALSE))</f>
        <v/>
      </c>
    </row>
    <row r="98" spans="1:6">
      <c r="A98" t="str">
        <f>IFERROR(_xlfn.SINGLE(INDEX('ROMANEIO POR ITEM'!#REF!, SMALL(IF(_xlfn.SINGLE('ROMANEIO POR ITEM'!#REF!)&lt;&gt;0,_xlfn.SINGLE( ROW('ROMANEIO POR ITEM'!#REF!))-ROW('ROMANEIO POR ITEM'!#REF!)+1), ROW(A97)))), "")</f>
        <v/>
      </c>
      <c r="B98" t="str">
        <f>IF(A98="", "", VLOOKUP(A98, 'ROMANEIO POR ITEM'!#REF!, 2, FALSE))</f>
        <v/>
      </c>
      <c r="C98" t="str">
        <f>IF(A98="", "", VLOOKUP(A98, 'ROMANEIO POR ITEM'!#REF!, 3, FALSE))</f>
        <v/>
      </c>
      <c r="D98" t="str">
        <f>IF(A98="", "", VLOOKUP(A98, 'ROMANEIO POR ITEM'!#REF!, 4, FALSE))</f>
        <v/>
      </c>
      <c r="E98" t="str">
        <f>IF(A98="", "", VLOOKUP(A98, 'ROMANEIO POR ITEM'!#REF!, 5, FALSE))</f>
        <v/>
      </c>
      <c r="F98" t="str">
        <f>IF(A98="", "", VLOOKUP(A98, 'ROMANEIO POR ITEM'!#REF!, 6, FALSE))</f>
        <v/>
      </c>
    </row>
    <row r="99" spans="1:6">
      <c r="A99" t="str">
        <f>IFERROR(_xlfn.SINGLE(INDEX('ROMANEIO POR ITEM'!#REF!, SMALL(IF(_xlfn.SINGLE('ROMANEIO POR ITEM'!#REF!)&lt;&gt;0,_xlfn.SINGLE( ROW('ROMANEIO POR ITEM'!#REF!))-ROW('ROMANEIO POR ITEM'!#REF!)+1), ROW(A98)))), "")</f>
        <v/>
      </c>
      <c r="B99" t="str">
        <f>IF(A99="", "", VLOOKUP(A99, 'ROMANEIO POR ITEM'!#REF!, 2, FALSE))</f>
        <v/>
      </c>
      <c r="C99" t="str">
        <f>IF(A99="", "", VLOOKUP(A99, 'ROMANEIO POR ITEM'!#REF!, 3, FALSE))</f>
        <v/>
      </c>
      <c r="D99" t="str">
        <f>IF(A99="", "", VLOOKUP(A99, 'ROMANEIO POR ITEM'!#REF!, 4, FALSE))</f>
        <v/>
      </c>
      <c r="E99" t="str">
        <f>IF(A99="", "", VLOOKUP(A99, 'ROMANEIO POR ITEM'!#REF!, 5, FALSE))</f>
        <v/>
      </c>
      <c r="F99" t="str">
        <f>IF(A99="", "", VLOOKUP(A99, 'ROMANEIO POR ITEM'!#REF!, 6, FALSE))</f>
        <v/>
      </c>
    </row>
    <row r="100" spans="1:6">
      <c r="A100" t="str">
        <f>IFERROR(_xlfn.SINGLE(INDEX('ROMANEIO POR ITEM'!#REF!, SMALL(IF(_xlfn.SINGLE('ROMANEIO POR ITEM'!#REF!)&lt;&gt;0,_xlfn.SINGLE( ROW('ROMANEIO POR ITEM'!#REF!))-ROW('ROMANEIO POR ITEM'!#REF!)+1), ROW(A99)))), "")</f>
        <v/>
      </c>
      <c r="B100" t="str">
        <f>IF(A100="", "", VLOOKUP(A100, 'ROMANEIO POR ITEM'!#REF!, 2, FALSE))</f>
        <v/>
      </c>
      <c r="C100" t="str">
        <f>IF(A100="", "", VLOOKUP(A100, 'ROMANEIO POR ITEM'!#REF!, 3, FALSE))</f>
        <v/>
      </c>
      <c r="D100" t="str">
        <f>IF(A100="", "", VLOOKUP(A100, 'ROMANEIO POR ITEM'!#REF!, 4, FALSE))</f>
        <v/>
      </c>
      <c r="E100" t="str">
        <f>IF(A100="", "", VLOOKUP(A100, 'ROMANEIO POR ITEM'!#REF!, 5, FALSE))</f>
        <v/>
      </c>
      <c r="F100" t="str">
        <f>IF(A100="", "", VLOOKUP(A100, 'ROMANEIO POR ITEM'!#REF!, 6, FALSE))</f>
        <v/>
      </c>
    </row>
    <row r="101" spans="1:6">
      <c r="A101" t="str">
        <f>IFERROR(_xlfn.SINGLE(INDEX('ROMANEIO POR ITEM'!#REF!, SMALL(IF(_xlfn.SINGLE('ROMANEIO POR ITEM'!#REF!)&lt;&gt;0,_xlfn.SINGLE( ROW('ROMANEIO POR ITEM'!#REF!))-ROW('ROMANEIO POR ITEM'!#REF!)+1), ROW(A100)))), "")</f>
        <v/>
      </c>
      <c r="B101" t="str">
        <f>IF(A101="", "", VLOOKUP(A101, 'ROMANEIO POR ITEM'!#REF!, 2, FALSE))</f>
        <v/>
      </c>
      <c r="C101" t="str">
        <f>IF(A101="", "", VLOOKUP(A101, 'ROMANEIO POR ITEM'!#REF!, 3, FALSE))</f>
        <v/>
      </c>
      <c r="D101" t="str">
        <f>IF(A101="", "", VLOOKUP(A101, 'ROMANEIO POR ITEM'!#REF!, 4, FALSE))</f>
        <v/>
      </c>
      <c r="E101" t="str">
        <f>IF(A101="", "", VLOOKUP(A101, 'ROMANEIO POR ITEM'!#REF!, 5, FALSE))</f>
        <v/>
      </c>
      <c r="F101" t="str">
        <f>IF(A101="", "", VLOOKUP(A101, 'ROMANEIO POR ITEM'!#REF!, 6, FALSE))</f>
        <v/>
      </c>
    </row>
    <row r="102" spans="1:6">
      <c r="A102" t="str">
        <f>IFERROR(_xlfn.SINGLE(INDEX('ROMANEIO POR ITEM'!#REF!, SMALL(IF(_xlfn.SINGLE('ROMANEIO POR ITEM'!#REF!)&lt;&gt;0,_xlfn.SINGLE( ROW('ROMANEIO POR ITEM'!#REF!))-ROW('ROMANEIO POR ITEM'!#REF!)+1), ROW(A101)))), "")</f>
        <v/>
      </c>
      <c r="B102" t="str">
        <f>IF(A102="", "", VLOOKUP(A102, 'ROMANEIO POR ITEM'!#REF!, 2, FALSE))</f>
        <v/>
      </c>
      <c r="C102" t="str">
        <f>IF(A102="", "", VLOOKUP(A102, 'ROMANEIO POR ITEM'!#REF!, 3, FALSE))</f>
        <v/>
      </c>
      <c r="D102" t="str">
        <f>IF(A102="", "", VLOOKUP(A102, 'ROMANEIO POR ITEM'!#REF!, 4, FALSE))</f>
        <v/>
      </c>
      <c r="E102" t="str">
        <f>IF(A102="", "", VLOOKUP(A102, 'ROMANEIO POR ITEM'!#REF!, 5, FALSE))</f>
        <v/>
      </c>
      <c r="F102" t="str">
        <f>IF(A102="", "", VLOOKUP(A102, 'ROMANEIO POR ITEM'!#REF!, 6, FALSE))</f>
        <v/>
      </c>
    </row>
    <row r="103" spans="1:6">
      <c r="A103" t="str">
        <f>IFERROR(_xlfn.SINGLE(INDEX('ROMANEIO POR ITEM'!#REF!, SMALL(IF(_xlfn.SINGLE('ROMANEIO POR ITEM'!#REF!)&lt;&gt;0,_xlfn.SINGLE( ROW('ROMANEIO POR ITEM'!#REF!))-ROW('ROMANEIO POR ITEM'!#REF!)+1), ROW(A102)))), "")</f>
        <v/>
      </c>
      <c r="B103" t="str">
        <f>IF(A103="", "", VLOOKUP(A103, 'ROMANEIO POR ITEM'!#REF!, 2, FALSE))</f>
        <v/>
      </c>
      <c r="C103" t="str">
        <f>IF(A103="", "", VLOOKUP(A103, 'ROMANEIO POR ITEM'!#REF!, 3, FALSE))</f>
        <v/>
      </c>
      <c r="D103" t="str">
        <f>IF(A103="", "", VLOOKUP(A103, 'ROMANEIO POR ITEM'!#REF!, 4, FALSE))</f>
        <v/>
      </c>
      <c r="E103" t="str">
        <f>IF(A103="", "", VLOOKUP(A103, 'ROMANEIO POR ITEM'!#REF!, 5, FALSE))</f>
        <v/>
      </c>
      <c r="F103" t="str">
        <f>IF(A103="", "", VLOOKUP(A103, 'ROMANEIO POR ITEM'!#REF!, 6, FALSE))</f>
        <v/>
      </c>
    </row>
    <row r="104" spans="1:6">
      <c r="A104" t="str">
        <f>IFERROR(_xlfn.SINGLE(INDEX('ROMANEIO POR ITEM'!#REF!, SMALL(IF(_xlfn.SINGLE('ROMANEIO POR ITEM'!#REF!)&lt;&gt;0,_xlfn.SINGLE( ROW('ROMANEIO POR ITEM'!#REF!))-ROW('ROMANEIO POR ITEM'!#REF!)+1), ROW(A103)))), "")</f>
        <v/>
      </c>
      <c r="B104" t="str">
        <f>IF(A104="", "", VLOOKUP(A104, 'ROMANEIO POR ITEM'!#REF!, 2, FALSE))</f>
        <v/>
      </c>
      <c r="C104" t="str">
        <f>IF(A104="", "", VLOOKUP(A104, 'ROMANEIO POR ITEM'!#REF!, 3, FALSE))</f>
        <v/>
      </c>
      <c r="D104" t="str">
        <f>IF(A104="", "", VLOOKUP(A104, 'ROMANEIO POR ITEM'!#REF!, 4, FALSE))</f>
        <v/>
      </c>
      <c r="E104" t="str">
        <f>IF(A104="", "", VLOOKUP(A104, 'ROMANEIO POR ITEM'!#REF!, 5, FALSE))</f>
        <v/>
      </c>
      <c r="F104" t="str">
        <f>IF(A104="", "", VLOOKUP(A104, 'ROMANEIO POR ITEM'!#REF!, 6, FALSE))</f>
        <v/>
      </c>
    </row>
    <row r="105" spans="1:6">
      <c r="A105" t="str">
        <f>IFERROR(_xlfn.SINGLE(INDEX('ROMANEIO POR ITEM'!#REF!, SMALL(IF(_xlfn.SINGLE('ROMANEIO POR ITEM'!#REF!)&lt;&gt;0,_xlfn.SINGLE( ROW('ROMANEIO POR ITEM'!#REF!))-ROW('ROMANEIO POR ITEM'!#REF!)+1), ROW(A104)))), "")</f>
        <v/>
      </c>
      <c r="B105" t="str">
        <f>IF(A105="", "", VLOOKUP(A105, 'ROMANEIO POR ITEM'!#REF!, 2, FALSE))</f>
        <v/>
      </c>
      <c r="C105" t="str">
        <f>IF(A105="", "", VLOOKUP(A105, 'ROMANEIO POR ITEM'!#REF!, 3, FALSE))</f>
        <v/>
      </c>
      <c r="D105" t="str">
        <f>IF(A105="", "", VLOOKUP(A105, 'ROMANEIO POR ITEM'!#REF!, 4, FALSE))</f>
        <v/>
      </c>
      <c r="E105" t="str">
        <f>IF(A105="", "", VLOOKUP(A105, 'ROMANEIO POR ITEM'!#REF!, 5, FALSE))</f>
        <v/>
      </c>
      <c r="F105" t="str">
        <f>IF(A105="", "", VLOOKUP(A105, 'ROMANEIO POR ITEM'!#REF!, 6, FALSE))</f>
        <v/>
      </c>
    </row>
    <row r="106" spans="1:6">
      <c r="A106" t="str">
        <f>IFERROR(_xlfn.SINGLE(INDEX('ROMANEIO POR ITEM'!#REF!, SMALL(IF(_xlfn.SINGLE('ROMANEIO POR ITEM'!#REF!)&lt;&gt;0,_xlfn.SINGLE( ROW('ROMANEIO POR ITEM'!#REF!))-ROW('ROMANEIO POR ITEM'!#REF!)+1), ROW(A105)))), "")</f>
        <v/>
      </c>
      <c r="B106" t="str">
        <f>IF(A106="", "", VLOOKUP(A106, 'ROMANEIO POR ITEM'!#REF!, 2, FALSE))</f>
        <v/>
      </c>
      <c r="C106" t="str">
        <f>IF(A106="", "", VLOOKUP(A106, 'ROMANEIO POR ITEM'!#REF!, 3, FALSE))</f>
        <v/>
      </c>
      <c r="D106" t="str">
        <f>IF(A106="", "", VLOOKUP(A106, 'ROMANEIO POR ITEM'!#REF!, 4, FALSE))</f>
        <v/>
      </c>
      <c r="E106" t="str">
        <f>IF(A106="", "", VLOOKUP(A106, 'ROMANEIO POR ITEM'!#REF!, 5, FALSE))</f>
        <v/>
      </c>
      <c r="F106" t="str">
        <f>IF(A106="", "", VLOOKUP(A106, 'ROMANEIO POR ITEM'!#REF!, 6, FALSE))</f>
        <v/>
      </c>
    </row>
    <row r="107" spans="1:6">
      <c r="A107" t="str">
        <f>IFERROR(_xlfn.SINGLE(INDEX('ROMANEIO POR ITEM'!#REF!, SMALL(IF(_xlfn.SINGLE('ROMANEIO POR ITEM'!#REF!)&lt;&gt;0,_xlfn.SINGLE( ROW('ROMANEIO POR ITEM'!#REF!))-ROW('ROMANEIO POR ITEM'!#REF!)+1), ROW(A106)))), "")</f>
        <v/>
      </c>
      <c r="B107" t="str">
        <f>IF(A107="", "", VLOOKUP(A107, 'ROMANEIO POR ITEM'!#REF!, 2, FALSE))</f>
        <v/>
      </c>
      <c r="C107" t="str">
        <f>IF(A107="", "", VLOOKUP(A107, 'ROMANEIO POR ITEM'!#REF!, 3, FALSE))</f>
        <v/>
      </c>
      <c r="D107" t="str">
        <f>IF(A107="", "", VLOOKUP(A107, 'ROMANEIO POR ITEM'!#REF!, 4, FALSE))</f>
        <v/>
      </c>
      <c r="E107" t="str">
        <f>IF(A107="", "", VLOOKUP(A107, 'ROMANEIO POR ITEM'!#REF!, 5, FALSE))</f>
        <v/>
      </c>
      <c r="F107" t="str">
        <f>IF(A107="", "", VLOOKUP(A107, 'ROMANEIO POR ITEM'!#REF!, 6, FALSE))</f>
        <v/>
      </c>
    </row>
    <row r="108" spans="1:6">
      <c r="A108" t="str">
        <f>IFERROR(_xlfn.SINGLE(INDEX('ROMANEIO POR ITEM'!#REF!, SMALL(IF(_xlfn.SINGLE('ROMANEIO POR ITEM'!#REF!)&lt;&gt;0,_xlfn.SINGLE( ROW('ROMANEIO POR ITEM'!#REF!))-ROW('ROMANEIO POR ITEM'!#REF!)+1), ROW(A107)))), "")</f>
        <v/>
      </c>
      <c r="B108" t="str">
        <f>IF(A108="", "", VLOOKUP(A108, 'ROMANEIO POR ITEM'!#REF!, 2, FALSE))</f>
        <v/>
      </c>
      <c r="C108" t="str">
        <f>IF(A108="", "", VLOOKUP(A108, 'ROMANEIO POR ITEM'!#REF!, 3, FALSE))</f>
        <v/>
      </c>
      <c r="D108" t="str">
        <f>IF(A108="", "", VLOOKUP(A108, 'ROMANEIO POR ITEM'!#REF!, 4, FALSE))</f>
        <v/>
      </c>
      <c r="E108" t="str">
        <f>IF(A108="", "", VLOOKUP(A108, 'ROMANEIO POR ITEM'!#REF!, 5, FALSE))</f>
        <v/>
      </c>
      <c r="F108" t="str">
        <f>IF(A108="", "", VLOOKUP(A108, 'ROMANEIO POR ITEM'!#REF!, 6, FALSE))</f>
        <v/>
      </c>
    </row>
    <row r="109" spans="1:6">
      <c r="A109" t="str">
        <f>IFERROR(_xlfn.SINGLE(INDEX('ROMANEIO POR ITEM'!#REF!, SMALL(IF(_xlfn.SINGLE('ROMANEIO POR ITEM'!#REF!)&lt;&gt;0,_xlfn.SINGLE( ROW('ROMANEIO POR ITEM'!#REF!))-ROW('ROMANEIO POR ITEM'!#REF!)+1), ROW(A108)))), "")</f>
        <v/>
      </c>
      <c r="B109" t="str">
        <f>IF(A109="", "", VLOOKUP(A109, 'ROMANEIO POR ITEM'!#REF!, 2, FALSE))</f>
        <v/>
      </c>
      <c r="C109" t="str">
        <f>IF(A109="", "", VLOOKUP(A109, 'ROMANEIO POR ITEM'!#REF!, 3, FALSE))</f>
        <v/>
      </c>
      <c r="D109" t="str">
        <f>IF(A109="", "", VLOOKUP(A109, 'ROMANEIO POR ITEM'!#REF!, 4, FALSE))</f>
        <v/>
      </c>
      <c r="E109" t="str">
        <f>IF(A109="", "", VLOOKUP(A109, 'ROMANEIO POR ITEM'!#REF!, 5, FALSE))</f>
        <v/>
      </c>
      <c r="F109" t="str">
        <f>IF(A109="", "", VLOOKUP(A109, 'ROMANEIO POR ITEM'!#REF!, 6, FALSE))</f>
        <v/>
      </c>
    </row>
    <row r="110" spans="1:6">
      <c r="A110" t="str">
        <f>IFERROR(_xlfn.SINGLE(INDEX('ROMANEIO POR ITEM'!#REF!, SMALL(IF(_xlfn.SINGLE('ROMANEIO POR ITEM'!#REF!)&lt;&gt;0,_xlfn.SINGLE( ROW('ROMANEIO POR ITEM'!#REF!))-ROW('ROMANEIO POR ITEM'!#REF!)+1), ROW(A109)))), "")</f>
        <v/>
      </c>
      <c r="B110" t="str">
        <f>IF(A110="", "", VLOOKUP(A110, 'ROMANEIO POR ITEM'!#REF!, 2, FALSE))</f>
        <v/>
      </c>
      <c r="C110" t="str">
        <f>IF(A110="", "", VLOOKUP(A110, 'ROMANEIO POR ITEM'!#REF!, 3, FALSE))</f>
        <v/>
      </c>
      <c r="D110" t="str">
        <f>IF(A110="", "", VLOOKUP(A110, 'ROMANEIO POR ITEM'!#REF!, 4, FALSE))</f>
        <v/>
      </c>
      <c r="E110" t="str">
        <f>IF(A110="", "", VLOOKUP(A110, 'ROMANEIO POR ITEM'!#REF!, 5, FALSE))</f>
        <v/>
      </c>
      <c r="F110" t="str">
        <f>IF(A110="", "", VLOOKUP(A110, 'ROMANEIO POR ITEM'!#REF!, 6, FALSE))</f>
        <v/>
      </c>
    </row>
    <row r="111" spans="1:6">
      <c r="A111" t="str">
        <f>IFERROR(_xlfn.SINGLE(INDEX('ROMANEIO POR ITEM'!#REF!, SMALL(IF(_xlfn.SINGLE('ROMANEIO POR ITEM'!#REF!)&lt;&gt;0,_xlfn.SINGLE( ROW('ROMANEIO POR ITEM'!#REF!))-ROW('ROMANEIO POR ITEM'!#REF!)+1), ROW(A110)))), "")</f>
        <v/>
      </c>
      <c r="B111" t="str">
        <f>IF(A111="", "", VLOOKUP(A111, 'ROMANEIO POR ITEM'!#REF!, 2, FALSE))</f>
        <v/>
      </c>
      <c r="C111" t="str">
        <f>IF(A111="", "", VLOOKUP(A111, 'ROMANEIO POR ITEM'!#REF!, 3, FALSE))</f>
        <v/>
      </c>
      <c r="D111" t="str">
        <f>IF(A111="", "", VLOOKUP(A111, 'ROMANEIO POR ITEM'!#REF!, 4, FALSE))</f>
        <v/>
      </c>
      <c r="E111" t="str">
        <f>IF(A111="", "", VLOOKUP(A111, 'ROMANEIO POR ITEM'!#REF!, 5, FALSE))</f>
        <v/>
      </c>
      <c r="F111" t="str">
        <f>IF(A111="", "", VLOOKUP(A111, 'ROMANEIO POR ITEM'!#REF!, 6, FALSE))</f>
        <v/>
      </c>
    </row>
    <row r="112" spans="1:6">
      <c r="A112" t="str">
        <f>IFERROR(_xlfn.SINGLE(INDEX('ROMANEIO POR ITEM'!#REF!, SMALL(IF(_xlfn.SINGLE('ROMANEIO POR ITEM'!#REF!)&lt;&gt;0,_xlfn.SINGLE( ROW('ROMANEIO POR ITEM'!#REF!))-ROW('ROMANEIO POR ITEM'!#REF!)+1), ROW(A111)))), "")</f>
        <v/>
      </c>
      <c r="B112" t="str">
        <f>IF(A112="", "", VLOOKUP(A112, 'ROMANEIO POR ITEM'!#REF!, 2, FALSE))</f>
        <v/>
      </c>
      <c r="C112" t="str">
        <f>IF(A112="", "", VLOOKUP(A112, 'ROMANEIO POR ITEM'!#REF!, 3, FALSE))</f>
        <v/>
      </c>
      <c r="D112" t="str">
        <f>IF(A112="", "", VLOOKUP(A112, 'ROMANEIO POR ITEM'!#REF!, 4, FALSE))</f>
        <v/>
      </c>
      <c r="E112" t="str">
        <f>IF(A112="", "", VLOOKUP(A112, 'ROMANEIO POR ITEM'!#REF!, 5, FALSE))</f>
        <v/>
      </c>
      <c r="F112" t="str">
        <f>IF(A112="", "", VLOOKUP(A112, 'ROMANEIO POR ITEM'!#REF!, 6, FALSE))</f>
        <v/>
      </c>
    </row>
    <row r="113" spans="1:6">
      <c r="A113" t="str">
        <f>IFERROR(_xlfn.SINGLE(INDEX('ROMANEIO POR ITEM'!#REF!, SMALL(IF(_xlfn.SINGLE('ROMANEIO POR ITEM'!#REF!)&lt;&gt;0,_xlfn.SINGLE( ROW('ROMANEIO POR ITEM'!#REF!))-ROW('ROMANEIO POR ITEM'!#REF!)+1), ROW(A112)))), "")</f>
        <v/>
      </c>
      <c r="B113" t="str">
        <f>IF(A113="", "", VLOOKUP(A113, 'ROMANEIO POR ITEM'!#REF!, 2, FALSE))</f>
        <v/>
      </c>
      <c r="C113" t="str">
        <f>IF(A113="", "", VLOOKUP(A113, 'ROMANEIO POR ITEM'!#REF!, 3, FALSE))</f>
        <v/>
      </c>
      <c r="D113" t="str">
        <f>IF(A113="", "", VLOOKUP(A113, 'ROMANEIO POR ITEM'!#REF!, 4, FALSE))</f>
        <v/>
      </c>
      <c r="E113" t="str">
        <f>IF(A113="", "", VLOOKUP(A113, 'ROMANEIO POR ITEM'!#REF!, 5, FALSE))</f>
        <v/>
      </c>
      <c r="F113" t="str">
        <f>IF(A113="", "", VLOOKUP(A113, 'ROMANEIO POR ITEM'!#REF!, 6, FALSE))</f>
        <v/>
      </c>
    </row>
    <row r="114" spans="1:6">
      <c r="A114" t="str">
        <f>IFERROR(_xlfn.SINGLE(INDEX('ROMANEIO POR ITEM'!#REF!, SMALL(IF(_xlfn.SINGLE('ROMANEIO POR ITEM'!#REF!)&lt;&gt;0,_xlfn.SINGLE( ROW('ROMANEIO POR ITEM'!#REF!))-ROW('ROMANEIO POR ITEM'!#REF!)+1), ROW(A113)))), "")</f>
        <v/>
      </c>
      <c r="B114" t="str">
        <f>IF(A114="", "", VLOOKUP(A114, 'ROMANEIO POR ITEM'!#REF!, 2, FALSE))</f>
        <v/>
      </c>
      <c r="C114" t="str">
        <f>IF(A114="", "", VLOOKUP(A114, 'ROMANEIO POR ITEM'!#REF!, 3, FALSE))</f>
        <v/>
      </c>
      <c r="D114" t="str">
        <f>IF(A114="", "", VLOOKUP(A114, 'ROMANEIO POR ITEM'!#REF!, 4, FALSE))</f>
        <v/>
      </c>
      <c r="E114" t="str">
        <f>IF(A114="", "", VLOOKUP(A114, 'ROMANEIO POR ITEM'!#REF!, 5, FALSE))</f>
        <v/>
      </c>
      <c r="F114" t="str">
        <f>IF(A114="", "", VLOOKUP(A114, 'ROMANEIO POR ITEM'!#REF!, 6, FALSE))</f>
        <v/>
      </c>
    </row>
    <row r="115" spans="1:6">
      <c r="A115" t="str">
        <f>IFERROR(_xlfn.SINGLE(INDEX('ROMANEIO POR ITEM'!#REF!, SMALL(IF(_xlfn.SINGLE('ROMANEIO POR ITEM'!#REF!)&lt;&gt;0,_xlfn.SINGLE( ROW('ROMANEIO POR ITEM'!#REF!))-ROW('ROMANEIO POR ITEM'!#REF!)+1), ROW(A114)))), "")</f>
        <v/>
      </c>
      <c r="B115" t="str">
        <f>IF(A115="", "", VLOOKUP(A115, 'ROMANEIO POR ITEM'!#REF!, 2, FALSE))</f>
        <v/>
      </c>
      <c r="C115" t="str">
        <f>IF(A115="", "", VLOOKUP(A115, 'ROMANEIO POR ITEM'!#REF!, 3, FALSE))</f>
        <v/>
      </c>
      <c r="D115" t="str">
        <f>IF(A115="", "", VLOOKUP(A115, 'ROMANEIO POR ITEM'!#REF!, 4, FALSE))</f>
        <v/>
      </c>
      <c r="E115" t="str">
        <f>IF(A115="", "", VLOOKUP(A115, 'ROMANEIO POR ITEM'!#REF!, 5, FALSE))</f>
        <v/>
      </c>
      <c r="F115" t="str">
        <f>IF(A115="", "", VLOOKUP(A115, 'ROMANEIO POR ITEM'!#REF!, 6, FALSE))</f>
        <v/>
      </c>
    </row>
    <row r="116" spans="1:6">
      <c r="A116" t="str">
        <f>IFERROR(_xlfn.SINGLE(INDEX('ROMANEIO POR ITEM'!#REF!, SMALL(IF(_xlfn.SINGLE('ROMANEIO POR ITEM'!#REF!)&lt;&gt;0,_xlfn.SINGLE( ROW('ROMANEIO POR ITEM'!#REF!))-ROW('ROMANEIO POR ITEM'!#REF!)+1), ROW(A115)))), "")</f>
        <v/>
      </c>
      <c r="B116" t="str">
        <f>IF(A116="", "", VLOOKUP(A116, 'ROMANEIO POR ITEM'!#REF!, 2, FALSE))</f>
        <v/>
      </c>
      <c r="C116" t="str">
        <f>IF(A116="", "", VLOOKUP(A116, 'ROMANEIO POR ITEM'!#REF!, 3, FALSE))</f>
        <v/>
      </c>
      <c r="D116" t="str">
        <f>IF(A116="", "", VLOOKUP(A116, 'ROMANEIO POR ITEM'!#REF!, 4, FALSE))</f>
        <v/>
      </c>
      <c r="E116" t="str">
        <f>IF(A116="", "", VLOOKUP(A116, 'ROMANEIO POR ITEM'!#REF!, 5, FALSE))</f>
        <v/>
      </c>
      <c r="F116" t="str">
        <f>IF(A116="", "", VLOOKUP(A116, 'ROMANEIO POR ITEM'!#REF!, 6, FALSE))</f>
        <v/>
      </c>
    </row>
    <row r="117" spans="1:6">
      <c r="A117" t="str">
        <f>IFERROR(_xlfn.SINGLE(INDEX('ROMANEIO POR ITEM'!#REF!, SMALL(IF(_xlfn.SINGLE('ROMANEIO POR ITEM'!#REF!)&lt;&gt;0,_xlfn.SINGLE( ROW('ROMANEIO POR ITEM'!#REF!))-ROW('ROMANEIO POR ITEM'!#REF!)+1), ROW(A116)))), "")</f>
        <v/>
      </c>
      <c r="B117" t="str">
        <f>IF(A117="", "", VLOOKUP(A117, 'ROMANEIO POR ITEM'!#REF!, 2, FALSE))</f>
        <v/>
      </c>
      <c r="C117" t="str">
        <f>IF(A117="", "", VLOOKUP(A117, 'ROMANEIO POR ITEM'!#REF!, 3, FALSE))</f>
        <v/>
      </c>
      <c r="D117" t="str">
        <f>IF(A117="", "", VLOOKUP(A117, 'ROMANEIO POR ITEM'!#REF!, 4, FALSE))</f>
        <v/>
      </c>
      <c r="E117" t="str">
        <f>IF(A117="", "", VLOOKUP(A117, 'ROMANEIO POR ITEM'!#REF!, 5, FALSE))</f>
        <v/>
      </c>
      <c r="F117" t="str">
        <f>IF(A117="", "", VLOOKUP(A117, 'ROMANEIO POR ITEM'!#REF!, 6, FALSE))</f>
        <v/>
      </c>
    </row>
    <row r="118" spans="1:6">
      <c r="A118" t="str">
        <f>IFERROR(_xlfn.SINGLE(INDEX('ROMANEIO POR ITEM'!#REF!, SMALL(IF(_xlfn.SINGLE('ROMANEIO POR ITEM'!#REF!)&lt;&gt;0,_xlfn.SINGLE( ROW('ROMANEIO POR ITEM'!#REF!))-ROW('ROMANEIO POR ITEM'!#REF!)+1), ROW(A117)))), "")</f>
        <v/>
      </c>
      <c r="B118" t="str">
        <f>IF(A118="", "", VLOOKUP(A118, 'ROMANEIO POR ITEM'!#REF!, 2, FALSE))</f>
        <v/>
      </c>
      <c r="C118" t="str">
        <f>IF(A118="", "", VLOOKUP(A118, 'ROMANEIO POR ITEM'!#REF!, 3, FALSE))</f>
        <v/>
      </c>
      <c r="D118" t="str">
        <f>IF(A118="", "", VLOOKUP(A118, 'ROMANEIO POR ITEM'!#REF!, 4, FALSE))</f>
        <v/>
      </c>
      <c r="E118" t="str">
        <f>IF(A118="", "", VLOOKUP(A118, 'ROMANEIO POR ITEM'!#REF!, 5, FALSE))</f>
        <v/>
      </c>
      <c r="F118" t="str">
        <f>IF(A118="", "", VLOOKUP(A118, 'ROMANEIO POR ITEM'!#REF!, 6, FALSE))</f>
        <v/>
      </c>
    </row>
    <row r="119" spans="1:6">
      <c r="A119" t="str">
        <f>IFERROR(_xlfn.SINGLE(INDEX('ROMANEIO POR ITEM'!#REF!, SMALL(IF(_xlfn.SINGLE('ROMANEIO POR ITEM'!#REF!)&lt;&gt;0,_xlfn.SINGLE( ROW('ROMANEIO POR ITEM'!#REF!))-ROW('ROMANEIO POR ITEM'!#REF!)+1), ROW(A118)))), "")</f>
        <v/>
      </c>
      <c r="B119" t="str">
        <f>IF(A119="", "", VLOOKUP(A119, 'ROMANEIO POR ITEM'!#REF!, 2, FALSE))</f>
        <v/>
      </c>
      <c r="C119" t="str">
        <f>IF(A119="", "", VLOOKUP(A119, 'ROMANEIO POR ITEM'!#REF!, 3, FALSE))</f>
        <v/>
      </c>
      <c r="D119" t="str">
        <f>IF(A119="", "", VLOOKUP(A119, 'ROMANEIO POR ITEM'!#REF!, 4, FALSE))</f>
        <v/>
      </c>
      <c r="E119" t="str">
        <f>IF(A119="", "", VLOOKUP(A119, 'ROMANEIO POR ITEM'!#REF!, 5, FALSE))</f>
        <v/>
      </c>
      <c r="F119" t="str">
        <f>IF(A119="", "", VLOOKUP(A119, 'ROMANEIO POR ITEM'!#REF!, 6, FALSE))</f>
        <v/>
      </c>
    </row>
    <row r="120" spans="1:6">
      <c r="A120" t="str">
        <f>IFERROR(_xlfn.SINGLE(INDEX('ROMANEIO POR ITEM'!#REF!, SMALL(IF(_xlfn.SINGLE('ROMANEIO POR ITEM'!#REF!)&lt;&gt;0,_xlfn.SINGLE( ROW('ROMANEIO POR ITEM'!#REF!))-ROW('ROMANEIO POR ITEM'!#REF!)+1), ROW(A119)))), "")</f>
        <v/>
      </c>
      <c r="B120" t="str">
        <f>IF(A120="", "", VLOOKUP(A120, 'ROMANEIO POR ITEM'!#REF!, 2, FALSE))</f>
        <v/>
      </c>
      <c r="C120" t="str">
        <f>IF(A120="", "", VLOOKUP(A120, 'ROMANEIO POR ITEM'!#REF!, 3, FALSE))</f>
        <v/>
      </c>
      <c r="D120" t="str">
        <f>IF(A120="", "", VLOOKUP(A120, 'ROMANEIO POR ITEM'!#REF!, 4, FALSE))</f>
        <v/>
      </c>
      <c r="E120" t="str">
        <f>IF(A120="", "", VLOOKUP(A120, 'ROMANEIO POR ITEM'!#REF!, 5, FALSE))</f>
        <v/>
      </c>
      <c r="F120" t="str">
        <f>IF(A120="", "", VLOOKUP(A120, 'ROMANEIO POR ITEM'!#REF!, 6, FALSE))</f>
        <v/>
      </c>
    </row>
    <row r="121" spans="1:6">
      <c r="A121" t="str">
        <f>IFERROR(_xlfn.SINGLE(INDEX('ROMANEIO POR ITEM'!#REF!, SMALL(IF(_xlfn.SINGLE('ROMANEIO POR ITEM'!#REF!)&lt;&gt;0,_xlfn.SINGLE( ROW('ROMANEIO POR ITEM'!#REF!))-ROW('ROMANEIO POR ITEM'!#REF!)+1), ROW(A120)))), "")</f>
        <v/>
      </c>
      <c r="B121" t="str">
        <f>IF(A121="", "", VLOOKUP(A121, 'ROMANEIO POR ITEM'!#REF!, 2, FALSE))</f>
        <v/>
      </c>
      <c r="C121" t="str">
        <f>IF(A121="", "", VLOOKUP(A121, 'ROMANEIO POR ITEM'!#REF!, 3, FALSE))</f>
        <v/>
      </c>
      <c r="D121" t="str">
        <f>IF(A121="", "", VLOOKUP(A121, 'ROMANEIO POR ITEM'!#REF!, 4, FALSE))</f>
        <v/>
      </c>
      <c r="E121" t="str">
        <f>IF(A121="", "", VLOOKUP(A121, 'ROMANEIO POR ITEM'!#REF!, 5, FALSE))</f>
        <v/>
      </c>
      <c r="F121" t="str">
        <f>IF(A121="", "", VLOOKUP(A121, 'ROMANEIO POR ITEM'!#REF!, 6, FALSE))</f>
        <v/>
      </c>
    </row>
    <row r="122" spans="1:6">
      <c r="A122" t="str">
        <f>IFERROR(_xlfn.SINGLE(INDEX('ROMANEIO POR ITEM'!#REF!, SMALL(IF(_xlfn.SINGLE('ROMANEIO POR ITEM'!#REF!)&lt;&gt;0,_xlfn.SINGLE( ROW('ROMANEIO POR ITEM'!#REF!))-ROW('ROMANEIO POR ITEM'!#REF!)+1), ROW(A121)))), "")</f>
        <v/>
      </c>
      <c r="B122" t="str">
        <f>IF(A122="", "", VLOOKUP(A122, 'ROMANEIO POR ITEM'!#REF!, 2, FALSE))</f>
        <v/>
      </c>
      <c r="C122" t="str">
        <f>IF(A122="", "", VLOOKUP(A122, 'ROMANEIO POR ITEM'!#REF!, 3, FALSE))</f>
        <v/>
      </c>
      <c r="D122" t="str">
        <f>IF(A122="", "", VLOOKUP(A122, 'ROMANEIO POR ITEM'!#REF!, 4, FALSE))</f>
        <v/>
      </c>
      <c r="E122" t="str">
        <f>IF(A122="", "", VLOOKUP(A122, 'ROMANEIO POR ITEM'!#REF!, 5, FALSE))</f>
        <v/>
      </c>
      <c r="F122" t="str">
        <f>IF(A122="", "", VLOOKUP(A122, 'ROMANEIO POR ITEM'!#REF!, 6, FALSE))</f>
        <v/>
      </c>
    </row>
    <row r="123" spans="1:6">
      <c r="A123" t="str">
        <f>IFERROR(_xlfn.SINGLE(INDEX('ROMANEIO POR ITEM'!#REF!, SMALL(IF(_xlfn.SINGLE('ROMANEIO POR ITEM'!#REF!)&lt;&gt;0,_xlfn.SINGLE( ROW('ROMANEIO POR ITEM'!#REF!))-ROW('ROMANEIO POR ITEM'!#REF!)+1), ROW(A122)))), "")</f>
        <v/>
      </c>
      <c r="B123" t="str">
        <f>IF(A123="", "", VLOOKUP(A123, 'ROMANEIO POR ITEM'!#REF!, 2, FALSE))</f>
        <v/>
      </c>
      <c r="C123" t="str">
        <f>IF(A123="", "", VLOOKUP(A123, 'ROMANEIO POR ITEM'!#REF!, 3, FALSE))</f>
        <v/>
      </c>
      <c r="D123" t="str">
        <f>IF(A123="", "", VLOOKUP(A123, 'ROMANEIO POR ITEM'!#REF!, 4, FALSE))</f>
        <v/>
      </c>
      <c r="E123" t="str">
        <f>IF(A123="", "", VLOOKUP(A123, 'ROMANEIO POR ITEM'!#REF!, 5, FALSE))</f>
        <v/>
      </c>
      <c r="F123" t="str">
        <f>IF(A123="", "", VLOOKUP(A123, 'ROMANEIO POR ITEM'!#REF!, 6, FALSE))</f>
        <v/>
      </c>
    </row>
    <row r="124" spans="1:6">
      <c r="A124" t="str">
        <f>IFERROR(_xlfn.SINGLE(INDEX('ROMANEIO POR ITEM'!#REF!, SMALL(IF(_xlfn.SINGLE('ROMANEIO POR ITEM'!#REF!)&lt;&gt;0,_xlfn.SINGLE( ROW('ROMANEIO POR ITEM'!#REF!))-ROW('ROMANEIO POR ITEM'!#REF!)+1), ROW(A123)))), "")</f>
        <v/>
      </c>
      <c r="B124" t="str">
        <f>IF(A124="", "", VLOOKUP(A124, 'ROMANEIO POR ITEM'!#REF!, 2, FALSE))</f>
        <v/>
      </c>
      <c r="C124" t="str">
        <f>IF(A124="", "", VLOOKUP(A124, 'ROMANEIO POR ITEM'!#REF!, 3, FALSE))</f>
        <v/>
      </c>
      <c r="D124" t="str">
        <f>IF(A124="", "", VLOOKUP(A124, 'ROMANEIO POR ITEM'!#REF!, 4, FALSE))</f>
        <v/>
      </c>
      <c r="E124" t="str">
        <f>IF(A124="", "", VLOOKUP(A124, 'ROMANEIO POR ITEM'!#REF!, 5, FALSE))</f>
        <v/>
      </c>
      <c r="F124" t="str">
        <f>IF(A124="", "", VLOOKUP(A124, 'ROMANEIO POR ITEM'!#REF!, 6, FALSE))</f>
        <v/>
      </c>
    </row>
    <row r="125" spans="1:6">
      <c r="A125" t="str">
        <f>IFERROR(_xlfn.SINGLE(INDEX('ROMANEIO POR ITEM'!#REF!, SMALL(IF(_xlfn.SINGLE('ROMANEIO POR ITEM'!#REF!)&lt;&gt;0,_xlfn.SINGLE( ROW('ROMANEIO POR ITEM'!#REF!))-ROW('ROMANEIO POR ITEM'!#REF!)+1), ROW(A124)))), "")</f>
        <v/>
      </c>
      <c r="B125" t="str">
        <f>IF(A125="", "", VLOOKUP(A125, 'ROMANEIO POR ITEM'!#REF!, 2, FALSE))</f>
        <v/>
      </c>
      <c r="C125" t="str">
        <f>IF(A125="", "", VLOOKUP(A125, 'ROMANEIO POR ITEM'!#REF!, 3, FALSE))</f>
        <v/>
      </c>
      <c r="D125" t="str">
        <f>IF(A125="", "", VLOOKUP(A125, 'ROMANEIO POR ITEM'!#REF!, 4, FALSE))</f>
        <v/>
      </c>
      <c r="E125" t="str">
        <f>IF(A125="", "", VLOOKUP(A125, 'ROMANEIO POR ITEM'!#REF!, 5, FALSE))</f>
        <v/>
      </c>
      <c r="F125" t="str">
        <f>IF(A125="", "", VLOOKUP(A125, 'ROMANEIO POR ITEM'!#REF!, 6, FALSE))</f>
        <v/>
      </c>
    </row>
    <row r="126" spans="1:6">
      <c r="A126" t="str">
        <f>IFERROR(_xlfn.SINGLE(INDEX('ROMANEIO POR ITEM'!#REF!, SMALL(IF(_xlfn.SINGLE('ROMANEIO POR ITEM'!#REF!)&lt;&gt;0,_xlfn.SINGLE( ROW('ROMANEIO POR ITEM'!#REF!))-ROW('ROMANEIO POR ITEM'!#REF!)+1), ROW(A125)))), "")</f>
        <v/>
      </c>
      <c r="B126" t="str">
        <f>IF(A126="", "", VLOOKUP(A126, 'ROMANEIO POR ITEM'!#REF!, 2, FALSE))</f>
        <v/>
      </c>
      <c r="C126" t="str">
        <f>IF(A126="", "", VLOOKUP(A126, 'ROMANEIO POR ITEM'!#REF!, 3, FALSE))</f>
        <v/>
      </c>
      <c r="D126" t="str">
        <f>IF(A126="", "", VLOOKUP(A126, 'ROMANEIO POR ITEM'!#REF!, 4, FALSE))</f>
        <v/>
      </c>
      <c r="E126" t="str">
        <f>IF(A126="", "", VLOOKUP(A126, 'ROMANEIO POR ITEM'!#REF!, 5, FALSE))</f>
        <v/>
      </c>
      <c r="F126" t="str">
        <f>IF(A126="", "", VLOOKUP(A126, 'ROMANEIO POR ITEM'!#REF!, 6, FALSE))</f>
        <v/>
      </c>
    </row>
    <row r="127" spans="1:6">
      <c r="A127" t="str">
        <f>IFERROR(_xlfn.SINGLE(INDEX('ROMANEIO POR ITEM'!#REF!, SMALL(IF(_xlfn.SINGLE('ROMANEIO POR ITEM'!#REF!)&lt;&gt;0,_xlfn.SINGLE( ROW('ROMANEIO POR ITEM'!#REF!))-ROW('ROMANEIO POR ITEM'!#REF!)+1), ROW(A126)))), "")</f>
        <v/>
      </c>
      <c r="B127" t="str">
        <f>IF(A127="", "", VLOOKUP(A127, 'ROMANEIO POR ITEM'!#REF!, 2, FALSE))</f>
        <v/>
      </c>
      <c r="C127" t="str">
        <f>IF(A127="", "", VLOOKUP(A127, 'ROMANEIO POR ITEM'!#REF!, 3, FALSE))</f>
        <v/>
      </c>
      <c r="D127" t="str">
        <f>IF(A127="", "", VLOOKUP(A127, 'ROMANEIO POR ITEM'!#REF!, 4, FALSE))</f>
        <v/>
      </c>
      <c r="E127" t="str">
        <f>IF(A127="", "", VLOOKUP(A127, 'ROMANEIO POR ITEM'!#REF!, 5, FALSE))</f>
        <v/>
      </c>
      <c r="F127" t="str">
        <f>IF(A127="", "", VLOOKUP(A127, 'ROMANEIO POR ITEM'!#REF!, 6, FALSE))</f>
        <v/>
      </c>
    </row>
    <row r="128" spans="1:6">
      <c r="A128" t="str">
        <f>IFERROR(_xlfn.SINGLE(INDEX('ROMANEIO POR ITEM'!#REF!, SMALL(IF(_xlfn.SINGLE('ROMANEIO POR ITEM'!#REF!)&lt;&gt;0,_xlfn.SINGLE( ROW('ROMANEIO POR ITEM'!#REF!))-ROW('ROMANEIO POR ITEM'!#REF!)+1), ROW(A127)))), "")</f>
        <v/>
      </c>
      <c r="B128" t="str">
        <f>IF(A128="", "", VLOOKUP(A128, 'ROMANEIO POR ITEM'!#REF!, 2, FALSE))</f>
        <v/>
      </c>
      <c r="C128" t="str">
        <f>IF(A128="", "", VLOOKUP(A128, 'ROMANEIO POR ITEM'!#REF!, 3, FALSE))</f>
        <v/>
      </c>
      <c r="D128" t="str">
        <f>IF(A128="", "", VLOOKUP(A128, 'ROMANEIO POR ITEM'!#REF!, 4, FALSE))</f>
        <v/>
      </c>
      <c r="E128" t="str">
        <f>IF(A128="", "", VLOOKUP(A128, 'ROMANEIO POR ITEM'!#REF!, 5, FALSE))</f>
        <v/>
      </c>
      <c r="F128" t="str">
        <f>IF(A128="", "", VLOOKUP(A128, 'ROMANEIO POR ITEM'!#REF!, 6, FALSE))</f>
        <v/>
      </c>
    </row>
    <row r="129" spans="1:6">
      <c r="A129" t="str">
        <f>IFERROR(_xlfn.SINGLE(INDEX('ROMANEIO POR ITEM'!#REF!, SMALL(IF(_xlfn.SINGLE('ROMANEIO POR ITEM'!#REF!)&lt;&gt;0,_xlfn.SINGLE( ROW('ROMANEIO POR ITEM'!#REF!))-ROW('ROMANEIO POR ITEM'!#REF!)+1), ROW(A128)))), "")</f>
        <v/>
      </c>
      <c r="B129" t="str">
        <f>IF(A129="", "", VLOOKUP(A129, 'ROMANEIO POR ITEM'!#REF!, 2, FALSE))</f>
        <v/>
      </c>
      <c r="C129" t="str">
        <f>IF(A129="", "", VLOOKUP(A129, 'ROMANEIO POR ITEM'!#REF!, 3, FALSE))</f>
        <v/>
      </c>
      <c r="D129" t="str">
        <f>IF(A129="", "", VLOOKUP(A129, 'ROMANEIO POR ITEM'!#REF!, 4, FALSE))</f>
        <v/>
      </c>
      <c r="E129" t="str">
        <f>IF(A129="", "", VLOOKUP(A129, 'ROMANEIO POR ITEM'!#REF!, 5, FALSE))</f>
        <v/>
      </c>
      <c r="F129" t="str">
        <f>IF(A129="", "", VLOOKUP(A129, 'ROMANEIO POR ITEM'!#REF!, 6, FALSE))</f>
        <v/>
      </c>
    </row>
    <row r="130" spans="1:6">
      <c r="A130" t="str">
        <f>IFERROR(_xlfn.SINGLE(INDEX('ROMANEIO POR ITEM'!#REF!, SMALL(IF(_xlfn.SINGLE('ROMANEIO POR ITEM'!#REF!)&lt;&gt;0,_xlfn.SINGLE( ROW('ROMANEIO POR ITEM'!#REF!))-ROW('ROMANEIO POR ITEM'!#REF!)+1), ROW(A129)))), "")</f>
        <v/>
      </c>
      <c r="B130" t="str">
        <f>IF(A130="", "", VLOOKUP(A130, 'ROMANEIO POR ITEM'!#REF!, 2, FALSE))</f>
        <v/>
      </c>
      <c r="C130" t="str">
        <f>IF(A130="", "", VLOOKUP(A130, 'ROMANEIO POR ITEM'!#REF!, 3, FALSE))</f>
        <v/>
      </c>
      <c r="D130" t="str">
        <f>IF(A130="", "", VLOOKUP(A130, 'ROMANEIO POR ITEM'!#REF!, 4, FALSE))</f>
        <v/>
      </c>
      <c r="E130" t="str">
        <f>IF(A130="", "", VLOOKUP(A130, 'ROMANEIO POR ITEM'!#REF!, 5, FALSE))</f>
        <v/>
      </c>
      <c r="F130" t="str">
        <f>IF(A130="", "", VLOOKUP(A130, 'ROMANEIO POR ITEM'!#REF!, 6, FALSE))</f>
        <v/>
      </c>
    </row>
    <row r="131" spans="1:6">
      <c r="A131" t="str">
        <f>IFERROR(_xlfn.SINGLE(INDEX('ROMANEIO POR ITEM'!#REF!, SMALL(IF(_xlfn.SINGLE('ROMANEIO POR ITEM'!#REF!)&lt;&gt;0,_xlfn.SINGLE( ROW('ROMANEIO POR ITEM'!#REF!))-ROW('ROMANEIO POR ITEM'!#REF!)+1), ROW(A130)))), "")</f>
        <v/>
      </c>
      <c r="B131" t="str">
        <f>IF(A131="", "", VLOOKUP(A131, 'ROMANEIO POR ITEM'!#REF!, 2, FALSE))</f>
        <v/>
      </c>
      <c r="C131" t="str">
        <f>IF(A131="", "", VLOOKUP(A131, 'ROMANEIO POR ITEM'!#REF!, 3, FALSE))</f>
        <v/>
      </c>
      <c r="D131" t="str">
        <f>IF(A131="", "", VLOOKUP(A131, 'ROMANEIO POR ITEM'!#REF!, 4, FALSE))</f>
        <v/>
      </c>
      <c r="E131" t="str">
        <f>IF(A131="", "", VLOOKUP(A131, 'ROMANEIO POR ITEM'!#REF!, 5, FALSE))</f>
        <v/>
      </c>
      <c r="F131" t="str">
        <f>IF(A131="", "", VLOOKUP(A131, 'ROMANEIO POR ITEM'!#REF!, 6, FALSE))</f>
        <v/>
      </c>
    </row>
    <row r="132" spans="1:6">
      <c r="A132" t="str">
        <f>IFERROR(_xlfn.SINGLE(INDEX('ROMANEIO POR ITEM'!#REF!, SMALL(IF(_xlfn.SINGLE('ROMANEIO POR ITEM'!#REF!)&lt;&gt;0,_xlfn.SINGLE( ROW('ROMANEIO POR ITEM'!#REF!))-ROW('ROMANEIO POR ITEM'!#REF!)+1), ROW(A131)))), "")</f>
        <v/>
      </c>
      <c r="B132" t="str">
        <f>IF(A132="", "", VLOOKUP(A132, 'ROMANEIO POR ITEM'!#REF!, 2, FALSE))</f>
        <v/>
      </c>
      <c r="C132" t="str">
        <f>IF(A132="", "", VLOOKUP(A132, 'ROMANEIO POR ITEM'!#REF!, 3, FALSE))</f>
        <v/>
      </c>
      <c r="D132" t="str">
        <f>IF(A132="", "", VLOOKUP(A132, 'ROMANEIO POR ITEM'!#REF!, 4, FALSE))</f>
        <v/>
      </c>
      <c r="E132" t="str">
        <f>IF(A132="", "", VLOOKUP(A132, 'ROMANEIO POR ITEM'!#REF!, 5, FALSE))</f>
        <v/>
      </c>
      <c r="F132" t="str">
        <f>IF(A132="", "", VLOOKUP(A132, 'ROMANEIO POR ITEM'!#REF!, 6, FALSE))</f>
        <v/>
      </c>
    </row>
    <row r="133" spans="1:6">
      <c r="A133" t="str">
        <f>IFERROR(_xlfn.SINGLE(INDEX('ROMANEIO POR ITEM'!#REF!, SMALL(IF(_xlfn.SINGLE('ROMANEIO POR ITEM'!#REF!)&lt;&gt;0,_xlfn.SINGLE( ROW('ROMANEIO POR ITEM'!#REF!))-ROW('ROMANEIO POR ITEM'!#REF!)+1), ROW(A132)))), "")</f>
        <v/>
      </c>
      <c r="B133" t="str">
        <f>IF(A133="", "", VLOOKUP(A133, 'ROMANEIO POR ITEM'!#REF!, 2, FALSE))</f>
        <v/>
      </c>
      <c r="C133" t="str">
        <f>IF(A133="", "", VLOOKUP(A133, 'ROMANEIO POR ITEM'!#REF!, 3, FALSE))</f>
        <v/>
      </c>
      <c r="D133" t="str">
        <f>IF(A133="", "", VLOOKUP(A133, 'ROMANEIO POR ITEM'!#REF!, 4, FALSE))</f>
        <v/>
      </c>
      <c r="E133" t="str">
        <f>IF(A133="", "", VLOOKUP(A133, 'ROMANEIO POR ITEM'!#REF!, 5, FALSE))</f>
        <v/>
      </c>
      <c r="F133" t="str">
        <f>IF(A133="", "", VLOOKUP(A133, 'ROMANEIO POR ITEM'!#REF!, 6, FALSE))</f>
        <v/>
      </c>
    </row>
    <row r="134" spans="1:6">
      <c r="A134" t="str">
        <f>IFERROR(_xlfn.SINGLE(INDEX('ROMANEIO POR ITEM'!#REF!, SMALL(IF(_xlfn.SINGLE('ROMANEIO POR ITEM'!#REF!)&lt;&gt;0,_xlfn.SINGLE( ROW('ROMANEIO POR ITEM'!#REF!))-ROW('ROMANEIO POR ITEM'!#REF!)+1), ROW(A133)))), "")</f>
        <v/>
      </c>
      <c r="B134" t="str">
        <f>IF(A134="", "", VLOOKUP(A134, 'ROMANEIO POR ITEM'!#REF!, 2, FALSE))</f>
        <v/>
      </c>
      <c r="C134" t="str">
        <f>IF(A134="", "", VLOOKUP(A134, 'ROMANEIO POR ITEM'!#REF!, 3, FALSE))</f>
        <v/>
      </c>
      <c r="D134" t="str">
        <f>IF(A134="", "", VLOOKUP(A134, 'ROMANEIO POR ITEM'!#REF!, 4, FALSE))</f>
        <v/>
      </c>
      <c r="E134" t="str">
        <f>IF(A134="", "", VLOOKUP(A134, 'ROMANEIO POR ITEM'!#REF!, 5, FALSE))</f>
        <v/>
      </c>
      <c r="F134" t="str">
        <f>IF(A134="", "", VLOOKUP(A134, 'ROMANEIO POR ITEM'!#REF!, 6, FALSE))</f>
        <v/>
      </c>
    </row>
    <row r="135" spans="1:6">
      <c r="A135" t="str">
        <f>IFERROR(_xlfn.SINGLE(INDEX('ROMANEIO POR ITEM'!#REF!, SMALL(IF(_xlfn.SINGLE('ROMANEIO POR ITEM'!#REF!)&lt;&gt;0,_xlfn.SINGLE( ROW('ROMANEIO POR ITEM'!#REF!))-ROW('ROMANEIO POR ITEM'!#REF!)+1), ROW(A134)))), "")</f>
        <v/>
      </c>
      <c r="B135" t="str">
        <f>IF(A135="", "", VLOOKUP(A135, 'ROMANEIO POR ITEM'!#REF!, 2, FALSE))</f>
        <v/>
      </c>
      <c r="C135" t="str">
        <f>IF(A135="", "", VLOOKUP(A135, 'ROMANEIO POR ITEM'!#REF!, 3, FALSE))</f>
        <v/>
      </c>
      <c r="D135" t="str">
        <f>IF(A135="", "", VLOOKUP(A135, 'ROMANEIO POR ITEM'!#REF!, 4, FALSE))</f>
        <v/>
      </c>
      <c r="E135" t="str">
        <f>IF(A135="", "", VLOOKUP(A135, 'ROMANEIO POR ITEM'!#REF!, 5, FALSE))</f>
        <v/>
      </c>
      <c r="F135" t="str">
        <f>IF(A135="", "", VLOOKUP(A135, 'ROMANEIO POR ITEM'!#REF!, 6, FALSE))</f>
        <v/>
      </c>
    </row>
    <row r="136" spans="1:6">
      <c r="A136" t="str">
        <f>IFERROR(_xlfn.SINGLE(INDEX('ROMANEIO POR ITEM'!#REF!, SMALL(IF(_xlfn.SINGLE('ROMANEIO POR ITEM'!#REF!)&lt;&gt;0,_xlfn.SINGLE( ROW('ROMANEIO POR ITEM'!#REF!))-ROW('ROMANEIO POR ITEM'!#REF!)+1), ROW(A135)))), "")</f>
        <v/>
      </c>
      <c r="B136" t="str">
        <f>IF(A136="", "", VLOOKUP(A136, 'ROMANEIO POR ITEM'!#REF!, 2, FALSE))</f>
        <v/>
      </c>
      <c r="C136" t="str">
        <f>IF(A136="", "", VLOOKUP(A136, 'ROMANEIO POR ITEM'!#REF!, 3, FALSE))</f>
        <v/>
      </c>
      <c r="D136" t="str">
        <f>IF(A136="", "", VLOOKUP(A136, 'ROMANEIO POR ITEM'!#REF!, 4, FALSE))</f>
        <v/>
      </c>
      <c r="E136" t="str">
        <f>IF(A136="", "", VLOOKUP(A136, 'ROMANEIO POR ITEM'!#REF!, 5, FALSE))</f>
        <v/>
      </c>
      <c r="F136" t="str">
        <f>IF(A136="", "", VLOOKUP(A136, 'ROMANEIO POR ITEM'!#REF!, 6, FALSE))</f>
        <v/>
      </c>
    </row>
    <row r="137" spans="1:6">
      <c r="A137" t="str">
        <f>IFERROR(_xlfn.SINGLE(INDEX('ROMANEIO POR ITEM'!#REF!, SMALL(IF(_xlfn.SINGLE('ROMANEIO POR ITEM'!#REF!)&lt;&gt;0,_xlfn.SINGLE( ROW('ROMANEIO POR ITEM'!#REF!))-ROW('ROMANEIO POR ITEM'!#REF!)+1), ROW(A136)))), "")</f>
        <v/>
      </c>
      <c r="B137" t="str">
        <f>IF(A137="", "", VLOOKUP(A137, 'ROMANEIO POR ITEM'!#REF!, 2, FALSE))</f>
        <v/>
      </c>
      <c r="C137" t="str">
        <f>IF(A137="", "", VLOOKUP(A137, 'ROMANEIO POR ITEM'!#REF!, 3, FALSE))</f>
        <v/>
      </c>
      <c r="D137" t="str">
        <f>IF(A137="", "", VLOOKUP(A137, 'ROMANEIO POR ITEM'!#REF!, 4, FALSE))</f>
        <v/>
      </c>
      <c r="E137" t="str">
        <f>IF(A137="", "", VLOOKUP(A137, 'ROMANEIO POR ITEM'!#REF!, 5, FALSE))</f>
        <v/>
      </c>
      <c r="F137" t="str">
        <f>IF(A137="", "", VLOOKUP(A137, 'ROMANEIO POR ITEM'!#REF!, 6, FALSE))</f>
        <v/>
      </c>
    </row>
    <row r="138" spans="1:6">
      <c r="A138" t="str">
        <f>IFERROR(_xlfn.SINGLE(INDEX('ROMANEIO POR ITEM'!#REF!, SMALL(IF(_xlfn.SINGLE('ROMANEIO POR ITEM'!#REF!)&lt;&gt;0,_xlfn.SINGLE( ROW('ROMANEIO POR ITEM'!#REF!))-ROW('ROMANEIO POR ITEM'!#REF!)+1), ROW(A137)))), "")</f>
        <v/>
      </c>
      <c r="B138" t="str">
        <f>IF(A138="", "", VLOOKUP(A138, 'ROMANEIO POR ITEM'!#REF!, 2, FALSE))</f>
        <v/>
      </c>
      <c r="C138" t="str">
        <f>IF(A138="", "", VLOOKUP(A138, 'ROMANEIO POR ITEM'!#REF!, 3, FALSE))</f>
        <v/>
      </c>
      <c r="D138" t="str">
        <f>IF(A138="", "", VLOOKUP(A138, 'ROMANEIO POR ITEM'!#REF!, 4, FALSE))</f>
        <v/>
      </c>
      <c r="E138" t="str">
        <f>IF(A138="", "", VLOOKUP(A138, 'ROMANEIO POR ITEM'!#REF!, 5, FALSE))</f>
        <v/>
      </c>
      <c r="F138" t="str">
        <f>IF(A138="", "", VLOOKUP(A138, 'ROMANEIO POR ITEM'!#REF!, 6, FALSE))</f>
        <v/>
      </c>
    </row>
    <row r="139" spans="1:6">
      <c r="A139" t="str">
        <f>IFERROR(_xlfn.SINGLE(INDEX('ROMANEIO POR ITEM'!#REF!, SMALL(IF(_xlfn.SINGLE('ROMANEIO POR ITEM'!#REF!)&lt;&gt;0,_xlfn.SINGLE( ROW('ROMANEIO POR ITEM'!#REF!))-ROW('ROMANEIO POR ITEM'!#REF!)+1), ROW(A138)))), "")</f>
        <v/>
      </c>
      <c r="B139" t="str">
        <f>IF(A139="", "", VLOOKUP(A139, 'ROMANEIO POR ITEM'!#REF!, 2, FALSE))</f>
        <v/>
      </c>
      <c r="C139" t="str">
        <f>IF(A139="", "", VLOOKUP(A139, 'ROMANEIO POR ITEM'!#REF!, 3, FALSE))</f>
        <v/>
      </c>
      <c r="D139" t="str">
        <f>IF(A139="", "", VLOOKUP(A139, 'ROMANEIO POR ITEM'!#REF!, 4, FALSE))</f>
        <v/>
      </c>
      <c r="E139" t="str">
        <f>IF(A139="", "", VLOOKUP(A139, 'ROMANEIO POR ITEM'!#REF!, 5, FALSE))</f>
        <v/>
      </c>
      <c r="F139" t="str">
        <f>IF(A139="", "", VLOOKUP(A139, 'ROMANEIO POR ITEM'!#REF!, 6, FALSE))</f>
        <v/>
      </c>
    </row>
    <row r="140" spans="1:6">
      <c r="A140" t="str">
        <f>IFERROR(_xlfn.SINGLE(INDEX('ROMANEIO POR ITEM'!#REF!, SMALL(IF(_xlfn.SINGLE('ROMANEIO POR ITEM'!#REF!)&lt;&gt;0,_xlfn.SINGLE( ROW('ROMANEIO POR ITEM'!#REF!))-ROW('ROMANEIO POR ITEM'!#REF!)+1), ROW(A139)))), "")</f>
        <v/>
      </c>
      <c r="B140" t="str">
        <f>IF(A140="", "", VLOOKUP(A140, 'ROMANEIO POR ITEM'!#REF!, 2, FALSE))</f>
        <v/>
      </c>
      <c r="C140" t="str">
        <f>IF(A140="", "", VLOOKUP(A140, 'ROMANEIO POR ITEM'!#REF!, 3, FALSE))</f>
        <v/>
      </c>
      <c r="D140" t="str">
        <f>IF(A140="", "", VLOOKUP(A140, 'ROMANEIO POR ITEM'!#REF!, 4, FALSE))</f>
        <v/>
      </c>
      <c r="E140" t="str">
        <f>IF(A140="", "", VLOOKUP(A140, 'ROMANEIO POR ITEM'!#REF!, 5, FALSE))</f>
        <v/>
      </c>
      <c r="F140" t="str">
        <f>IF(A140="", "", VLOOKUP(A140, 'ROMANEIO POR ITEM'!#REF!, 6, FALSE))</f>
        <v/>
      </c>
    </row>
    <row r="141" spans="1:6">
      <c r="A141" t="str">
        <f>IFERROR(_xlfn.SINGLE(INDEX('ROMANEIO POR ITEM'!#REF!, SMALL(IF(_xlfn.SINGLE('ROMANEIO POR ITEM'!#REF!)&lt;&gt;0,_xlfn.SINGLE( ROW('ROMANEIO POR ITEM'!#REF!))-ROW('ROMANEIO POR ITEM'!#REF!)+1), ROW(A140)))), "")</f>
        <v/>
      </c>
      <c r="B141" t="str">
        <f>IF(A141="", "", VLOOKUP(A141, 'ROMANEIO POR ITEM'!#REF!, 2, FALSE))</f>
        <v/>
      </c>
      <c r="C141" t="str">
        <f>IF(A141="", "", VLOOKUP(A141, 'ROMANEIO POR ITEM'!#REF!, 3, FALSE))</f>
        <v/>
      </c>
      <c r="D141" t="str">
        <f>IF(A141="", "", VLOOKUP(A141, 'ROMANEIO POR ITEM'!#REF!, 4, FALSE))</f>
        <v/>
      </c>
      <c r="E141" t="str">
        <f>IF(A141="", "", VLOOKUP(A141, 'ROMANEIO POR ITEM'!#REF!, 5, FALSE))</f>
        <v/>
      </c>
      <c r="F141" t="str">
        <f>IF(A141="", "", VLOOKUP(A141, 'ROMANEIO POR ITEM'!#REF!, 6, FALSE))</f>
        <v/>
      </c>
    </row>
    <row r="142" spans="1:6">
      <c r="A142" t="str">
        <f>IFERROR(_xlfn.SINGLE(INDEX('ROMANEIO POR ITEM'!#REF!, SMALL(IF(_xlfn.SINGLE('ROMANEIO POR ITEM'!#REF!)&lt;&gt;0,_xlfn.SINGLE( ROW('ROMANEIO POR ITEM'!#REF!))-ROW('ROMANEIO POR ITEM'!#REF!)+1), ROW(A141)))), "")</f>
        <v/>
      </c>
      <c r="B142" t="str">
        <f>IF(A142="", "", VLOOKUP(A142, 'ROMANEIO POR ITEM'!#REF!, 2, FALSE))</f>
        <v/>
      </c>
      <c r="C142" t="str">
        <f>IF(A142="", "", VLOOKUP(A142, 'ROMANEIO POR ITEM'!#REF!, 3, FALSE))</f>
        <v/>
      </c>
      <c r="D142" t="str">
        <f>IF(A142="", "", VLOOKUP(A142, 'ROMANEIO POR ITEM'!#REF!, 4, FALSE))</f>
        <v/>
      </c>
      <c r="E142" t="str">
        <f>IF(A142="", "", VLOOKUP(A142, 'ROMANEIO POR ITEM'!#REF!, 5, FALSE))</f>
        <v/>
      </c>
      <c r="F142" t="str">
        <f>IF(A142="", "", VLOOKUP(A142, 'ROMANEIO POR ITEM'!#REF!, 6, FALSE))</f>
        <v/>
      </c>
    </row>
    <row r="143" spans="1:6">
      <c r="A143" t="str">
        <f>IFERROR(_xlfn.SINGLE(INDEX('ROMANEIO POR ITEM'!#REF!, SMALL(IF(_xlfn.SINGLE('ROMANEIO POR ITEM'!#REF!)&lt;&gt;0,_xlfn.SINGLE( ROW('ROMANEIO POR ITEM'!#REF!))-ROW('ROMANEIO POR ITEM'!#REF!)+1), ROW(A142)))), "")</f>
        <v/>
      </c>
      <c r="B143" t="str">
        <f>IF(A143="", "", VLOOKUP(A143, 'ROMANEIO POR ITEM'!#REF!, 2, FALSE))</f>
        <v/>
      </c>
      <c r="C143" t="str">
        <f>IF(A143="", "", VLOOKUP(A143, 'ROMANEIO POR ITEM'!#REF!, 3, FALSE))</f>
        <v/>
      </c>
      <c r="D143" t="str">
        <f>IF(A143="", "", VLOOKUP(A143, 'ROMANEIO POR ITEM'!#REF!, 4, FALSE))</f>
        <v/>
      </c>
      <c r="E143" t="str">
        <f>IF(A143="", "", VLOOKUP(A143, 'ROMANEIO POR ITEM'!#REF!, 5, FALSE))</f>
        <v/>
      </c>
      <c r="F143" t="str">
        <f>IF(A143="", "", VLOOKUP(A143, 'ROMANEIO POR ITEM'!#REF!, 6, FALSE))</f>
        <v/>
      </c>
    </row>
    <row r="144" spans="1:6">
      <c r="A144" t="str">
        <f>IFERROR(_xlfn.SINGLE(INDEX('ROMANEIO POR ITEM'!#REF!, SMALL(IF(_xlfn.SINGLE('ROMANEIO POR ITEM'!#REF!)&lt;&gt;0,_xlfn.SINGLE( ROW('ROMANEIO POR ITEM'!#REF!))-ROW('ROMANEIO POR ITEM'!#REF!)+1), ROW(A143)))), "")</f>
        <v/>
      </c>
      <c r="B144" t="str">
        <f>IF(A144="", "", VLOOKUP(A144, 'ROMANEIO POR ITEM'!#REF!, 2, FALSE))</f>
        <v/>
      </c>
      <c r="C144" t="str">
        <f>IF(A144="", "", VLOOKUP(A144, 'ROMANEIO POR ITEM'!#REF!, 3, FALSE))</f>
        <v/>
      </c>
      <c r="D144" t="str">
        <f>IF(A144="", "", VLOOKUP(A144, 'ROMANEIO POR ITEM'!#REF!, 4, FALSE))</f>
        <v/>
      </c>
      <c r="E144" t="str">
        <f>IF(A144="", "", VLOOKUP(A144, 'ROMANEIO POR ITEM'!#REF!, 5, FALSE))</f>
        <v/>
      </c>
      <c r="F144" t="str">
        <f>IF(A144="", "", VLOOKUP(A144, 'ROMANEIO POR ITEM'!#REF!, 6, FALSE))</f>
        <v/>
      </c>
    </row>
    <row r="145" spans="1:6">
      <c r="A145" t="str">
        <f>IFERROR(_xlfn.SINGLE(INDEX('ROMANEIO POR ITEM'!#REF!, SMALL(IF(_xlfn.SINGLE('ROMANEIO POR ITEM'!#REF!)&lt;&gt;0,_xlfn.SINGLE( ROW('ROMANEIO POR ITEM'!#REF!))-ROW('ROMANEIO POR ITEM'!#REF!)+1), ROW(A144)))), "")</f>
        <v/>
      </c>
      <c r="B145" t="str">
        <f>IF(A145="", "", VLOOKUP(A145, 'ROMANEIO POR ITEM'!#REF!, 2, FALSE))</f>
        <v/>
      </c>
      <c r="C145" t="str">
        <f>IF(A145="", "", VLOOKUP(A145, 'ROMANEIO POR ITEM'!#REF!, 3, FALSE))</f>
        <v/>
      </c>
      <c r="D145" t="str">
        <f>IF(A145="", "", VLOOKUP(A145, 'ROMANEIO POR ITEM'!#REF!, 4, FALSE))</f>
        <v/>
      </c>
      <c r="E145" t="str">
        <f>IF(A145="", "", VLOOKUP(A145, 'ROMANEIO POR ITEM'!#REF!, 5, FALSE))</f>
        <v/>
      </c>
      <c r="F145" t="str">
        <f>IF(A145="", "", VLOOKUP(A145, 'ROMANEIO POR ITEM'!#REF!, 6, FALSE))</f>
        <v/>
      </c>
    </row>
    <row r="146" spans="1:6">
      <c r="A146" t="str">
        <f>IFERROR(_xlfn.SINGLE(INDEX('ROMANEIO POR ITEM'!#REF!, SMALL(IF(_xlfn.SINGLE('ROMANEIO POR ITEM'!#REF!)&lt;&gt;0,_xlfn.SINGLE( ROW('ROMANEIO POR ITEM'!#REF!))-ROW('ROMANEIO POR ITEM'!#REF!)+1), ROW(A145)))), "")</f>
        <v/>
      </c>
      <c r="B146" t="str">
        <f>IF(A146="", "", VLOOKUP(A146, 'ROMANEIO POR ITEM'!#REF!, 2, FALSE))</f>
        <v/>
      </c>
      <c r="C146" t="str">
        <f>IF(A146="", "", VLOOKUP(A146, 'ROMANEIO POR ITEM'!#REF!, 3, FALSE))</f>
        <v/>
      </c>
      <c r="D146" t="str">
        <f>IF(A146="", "", VLOOKUP(A146, 'ROMANEIO POR ITEM'!#REF!, 4, FALSE))</f>
        <v/>
      </c>
      <c r="E146" t="str">
        <f>IF(A146="", "", VLOOKUP(A146, 'ROMANEIO POR ITEM'!#REF!, 5, FALSE))</f>
        <v/>
      </c>
      <c r="F146" t="str">
        <f>IF(A146="", "", VLOOKUP(A146, 'ROMANEIO POR ITEM'!#REF!, 6, FALSE))</f>
        <v/>
      </c>
    </row>
    <row r="147" spans="1:6">
      <c r="A147" t="str">
        <f>IFERROR(_xlfn.SINGLE(INDEX('ROMANEIO POR ITEM'!#REF!, SMALL(IF(_xlfn.SINGLE('ROMANEIO POR ITEM'!#REF!)&lt;&gt;0,_xlfn.SINGLE( ROW('ROMANEIO POR ITEM'!#REF!))-ROW('ROMANEIO POR ITEM'!#REF!)+1), ROW(A146)))), "")</f>
        <v/>
      </c>
      <c r="B147" t="str">
        <f>IF(A147="", "", VLOOKUP(A147, 'ROMANEIO POR ITEM'!#REF!, 2, FALSE))</f>
        <v/>
      </c>
      <c r="C147" t="str">
        <f>IF(A147="", "", VLOOKUP(A147, 'ROMANEIO POR ITEM'!#REF!, 3, FALSE))</f>
        <v/>
      </c>
      <c r="D147" t="str">
        <f>IF(A147="", "", VLOOKUP(A147, 'ROMANEIO POR ITEM'!#REF!, 4, FALSE))</f>
        <v/>
      </c>
      <c r="E147" t="str">
        <f>IF(A147="", "", VLOOKUP(A147, 'ROMANEIO POR ITEM'!#REF!, 5, FALSE))</f>
        <v/>
      </c>
      <c r="F147" t="str">
        <f>IF(A147="", "", VLOOKUP(A147, 'ROMANEIO POR ITEM'!#REF!, 6, FALSE))</f>
        <v/>
      </c>
    </row>
    <row r="148" spans="1:6">
      <c r="A148" t="str">
        <f>IFERROR(_xlfn.SINGLE(INDEX('ROMANEIO POR ITEM'!#REF!, SMALL(IF(_xlfn.SINGLE('ROMANEIO POR ITEM'!#REF!)&lt;&gt;0,_xlfn.SINGLE( ROW('ROMANEIO POR ITEM'!#REF!))-ROW('ROMANEIO POR ITEM'!#REF!)+1), ROW(A147)))), "")</f>
        <v/>
      </c>
      <c r="B148" t="str">
        <f>IF(A148="", "", VLOOKUP(A148, 'ROMANEIO POR ITEM'!#REF!, 2, FALSE))</f>
        <v/>
      </c>
      <c r="C148" t="str">
        <f>IF(A148="", "", VLOOKUP(A148, 'ROMANEIO POR ITEM'!#REF!, 3, FALSE))</f>
        <v/>
      </c>
      <c r="D148" t="str">
        <f>IF(A148="", "", VLOOKUP(A148, 'ROMANEIO POR ITEM'!#REF!, 4, FALSE))</f>
        <v/>
      </c>
      <c r="E148" t="str">
        <f>IF(A148="", "", VLOOKUP(A148, 'ROMANEIO POR ITEM'!#REF!, 5, FALSE))</f>
        <v/>
      </c>
      <c r="F148" t="str">
        <f>IF(A148="", "", VLOOKUP(A148, 'ROMANEIO POR ITEM'!#REF!, 6, FALSE))</f>
        <v/>
      </c>
    </row>
    <row r="149" spans="1:6">
      <c r="A149" t="str">
        <f>IFERROR(_xlfn.SINGLE(INDEX('ROMANEIO POR ITEM'!#REF!, SMALL(IF(_xlfn.SINGLE('ROMANEIO POR ITEM'!#REF!)&lt;&gt;0,_xlfn.SINGLE( ROW('ROMANEIO POR ITEM'!#REF!))-ROW('ROMANEIO POR ITEM'!#REF!)+1), ROW(A148)))), "")</f>
        <v/>
      </c>
      <c r="B149" t="str">
        <f>IF(A149="", "", VLOOKUP(A149, 'ROMANEIO POR ITEM'!#REF!, 2, FALSE))</f>
        <v/>
      </c>
      <c r="C149" t="str">
        <f>IF(A149="", "", VLOOKUP(A149, 'ROMANEIO POR ITEM'!#REF!, 3, FALSE))</f>
        <v/>
      </c>
      <c r="D149" t="str">
        <f>IF(A149="", "", VLOOKUP(A149, 'ROMANEIO POR ITEM'!#REF!, 4, FALSE))</f>
        <v/>
      </c>
      <c r="E149" t="str">
        <f>IF(A149="", "", VLOOKUP(A149, 'ROMANEIO POR ITEM'!#REF!, 5, FALSE))</f>
        <v/>
      </c>
      <c r="F149" t="str">
        <f>IF(A149="", "", VLOOKUP(A149, 'ROMANEIO POR ITEM'!#REF!, 6, FALSE))</f>
        <v/>
      </c>
    </row>
    <row r="150" spans="1:6">
      <c r="A150" t="str">
        <f>IFERROR(_xlfn.SINGLE(INDEX('ROMANEIO POR ITEM'!#REF!, SMALL(IF(_xlfn.SINGLE('ROMANEIO POR ITEM'!#REF!)&lt;&gt;0,_xlfn.SINGLE( ROW('ROMANEIO POR ITEM'!#REF!))-ROW('ROMANEIO POR ITEM'!#REF!)+1), ROW(A149)))), "")</f>
        <v/>
      </c>
      <c r="B150" t="str">
        <f>IF(A150="", "", VLOOKUP(A150, 'ROMANEIO POR ITEM'!#REF!, 2, FALSE))</f>
        <v/>
      </c>
      <c r="C150" t="str">
        <f>IF(A150="", "", VLOOKUP(A150, 'ROMANEIO POR ITEM'!#REF!, 3, FALSE))</f>
        <v/>
      </c>
      <c r="D150" t="str">
        <f>IF(A150="", "", VLOOKUP(A150, 'ROMANEIO POR ITEM'!#REF!, 4, FALSE))</f>
        <v/>
      </c>
      <c r="E150" t="str">
        <f>IF(A150="", "", VLOOKUP(A150, 'ROMANEIO POR ITEM'!#REF!, 5, FALSE))</f>
        <v/>
      </c>
      <c r="F150" t="str">
        <f>IF(A150="", "", VLOOKUP(A150, 'ROMANEIO POR ITEM'!#REF!, 6, FALSE))</f>
        <v/>
      </c>
    </row>
    <row r="151" spans="1:6">
      <c r="A151" t="str">
        <f>IFERROR(_xlfn.SINGLE(INDEX('ROMANEIO POR ITEM'!#REF!, SMALL(IF(_xlfn.SINGLE('ROMANEIO POR ITEM'!#REF!)&lt;&gt;0,_xlfn.SINGLE( ROW('ROMANEIO POR ITEM'!#REF!))-ROW('ROMANEIO POR ITEM'!#REF!)+1), ROW(A150)))), "")</f>
        <v/>
      </c>
      <c r="B151" t="str">
        <f>IF(A151="", "", VLOOKUP(A151, 'ROMANEIO POR ITEM'!#REF!, 2, FALSE))</f>
        <v/>
      </c>
      <c r="C151" t="str">
        <f>IF(A151="", "", VLOOKUP(A151, 'ROMANEIO POR ITEM'!#REF!, 3, FALSE))</f>
        <v/>
      </c>
      <c r="D151" t="str">
        <f>IF(A151="", "", VLOOKUP(A151, 'ROMANEIO POR ITEM'!#REF!, 4, FALSE))</f>
        <v/>
      </c>
      <c r="E151" t="str">
        <f>IF(A151="", "", VLOOKUP(A151, 'ROMANEIO POR ITEM'!#REF!, 5, FALSE))</f>
        <v/>
      </c>
      <c r="F151" t="str">
        <f>IF(A151="", "", VLOOKUP(A151, 'ROMANEIO POR ITEM'!#REF!, 6, FALSE))</f>
        <v/>
      </c>
    </row>
    <row r="152" spans="1:6">
      <c r="A152" t="str">
        <f>IFERROR(_xlfn.SINGLE(INDEX('ROMANEIO POR ITEM'!#REF!, SMALL(IF(_xlfn.SINGLE('ROMANEIO POR ITEM'!#REF!)&lt;&gt;0,_xlfn.SINGLE( ROW('ROMANEIO POR ITEM'!#REF!))-ROW('ROMANEIO POR ITEM'!#REF!)+1), ROW(A151)))), "")</f>
        <v/>
      </c>
      <c r="B152" t="str">
        <f>IF(A152="", "", VLOOKUP(A152, 'ROMANEIO POR ITEM'!#REF!, 2, FALSE))</f>
        <v/>
      </c>
      <c r="C152" t="str">
        <f>IF(A152="", "", VLOOKUP(A152, 'ROMANEIO POR ITEM'!#REF!, 3, FALSE))</f>
        <v/>
      </c>
      <c r="D152" t="str">
        <f>IF(A152="", "", VLOOKUP(A152, 'ROMANEIO POR ITEM'!#REF!, 4, FALSE))</f>
        <v/>
      </c>
      <c r="E152" t="str">
        <f>IF(A152="", "", VLOOKUP(A152, 'ROMANEIO POR ITEM'!#REF!, 5, FALSE))</f>
        <v/>
      </c>
      <c r="F152" t="str">
        <f>IF(A152="", "", VLOOKUP(A152, 'ROMANEIO POR ITEM'!#REF!, 6, FALSE))</f>
        <v/>
      </c>
    </row>
    <row r="153" spans="1:6">
      <c r="A153" t="str">
        <f>IFERROR(_xlfn.SINGLE(INDEX('ROMANEIO POR ITEM'!#REF!, SMALL(IF(_xlfn.SINGLE('ROMANEIO POR ITEM'!#REF!)&lt;&gt;0,_xlfn.SINGLE( ROW('ROMANEIO POR ITEM'!#REF!))-ROW('ROMANEIO POR ITEM'!#REF!)+1), ROW(A152)))), "")</f>
        <v/>
      </c>
      <c r="B153" t="str">
        <f>IF(A153="", "", VLOOKUP(A153, 'ROMANEIO POR ITEM'!#REF!, 2, FALSE))</f>
        <v/>
      </c>
      <c r="C153" t="str">
        <f>IF(A153="", "", VLOOKUP(A153, 'ROMANEIO POR ITEM'!#REF!, 3, FALSE))</f>
        <v/>
      </c>
      <c r="D153" t="str">
        <f>IF(A153="", "", VLOOKUP(A153, 'ROMANEIO POR ITEM'!#REF!, 4, FALSE))</f>
        <v/>
      </c>
      <c r="E153" t="str">
        <f>IF(A153="", "", VLOOKUP(A153, 'ROMANEIO POR ITEM'!#REF!, 5, FALSE))</f>
        <v/>
      </c>
      <c r="F153" t="str">
        <f>IF(A153="", "", VLOOKUP(A153, 'ROMANEIO POR ITEM'!#REF!, 6, FALSE))</f>
        <v/>
      </c>
    </row>
    <row r="154" spans="1:6">
      <c r="A154" t="str">
        <f>IFERROR(_xlfn.SINGLE(INDEX('ROMANEIO POR ITEM'!#REF!, SMALL(IF(_xlfn.SINGLE('ROMANEIO POR ITEM'!#REF!)&lt;&gt;0,_xlfn.SINGLE( ROW('ROMANEIO POR ITEM'!#REF!))-ROW('ROMANEIO POR ITEM'!#REF!)+1), ROW(A153)))), "")</f>
        <v/>
      </c>
      <c r="B154" t="str">
        <f>IF(A154="", "", VLOOKUP(A154, 'ROMANEIO POR ITEM'!#REF!, 2, FALSE))</f>
        <v/>
      </c>
      <c r="C154" t="str">
        <f>IF(A154="", "", VLOOKUP(A154, 'ROMANEIO POR ITEM'!#REF!, 3, FALSE))</f>
        <v/>
      </c>
      <c r="D154" t="str">
        <f>IF(A154="", "", VLOOKUP(A154, 'ROMANEIO POR ITEM'!#REF!, 4, FALSE))</f>
        <v/>
      </c>
      <c r="E154" t="str">
        <f>IF(A154="", "", VLOOKUP(A154, 'ROMANEIO POR ITEM'!#REF!, 5, FALSE))</f>
        <v/>
      </c>
      <c r="F154" t="str">
        <f>IF(A154="", "", VLOOKUP(A154, 'ROMANEIO POR ITEM'!#REF!, 6, FALSE))</f>
        <v/>
      </c>
    </row>
    <row r="155" spans="1:6">
      <c r="A155" t="str">
        <f>IFERROR(_xlfn.SINGLE(INDEX('ROMANEIO POR ITEM'!#REF!, SMALL(IF(_xlfn.SINGLE('ROMANEIO POR ITEM'!#REF!)&lt;&gt;0,_xlfn.SINGLE( ROW('ROMANEIO POR ITEM'!#REF!))-ROW('ROMANEIO POR ITEM'!#REF!)+1), ROW(A154)))), "")</f>
        <v/>
      </c>
      <c r="B155" t="str">
        <f>IF(A155="", "", VLOOKUP(A155, 'ROMANEIO POR ITEM'!#REF!, 2, FALSE))</f>
        <v/>
      </c>
      <c r="C155" t="str">
        <f>IF(A155="", "", VLOOKUP(A155, 'ROMANEIO POR ITEM'!#REF!, 3, FALSE))</f>
        <v/>
      </c>
      <c r="D155" t="str">
        <f>IF(A155="", "", VLOOKUP(A155, 'ROMANEIO POR ITEM'!#REF!, 4, FALSE))</f>
        <v/>
      </c>
      <c r="E155" t="str">
        <f>IF(A155="", "", VLOOKUP(A155, 'ROMANEIO POR ITEM'!#REF!, 5, FALSE))</f>
        <v/>
      </c>
      <c r="F155" t="str">
        <f>IF(A155="", "", VLOOKUP(A155, 'ROMANEIO POR ITEM'!#REF!, 6, FALSE))</f>
        <v/>
      </c>
    </row>
    <row r="156" spans="1:6">
      <c r="A156" t="str">
        <f>IFERROR(_xlfn.SINGLE(INDEX('ROMANEIO POR ITEM'!#REF!, SMALL(IF(_xlfn.SINGLE('ROMANEIO POR ITEM'!#REF!)&lt;&gt;0,_xlfn.SINGLE( ROW('ROMANEIO POR ITEM'!#REF!))-ROW('ROMANEIO POR ITEM'!#REF!)+1), ROW(A155)))), "")</f>
        <v/>
      </c>
      <c r="B156" t="str">
        <f>IF(A156="", "", VLOOKUP(A156, 'ROMANEIO POR ITEM'!#REF!, 2, FALSE))</f>
        <v/>
      </c>
      <c r="C156" t="str">
        <f>IF(A156="", "", VLOOKUP(A156, 'ROMANEIO POR ITEM'!#REF!, 3, FALSE))</f>
        <v/>
      </c>
      <c r="D156" t="str">
        <f>IF(A156="", "", VLOOKUP(A156, 'ROMANEIO POR ITEM'!#REF!, 4, FALSE))</f>
        <v/>
      </c>
      <c r="E156" t="str">
        <f>IF(A156="", "", VLOOKUP(A156, 'ROMANEIO POR ITEM'!#REF!, 5, FALSE))</f>
        <v/>
      </c>
      <c r="F156" t="str">
        <f>IF(A156="", "", VLOOKUP(A156, 'ROMANEIO POR ITEM'!#REF!, 6, FALSE))</f>
        <v/>
      </c>
    </row>
    <row r="157" spans="1:6">
      <c r="A157" t="str">
        <f>IFERROR(_xlfn.SINGLE(INDEX('ROMANEIO POR ITEM'!#REF!, SMALL(IF(_xlfn.SINGLE('ROMANEIO POR ITEM'!#REF!)&lt;&gt;0,_xlfn.SINGLE( ROW('ROMANEIO POR ITEM'!#REF!))-ROW('ROMANEIO POR ITEM'!#REF!)+1), ROW(A156)))), "")</f>
        <v/>
      </c>
      <c r="B157" t="str">
        <f>IF(A157="", "", VLOOKUP(A157, 'ROMANEIO POR ITEM'!#REF!, 2, FALSE))</f>
        <v/>
      </c>
      <c r="C157" t="str">
        <f>IF(A157="", "", VLOOKUP(A157, 'ROMANEIO POR ITEM'!#REF!, 3, FALSE))</f>
        <v/>
      </c>
      <c r="D157" t="str">
        <f>IF(A157="", "", VLOOKUP(A157, 'ROMANEIO POR ITEM'!#REF!, 4, FALSE))</f>
        <v/>
      </c>
      <c r="E157" t="str">
        <f>IF(A157="", "", VLOOKUP(A157, 'ROMANEIO POR ITEM'!#REF!, 5, FALSE))</f>
        <v/>
      </c>
      <c r="F157" t="str">
        <f>IF(A157="", "", VLOOKUP(A157, 'ROMANEIO POR ITEM'!#REF!, 6, FALSE))</f>
        <v/>
      </c>
    </row>
    <row r="158" spans="1:6">
      <c r="A158" t="str">
        <f>IFERROR(_xlfn.SINGLE(INDEX('ROMANEIO POR ITEM'!#REF!, SMALL(IF(_xlfn.SINGLE('ROMANEIO POR ITEM'!#REF!)&lt;&gt;0,_xlfn.SINGLE( ROW('ROMANEIO POR ITEM'!#REF!))-ROW('ROMANEIO POR ITEM'!#REF!)+1), ROW(A157)))), "")</f>
        <v/>
      </c>
      <c r="B158" t="str">
        <f>IF(A158="", "", VLOOKUP(A158, 'ROMANEIO POR ITEM'!#REF!, 2, FALSE))</f>
        <v/>
      </c>
      <c r="C158" t="str">
        <f>IF(A158="", "", VLOOKUP(A158, 'ROMANEIO POR ITEM'!#REF!, 3, FALSE))</f>
        <v/>
      </c>
      <c r="D158" t="str">
        <f>IF(A158="", "", VLOOKUP(A158, 'ROMANEIO POR ITEM'!#REF!, 4, FALSE))</f>
        <v/>
      </c>
      <c r="E158" t="str">
        <f>IF(A158="", "", VLOOKUP(A158, 'ROMANEIO POR ITEM'!#REF!, 5, FALSE))</f>
        <v/>
      </c>
      <c r="F158" t="str">
        <f>IF(A158="", "", VLOOKUP(A158, 'ROMANEIO POR ITEM'!#REF!, 6, FALSE))</f>
        <v/>
      </c>
    </row>
    <row r="159" spans="1:6">
      <c r="A159" t="str">
        <f>IFERROR(_xlfn.SINGLE(INDEX('ROMANEIO POR ITEM'!#REF!, SMALL(IF(_xlfn.SINGLE('ROMANEIO POR ITEM'!#REF!)&lt;&gt;0,_xlfn.SINGLE( ROW('ROMANEIO POR ITEM'!#REF!))-ROW('ROMANEIO POR ITEM'!#REF!)+1), ROW(A158)))), "")</f>
        <v/>
      </c>
      <c r="B159" t="str">
        <f>IF(A159="", "", VLOOKUP(A159, 'ROMANEIO POR ITEM'!#REF!, 2, FALSE))</f>
        <v/>
      </c>
      <c r="C159" t="str">
        <f>IF(A159="", "", VLOOKUP(A159, 'ROMANEIO POR ITEM'!#REF!, 3, FALSE))</f>
        <v/>
      </c>
      <c r="D159" t="str">
        <f>IF(A159="", "", VLOOKUP(A159, 'ROMANEIO POR ITEM'!#REF!, 4, FALSE))</f>
        <v/>
      </c>
      <c r="E159" t="str">
        <f>IF(A159="", "", VLOOKUP(A159, 'ROMANEIO POR ITEM'!#REF!, 5, FALSE))</f>
        <v/>
      </c>
      <c r="F159" t="str">
        <f>IF(A159="", "", VLOOKUP(A159, 'ROMANEIO POR ITEM'!#REF!, 6, FALSE))</f>
        <v/>
      </c>
    </row>
    <row r="160" spans="1:6">
      <c r="A160" t="str">
        <f>IFERROR(_xlfn.SINGLE(INDEX('ROMANEIO POR ITEM'!#REF!, SMALL(IF(_xlfn.SINGLE('ROMANEIO POR ITEM'!#REF!)&lt;&gt;0,_xlfn.SINGLE( ROW('ROMANEIO POR ITEM'!#REF!))-ROW('ROMANEIO POR ITEM'!#REF!)+1), ROW(A159)))), "")</f>
        <v/>
      </c>
      <c r="B160" t="str">
        <f>IF(A160="", "", VLOOKUP(A160, 'ROMANEIO POR ITEM'!#REF!, 2, FALSE))</f>
        <v/>
      </c>
      <c r="C160" t="str">
        <f>IF(A160="", "", VLOOKUP(A160, 'ROMANEIO POR ITEM'!#REF!, 3, FALSE))</f>
        <v/>
      </c>
      <c r="D160" t="str">
        <f>IF(A160="", "", VLOOKUP(A160, 'ROMANEIO POR ITEM'!#REF!, 4, FALSE))</f>
        <v/>
      </c>
      <c r="E160" t="str">
        <f>IF(A160="", "", VLOOKUP(A160, 'ROMANEIO POR ITEM'!#REF!, 5, FALSE))</f>
        <v/>
      </c>
      <c r="F160" t="str">
        <f>IF(A160="", "", VLOOKUP(A160, 'ROMANEIO POR ITEM'!#REF!, 6, FALSE))</f>
        <v/>
      </c>
    </row>
    <row r="161" spans="1:6">
      <c r="A161" t="str">
        <f>IFERROR(_xlfn.SINGLE(INDEX('ROMANEIO POR ITEM'!#REF!, SMALL(IF(_xlfn.SINGLE('ROMANEIO POR ITEM'!#REF!)&lt;&gt;0,_xlfn.SINGLE( ROW('ROMANEIO POR ITEM'!#REF!))-ROW('ROMANEIO POR ITEM'!#REF!)+1), ROW(A160)))), "")</f>
        <v/>
      </c>
      <c r="B161" t="str">
        <f>IF(A161="", "", VLOOKUP(A161, 'ROMANEIO POR ITEM'!#REF!, 2, FALSE))</f>
        <v/>
      </c>
      <c r="C161" t="str">
        <f>IF(A161="", "", VLOOKUP(A161, 'ROMANEIO POR ITEM'!#REF!, 3, FALSE))</f>
        <v/>
      </c>
      <c r="D161" t="str">
        <f>IF(A161="", "", VLOOKUP(A161, 'ROMANEIO POR ITEM'!#REF!, 4, FALSE))</f>
        <v/>
      </c>
      <c r="E161" t="str">
        <f>IF(A161="", "", VLOOKUP(A161, 'ROMANEIO POR ITEM'!#REF!, 5, FALSE))</f>
        <v/>
      </c>
      <c r="F161" t="str">
        <f>IF(A161="", "", VLOOKUP(A161, 'ROMANEIO POR ITEM'!#REF!, 6, FALSE))</f>
        <v/>
      </c>
    </row>
    <row r="162" spans="1:6">
      <c r="A162" t="str">
        <f>IFERROR(_xlfn.SINGLE(INDEX('ROMANEIO POR ITEM'!#REF!, SMALL(IF(_xlfn.SINGLE('ROMANEIO POR ITEM'!#REF!)&lt;&gt;0,_xlfn.SINGLE( ROW('ROMANEIO POR ITEM'!#REF!))-ROW('ROMANEIO POR ITEM'!#REF!)+1), ROW(A161)))), "")</f>
        <v/>
      </c>
      <c r="B162" t="str">
        <f>IF(A162="", "", VLOOKUP(A162, 'ROMANEIO POR ITEM'!#REF!, 2, FALSE))</f>
        <v/>
      </c>
      <c r="C162" t="str">
        <f>IF(A162="", "", VLOOKUP(A162, 'ROMANEIO POR ITEM'!#REF!, 3, FALSE))</f>
        <v/>
      </c>
      <c r="D162" t="str">
        <f>IF(A162="", "", VLOOKUP(A162, 'ROMANEIO POR ITEM'!#REF!, 4, FALSE))</f>
        <v/>
      </c>
      <c r="E162" t="str">
        <f>IF(A162="", "", VLOOKUP(A162, 'ROMANEIO POR ITEM'!#REF!, 5, FALSE))</f>
        <v/>
      </c>
      <c r="F162" t="str">
        <f>IF(A162="", "", VLOOKUP(A162, 'ROMANEIO POR ITEM'!#REF!, 6, FALSE))</f>
        <v/>
      </c>
    </row>
    <row r="163" spans="1:6">
      <c r="A163" t="str">
        <f>IFERROR(_xlfn.SINGLE(INDEX('ROMANEIO POR ITEM'!#REF!, SMALL(IF(_xlfn.SINGLE('ROMANEIO POR ITEM'!#REF!)&lt;&gt;0,_xlfn.SINGLE( ROW('ROMANEIO POR ITEM'!#REF!))-ROW('ROMANEIO POR ITEM'!#REF!)+1), ROW(A162)))), "")</f>
        <v/>
      </c>
      <c r="B163" t="str">
        <f>IF(A163="", "", VLOOKUP(A163, 'ROMANEIO POR ITEM'!#REF!, 2, FALSE))</f>
        <v/>
      </c>
      <c r="C163" t="str">
        <f>IF(A163="", "", VLOOKUP(A163, 'ROMANEIO POR ITEM'!#REF!, 3, FALSE))</f>
        <v/>
      </c>
      <c r="D163" t="str">
        <f>IF(A163="", "", VLOOKUP(A163, 'ROMANEIO POR ITEM'!#REF!, 4, FALSE))</f>
        <v/>
      </c>
      <c r="E163" t="str">
        <f>IF(A163="", "", VLOOKUP(A163, 'ROMANEIO POR ITEM'!#REF!, 5, FALSE))</f>
        <v/>
      </c>
      <c r="F163" t="str">
        <f>IF(A163="", "", VLOOKUP(A163, 'ROMANEIO POR ITEM'!#REF!, 6, FALSE))</f>
        <v/>
      </c>
    </row>
    <row r="164" spans="1:6">
      <c r="A164" t="str">
        <f>IFERROR(_xlfn.SINGLE(INDEX('ROMANEIO POR ITEM'!#REF!, SMALL(IF(_xlfn.SINGLE('ROMANEIO POR ITEM'!#REF!)&lt;&gt;0,_xlfn.SINGLE( ROW('ROMANEIO POR ITEM'!#REF!))-ROW('ROMANEIO POR ITEM'!#REF!)+1), ROW(A163)))), "")</f>
        <v/>
      </c>
      <c r="B164" t="str">
        <f>IF(A164="", "", VLOOKUP(A164, 'ROMANEIO POR ITEM'!#REF!, 2, FALSE))</f>
        <v/>
      </c>
      <c r="C164" t="str">
        <f>IF(A164="", "", VLOOKUP(A164, 'ROMANEIO POR ITEM'!#REF!, 3, FALSE))</f>
        <v/>
      </c>
      <c r="D164" t="str">
        <f>IF(A164="", "", VLOOKUP(A164, 'ROMANEIO POR ITEM'!#REF!, 4, FALSE))</f>
        <v/>
      </c>
      <c r="E164" t="str">
        <f>IF(A164="", "", VLOOKUP(A164, 'ROMANEIO POR ITEM'!#REF!, 5, FALSE))</f>
        <v/>
      </c>
      <c r="F164" t="str">
        <f>IF(A164="", "", VLOOKUP(A164, 'ROMANEIO POR ITEM'!#REF!, 6, FALSE))</f>
        <v/>
      </c>
    </row>
    <row r="165" spans="1:6">
      <c r="A165" t="str">
        <f>IFERROR(_xlfn.SINGLE(INDEX('ROMANEIO POR ITEM'!#REF!, SMALL(IF(_xlfn.SINGLE('ROMANEIO POR ITEM'!#REF!)&lt;&gt;0,_xlfn.SINGLE( ROW('ROMANEIO POR ITEM'!#REF!))-ROW('ROMANEIO POR ITEM'!#REF!)+1), ROW(A164)))), "")</f>
        <v/>
      </c>
      <c r="B165" t="str">
        <f>IF(A165="", "", VLOOKUP(A165, 'ROMANEIO POR ITEM'!#REF!, 2, FALSE))</f>
        <v/>
      </c>
      <c r="C165" t="str">
        <f>IF(A165="", "", VLOOKUP(A165, 'ROMANEIO POR ITEM'!#REF!, 3, FALSE))</f>
        <v/>
      </c>
      <c r="D165" t="str">
        <f>IF(A165="", "", VLOOKUP(A165, 'ROMANEIO POR ITEM'!#REF!, 4, FALSE))</f>
        <v/>
      </c>
      <c r="E165" t="str">
        <f>IF(A165="", "", VLOOKUP(A165, 'ROMANEIO POR ITEM'!#REF!, 5, FALSE))</f>
        <v/>
      </c>
      <c r="F165" t="str">
        <f>IF(A165="", "", VLOOKUP(A165, 'ROMANEIO POR ITEM'!#REF!, 6, FALSE))</f>
        <v/>
      </c>
    </row>
    <row r="166" spans="1:6">
      <c r="A166" t="str">
        <f>IFERROR(_xlfn.SINGLE(INDEX('ROMANEIO POR ITEM'!#REF!, SMALL(IF(_xlfn.SINGLE('ROMANEIO POR ITEM'!#REF!)&lt;&gt;0,_xlfn.SINGLE( ROW('ROMANEIO POR ITEM'!#REF!))-ROW('ROMANEIO POR ITEM'!#REF!)+1), ROW(A165)))), "")</f>
        <v/>
      </c>
      <c r="B166" t="str">
        <f>IF(A166="", "", VLOOKUP(A166, 'ROMANEIO POR ITEM'!#REF!, 2, FALSE))</f>
        <v/>
      </c>
      <c r="C166" t="str">
        <f>IF(A166="", "", VLOOKUP(A166, 'ROMANEIO POR ITEM'!#REF!, 3, FALSE))</f>
        <v/>
      </c>
      <c r="D166" t="str">
        <f>IF(A166="", "", VLOOKUP(A166, 'ROMANEIO POR ITEM'!#REF!, 4, FALSE))</f>
        <v/>
      </c>
      <c r="E166" t="str">
        <f>IF(A166="", "", VLOOKUP(A166, 'ROMANEIO POR ITEM'!#REF!, 5, FALSE))</f>
        <v/>
      </c>
      <c r="F166" t="str">
        <f>IF(A166="", "", VLOOKUP(A166, 'ROMANEIO POR ITEM'!#REF!, 6, FALSE))</f>
        <v/>
      </c>
    </row>
    <row r="167" spans="1:6">
      <c r="A167" t="str">
        <f>IFERROR(_xlfn.SINGLE(INDEX('ROMANEIO POR ITEM'!#REF!, SMALL(IF(_xlfn.SINGLE('ROMANEIO POR ITEM'!#REF!)&lt;&gt;0,_xlfn.SINGLE( ROW('ROMANEIO POR ITEM'!#REF!))-ROW('ROMANEIO POR ITEM'!#REF!)+1), ROW(A166)))), "")</f>
        <v/>
      </c>
      <c r="B167" t="str">
        <f>IF(A167="", "", VLOOKUP(A167, 'ROMANEIO POR ITEM'!#REF!, 2, FALSE))</f>
        <v/>
      </c>
      <c r="C167" t="str">
        <f>IF(A167="", "", VLOOKUP(A167, 'ROMANEIO POR ITEM'!#REF!, 3, FALSE))</f>
        <v/>
      </c>
      <c r="D167" t="str">
        <f>IF(A167="", "", VLOOKUP(A167, 'ROMANEIO POR ITEM'!#REF!, 4, FALSE))</f>
        <v/>
      </c>
      <c r="E167" t="str">
        <f>IF(A167="", "", VLOOKUP(A167, 'ROMANEIO POR ITEM'!#REF!, 5, FALSE))</f>
        <v/>
      </c>
      <c r="F167" t="str">
        <f>IF(A167="", "", VLOOKUP(A167, 'ROMANEIO POR ITEM'!#REF!, 6, FALSE))</f>
        <v/>
      </c>
    </row>
    <row r="168" spans="1:6">
      <c r="A168" t="str">
        <f>IFERROR(_xlfn.SINGLE(INDEX('ROMANEIO POR ITEM'!#REF!, SMALL(IF(_xlfn.SINGLE('ROMANEIO POR ITEM'!#REF!)&lt;&gt;0,_xlfn.SINGLE( ROW('ROMANEIO POR ITEM'!#REF!))-ROW('ROMANEIO POR ITEM'!#REF!)+1), ROW(A167)))), "")</f>
        <v/>
      </c>
      <c r="B168" t="str">
        <f>IF(A168="", "", VLOOKUP(A168, 'ROMANEIO POR ITEM'!#REF!, 2, FALSE))</f>
        <v/>
      </c>
      <c r="C168" t="str">
        <f>IF(A168="", "", VLOOKUP(A168, 'ROMANEIO POR ITEM'!#REF!, 3, FALSE))</f>
        <v/>
      </c>
      <c r="D168" t="str">
        <f>IF(A168="", "", VLOOKUP(A168, 'ROMANEIO POR ITEM'!#REF!, 4, FALSE))</f>
        <v/>
      </c>
      <c r="E168" t="str">
        <f>IF(A168="", "", VLOOKUP(A168, 'ROMANEIO POR ITEM'!#REF!, 5, FALSE))</f>
        <v/>
      </c>
      <c r="F168" t="str">
        <f>IF(A168="", "", VLOOKUP(A168, 'ROMANEIO POR ITEM'!#REF!, 6, FALSE))</f>
        <v/>
      </c>
    </row>
    <row r="169" spans="1:6">
      <c r="A169" t="str">
        <f>IFERROR(_xlfn.SINGLE(INDEX('ROMANEIO POR ITEM'!#REF!, SMALL(IF(_xlfn.SINGLE('ROMANEIO POR ITEM'!#REF!)&lt;&gt;0,_xlfn.SINGLE( ROW('ROMANEIO POR ITEM'!#REF!))-ROW('ROMANEIO POR ITEM'!#REF!)+1), ROW(A168)))), "")</f>
        <v/>
      </c>
      <c r="B169" t="str">
        <f>IF(A169="", "", VLOOKUP(A169, 'ROMANEIO POR ITEM'!#REF!, 2, FALSE))</f>
        <v/>
      </c>
      <c r="C169" t="str">
        <f>IF(A169="", "", VLOOKUP(A169, 'ROMANEIO POR ITEM'!#REF!, 3, FALSE))</f>
        <v/>
      </c>
      <c r="D169" t="str">
        <f>IF(A169="", "", VLOOKUP(A169, 'ROMANEIO POR ITEM'!#REF!, 4, FALSE))</f>
        <v/>
      </c>
      <c r="E169" t="str">
        <f>IF(A169="", "", VLOOKUP(A169, 'ROMANEIO POR ITEM'!#REF!, 5, FALSE))</f>
        <v/>
      </c>
      <c r="F169" t="str">
        <f>IF(A169="", "", VLOOKUP(A169, 'ROMANEIO POR ITEM'!#REF!, 6, FALSE))</f>
        <v/>
      </c>
    </row>
    <row r="170" spans="1:6">
      <c r="A170" t="str">
        <f>IFERROR(_xlfn.SINGLE(INDEX('ROMANEIO POR ITEM'!#REF!, SMALL(IF(_xlfn.SINGLE('ROMANEIO POR ITEM'!#REF!)&lt;&gt;0,_xlfn.SINGLE( ROW('ROMANEIO POR ITEM'!#REF!))-ROW('ROMANEIO POR ITEM'!#REF!)+1), ROW(A169)))), "")</f>
        <v/>
      </c>
      <c r="B170" t="str">
        <f>IF(A170="", "", VLOOKUP(A170, 'ROMANEIO POR ITEM'!#REF!, 2, FALSE))</f>
        <v/>
      </c>
      <c r="C170" t="str">
        <f>IF(A170="", "", VLOOKUP(A170, 'ROMANEIO POR ITEM'!#REF!, 3, FALSE))</f>
        <v/>
      </c>
      <c r="D170" t="str">
        <f>IF(A170="", "", VLOOKUP(A170, 'ROMANEIO POR ITEM'!#REF!, 4, FALSE))</f>
        <v/>
      </c>
      <c r="E170" t="str">
        <f>IF(A170="", "", VLOOKUP(A170, 'ROMANEIO POR ITEM'!#REF!, 5, FALSE))</f>
        <v/>
      </c>
      <c r="F170" t="str">
        <f>IF(A170="", "", VLOOKUP(A170, 'ROMANEIO POR ITEM'!#REF!, 6, FALSE))</f>
        <v/>
      </c>
    </row>
    <row r="171" spans="1:6">
      <c r="A171" t="str">
        <f>IFERROR(_xlfn.SINGLE(INDEX('ROMANEIO POR ITEM'!#REF!, SMALL(IF(_xlfn.SINGLE('ROMANEIO POR ITEM'!#REF!)&lt;&gt;0,_xlfn.SINGLE( ROW('ROMANEIO POR ITEM'!#REF!))-ROW('ROMANEIO POR ITEM'!#REF!)+1), ROW(A170)))), "")</f>
        <v/>
      </c>
      <c r="B171" t="str">
        <f>IF(A171="", "", VLOOKUP(A171, 'ROMANEIO POR ITEM'!#REF!, 2, FALSE))</f>
        <v/>
      </c>
      <c r="C171" t="str">
        <f>IF(A171="", "", VLOOKUP(A171, 'ROMANEIO POR ITEM'!#REF!, 3, FALSE))</f>
        <v/>
      </c>
      <c r="D171" t="str">
        <f>IF(A171="", "", VLOOKUP(A171, 'ROMANEIO POR ITEM'!#REF!, 4, FALSE))</f>
        <v/>
      </c>
      <c r="E171" t="str">
        <f>IF(A171="", "", VLOOKUP(A171, 'ROMANEIO POR ITEM'!#REF!, 5, FALSE))</f>
        <v/>
      </c>
      <c r="F171" t="str">
        <f>IF(A171="", "", VLOOKUP(A171, 'ROMANEIO POR ITEM'!#REF!, 6, FALSE))</f>
        <v/>
      </c>
    </row>
    <row r="172" spans="1:6">
      <c r="A172" t="str">
        <f>IFERROR(_xlfn.SINGLE(INDEX('ROMANEIO POR ITEM'!#REF!, SMALL(IF(_xlfn.SINGLE('ROMANEIO POR ITEM'!#REF!)&lt;&gt;0,_xlfn.SINGLE( ROW('ROMANEIO POR ITEM'!#REF!))-ROW('ROMANEIO POR ITEM'!#REF!)+1), ROW(A171)))), "")</f>
        <v/>
      </c>
      <c r="B172" t="str">
        <f>IF(A172="", "", VLOOKUP(A172, 'ROMANEIO POR ITEM'!#REF!, 2, FALSE))</f>
        <v/>
      </c>
      <c r="C172" t="str">
        <f>IF(A172="", "", VLOOKUP(A172, 'ROMANEIO POR ITEM'!#REF!, 3, FALSE))</f>
        <v/>
      </c>
      <c r="D172" t="str">
        <f>IF(A172="", "", VLOOKUP(A172, 'ROMANEIO POR ITEM'!#REF!, 4, FALSE))</f>
        <v/>
      </c>
      <c r="E172" t="str">
        <f>IF(A172="", "", VLOOKUP(A172, 'ROMANEIO POR ITEM'!#REF!, 5, FALSE))</f>
        <v/>
      </c>
      <c r="F172" t="str">
        <f>IF(A172="", "", VLOOKUP(A172, 'ROMANEIO POR ITEM'!#REF!, 6, FALSE))</f>
        <v/>
      </c>
    </row>
    <row r="173" spans="1:6">
      <c r="A173" t="str">
        <f>IFERROR(_xlfn.SINGLE(INDEX('ROMANEIO POR ITEM'!#REF!, SMALL(IF(_xlfn.SINGLE('ROMANEIO POR ITEM'!#REF!)&lt;&gt;0,_xlfn.SINGLE( ROW('ROMANEIO POR ITEM'!#REF!))-ROW('ROMANEIO POR ITEM'!#REF!)+1), ROW(A172)))), "")</f>
        <v/>
      </c>
      <c r="B173" t="str">
        <f>IF(A173="", "", VLOOKUP(A173, 'ROMANEIO POR ITEM'!#REF!, 2, FALSE))</f>
        <v/>
      </c>
      <c r="C173" t="str">
        <f>IF(A173="", "", VLOOKUP(A173, 'ROMANEIO POR ITEM'!#REF!, 3, FALSE))</f>
        <v/>
      </c>
      <c r="D173" t="str">
        <f>IF(A173="", "", VLOOKUP(A173, 'ROMANEIO POR ITEM'!#REF!, 4, FALSE))</f>
        <v/>
      </c>
      <c r="E173" t="str">
        <f>IF(A173="", "", VLOOKUP(A173, 'ROMANEIO POR ITEM'!#REF!, 5, FALSE))</f>
        <v/>
      </c>
      <c r="F173" t="str">
        <f>IF(A173="", "", VLOOKUP(A173, 'ROMANEIO POR ITEM'!#REF!, 6, FALSE))</f>
        <v/>
      </c>
    </row>
    <row r="174" spans="1:6">
      <c r="A174" t="str">
        <f>IFERROR(_xlfn.SINGLE(INDEX('ROMANEIO POR ITEM'!#REF!, SMALL(IF(_xlfn.SINGLE('ROMANEIO POR ITEM'!#REF!)&lt;&gt;0,_xlfn.SINGLE( ROW('ROMANEIO POR ITEM'!#REF!))-ROW('ROMANEIO POR ITEM'!#REF!)+1), ROW(A173)))), "")</f>
        <v/>
      </c>
      <c r="B174" t="str">
        <f>IF(A174="", "", VLOOKUP(A174, 'ROMANEIO POR ITEM'!#REF!, 2, FALSE))</f>
        <v/>
      </c>
      <c r="C174" t="str">
        <f>IF(A174="", "", VLOOKUP(A174, 'ROMANEIO POR ITEM'!#REF!, 3, FALSE))</f>
        <v/>
      </c>
      <c r="D174" t="str">
        <f>IF(A174="", "", VLOOKUP(A174, 'ROMANEIO POR ITEM'!#REF!, 4, FALSE))</f>
        <v/>
      </c>
      <c r="E174" t="str">
        <f>IF(A174="", "", VLOOKUP(A174, 'ROMANEIO POR ITEM'!#REF!, 5, FALSE))</f>
        <v/>
      </c>
      <c r="F174" t="str">
        <f>IF(A174="", "", VLOOKUP(A174, 'ROMANEIO POR ITEM'!#REF!, 6, FALSE))</f>
        <v/>
      </c>
    </row>
    <row r="175" spans="1:6">
      <c r="A175" t="str">
        <f>IFERROR(_xlfn.SINGLE(INDEX('ROMANEIO POR ITEM'!#REF!, SMALL(IF(_xlfn.SINGLE('ROMANEIO POR ITEM'!#REF!)&lt;&gt;0,_xlfn.SINGLE( ROW('ROMANEIO POR ITEM'!#REF!))-ROW('ROMANEIO POR ITEM'!#REF!)+1), ROW(A174)))), "")</f>
        <v/>
      </c>
      <c r="B175" t="str">
        <f>IF(A175="", "", VLOOKUP(A175, 'ROMANEIO POR ITEM'!#REF!, 2, FALSE))</f>
        <v/>
      </c>
      <c r="C175" t="str">
        <f>IF(A175="", "", VLOOKUP(A175, 'ROMANEIO POR ITEM'!#REF!, 3, FALSE))</f>
        <v/>
      </c>
      <c r="D175" t="str">
        <f>IF(A175="", "", VLOOKUP(A175, 'ROMANEIO POR ITEM'!#REF!, 4, FALSE))</f>
        <v/>
      </c>
      <c r="E175" t="str">
        <f>IF(A175="", "", VLOOKUP(A175, 'ROMANEIO POR ITEM'!#REF!, 5, FALSE))</f>
        <v/>
      </c>
      <c r="F175" t="str">
        <f>IF(A175="", "", VLOOKUP(A175, 'ROMANEIO POR ITEM'!#REF!, 6, FALSE))</f>
        <v/>
      </c>
    </row>
    <row r="176" spans="1:6">
      <c r="A176" t="str">
        <f>IFERROR(_xlfn.SINGLE(INDEX('ROMANEIO POR ITEM'!#REF!, SMALL(IF(_xlfn.SINGLE('ROMANEIO POR ITEM'!#REF!)&lt;&gt;0,_xlfn.SINGLE( ROW('ROMANEIO POR ITEM'!#REF!))-ROW('ROMANEIO POR ITEM'!#REF!)+1), ROW(A175)))), "")</f>
        <v/>
      </c>
      <c r="B176" t="str">
        <f>IF(A176="", "", VLOOKUP(A176, 'ROMANEIO POR ITEM'!#REF!, 2, FALSE))</f>
        <v/>
      </c>
      <c r="C176" t="str">
        <f>IF(A176="", "", VLOOKUP(A176, 'ROMANEIO POR ITEM'!#REF!, 3, FALSE))</f>
        <v/>
      </c>
      <c r="D176" t="str">
        <f>IF(A176="", "", VLOOKUP(A176, 'ROMANEIO POR ITEM'!#REF!, 4, FALSE))</f>
        <v/>
      </c>
      <c r="E176" t="str">
        <f>IF(A176="", "", VLOOKUP(A176, 'ROMANEIO POR ITEM'!#REF!, 5, FALSE))</f>
        <v/>
      </c>
      <c r="F176" t="str">
        <f>IF(A176="", "", VLOOKUP(A176, 'ROMANEIO POR ITEM'!#REF!, 6, FALSE))</f>
        <v/>
      </c>
    </row>
    <row r="177" spans="1:6">
      <c r="A177" t="str">
        <f>IFERROR(_xlfn.SINGLE(INDEX('ROMANEIO POR ITEM'!#REF!, SMALL(IF(_xlfn.SINGLE('ROMANEIO POR ITEM'!#REF!)&lt;&gt;0,_xlfn.SINGLE( ROW('ROMANEIO POR ITEM'!#REF!))-ROW('ROMANEIO POR ITEM'!#REF!)+1), ROW(A176)))), "")</f>
        <v/>
      </c>
      <c r="B177" t="str">
        <f>IF(A177="", "", VLOOKUP(A177, 'ROMANEIO POR ITEM'!#REF!, 2, FALSE))</f>
        <v/>
      </c>
      <c r="C177" t="str">
        <f>IF(A177="", "", VLOOKUP(A177, 'ROMANEIO POR ITEM'!#REF!, 3, FALSE))</f>
        <v/>
      </c>
      <c r="D177" t="str">
        <f>IF(A177="", "", VLOOKUP(A177, 'ROMANEIO POR ITEM'!#REF!, 4, FALSE))</f>
        <v/>
      </c>
      <c r="E177" t="str">
        <f>IF(A177="", "", VLOOKUP(A177, 'ROMANEIO POR ITEM'!#REF!, 5, FALSE))</f>
        <v/>
      </c>
      <c r="F177" t="str">
        <f>IF(A177="", "", VLOOKUP(A177, 'ROMANEIO POR ITEM'!#REF!, 6, FALSE))</f>
        <v/>
      </c>
    </row>
    <row r="178" spans="1:6">
      <c r="A178" t="str">
        <f>IFERROR(_xlfn.SINGLE(INDEX('ROMANEIO POR ITEM'!#REF!, SMALL(IF(_xlfn.SINGLE('ROMANEIO POR ITEM'!#REF!)&lt;&gt;0,_xlfn.SINGLE( ROW('ROMANEIO POR ITEM'!#REF!))-ROW('ROMANEIO POR ITEM'!#REF!)+1), ROW(A177)))), "")</f>
        <v/>
      </c>
      <c r="B178" t="str">
        <f>IF(A178="", "", VLOOKUP(A178, 'ROMANEIO POR ITEM'!#REF!, 2, FALSE))</f>
        <v/>
      </c>
      <c r="C178" t="str">
        <f>IF(A178="", "", VLOOKUP(A178, 'ROMANEIO POR ITEM'!#REF!, 3, FALSE))</f>
        <v/>
      </c>
      <c r="D178" t="str">
        <f>IF(A178="", "", VLOOKUP(A178, 'ROMANEIO POR ITEM'!#REF!, 4, FALSE))</f>
        <v/>
      </c>
      <c r="E178" t="str">
        <f>IF(A178="", "", VLOOKUP(A178, 'ROMANEIO POR ITEM'!#REF!, 5, FALSE))</f>
        <v/>
      </c>
      <c r="F178" t="str">
        <f>IF(A178="", "", VLOOKUP(A178, 'ROMANEIO POR ITEM'!#REF!, 6, FALSE))</f>
        <v/>
      </c>
    </row>
    <row r="179" spans="1:6">
      <c r="A179" t="str">
        <f>IFERROR(_xlfn.SINGLE(INDEX('ROMANEIO POR ITEM'!#REF!, SMALL(IF(_xlfn.SINGLE('ROMANEIO POR ITEM'!#REF!)&lt;&gt;0,_xlfn.SINGLE( ROW('ROMANEIO POR ITEM'!#REF!))-ROW('ROMANEIO POR ITEM'!#REF!)+1), ROW(A178)))), "")</f>
        <v/>
      </c>
      <c r="B179" t="str">
        <f>IF(A179="", "", VLOOKUP(A179, 'ROMANEIO POR ITEM'!#REF!, 2, FALSE))</f>
        <v/>
      </c>
      <c r="C179" t="str">
        <f>IF(A179="", "", VLOOKUP(A179, 'ROMANEIO POR ITEM'!#REF!, 3, FALSE))</f>
        <v/>
      </c>
      <c r="D179" t="str">
        <f>IF(A179="", "", VLOOKUP(A179, 'ROMANEIO POR ITEM'!#REF!, 4, FALSE))</f>
        <v/>
      </c>
      <c r="E179" t="str">
        <f>IF(A179="", "", VLOOKUP(A179, 'ROMANEIO POR ITEM'!#REF!, 5, FALSE))</f>
        <v/>
      </c>
      <c r="F179" t="str">
        <f>IF(A179="", "", VLOOKUP(A179, 'ROMANEIO POR ITEM'!#REF!, 6, FALSE))</f>
        <v/>
      </c>
    </row>
    <row r="180" spans="1:6">
      <c r="A180" t="str">
        <f>IFERROR(_xlfn.SINGLE(INDEX('ROMANEIO POR ITEM'!#REF!, SMALL(IF(_xlfn.SINGLE('ROMANEIO POR ITEM'!#REF!)&lt;&gt;0,_xlfn.SINGLE( ROW('ROMANEIO POR ITEM'!#REF!))-ROW('ROMANEIO POR ITEM'!#REF!)+1), ROW(A179)))), "")</f>
        <v/>
      </c>
      <c r="B180" t="str">
        <f>IF(A180="", "", VLOOKUP(A180, 'ROMANEIO POR ITEM'!#REF!, 2, FALSE))</f>
        <v/>
      </c>
      <c r="C180" t="str">
        <f>IF(A180="", "", VLOOKUP(A180, 'ROMANEIO POR ITEM'!#REF!, 3, FALSE))</f>
        <v/>
      </c>
      <c r="D180" t="str">
        <f>IF(A180="", "", VLOOKUP(A180, 'ROMANEIO POR ITEM'!#REF!, 4, FALSE))</f>
        <v/>
      </c>
      <c r="E180" t="str">
        <f>IF(A180="", "", VLOOKUP(A180, 'ROMANEIO POR ITEM'!#REF!, 5, FALSE))</f>
        <v/>
      </c>
      <c r="F180" t="str">
        <f>IF(A180="", "", VLOOKUP(A180, 'ROMANEIO POR ITEM'!#REF!, 6, FALSE))</f>
        <v/>
      </c>
    </row>
    <row r="181" spans="1:6">
      <c r="A181" t="str">
        <f>IFERROR(_xlfn.SINGLE(INDEX('ROMANEIO POR ITEM'!#REF!, SMALL(IF(_xlfn.SINGLE('ROMANEIO POR ITEM'!#REF!)&lt;&gt;0,_xlfn.SINGLE( ROW('ROMANEIO POR ITEM'!#REF!))-ROW('ROMANEIO POR ITEM'!#REF!)+1), ROW(A180)))), "")</f>
        <v/>
      </c>
      <c r="B181" t="str">
        <f>IF(A181="", "", VLOOKUP(A181, 'ROMANEIO POR ITEM'!#REF!, 2, FALSE))</f>
        <v/>
      </c>
      <c r="C181" t="str">
        <f>IF(A181="", "", VLOOKUP(A181, 'ROMANEIO POR ITEM'!#REF!, 3, FALSE))</f>
        <v/>
      </c>
      <c r="D181" t="str">
        <f>IF(A181="", "", VLOOKUP(A181, 'ROMANEIO POR ITEM'!#REF!, 4, FALSE))</f>
        <v/>
      </c>
      <c r="E181" t="str">
        <f>IF(A181="", "", VLOOKUP(A181, 'ROMANEIO POR ITEM'!#REF!, 5, FALSE))</f>
        <v/>
      </c>
      <c r="F181" t="str">
        <f>IF(A181="", "", VLOOKUP(A181, 'ROMANEIO POR ITEM'!#REF!, 6, FALSE))</f>
        <v/>
      </c>
    </row>
    <row r="182" spans="1:6">
      <c r="A182" t="str">
        <f>IFERROR(_xlfn.SINGLE(INDEX('ROMANEIO POR ITEM'!#REF!, SMALL(IF(_xlfn.SINGLE('ROMANEIO POR ITEM'!#REF!)&lt;&gt;0,_xlfn.SINGLE( ROW('ROMANEIO POR ITEM'!#REF!))-ROW('ROMANEIO POR ITEM'!#REF!)+1), ROW(A181)))), "")</f>
        <v/>
      </c>
      <c r="B182" t="str">
        <f>IF(A182="", "", VLOOKUP(A182, 'ROMANEIO POR ITEM'!#REF!, 2, FALSE))</f>
        <v/>
      </c>
      <c r="C182" t="str">
        <f>IF(A182="", "", VLOOKUP(A182, 'ROMANEIO POR ITEM'!#REF!, 3, FALSE))</f>
        <v/>
      </c>
      <c r="D182" t="str">
        <f>IF(A182="", "", VLOOKUP(A182, 'ROMANEIO POR ITEM'!#REF!, 4, FALSE))</f>
        <v/>
      </c>
      <c r="E182" t="str">
        <f>IF(A182="", "", VLOOKUP(A182, 'ROMANEIO POR ITEM'!#REF!, 5, FALSE))</f>
        <v/>
      </c>
      <c r="F182" t="str">
        <f>IF(A182="", "", VLOOKUP(A182, 'ROMANEIO POR ITEM'!#REF!, 6, FALSE))</f>
        <v/>
      </c>
    </row>
    <row r="183" spans="1:6">
      <c r="A183" t="str">
        <f>IFERROR(_xlfn.SINGLE(INDEX('ROMANEIO POR ITEM'!#REF!, SMALL(IF(_xlfn.SINGLE('ROMANEIO POR ITEM'!#REF!)&lt;&gt;0,_xlfn.SINGLE( ROW('ROMANEIO POR ITEM'!#REF!))-ROW('ROMANEIO POR ITEM'!#REF!)+1), ROW(A182)))), "")</f>
        <v/>
      </c>
      <c r="B183" t="str">
        <f>IF(A183="", "", VLOOKUP(A183, 'ROMANEIO POR ITEM'!#REF!, 2, FALSE))</f>
        <v/>
      </c>
      <c r="C183" t="str">
        <f>IF(A183="", "", VLOOKUP(A183, 'ROMANEIO POR ITEM'!#REF!, 3, FALSE))</f>
        <v/>
      </c>
      <c r="D183" t="str">
        <f>IF(A183="", "", VLOOKUP(A183, 'ROMANEIO POR ITEM'!#REF!, 4, FALSE))</f>
        <v/>
      </c>
      <c r="E183" t="str">
        <f>IF(A183="", "", VLOOKUP(A183, 'ROMANEIO POR ITEM'!#REF!, 5, FALSE))</f>
        <v/>
      </c>
      <c r="F183" t="str">
        <f>IF(A183="", "", VLOOKUP(A183, 'ROMANEIO POR ITEM'!#REF!, 6, FALSE))</f>
        <v/>
      </c>
    </row>
    <row r="184" spans="1:6">
      <c r="A184" t="str">
        <f>IFERROR(_xlfn.SINGLE(INDEX('ROMANEIO POR ITEM'!#REF!, SMALL(IF(_xlfn.SINGLE('ROMANEIO POR ITEM'!#REF!)&lt;&gt;0,_xlfn.SINGLE( ROW('ROMANEIO POR ITEM'!#REF!))-ROW('ROMANEIO POR ITEM'!#REF!)+1), ROW(A183)))), "")</f>
        <v/>
      </c>
      <c r="B184" t="str">
        <f>IF(A184="", "", VLOOKUP(A184, 'ROMANEIO POR ITEM'!#REF!, 2, FALSE))</f>
        <v/>
      </c>
      <c r="C184" t="str">
        <f>IF(A184="", "", VLOOKUP(A184, 'ROMANEIO POR ITEM'!#REF!, 3, FALSE))</f>
        <v/>
      </c>
      <c r="D184" t="str">
        <f>IF(A184="", "", VLOOKUP(A184, 'ROMANEIO POR ITEM'!#REF!, 4, FALSE))</f>
        <v/>
      </c>
      <c r="E184" t="str">
        <f>IF(A184="", "", VLOOKUP(A184, 'ROMANEIO POR ITEM'!#REF!, 5, FALSE))</f>
        <v/>
      </c>
      <c r="F184" t="str">
        <f>IF(A184="", "", VLOOKUP(A184, 'ROMANEIO POR ITEM'!#REF!, 6, FALSE))</f>
        <v/>
      </c>
    </row>
    <row r="185" spans="1:6">
      <c r="A185" t="str">
        <f>IFERROR(_xlfn.SINGLE(INDEX('ROMANEIO POR ITEM'!#REF!, SMALL(IF(_xlfn.SINGLE('ROMANEIO POR ITEM'!#REF!)&lt;&gt;0,_xlfn.SINGLE( ROW('ROMANEIO POR ITEM'!#REF!))-ROW('ROMANEIO POR ITEM'!#REF!)+1), ROW(A184)))), "")</f>
        <v/>
      </c>
      <c r="B185" t="str">
        <f>IF(A185="", "", VLOOKUP(A185, 'ROMANEIO POR ITEM'!#REF!, 2, FALSE))</f>
        <v/>
      </c>
      <c r="C185" t="str">
        <f>IF(A185="", "", VLOOKUP(A185, 'ROMANEIO POR ITEM'!#REF!, 3, FALSE))</f>
        <v/>
      </c>
      <c r="D185" t="str">
        <f>IF(A185="", "", VLOOKUP(A185, 'ROMANEIO POR ITEM'!#REF!, 4, FALSE))</f>
        <v/>
      </c>
      <c r="E185" t="str">
        <f>IF(A185="", "", VLOOKUP(A185, 'ROMANEIO POR ITEM'!#REF!, 5, FALSE))</f>
        <v/>
      </c>
      <c r="F185" t="str">
        <f>IF(A185="", "", VLOOKUP(A185, 'ROMANEIO POR ITEM'!#REF!, 6, FALSE))</f>
        <v/>
      </c>
    </row>
    <row r="186" spans="1:6">
      <c r="A186" t="str">
        <f>IFERROR(_xlfn.SINGLE(INDEX('ROMANEIO POR ITEM'!#REF!, SMALL(IF(_xlfn.SINGLE('ROMANEIO POR ITEM'!#REF!)&lt;&gt;0,_xlfn.SINGLE( ROW('ROMANEIO POR ITEM'!#REF!))-ROW('ROMANEIO POR ITEM'!#REF!)+1), ROW(A185)))), "")</f>
        <v/>
      </c>
      <c r="B186" t="str">
        <f>IF(A186="", "", VLOOKUP(A186, 'ROMANEIO POR ITEM'!#REF!, 2, FALSE))</f>
        <v/>
      </c>
      <c r="C186" t="str">
        <f>IF(A186="", "", VLOOKUP(A186, 'ROMANEIO POR ITEM'!#REF!, 3, FALSE))</f>
        <v/>
      </c>
      <c r="D186" t="str">
        <f>IF(A186="", "", VLOOKUP(A186, 'ROMANEIO POR ITEM'!#REF!, 4, FALSE))</f>
        <v/>
      </c>
      <c r="E186" t="str">
        <f>IF(A186="", "", VLOOKUP(A186, 'ROMANEIO POR ITEM'!#REF!, 5, FALSE))</f>
        <v/>
      </c>
      <c r="F186" t="str">
        <f>IF(A186="", "", VLOOKUP(A186, 'ROMANEIO POR ITEM'!#REF!, 6, FALSE))</f>
        <v/>
      </c>
    </row>
    <row r="187" spans="1:6">
      <c r="A187" t="str">
        <f>IFERROR(_xlfn.SINGLE(INDEX('ROMANEIO POR ITEM'!#REF!, SMALL(IF(_xlfn.SINGLE('ROMANEIO POR ITEM'!#REF!)&lt;&gt;0,_xlfn.SINGLE( ROW('ROMANEIO POR ITEM'!#REF!))-ROW('ROMANEIO POR ITEM'!#REF!)+1), ROW(A186)))), "")</f>
        <v/>
      </c>
      <c r="B187" t="str">
        <f>IF(A187="", "", VLOOKUP(A187, 'ROMANEIO POR ITEM'!#REF!, 2, FALSE))</f>
        <v/>
      </c>
      <c r="C187" t="str">
        <f>IF(A187="", "", VLOOKUP(A187, 'ROMANEIO POR ITEM'!#REF!, 3, FALSE))</f>
        <v/>
      </c>
      <c r="D187" t="str">
        <f>IF(A187="", "", VLOOKUP(A187, 'ROMANEIO POR ITEM'!#REF!, 4, FALSE))</f>
        <v/>
      </c>
      <c r="E187" t="str">
        <f>IF(A187="", "", VLOOKUP(A187, 'ROMANEIO POR ITEM'!#REF!, 5, FALSE))</f>
        <v/>
      </c>
      <c r="F187" t="str">
        <f>IF(A187="", "", VLOOKUP(A187, 'ROMANEIO POR ITEM'!#REF!, 6, FALSE))</f>
        <v/>
      </c>
    </row>
    <row r="188" spans="1:6">
      <c r="A188" t="str">
        <f>IFERROR(_xlfn.SINGLE(INDEX('ROMANEIO POR ITEM'!#REF!, SMALL(IF(_xlfn.SINGLE('ROMANEIO POR ITEM'!#REF!)&lt;&gt;0,_xlfn.SINGLE( ROW('ROMANEIO POR ITEM'!#REF!))-ROW('ROMANEIO POR ITEM'!#REF!)+1), ROW(A187)))), "")</f>
        <v/>
      </c>
      <c r="B188" t="str">
        <f>IF(A188="", "", VLOOKUP(A188, 'ROMANEIO POR ITEM'!#REF!, 2, FALSE))</f>
        <v/>
      </c>
      <c r="C188" t="str">
        <f>IF(A188="", "", VLOOKUP(A188, 'ROMANEIO POR ITEM'!#REF!, 3, FALSE))</f>
        <v/>
      </c>
      <c r="D188" t="str">
        <f>IF(A188="", "", VLOOKUP(A188, 'ROMANEIO POR ITEM'!#REF!, 4, FALSE))</f>
        <v/>
      </c>
      <c r="E188" t="str">
        <f>IF(A188="", "", VLOOKUP(A188, 'ROMANEIO POR ITEM'!#REF!, 5, FALSE))</f>
        <v/>
      </c>
      <c r="F188" t="str">
        <f>IF(A188="", "", VLOOKUP(A188, 'ROMANEIO POR ITEM'!#REF!, 6, FALSE))</f>
        <v/>
      </c>
    </row>
    <row r="189" spans="1:6">
      <c r="A189" t="str">
        <f>IFERROR(_xlfn.SINGLE(INDEX('ROMANEIO POR ITEM'!#REF!, SMALL(IF(_xlfn.SINGLE('ROMANEIO POR ITEM'!#REF!)&lt;&gt;0,_xlfn.SINGLE( ROW('ROMANEIO POR ITEM'!#REF!))-ROW('ROMANEIO POR ITEM'!#REF!)+1), ROW(A188)))), "")</f>
        <v/>
      </c>
      <c r="B189" t="str">
        <f>IF(A189="", "", VLOOKUP(A189, 'ROMANEIO POR ITEM'!#REF!, 2, FALSE))</f>
        <v/>
      </c>
      <c r="C189" t="str">
        <f>IF(A189="", "", VLOOKUP(A189, 'ROMANEIO POR ITEM'!#REF!, 3, FALSE))</f>
        <v/>
      </c>
      <c r="D189" t="str">
        <f>IF(A189="", "", VLOOKUP(A189, 'ROMANEIO POR ITEM'!#REF!, 4, FALSE))</f>
        <v/>
      </c>
      <c r="E189" t="str">
        <f>IF(A189="", "", VLOOKUP(A189, 'ROMANEIO POR ITEM'!#REF!, 5, FALSE))</f>
        <v/>
      </c>
      <c r="F189" t="str">
        <f>IF(A189="", "", VLOOKUP(A189, 'ROMANEIO POR ITEM'!#REF!, 6, FALSE))</f>
        <v/>
      </c>
    </row>
    <row r="190" spans="1:6">
      <c r="A190" t="str">
        <f>IFERROR(_xlfn.SINGLE(INDEX('ROMANEIO POR ITEM'!#REF!, SMALL(IF(_xlfn.SINGLE('ROMANEIO POR ITEM'!#REF!)&lt;&gt;0,_xlfn.SINGLE( ROW('ROMANEIO POR ITEM'!#REF!))-ROW('ROMANEIO POR ITEM'!#REF!)+1), ROW(A189)))), "")</f>
        <v/>
      </c>
      <c r="B190" t="str">
        <f>IF(A190="", "", VLOOKUP(A190, 'ROMANEIO POR ITEM'!#REF!, 2, FALSE))</f>
        <v/>
      </c>
      <c r="C190" t="str">
        <f>IF(A190="", "", VLOOKUP(A190, 'ROMANEIO POR ITEM'!#REF!, 3, FALSE))</f>
        <v/>
      </c>
      <c r="D190" t="str">
        <f>IF(A190="", "", VLOOKUP(A190, 'ROMANEIO POR ITEM'!#REF!, 4, FALSE))</f>
        <v/>
      </c>
      <c r="E190" t="str">
        <f>IF(A190="", "", VLOOKUP(A190, 'ROMANEIO POR ITEM'!#REF!, 5, FALSE))</f>
        <v/>
      </c>
      <c r="F190" t="str">
        <f>IF(A190="", "", VLOOKUP(A190, 'ROMANEIO POR ITEM'!#REF!, 6, FALSE))</f>
        <v/>
      </c>
    </row>
    <row r="191" spans="1:6">
      <c r="A191" t="str">
        <f>IFERROR(_xlfn.SINGLE(INDEX('ROMANEIO POR ITEM'!#REF!, SMALL(IF(_xlfn.SINGLE('ROMANEIO POR ITEM'!#REF!)&lt;&gt;0,_xlfn.SINGLE( ROW('ROMANEIO POR ITEM'!#REF!))-ROW('ROMANEIO POR ITEM'!#REF!)+1), ROW(A190)))), "")</f>
        <v/>
      </c>
      <c r="B191" t="str">
        <f>IF(A191="", "", VLOOKUP(A191, 'ROMANEIO POR ITEM'!#REF!, 2, FALSE))</f>
        <v/>
      </c>
      <c r="C191" t="str">
        <f>IF(A191="", "", VLOOKUP(A191, 'ROMANEIO POR ITEM'!#REF!, 3, FALSE))</f>
        <v/>
      </c>
      <c r="D191" t="str">
        <f>IF(A191="", "", VLOOKUP(A191, 'ROMANEIO POR ITEM'!#REF!, 4, FALSE))</f>
        <v/>
      </c>
      <c r="E191" t="str">
        <f>IF(A191="", "", VLOOKUP(A191, 'ROMANEIO POR ITEM'!#REF!, 5, FALSE))</f>
        <v/>
      </c>
      <c r="F191" t="str">
        <f>IF(A191="", "", VLOOKUP(A191, 'ROMANEIO POR ITEM'!#REF!, 6, FALSE))</f>
        <v/>
      </c>
    </row>
    <row r="192" spans="1:6">
      <c r="A192" t="str">
        <f>IFERROR(_xlfn.SINGLE(INDEX('ROMANEIO POR ITEM'!#REF!, SMALL(IF(_xlfn.SINGLE('ROMANEIO POR ITEM'!#REF!)&lt;&gt;0,_xlfn.SINGLE( ROW('ROMANEIO POR ITEM'!#REF!))-ROW('ROMANEIO POR ITEM'!#REF!)+1), ROW(A191)))), "")</f>
        <v/>
      </c>
      <c r="B192" t="str">
        <f>IF(A192="", "", VLOOKUP(A192, 'ROMANEIO POR ITEM'!#REF!, 2, FALSE))</f>
        <v/>
      </c>
      <c r="C192" t="str">
        <f>IF(A192="", "", VLOOKUP(A192, 'ROMANEIO POR ITEM'!#REF!, 3, FALSE))</f>
        <v/>
      </c>
      <c r="D192" t="str">
        <f>IF(A192="", "", VLOOKUP(A192, 'ROMANEIO POR ITEM'!#REF!, 4, FALSE))</f>
        <v/>
      </c>
      <c r="E192" t="str">
        <f>IF(A192="", "", VLOOKUP(A192, 'ROMANEIO POR ITEM'!#REF!, 5, FALSE))</f>
        <v/>
      </c>
      <c r="F192" t="str">
        <f>IF(A192="", "", VLOOKUP(A192, 'ROMANEIO POR ITEM'!#REF!, 6, FALSE))</f>
        <v/>
      </c>
    </row>
    <row r="193" spans="1:6">
      <c r="A193" t="str">
        <f>IFERROR(_xlfn.SINGLE(INDEX('ROMANEIO POR ITEM'!#REF!, SMALL(IF(_xlfn.SINGLE('ROMANEIO POR ITEM'!#REF!)&lt;&gt;0,_xlfn.SINGLE( ROW('ROMANEIO POR ITEM'!#REF!))-ROW('ROMANEIO POR ITEM'!#REF!)+1), ROW(A192)))), "")</f>
        <v/>
      </c>
      <c r="B193" t="str">
        <f>IF(A193="", "", VLOOKUP(A193, 'ROMANEIO POR ITEM'!#REF!, 2, FALSE))</f>
        <v/>
      </c>
      <c r="C193" t="str">
        <f>IF(A193="", "", VLOOKUP(A193, 'ROMANEIO POR ITEM'!#REF!, 3, FALSE))</f>
        <v/>
      </c>
      <c r="D193" t="str">
        <f>IF(A193="", "", VLOOKUP(A193, 'ROMANEIO POR ITEM'!#REF!, 4, FALSE))</f>
        <v/>
      </c>
      <c r="E193" t="str">
        <f>IF(A193="", "", VLOOKUP(A193, 'ROMANEIO POR ITEM'!#REF!, 5, FALSE))</f>
        <v/>
      </c>
      <c r="F193" t="str">
        <f>IF(A193="", "", VLOOKUP(A193, 'ROMANEIO POR ITEM'!#REF!, 6, FALSE))</f>
        <v/>
      </c>
    </row>
    <row r="194" spans="1:6">
      <c r="A194" t="str">
        <f>IFERROR(_xlfn.SINGLE(INDEX('ROMANEIO POR ITEM'!#REF!, SMALL(IF(_xlfn.SINGLE('ROMANEIO POR ITEM'!#REF!)&lt;&gt;0,_xlfn.SINGLE( ROW('ROMANEIO POR ITEM'!#REF!))-ROW('ROMANEIO POR ITEM'!#REF!)+1), ROW(A193)))), "")</f>
        <v/>
      </c>
      <c r="B194" t="str">
        <f>IF(A194="", "", VLOOKUP(A194, 'ROMANEIO POR ITEM'!#REF!, 2, FALSE))</f>
        <v/>
      </c>
      <c r="C194" t="str">
        <f>IF(A194="", "", VLOOKUP(A194, 'ROMANEIO POR ITEM'!#REF!, 3, FALSE))</f>
        <v/>
      </c>
      <c r="D194" t="str">
        <f>IF(A194="", "", VLOOKUP(A194, 'ROMANEIO POR ITEM'!#REF!, 4, FALSE))</f>
        <v/>
      </c>
      <c r="E194" t="str">
        <f>IF(A194="", "", VLOOKUP(A194, 'ROMANEIO POR ITEM'!#REF!, 5, FALSE))</f>
        <v/>
      </c>
      <c r="F194" t="str">
        <f>IF(A194="", "", VLOOKUP(A194, 'ROMANEIO POR ITEM'!#REF!, 6, FALSE))</f>
        <v/>
      </c>
    </row>
    <row r="195" spans="1:6">
      <c r="A195" t="str">
        <f>IFERROR(_xlfn.SINGLE(INDEX('ROMANEIO POR ITEM'!#REF!, SMALL(IF(_xlfn.SINGLE('ROMANEIO POR ITEM'!#REF!)&lt;&gt;0,_xlfn.SINGLE( ROW('ROMANEIO POR ITEM'!#REF!))-ROW('ROMANEIO POR ITEM'!#REF!)+1), ROW(A194)))), "")</f>
        <v/>
      </c>
      <c r="B195" t="str">
        <f>IF(A195="", "", VLOOKUP(A195, 'ROMANEIO POR ITEM'!#REF!, 2, FALSE))</f>
        <v/>
      </c>
      <c r="C195" t="str">
        <f>IF(A195="", "", VLOOKUP(A195, 'ROMANEIO POR ITEM'!#REF!, 3, FALSE))</f>
        <v/>
      </c>
      <c r="D195" t="str">
        <f>IF(A195="", "", VLOOKUP(A195, 'ROMANEIO POR ITEM'!#REF!, 4, FALSE))</f>
        <v/>
      </c>
      <c r="E195" t="str">
        <f>IF(A195="", "", VLOOKUP(A195, 'ROMANEIO POR ITEM'!#REF!, 5, FALSE))</f>
        <v/>
      </c>
      <c r="F195" t="str">
        <f>IF(A195="", "", VLOOKUP(A195, 'ROMANEIO POR ITEM'!#REF!, 6, FALSE))</f>
        <v/>
      </c>
    </row>
    <row r="196" spans="1:6">
      <c r="A196" t="str">
        <f>IFERROR(_xlfn.SINGLE(INDEX('ROMANEIO POR ITEM'!#REF!, SMALL(IF(_xlfn.SINGLE('ROMANEIO POR ITEM'!#REF!)&lt;&gt;0,_xlfn.SINGLE( ROW('ROMANEIO POR ITEM'!#REF!))-ROW('ROMANEIO POR ITEM'!#REF!)+1), ROW(A195)))), "")</f>
        <v/>
      </c>
      <c r="B196" t="str">
        <f>IF(A196="", "", VLOOKUP(A196, 'ROMANEIO POR ITEM'!#REF!, 2, FALSE))</f>
        <v/>
      </c>
      <c r="C196" t="str">
        <f>IF(A196="", "", VLOOKUP(A196, 'ROMANEIO POR ITEM'!#REF!, 3, FALSE))</f>
        <v/>
      </c>
      <c r="D196" t="str">
        <f>IF(A196="", "", VLOOKUP(A196, 'ROMANEIO POR ITEM'!#REF!, 4, FALSE))</f>
        <v/>
      </c>
      <c r="E196" t="str">
        <f>IF(A196="", "", VLOOKUP(A196, 'ROMANEIO POR ITEM'!#REF!, 5, FALSE))</f>
        <v/>
      </c>
      <c r="F196" t="str">
        <f>IF(A196="", "", VLOOKUP(A196, 'ROMANEIO POR ITEM'!#REF!, 6, FALSE))</f>
        <v/>
      </c>
    </row>
    <row r="197" spans="1:6">
      <c r="A197" t="str">
        <f>IFERROR(_xlfn.SINGLE(INDEX('ROMANEIO POR ITEM'!#REF!, SMALL(IF(_xlfn.SINGLE('ROMANEIO POR ITEM'!#REF!)&lt;&gt;0,_xlfn.SINGLE( ROW('ROMANEIO POR ITEM'!#REF!))-ROW('ROMANEIO POR ITEM'!#REF!)+1), ROW(A196)))), "")</f>
        <v/>
      </c>
      <c r="B197" t="str">
        <f>IF(A197="", "", VLOOKUP(A197, 'ROMANEIO POR ITEM'!#REF!, 2, FALSE))</f>
        <v/>
      </c>
      <c r="C197" t="str">
        <f>IF(A197="", "", VLOOKUP(A197, 'ROMANEIO POR ITEM'!#REF!, 3, FALSE))</f>
        <v/>
      </c>
      <c r="D197" t="str">
        <f>IF(A197="", "", VLOOKUP(A197, 'ROMANEIO POR ITEM'!#REF!, 4, FALSE))</f>
        <v/>
      </c>
      <c r="E197" t="str">
        <f>IF(A197="", "", VLOOKUP(A197, 'ROMANEIO POR ITEM'!#REF!, 5, FALSE))</f>
        <v/>
      </c>
      <c r="F197" t="str">
        <f>IF(A197="", "", VLOOKUP(A197, 'ROMANEIO POR ITEM'!#REF!, 6, FALSE))</f>
        <v/>
      </c>
    </row>
    <row r="198" spans="1:6">
      <c r="A198" t="str">
        <f>IFERROR(_xlfn.SINGLE(INDEX('ROMANEIO POR ITEM'!#REF!, SMALL(IF(_xlfn.SINGLE('ROMANEIO POR ITEM'!#REF!)&lt;&gt;0,_xlfn.SINGLE( ROW('ROMANEIO POR ITEM'!#REF!))-ROW('ROMANEIO POR ITEM'!#REF!)+1), ROW(A197)))), "")</f>
        <v/>
      </c>
      <c r="B198" t="str">
        <f>IF(A198="", "", VLOOKUP(A198, 'ROMANEIO POR ITEM'!#REF!, 2, FALSE))</f>
        <v/>
      </c>
      <c r="C198" t="str">
        <f>IF(A198="", "", VLOOKUP(A198, 'ROMANEIO POR ITEM'!#REF!, 3, FALSE))</f>
        <v/>
      </c>
      <c r="D198" t="str">
        <f>IF(A198="", "", VLOOKUP(A198, 'ROMANEIO POR ITEM'!#REF!, 4, FALSE))</f>
        <v/>
      </c>
      <c r="E198" t="str">
        <f>IF(A198="", "", VLOOKUP(A198, 'ROMANEIO POR ITEM'!#REF!, 5, FALSE))</f>
        <v/>
      </c>
      <c r="F198" t="str">
        <f>IF(A198="", "", VLOOKUP(A198, 'ROMANEIO POR ITEM'!#REF!, 6, FALSE))</f>
        <v/>
      </c>
    </row>
    <row r="199" spans="1:6">
      <c r="A199" t="str">
        <f>IFERROR(_xlfn.SINGLE(INDEX('ROMANEIO POR ITEM'!#REF!, SMALL(IF(_xlfn.SINGLE('ROMANEIO POR ITEM'!#REF!)&lt;&gt;0,_xlfn.SINGLE( ROW('ROMANEIO POR ITEM'!#REF!))-ROW('ROMANEIO POR ITEM'!#REF!)+1), ROW(A198)))), "")</f>
        <v/>
      </c>
      <c r="B199" t="str">
        <f>IF(A199="", "", VLOOKUP(A199, 'ROMANEIO POR ITEM'!#REF!, 2, FALSE))</f>
        <v/>
      </c>
      <c r="C199" t="str">
        <f>IF(A199="", "", VLOOKUP(A199, 'ROMANEIO POR ITEM'!#REF!, 3, FALSE))</f>
        <v/>
      </c>
      <c r="D199" t="str">
        <f>IF(A199="", "", VLOOKUP(A199, 'ROMANEIO POR ITEM'!#REF!, 4, FALSE))</f>
        <v/>
      </c>
      <c r="E199" t="str">
        <f>IF(A199="", "", VLOOKUP(A199, 'ROMANEIO POR ITEM'!#REF!, 5, FALSE))</f>
        <v/>
      </c>
      <c r="F199" t="str">
        <f>IF(A199="", "", VLOOKUP(A199, 'ROMANEIO POR ITEM'!#REF!, 6, FALSE))</f>
        <v/>
      </c>
    </row>
    <row r="200" spans="1:6">
      <c r="A200" t="str">
        <f>IFERROR(_xlfn.SINGLE(INDEX('ROMANEIO POR ITEM'!#REF!, SMALL(IF(_xlfn.SINGLE('ROMANEIO POR ITEM'!#REF!)&lt;&gt;0,_xlfn.SINGLE( ROW('ROMANEIO POR ITEM'!#REF!))-ROW('ROMANEIO POR ITEM'!#REF!)+1), ROW(A199)))), "")</f>
        <v/>
      </c>
      <c r="B200" t="str">
        <f>IF(A200="", "", VLOOKUP(A200, 'ROMANEIO POR ITEM'!#REF!, 2, FALSE))</f>
        <v/>
      </c>
      <c r="C200" t="str">
        <f>IF(A200="", "", VLOOKUP(A200, 'ROMANEIO POR ITEM'!#REF!, 3, FALSE))</f>
        <v/>
      </c>
      <c r="D200" t="str">
        <f>IF(A200="", "", VLOOKUP(A200, 'ROMANEIO POR ITEM'!#REF!, 4, FALSE))</f>
        <v/>
      </c>
      <c r="E200" t="str">
        <f>IF(A200="", "", VLOOKUP(A200, 'ROMANEIO POR ITEM'!#REF!, 5, FALSE))</f>
        <v/>
      </c>
      <c r="F200" t="str">
        <f>IF(A200="", "", VLOOKUP(A200, 'ROMANEIO POR ITEM'!#REF!, 6, FALSE))</f>
        <v/>
      </c>
    </row>
    <row r="201" spans="1:6">
      <c r="A201" t="str">
        <f>IFERROR(_xlfn.SINGLE(INDEX('ROMANEIO POR ITEM'!#REF!, SMALL(IF(_xlfn.SINGLE('ROMANEIO POR ITEM'!#REF!)&lt;&gt;0,_xlfn.SINGLE( ROW('ROMANEIO POR ITEM'!#REF!))-ROW('ROMANEIO POR ITEM'!#REF!)+1), ROW(A200)))), "")</f>
        <v/>
      </c>
      <c r="B201" t="str">
        <f>IF(A201="", "", VLOOKUP(A201, 'ROMANEIO POR ITEM'!#REF!, 2, FALSE))</f>
        <v/>
      </c>
      <c r="C201" t="str">
        <f>IF(A201="", "", VLOOKUP(A201, 'ROMANEIO POR ITEM'!#REF!, 3, FALSE))</f>
        <v/>
      </c>
      <c r="D201" t="str">
        <f>IF(A201="", "", VLOOKUP(A201, 'ROMANEIO POR ITEM'!#REF!, 4, FALSE))</f>
        <v/>
      </c>
      <c r="E201" t="str">
        <f>IF(A201="", "", VLOOKUP(A201, 'ROMANEIO POR ITEM'!#REF!, 5, FALSE))</f>
        <v/>
      </c>
      <c r="F201" t="str">
        <f>IF(A201="", "", VLOOKUP(A201, 'ROMANEIO POR ITEM'!#REF!, 6, FALSE))</f>
        <v/>
      </c>
    </row>
    <row r="202" spans="1:6">
      <c r="A202" t="str">
        <f>IFERROR(_xlfn.SINGLE(INDEX('ROMANEIO POR ITEM'!#REF!, SMALL(IF(_xlfn.SINGLE('ROMANEIO POR ITEM'!#REF!)&lt;&gt;0,_xlfn.SINGLE( ROW('ROMANEIO POR ITEM'!#REF!))-ROW('ROMANEIO POR ITEM'!#REF!)+1), ROW(A201)))), "")</f>
        <v/>
      </c>
      <c r="B202" t="str">
        <f>IF(A202="", "", VLOOKUP(A202, 'ROMANEIO POR ITEM'!#REF!, 2, FALSE))</f>
        <v/>
      </c>
      <c r="C202" t="str">
        <f>IF(A202="", "", VLOOKUP(A202, 'ROMANEIO POR ITEM'!#REF!, 3, FALSE))</f>
        <v/>
      </c>
      <c r="D202" t="str">
        <f>IF(A202="", "", VLOOKUP(A202, 'ROMANEIO POR ITEM'!#REF!, 4, FALSE))</f>
        <v/>
      </c>
      <c r="E202" t="str">
        <f>IF(A202="", "", VLOOKUP(A202, 'ROMANEIO POR ITEM'!#REF!, 5, FALSE))</f>
        <v/>
      </c>
      <c r="F202" t="str">
        <f>IF(A202="", "", VLOOKUP(A202, 'ROMANEIO POR ITEM'!#REF!, 6, FALSE))</f>
        <v/>
      </c>
    </row>
    <row r="203" spans="1:6">
      <c r="A203" t="str">
        <f>IFERROR(_xlfn.SINGLE(INDEX('ROMANEIO POR ITEM'!#REF!, SMALL(IF(_xlfn.SINGLE('ROMANEIO POR ITEM'!#REF!)&lt;&gt;0,_xlfn.SINGLE( ROW('ROMANEIO POR ITEM'!#REF!))-ROW('ROMANEIO POR ITEM'!#REF!)+1), ROW(A202)))), "")</f>
        <v/>
      </c>
      <c r="B203" t="str">
        <f>IF(A203="", "", VLOOKUP(A203, 'ROMANEIO POR ITEM'!#REF!, 2, FALSE))</f>
        <v/>
      </c>
      <c r="C203" t="str">
        <f>IF(A203="", "", VLOOKUP(A203, 'ROMANEIO POR ITEM'!#REF!, 3, FALSE))</f>
        <v/>
      </c>
      <c r="D203" t="str">
        <f>IF(A203="", "", VLOOKUP(A203, 'ROMANEIO POR ITEM'!#REF!, 4, FALSE))</f>
        <v/>
      </c>
      <c r="E203" t="str">
        <f>IF(A203="", "", VLOOKUP(A203, 'ROMANEIO POR ITEM'!#REF!, 5, FALSE))</f>
        <v/>
      </c>
      <c r="F203" t="str">
        <f>IF(A203="", "", VLOOKUP(A203, 'ROMANEIO POR ITEM'!#REF!, 6, FALSE))</f>
        <v/>
      </c>
    </row>
    <row r="204" spans="1:6">
      <c r="A204" t="str">
        <f>IFERROR(_xlfn.SINGLE(INDEX('ROMANEIO POR ITEM'!#REF!, SMALL(IF(_xlfn.SINGLE('ROMANEIO POR ITEM'!#REF!)&lt;&gt;0,_xlfn.SINGLE( ROW('ROMANEIO POR ITEM'!#REF!))-ROW('ROMANEIO POR ITEM'!#REF!)+1), ROW(A203)))), "")</f>
        <v/>
      </c>
      <c r="B204" t="str">
        <f>IF(A204="", "", VLOOKUP(A204, 'ROMANEIO POR ITEM'!#REF!, 2, FALSE))</f>
        <v/>
      </c>
      <c r="C204" t="str">
        <f>IF(A204="", "", VLOOKUP(A204, 'ROMANEIO POR ITEM'!#REF!, 3, FALSE))</f>
        <v/>
      </c>
      <c r="D204" t="str">
        <f>IF(A204="", "", VLOOKUP(A204, 'ROMANEIO POR ITEM'!#REF!, 4, FALSE))</f>
        <v/>
      </c>
      <c r="E204" t="str">
        <f>IF(A204="", "", VLOOKUP(A204, 'ROMANEIO POR ITEM'!#REF!, 5, FALSE))</f>
        <v/>
      </c>
      <c r="F204" t="str">
        <f>IF(A204="", "", VLOOKUP(A204, 'ROMANEIO POR ITEM'!#REF!, 6, FALSE))</f>
        <v/>
      </c>
    </row>
    <row r="205" spans="1:6">
      <c r="A205" t="str">
        <f>IFERROR(_xlfn.SINGLE(INDEX('ROMANEIO POR ITEM'!#REF!, SMALL(IF(_xlfn.SINGLE('ROMANEIO POR ITEM'!#REF!)&lt;&gt;0,_xlfn.SINGLE( ROW('ROMANEIO POR ITEM'!#REF!))-ROW('ROMANEIO POR ITEM'!#REF!)+1), ROW(A204)))), "")</f>
        <v/>
      </c>
      <c r="B205" t="str">
        <f>IF(A205="", "", VLOOKUP(A205, 'ROMANEIO POR ITEM'!#REF!, 2, FALSE))</f>
        <v/>
      </c>
      <c r="C205" t="str">
        <f>IF(A205="", "", VLOOKUP(A205, 'ROMANEIO POR ITEM'!#REF!, 3, FALSE))</f>
        <v/>
      </c>
      <c r="D205" t="str">
        <f>IF(A205="", "", VLOOKUP(A205, 'ROMANEIO POR ITEM'!#REF!, 4, FALSE))</f>
        <v/>
      </c>
      <c r="E205" t="str">
        <f>IF(A205="", "", VLOOKUP(A205, 'ROMANEIO POR ITEM'!#REF!, 5, FALSE))</f>
        <v/>
      </c>
      <c r="F205" t="str">
        <f>IF(A205="", "", VLOOKUP(A205, 'ROMANEIO POR ITEM'!#REF!, 6, FALSE))</f>
        <v/>
      </c>
    </row>
    <row r="206" spans="1:6">
      <c r="A206" t="str">
        <f>IFERROR(_xlfn.SINGLE(INDEX('ROMANEIO POR ITEM'!#REF!, SMALL(IF(_xlfn.SINGLE('ROMANEIO POR ITEM'!#REF!)&lt;&gt;0,_xlfn.SINGLE( ROW('ROMANEIO POR ITEM'!#REF!))-ROW('ROMANEIO POR ITEM'!#REF!)+1), ROW(A205)))), "")</f>
        <v/>
      </c>
      <c r="B206" t="str">
        <f>IF(A206="", "", VLOOKUP(A206, 'ROMANEIO POR ITEM'!#REF!, 2, FALSE))</f>
        <v/>
      </c>
      <c r="C206" t="str">
        <f>IF(A206="", "", VLOOKUP(A206, 'ROMANEIO POR ITEM'!#REF!, 3, FALSE))</f>
        <v/>
      </c>
      <c r="D206" t="str">
        <f>IF(A206="", "", VLOOKUP(A206, 'ROMANEIO POR ITEM'!#REF!, 4, FALSE))</f>
        <v/>
      </c>
      <c r="E206" t="str">
        <f>IF(A206="", "", VLOOKUP(A206, 'ROMANEIO POR ITEM'!#REF!, 5, FALSE))</f>
        <v/>
      </c>
      <c r="F206" t="str">
        <f>IF(A206="", "", VLOOKUP(A206, 'ROMANEIO POR ITEM'!#REF!, 6, FALSE))</f>
        <v/>
      </c>
    </row>
    <row r="207" spans="1:6">
      <c r="A207" t="str">
        <f>IFERROR(_xlfn.SINGLE(INDEX('ROMANEIO POR ITEM'!#REF!, SMALL(IF(_xlfn.SINGLE('ROMANEIO POR ITEM'!#REF!)&lt;&gt;0,_xlfn.SINGLE( ROW('ROMANEIO POR ITEM'!#REF!))-ROW('ROMANEIO POR ITEM'!#REF!)+1), ROW(A206)))), "")</f>
        <v/>
      </c>
      <c r="B207" t="str">
        <f>IF(A207="", "", VLOOKUP(A207, 'ROMANEIO POR ITEM'!#REF!, 2, FALSE))</f>
        <v/>
      </c>
      <c r="C207" t="str">
        <f>IF(A207="", "", VLOOKUP(A207, 'ROMANEIO POR ITEM'!#REF!, 3, FALSE))</f>
        <v/>
      </c>
      <c r="D207" t="str">
        <f>IF(A207="", "", VLOOKUP(A207, 'ROMANEIO POR ITEM'!#REF!, 4, FALSE))</f>
        <v/>
      </c>
      <c r="E207" t="str">
        <f>IF(A207="", "", VLOOKUP(A207, 'ROMANEIO POR ITEM'!#REF!, 5, FALSE))</f>
        <v/>
      </c>
      <c r="F207" t="str">
        <f>IF(A207="", "", VLOOKUP(A207, 'ROMANEIO POR ITEM'!#REF!, 6, FALSE))</f>
        <v/>
      </c>
    </row>
    <row r="208" spans="1:6">
      <c r="A208" t="str">
        <f>IFERROR(_xlfn.SINGLE(INDEX('ROMANEIO POR ITEM'!#REF!, SMALL(IF(_xlfn.SINGLE('ROMANEIO POR ITEM'!#REF!)&lt;&gt;0,_xlfn.SINGLE( ROW('ROMANEIO POR ITEM'!#REF!))-ROW('ROMANEIO POR ITEM'!#REF!)+1), ROW(A207)))), "")</f>
        <v/>
      </c>
      <c r="B208" t="str">
        <f>IF(A208="", "", VLOOKUP(A208, 'ROMANEIO POR ITEM'!#REF!, 2, FALSE))</f>
        <v/>
      </c>
      <c r="C208" t="str">
        <f>IF(A208="", "", VLOOKUP(A208, 'ROMANEIO POR ITEM'!#REF!, 3, FALSE))</f>
        <v/>
      </c>
      <c r="D208" t="str">
        <f>IF(A208="", "", VLOOKUP(A208, 'ROMANEIO POR ITEM'!#REF!, 4, FALSE))</f>
        <v/>
      </c>
      <c r="E208" t="str">
        <f>IF(A208="", "", VLOOKUP(A208, 'ROMANEIO POR ITEM'!#REF!, 5, FALSE))</f>
        <v/>
      </c>
      <c r="F208" t="str">
        <f>IF(A208="", "", VLOOKUP(A208, 'ROMANEIO POR ITEM'!#REF!, 6, FALSE))</f>
        <v/>
      </c>
    </row>
    <row r="209" spans="1:6">
      <c r="A209" t="str">
        <f>IFERROR(_xlfn.SINGLE(INDEX('ROMANEIO POR ITEM'!#REF!, SMALL(IF(_xlfn.SINGLE('ROMANEIO POR ITEM'!#REF!)&lt;&gt;0,_xlfn.SINGLE( ROW('ROMANEIO POR ITEM'!#REF!))-ROW('ROMANEIO POR ITEM'!#REF!)+1), ROW(A208)))), "")</f>
        <v/>
      </c>
      <c r="B209" t="str">
        <f>IF(A209="", "", VLOOKUP(A209, 'ROMANEIO POR ITEM'!#REF!, 2, FALSE))</f>
        <v/>
      </c>
      <c r="C209" t="str">
        <f>IF(A209="", "", VLOOKUP(A209, 'ROMANEIO POR ITEM'!#REF!, 3, FALSE))</f>
        <v/>
      </c>
      <c r="D209" t="str">
        <f>IF(A209="", "", VLOOKUP(A209, 'ROMANEIO POR ITEM'!#REF!, 4, FALSE))</f>
        <v/>
      </c>
      <c r="E209" t="str">
        <f>IF(A209="", "", VLOOKUP(A209, 'ROMANEIO POR ITEM'!#REF!, 5, FALSE))</f>
        <v/>
      </c>
      <c r="F209" t="str">
        <f>IF(A209="", "", VLOOKUP(A209, 'ROMANEIO POR ITEM'!#REF!, 6, FALSE))</f>
        <v/>
      </c>
    </row>
    <row r="210" spans="1:6">
      <c r="A210" t="str">
        <f>IFERROR(_xlfn.SINGLE(INDEX('ROMANEIO POR ITEM'!#REF!, SMALL(IF(_xlfn.SINGLE('ROMANEIO POR ITEM'!#REF!)&lt;&gt;0,_xlfn.SINGLE( ROW('ROMANEIO POR ITEM'!#REF!))-ROW('ROMANEIO POR ITEM'!#REF!)+1), ROW(A209)))), "")</f>
        <v/>
      </c>
      <c r="B210" t="str">
        <f>IF(A210="", "", VLOOKUP(A210, 'ROMANEIO POR ITEM'!#REF!, 2, FALSE))</f>
        <v/>
      </c>
      <c r="C210" t="str">
        <f>IF(A210="", "", VLOOKUP(A210, 'ROMANEIO POR ITEM'!#REF!, 3, FALSE))</f>
        <v/>
      </c>
      <c r="D210" t="str">
        <f>IF(A210="", "", VLOOKUP(A210, 'ROMANEIO POR ITEM'!#REF!, 4, FALSE))</f>
        <v/>
      </c>
      <c r="E210" t="str">
        <f>IF(A210="", "", VLOOKUP(A210, 'ROMANEIO POR ITEM'!#REF!, 5, FALSE))</f>
        <v/>
      </c>
      <c r="F210" t="str">
        <f>IF(A210="", "", VLOOKUP(A210, 'ROMANEIO POR ITEM'!#REF!, 6, FALSE))</f>
        <v/>
      </c>
    </row>
    <row r="211" spans="1:6">
      <c r="A211" t="str">
        <f>IFERROR(_xlfn.SINGLE(INDEX('ROMANEIO POR ITEM'!#REF!, SMALL(IF(_xlfn.SINGLE('ROMANEIO POR ITEM'!#REF!)&lt;&gt;0,_xlfn.SINGLE( ROW('ROMANEIO POR ITEM'!#REF!))-ROW('ROMANEIO POR ITEM'!#REF!)+1), ROW(A210)))), "")</f>
        <v/>
      </c>
      <c r="B211" t="str">
        <f>IF(A211="", "", VLOOKUP(A211, 'ROMANEIO POR ITEM'!#REF!, 2, FALSE))</f>
        <v/>
      </c>
      <c r="C211" t="str">
        <f>IF(A211="", "", VLOOKUP(A211, 'ROMANEIO POR ITEM'!#REF!, 3, FALSE))</f>
        <v/>
      </c>
      <c r="D211" t="str">
        <f>IF(A211="", "", VLOOKUP(A211, 'ROMANEIO POR ITEM'!#REF!, 4, FALSE))</f>
        <v/>
      </c>
      <c r="E211" t="str">
        <f>IF(A211="", "", VLOOKUP(A211, 'ROMANEIO POR ITEM'!#REF!, 5, FALSE))</f>
        <v/>
      </c>
      <c r="F211" t="str">
        <f>IF(A211="", "", VLOOKUP(A211, 'ROMANEIO POR ITEM'!#REF!, 6, FALSE))</f>
        <v/>
      </c>
    </row>
    <row r="212" spans="1:6">
      <c r="A212" t="str">
        <f>IFERROR(_xlfn.SINGLE(INDEX('ROMANEIO POR ITEM'!#REF!, SMALL(IF(_xlfn.SINGLE('ROMANEIO POR ITEM'!#REF!)&lt;&gt;0,_xlfn.SINGLE( ROW('ROMANEIO POR ITEM'!#REF!))-ROW('ROMANEIO POR ITEM'!#REF!)+1), ROW(A211)))), "")</f>
        <v/>
      </c>
      <c r="B212" t="str">
        <f>IF(A212="", "", VLOOKUP(A212, 'ROMANEIO POR ITEM'!#REF!, 2, FALSE))</f>
        <v/>
      </c>
      <c r="C212" t="str">
        <f>IF(A212="", "", VLOOKUP(A212, 'ROMANEIO POR ITEM'!#REF!, 3, FALSE))</f>
        <v/>
      </c>
      <c r="D212" t="str">
        <f>IF(A212="", "", VLOOKUP(A212, 'ROMANEIO POR ITEM'!#REF!, 4, FALSE))</f>
        <v/>
      </c>
      <c r="E212" t="str">
        <f>IF(A212="", "", VLOOKUP(A212, 'ROMANEIO POR ITEM'!#REF!, 5, FALSE))</f>
        <v/>
      </c>
      <c r="F212" t="str">
        <f>IF(A212="", "", VLOOKUP(A212, 'ROMANEIO POR ITEM'!#REF!, 6, FALSE))</f>
        <v/>
      </c>
    </row>
    <row r="213" spans="1:6">
      <c r="A213" t="str">
        <f>IFERROR(_xlfn.SINGLE(INDEX('ROMANEIO POR ITEM'!#REF!, SMALL(IF(_xlfn.SINGLE('ROMANEIO POR ITEM'!#REF!)&lt;&gt;0,_xlfn.SINGLE( ROW('ROMANEIO POR ITEM'!#REF!))-ROW('ROMANEIO POR ITEM'!#REF!)+1), ROW(A212)))), "")</f>
        <v/>
      </c>
      <c r="B213" t="str">
        <f>IF(A213="", "", VLOOKUP(A213, 'ROMANEIO POR ITEM'!#REF!, 2, FALSE))</f>
        <v/>
      </c>
      <c r="C213" t="str">
        <f>IF(A213="", "", VLOOKUP(A213, 'ROMANEIO POR ITEM'!#REF!, 3, FALSE))</f>
        <v/>
      </c>
      <c r="D213" t="str">
        <f>IF(A213="", "", VLOOKUP(A213, 'ROMANEIO POR ITEM'!#REF!, 4, FALSE))</f>
        <v/>
      </c>
      <c r="E213" t="str">
        <f>IF(A213="", "", VLOOKUP(A213, 'ROMANEIO POR ITEM'!#REF!, 5, FALSE))</f>
        <v/>
      </c>
      <c r="F213" t="str">
        <f>IF(A213="", "", VLOOKUP(A213, 'ROMANEIO POR ITEM'!#REF!, 6, FALSE))</f>
        <v/>
      </c>
    </row>
    <row r="214" spans="1:6">
      <c r="A214" t="str">
        <f>IFERROR(_xlfn.SINGLE(INDEX('ROMANEIO POR ITEM'!#REF!, SMALL(IF(_xlfn.SINGLE('ROMANEIO POR ITEM'!#REF!)&lt;&gt;0,_xlfn.SINGLE( ROW('ROMANEIO POR ITEM'!#REF!))-ROW('ROMANEIO POR ITEM'!#REF!)+1), ROW(A213)))), "")</f>
        <v/>
      </c>
      <c r="B214" t="str">
        <f>IF(A214="", "", VLOOKUP(A214, 'ROMANEIO POR ITEM'!#REF!, 2, FALSE))</f>
        <v/>
      </c>
      <c r="C214" t="str">
        <f>IF(A214="", "", VLOOKUP(A214, 'ROMANEIO POR ITEM'!#REF!, 3, FALSE))</f>
        <v/>
      </c>
      <c r="D214" t="str">
        <f>IF(A214="", "", VLOOKUP(A214, 'ROMANEIO POR ITEM'!#REF!, 4, FALSE))</f>
        <v/>
      </c>
      <c r="E214" t="str">
        <f>IF(A214="", "", VLOOKUP(A214, 'ROMANEIO POR ITEM'!#REF!, 5, FALSE))</f>
        <v/>
      </c>
      <c r="F214" t="str">
        <f>IF(A214="", "", VLOOKUP(A214, 'ROMANEIO POR ITEM'!#REF!, 6, FALSE))</f>
        <v/>
      </c>
    </row>
    <row r="215" spans="1:6">
      <c r="A215" t="str">
        <f>IFERROR(_xlfn.SINGLE(INDEX('ROMANEIO POR ITEM'!#REF!, SMALL(IF(_xlfn.SINGLE('ROMANEIO POR ITEM'!#REF!)&lt;&gt;0,_xlfn.SINGLE( ROW('ROMANEIO POR ITEM'!#REF!))-ROW('ROMANEIO POR ITEM'!#REF!)+1), ROW(A214)))), "")</f>
        <v/>
      </c>
      <c r="B215" t="str">
        <f>IF(A215="", "", VLOOKUP(A215, 'ROMANEIO POR ITEM'!#REF!, 2, FALSE))</f>
        <v/>
      </c>
      <c r="C215" t="str">
        <f>IF(A215="", "", VLOOKUP(A215, 'ROMANEIO POR ITEM'!#REF!, 3, FALSE))</f>
        <v/>
      </c>
      <c r="D215" t="str">
        <f>IF(A215="", "", VLOOKUP(A215, 'ROMANEIO POR ITEM'!#REF!, 4, FALSE))</f>
        <v/>
      </c>
      <c r="E215" t="str">
        <f>IF(A215="", "", VLOOKUP(A215, 'ROMANEIO POR ITEM'!#REF!, 5, FALSE))</f>
        <v/>
      </c>
      <c r="F215" t="str">
        <f>IF(A215="", "", VLOOKUP(A215, 'ROMANEIO POR ITEM'!#REF!, 6, FALSE))</f>
        <v/>
      </c>
    </row>
    <row r="216" spans="1:6">
      <c r="A216" t="str">
        <f>IFERROR(_xlfn.SINGLE(INDEX('ROMANEIO POR ITEM'!#REF!, SMALL(IF(_xlfn.SINGLE('ROMANEIO POR ITEM'!#REF!)&lt;&gt;0,_xlfn.SINGLE( ROW('ROMANEIO POR ITEM'!#REF!))-ROW('ROMANEIO POR ITEM'!#REF!)+1), ROW(A215)))), "")</f>
        <v/>
      </c>
      <c r="B216" t="str">
        <f>IF(A216="", "", VLOOKUP(A216, 'ROMANEIO POR ITEM'!#REF!, 2, FALSE))</f>
        <v/>
      </c>
      <c r="C216" t="str">
        <f>IF(A216="", "", VLOOKUP(A216, 'ROMANEIO POR ITEM'!#REF!, 3, FALSE))</f>
        <v/>
      </c>
      <c r="D216" t="str">
        <f>IF(A216="", "", VLOOKUP(A216, 'ROMANEIO POR ITEM'!#REF!, 4, FALSE))</f>
        <v/>
      </c>
      <c r="E216" t="str">
        <f>IF(A216="", "", VLOOKUP(A216, 'ROMANEIO POR ITEM'!#REF!, 5, FALSE))</f>
        <v/>
      </c>
      <c r="F216" t="str">
        <f>IF(A216="", "", VLOOKUP(A216, 'ROMANEIO POR ITEM'!#REF!, 6, FALSE))</f>
        <v/>
      </c>
    </row>
    <row r="217" spans="1:6">
      <c r="A217" t="str">
        <f>IFERROR(_xlfn.SINGLE(INDEX('ROMANEIO POR ITEM'!#REF!, SMALL(IF(_xlfn.SINGLE('ROMANEIO POR ITEM'!#REF!)&lt;&gt;0,_xlfn.SINGLE( ROW('ROMANEIO POR ITEM'!#REF!))-ROW('ROMANEIO POR ITEM'!#REF!)+1), ROW(A216)))), "")</f>
        <v/>
      </c>
      <c r="B217" t="str">
        <f>IF(A217="", "", VLOOKUP(A217, 'ROMANEIO POR ITEM'!#REF!, 2, FALSE))</f>
        <v/>
      </c>
      <c r="C217" t="str">
        <f>IF(A217="", "", VLOOKUP(A217, 'ROMANEIO POR ITEM'!#REF!, 3, FALSE))</f>
        <v/>
      </c>
      <c r="D217" t="str">
        <f>IF(A217="", "", VLOOKUP(A217, 'ROMANEIO POR ITEM'!#REF!, 4, FALSE))</f>
        <v/>
      </c>
      <c r="E217" t="str">
        <f>IF(A217="", "", VLOOKUP(A217, 'ROMANEIO POR ITEM'!#REF!, 5, FALSE))</f>
        <v/>
      </c>
      <c r="F217" t="str">
        <f>IF(A217="", "", VLOOKUP(A217, 'ROMANEIO POR ITEM'!#REF!, 6, FALSE))</f>
        <v/>
      </c>
    </row>
    <row r="218" spans="1:6">
      <c r="A218" t="str">
        <f>IFERROR(_xlfn.SINGLE(INDEX('ROMANEIO POR ITEM'!#REF!, SMALL(IF(_xlfn.SINGLE('ROMANEIO POR ITEM'!#REF!)&lt;&gt;0,_xlfn.SINGLE( ROW('ROMANEIO POR ITEM'!#REF!))-ROW('ROMANEIO POR ITEM'!#REF!)+1), ROW(A217)))), "")</f>
        <v/>
      </c>
      <c r="B218" t="str">
        <f>IF(A218="", "", VLOOKUP(A218, 'ROMANEIO POR ITEM'!#REF!, 2, FALSE))</f>
        <v/>
      </c>
      <c r="C218" t="str">
        <f>IF(A218="", "", VLOOKUP(A218, 'ROMANEIO POR ITEM'!#REF!, 3, FALSE))</f>
        <v/>
      </c>
      <c r="D218" t="str">
        <f>IF(A218="", "", VLOOKUP(A218, 'ROMANEIO POR ITEM'!#REF!, 4, FALSE))</f>
        <v/>
      </c>
      <c r="E218" t="str">
        <f>IF(A218="", "", VLOOKUP(A218, 'ROMANEIO POR ITEM'!#REF!, 5, FALSE))</f>
        <v/>
      </c>
      <c r="F218" t="str">
        <f>IF(A218="", "", VLOOKUP(A218, 'ROMANEIO POR ITEM'!#REF!, 6, FALSE))</f>
        <v/>
      </c>
    </row>
    <row r="219" spans="1:6">
      <c r="A219" t="str">
        <f>IFERROR(_xlfn.SINGLE(INDEX('ROMANEIO POR ITEM'!#REF!, SMALL(IF(_xlfn.SINGLE('ROMANEIO POR ITEM'!#REF!)&lt;&gt;0,_xlfn.SINGLE( ROW('ROMANEIO POR ITEM'!#REF!))-ROW('ROMANEIO POR ITEM'!#REF!)+1), ROW(A218)))), "")</f>
        <v/>
      </c>
      <c r="B219" t="str">
        <f>IF(A219="", "", VLOOKUP(A219, 'ROMANEIO POR ITEM'!#REF!, 2, FALSE))</f>
        <v/>
      </c>
      <c r="C219" t="str">
        <f>IF(A219="", "", VLOOKUP(A219, 'ROMANEIO POR ITEM'!#REF!, 3, FALSE))</f>
        <v/>
      </c>
      <c r="D219" t="str">
        <f>IF(A219="", "", VLOOKUP(A219, 'ROMANEIO POR ITEM'!#REF!, 4, FALSE))</f>
        <v/>
      </c>
      <c r="E219" t="str">
        <f>IF(A219="", "", VLOOKUP(A219, 'ROMANEIO POR ITEM'!#REF!, 5, FALSE))</f>
        <v/>
      </c>
      <c r="F219" t="str">
        <f>IF(A219="", "", VLOOKUP(A219, 'ROMANEIO POR ITEM'!#REF!, 6, FALSE))</f>
        <v/>
      </c>
    </row>
    <row r="220" spans="1:6">
      <c r="A220" t="str">
        <f>IFERROR(_xlfn.SINGLE(INDEX('ROMANEIO POR ITEM'!#REF!, SMALL(IF(_xlfn.SINGLE('ROMANEIO POR ITEM'!#REF!)&lt;&gt;0,_xlfn.SINGLE( ROW('ROMANEIO POR ITEM'!#REF!))-ROW('ROMANEIO POR ITEM'!#REF!)+1), ROW(A219)))), "")</f>
        <v/>
      </c>
      <c r="B220" t="str">
        <f>IF(A220="", "", VLOOKUP(A220, 'ROMANEIO POR ITEM'!#REF!, 2, FALSE))</f>
        <v/>
      </c>
      <c r="C220" t="str">
        <f>IF(A220="", "", VLOOKUP(A220, 'ROMANEIO POR ITEM'!#REF!, 3, FALSE))</f>
        <v/>
      </c>
      <c r="D220" t="str">
        <f>IF(A220="", "", VLOOKUP(A220, 'ROMANEIO POR ITEM'!#REF!, 4, FALSE))</f>
        <v/>
      </c>
      <c r="E220" t="str">
        <f>IF(A220="", "", VLOOKUP(A220, 'ROMANEIO POR ITEM'!#REF!, 5, FALSE))</f>
        <v/>
      </c>
      <c r="F220" t="str">
        <f>IF(A220="", "", VLOOKUP(A220, 'ROMANEIO POR ITEM'!#REF!, 6, FALSE))</f>
        <v/>
      </c>
    </row>
    <row r="221" spans="1:6">
      <c r="A221" t="str">
        <f>IFERROR(_xlfn.SINGLE(INDEX('ROMANEIO POR ITEM'!#REF!, SMALL(IF(_xlfn.SINGLE('ROMANEIO POR ITEM'!#REF!)&lt;&gt;0,_xlfn.SINGLE( ROW('ROMANEIO POR ITEM'!#REF!))-ROW('ROMANEIO POR ITEM'!#REF!)+1), ROW(A220)))), "")</f>
        <v/>
      </c>
      <c r="B221" t="str">
        <f>IF(A221="", "", VLOOKUP(A221, 'ROMANEIO POR ITEM'!#REF!, 2, FALSE))</f>
        <v/>
      </c>
      <c r="C221" t="str">
        <f>IF(A221="", "", VLOOKUP(A221, 'ROMANEIO POR ITEM'!#REF!, 3, FALSE))</f>
        <v/>
      </c>
      <c r="D221" t="str">
        <f>IF(A221="", "", VLOOKUP(A221, 'ROMANEIO POR ITEM'!#REF!, 4, FALSE))</f>
        <v/>
      </c>
      <c r="E221" t="str">
        <f>IF(A221="", "", VLOOKUP(A221, 'ROMANEIO POR ITEM'!#REF!, 5, FALSE))</f>
        <v/>
      </c>
      <c r="F221" t="str">
        <f>IF(A221="", "", VLOOKUP(A221, 'ROMANEIO POR ITEM'!#REF!, 6, FALSE))</f>
        <v/>
      </c>
    </row>
    <row r="222" spans="1:6">
      <c r="A222" t="str">
        <f>IFERROR(_xlfn.SINGLE(INDEX('ROMANEIO POR ITEM'!#REF!, SMALL(IF(_xlfn.SINGLE('ROMANEIO POR ITEM'!#REF!)&lt;&gt;0,_xlfn.SINGLE( ROW('ROMANEIO POR ITEM'!#REF!))-ROW('ROMANEIO POR ITEM'!#REF!)+1), ROW(A221)))), "")</f>
        <v/>
      </c>
      <c r="B222" t="str">
        <f>IF(A222="", "", VLOOKUP(A222, 'ROMANEIO POR ITEM'!#REF!, 2, FALSE))</f>
        <v/>
      </c>
      <c r="C222" t="str">
        <f>IF(A222="", "", VLOOKUP(A222, 'ROMANEIO POR ITEM'!#REF!, 3, FALSE))</f>
        <v/>
      </c>
      <c r="D222" t="str">
        <f>IF(A222="", "", VLOOKUP(A222, 'ROMANEIO POR ITEM'!#REF!, 4, FALSE))</f>
        <v/>
      </c>
      <c r="E222" t="str">
        <f>IF(A222="", "", VLOOKUP(A222, 'ROMANEIO POR ITEM'!#REF!, 5, FALSE))</f>
        <v/>
      </c>
      <c r="F222" t="str">
        <f>IF(A222="", "", VLOOKUP(A222, 'ROMANEIO POR ITEM'!#REF!, 6, FALSE))</f>
        <v/>
      </c>
    </row>
    <row r="223" spans="1:6">
      <c r="A223" t="str">
        <f>IFERROR(_xlfn.SINGLE(INDEX('ROMANEIO POR ITEM'!#REF!, SMALL(IF(_xlfn.SINGLE('ROMANEIO POR ITEM'!#REF!)&lt;&gt;0,_xlfn.SINGLE( ROW('ROMANEIO POR ITEM'!#REF!))-ROW('ROMANEIO POR ITEM'!#REF!)+1), ROW(A222)))), "")</f>
        <v/>
      </c>
      <c r="B223" t="str">
        <f>IF(A223="", "", VLOOKUP(A223, 'ROMANEIO POR ITEM'!#REF!, 2, FALSE))</f>
        <v/>
      </c>
      <c r="C223" t="str">
        <f>IF(A223="", "", VLOOKUP(A223, 'ROMANEIO POR ITEM'!#REF!, 3, FALSE))</f>
        <v/>
      </c>
      <c r="D223" t="str">
        <f>IF(A223="", "", VLOOKUP(A223, 'ROMANEIO POR ITEM'!#REF!, 4, FALSE))</f>
        <v/>
      </c>
      <c r="E223" t="str">
        <f>IF(A223="", "", VLOOKUP(A223, 'ROMANEIO POR ITEM'!#REF!, 5, FALSE))</f>
        <v/>
      </c>
      <c r="F223" t="str">
        <f>IF(A223="", "", VLOOKUP(A223, 'ROMANEIO POR ITEM'!#REF!, 6, FALSE))</f>
        <v/>
      </c>
    </row>
    <row r="224" spans="1:6">
      <c r="A224" t="str">
        <f>IFERROR(_xlfn.SINGLE(INDEX('ROMANEIO POR ITEM'!#REF!, SMALL(IF(_xlfn.SINGLE('ROMANEIO POR ITEM'!#REF!)&lt;&gt;0,_xlfn.SINGLE( ROW('ROMANEIO POR ITEM'!#REF!))-ROW('ROMANEIO POR ITEM'!#REF!)+1), ROW(A223)))), "")</f>
        <v/>
      </c>
      <c r="B224" t="str">
        <f>IF(A224="", "", VLOOKUP(A224, 'ROMANEIO POR ITEM'!#REF!, 2, FALSE))</f>
        <v/>
      </c>
      <c r="C224" t="str">
        <f>IF(A224="", "", VLOOKUP(A224, 'ROMANEIO POR ITEM'!#REF!, 3, FALSE))</f>
        <v/>
      </c>
      <c r="D224" t="str">
        <f>IF(A224="", "", VLOOKUP(A224, 'ROMANEIO POR ITEM'!#REF!, 4, FALSE))</f>
        <v/>
      </c>
      <c r="E224" t="str">
        <f>IF(A224="", "", VLOOKUP(A224, 'ROMANEIO POR ITEM'!#REF!, 5, FALSE))</f>
        <v/>
      </c>
      <c r="F224" t="str">
        <f>IF(A224="", "", VLOOKUP(A224, 'ROMANEIO POR ITEM'!#REF!, 6, FALSE))</f>
        <v/>
      </c>
    </row>
    <row r="225" spans="1:6">
      <c r="A225" t="str">
        <f>IFERROR(_xlfn.SINGLE(INDEX('ROMANEIO POR ITEM'!#REF!, SMALL(IF(_xlfn.SINGLE('ROMANEIO POR ITEM'!#REF!)&lt;&gt;0,_xlfn.SINGLE( ROW('ROMANEIO POR ITEM'!#REF!))-ROW('ROMANEIO POR ITEM'!#REF!)+1), ROW(A224)))), "")</f>
        <v/>
      </c>
      <c r="B225" t="str">
        <f>IF(A225="", "", VLOOKUP(A225, 'ROMANEIO POR ITEM'!#REF!, 2, FALSE))</f>
        <v/>
      </c>
      <c r="C225" t="str">
        <f>IF(A225="", "", VLOOKUP(A225, 'ROMANEIO POR ITEM'!#REF!, 3, FALSE))</f>
        <v/>
      </c>
      <c r="D225" t="str">
        <f>IF(A225="", "", VLOOKUP(A225, 'ROMANEIO POR ITEM'!#REF!, 4, FALSE))</f>
        <v/>
      </c>
      <c r="E225" t="str">
        <f>IF(A225="", "", VLOOKUP(A225, 'ROMANEIO POR ITEM'!#REF!, 5, FALSE))</f>
        <v/>
      </c>
      <c r="F225" t="str">
        <f>IF(A225="", "", VLOOKUP(A225, 'ROMANEIO POR ITEM'!#REF!, 6, FALSE))</f>
        <v/>
      </c>
    </row>
    <row r="226" spans="1:6">
      <c r="A226" t="str">
        <f>IFERROR(_xlfn.SINGLE(INDEX('ROMANEIO POR ITEM'!#REF!, SMALL(IF(_xlfn.SINGLE('ROMANEIO POR ITEM'!#REF!)&lt;&gt;0,_xlfn.SINGLE( ROW('ROMANEIO POR ITEM'!#REF!))-ROW('ROMANEIO POR ITEM'!#REF!)+1), ROW(A225)))), "")</f>
        <v/>
      </c>
      <c r="B226" t="str">
        <f>IF(A226="", "", VLOOKUP(A226, 'ROMANEIO POR ITEM'!#REF!, 2, FALSE))</f>
        <v/>
      </c>
      <c r="C226" t="str">
        <f>IF(A226="", "", VLOOKUP(A226, 'ROMANEIO POR ITEM'!#REF!, 3, FALSE))</f>
        <v/>
      </c>
      <c r="D226" t="str">
        <f>IF(A226="", "", VLOOKUP(A226, 'ROMANEIO POR ITEM'!#REF!, 4, FALSE))</f>
        <v/>
      </c>
      <c r="E226" t="str">
        <f>IF(A226="", "", VLOOKUP(A226, 'ROMANEIO POR ITEM'!#REF!, 5, FALSE))</f>
        <v/>
      </c>
      <c r="F226" t="str">
        <f>IF(A226="", "", VLOOKUP(A226, 'ROMANEIO POR ITEM'!#REF!, 6, FALSE))</f>
        <v/>
      </c>
    </row>
    <row r="227" spans="1:6">
      <c r="A227" t="str">
        <f>IFERROR(_xlfn.SINGLE(INDEX('ROMANEIO POR ITEM'!#REF!, SMALL(IF(_xlfn.SINGLE('ROMANEIO POR ITEM'!#REF!)&lt;&gt;0,_xlfn.SINGLE( ROW('ROMANEIO POR ITEM'!#REF!))-ROW('ROMANEIO POR ITEM'!#REF!)+1), ROW(A226)))), "")</f>
        <v/>
      </c>
      <c r="B227" t="str">
        <f>IF(A227="", "", VLOOKUP(A227, 'ROMANEIO POR ITEM'!#REF!, 2, FALSE))</f>
        <v/>
      </c>
      <c r="C227" t="str">
        <f>IF(A227="", "", VLOOKUP(A227, 'ROMANEIO POR ITEM'!#REF!, 3, FALSE))</f>
        <v/>
      </c>
      <c r="D227" t="str">
        <f>IF(A227="", "", VLOOKUP(A227, 'ROMANEIO POR ITEM'!#REF!, 4, FALSE))</f>
        <v/>
      </c>
      <c r="E227" t="str">
        <f>IF(A227="", "", VLOOKUP(A227, 'ROMANEIO POR ITEM'!#REF!, 5, FALSE))</f>
        <v/>
      </c>
      <c r="F227" t="str">
        <f>IF(A227="", "", VLOOKUP(A227, 'ROMANEIO POR ITEM'!#REF!, 6, FALSE))</f>
        <v/>
      </c>
    </row>
    <row r="228" spans="1:6">
      <c r="A228" t="str">
        <f>IFERROR(_xlfn.SINGLE(INDEX('ROMANEIO POR ITEM'!#REF!, SMALL(IF(_xlfn.SINGLE('ROMANEIO POR ITEM'!#REF!)&lt;&gt;0,_xlfn.SINGLE( ROW('ROMANEIO POR ITEM'!#REF!))-ROW('ROMANEIO POR ITEM'!#REF!)+1), ROW(A227)))), "")</f>
        <v/>
      </c>
      <c r="B228" t="str">
        <f>IF(A228="", "", VLOOKUP(A228, 'ROMANEIO POR ITEM'!#REF!, 2, FALSE))</f>
        <v/>
      </c>
      <c r="C228" t="str">
        <f>IF(A228="", "", VLOOKUP(A228, 'ROMANEIO POR ITEM'!#REF!, 3, FALSE))</f>
        <v/>
      </c>
      <c r="D228" t="str">
        <f>IF(A228="", "", VLOOKUP(A228, 'ROMANEIO POR ITEM'!#REF!, 4, FALSE))</f>
        <v/>
      </c>
      <c r="E228" t="str">
        <f>IF(A228="", "", VLOOKUP(A228, 'ROMANEIO POR ITEM'!#REF!, 5, FALSE))</f>
        <v/>
      </c>
      <c r="F228" t="str">
        <f>IF(A228="", "", VLOOKUP(A228, 'ROMANEIO POR ITEM'!#REF!, 6, FALSE))</f>
        <v/>
      </c>
    </row>
    <row r="229" spans="1:6">
      <c r="A229" t="str">
        <f>IFERROR(_xlfn.SINGLE(INDEX('ROMANEIO POR ITEM'!#REF!, SMALL(IF(_xlfn.SINGLE('ROMANEIO POR ITEM'!#REF!)&lt;&gt;0,_xlfn.SINGLE( ROW('ROMANEIO POR ITEM'!#REF!))-ROW('ROMANEIO POR ITEM'!#REF!)+1), ROW(A228)))), "")</f>
        <v/>
      </c>
      <c r="B229" t="str">
        <f>IF(A229="", "", VLOOKUP(A229, 'ROMANEIO POR ITEM'!#REF!, 2, FALSE))</f>
        <v/>
      </c>
      <c r="C229" t="str">
        <f>IF(A229="", "", VLOOKUP(A229, 'ROMANEIO POR ITEM'!#REF!, 3, FALSE))</f>
        <v/>
      </c>
      <c r="D229" t="str">
        <f>IF(A229="", "", VLOOKUP(A229, 'ROMANEIO POR ITEM'!#REF!, 4, FALSE))</f>
        <v/>
      </c>
      <c r="E229" t="str">
        <f>IF(A229="", "", VLOOKUP(A229, 'ROMANEIO POR ITEM'!#REF!, 5, FALSE))</f>
        <v/>
      </c>
      <c r="F229" t="str">
        <f>IF(A229="", "", VLOOKUP(A229, 'ROMANEIO POR ITEM'!#REF!, 6, FALSE))</f>
        <v/>
      </c>
    </row>
    <row r="230" spans="1:6">
      <c r="A230" t="str">
        <f>IFERROR(_xlfn.SINGLE(INDEX('ROMANEIO POR ITEM'!#REF!, SMALL(IF(_xlfn.SINGLE('ROMANEIO POR ITEM'!#REF!)&lt;&gt;0,_xlfn.SINGLE( ROW('ROMANEIO POR ITEM'!#REF!))-ROW('ROMANEIO POR ITEM'!#REF!)+1), ROW(A229)))), "")</f>
        <v/>
      </c>
      <c r="B230" t="str">
        <f>IF(A230="", "", VLOOKUP(A230, 'ROMANEIO POR ITEM'!#REF!, 2, FALSE))</f>
        <v/>
      </c>
      <c r="C230" t="str">
        <f>IF(A230="", "", VLOOKUP(A230, 'ROMANEIO POR ITEM'!#REF!, 3, FALSE))</f>
        <v/>
      </c>
      <c r="D230" t="str">
        <f>IF(A230="", "", VLOOKUP(A230, 'ROMANEIO POR ITEM'!#REF!, 4, FALSE))</f>
        <v/>
      </c>
      <c r="E230" t="str">
        <f>IF(A230="", "", VLOOKUP(A230, 'ROMANEIO POR ITEM'!#REF!, 5, FALSE))</f>
        <v/>
      </c>
      <c r="F230" t="str">
        <f>IF(A230="", "", VLOOKUP(A230, 'ROMANEIO POR ITEM'!#REF!, 6, FALSE))</f>
        <v/>
      </c>
    </row>
    <row r="231" spans="1:6">
      <c r="A231" t="str">
        <f>IFERROR(_xlfn.SINGLE(INDEX('ROMANEIO POR ITEM'!#REF!, SMALL(IF(_xlfn.SINGLE('ROMANEIO POR ITEM'!#REF!)&lt;&gt;0,_xlfn.SINGLE( ROW('ROMANEIO POR ITEM'!#REF!))-ROW('ROMANEIO POR ITEM'!#REF!)+1), ROW(A230)))), "")</f>
        <v/>
      </c>
      <c r="B231" t="str">
        <f>IF(A231="", "", VLOOKUP(A231, 'ROMANEIO POR ITEM'!#REF!, 2, FALSE))</f>
        <v/>
      </c>
      <c r="C231" t="str">
        <f>IF(A231="", "", VLOOKUP(A231, 'ROMANEIO POR ITEM'!#REF!, 3, FALSE))</f>
        <v/>
      </c>
      <c r="D231" t="str">
        <f>IF(A231="", "", VLOOKUP(A231, 'ROMANEIO POR ITEM'!#REF!, 4, FALSE))</f>
        <v/>
      </c>
      <c r="E231" t="str">
        <f>IF(A231="", "", VLOOKUP(A231, 'ROMANEIO POR ITEM'!#REF!, 5, FALSE))</f>
        <v/>
      </c>
      <c r="F231" t="str">
        <f>IF(A231="", "", VLOOKUP(A231, 'ROMANEIO POR ITEM'!#REF!, 6, FALSE))</f>
        <v/>
      </c>
    </row>
    <row r="232" spans="1:6">
      <c r="A232" t="str">
        <f>IFERROR(_xlfn.SINGLE(INDEX('ROMANEIO POR ITEM'!#REF!, SMALL(IF(_xlfn.SINGLE('ROMANEIO POR ITEM'!#REF!)&lt;&gt;0,_xlfn.SINGLE( ROW('ROMANEIO POR ITEM'!#REF!))-ROW('ROMANEIO POR ITEM'!#REF!)+1), ROW(A231)))), "")</f>
        <v/>
      </c>
      <c r="B232" t="str">
        <f>IF(A232="", "", VLOOKUP(A232, 'ROMANEIO POR ITEM'!#REF!, 2, FALSE))</f>
        <v/>
      </c>
      <c r="C232" t="str">
        <f>IF(A232="", "", VLOOKUP(A232, 'ROMANEIO POR ITEM'!#REF!, 3, FALSE))</f>
        <v/>
      </c>
      <c r="D232" t="str">
        <f>IF(A232="", "", VLOOKUP(A232, 'ROMANEIO POR ITEM'!#REF!, 4, FALSE))</f>
        <v/>
      </c>
      <c r="E232" t="str">
        <f>IF(A232="", "", VLOOKUP(A232, 'ROMANEIO POR ITEM'!#REF!, 5, FALSE))</f>
        <v/>
      </c>
      <c r="F232" t="str">
        <f>IF(A232="", "", VLOOKUP(A232, 'ROMANEIO POR ITEM'!#REF!, 6, FALSE))</f>
        <v/>
      </c>
    </row>
    <row r="233" spans="1:6">
      <c r="A233" t="str">
        <f>IFERROR(_xlfn.SINGLE(INDEX('ROMANEIO POR ITEM'!#REF!, SMALL(IF(_xlfn.SINGLE('ROMANEIO POR ITEM'!#REF!)&lt;&gt;0,_xlfn.SINGLE( ROW('ROMANEIO POR ITEM'!#REF!))-ROW('ROMANEIO POR ITEM'!#REF!)+1), ROW(A232)))), "")</f>
        <v/>
      </c>
      <c r="B233" t="str">
        <f>IF(A233="", "", VLOOKUP(A233, 'ROMANEIO POR ITEM'!#REF!, 2, FALSE))</f>
        <v/>
      </c>
      <c r="C233" t="str">
        <f>IF(A233="", "", VLOOKUP(A233, 'ROMANEIO POR ITEM'!#REF!, 3, FALSE))</f>
        <v/>
      </c>
      <c r="D233" t="str">
        <f>IF(A233="", "", VLOOKUP(A233, 'ROMANEIO POR ITEM'!#REF!, 4, FALSE))</f>
        <v/>
      </c>
      <c r="E233" t="str">
        <f>IF(A233="", "", VLOOKUP(A233, 'ROMANEIO POR ITEM'!#REF!, 5, FALSE))</f>
        <v/>
      </c>
      <c r="F233" t="str">
        <f>IF(A233="", "", VLOOKUP(A233, 'ROMANEIO POR ITEM'!#REF!, 6, FALSE))</f>
        <v/>
      </c>
    </row>
    <row r="234" spans="1:6">
      <c r="A234" t="str">
        <f>IFERROR(_xlfn.SINGLE(INDEX('ROMANEIO POR ITEM'!#REF!, SMALL(IF(_xlfn.SINGLE('ROMANEIO POR ITEM'!#REF!)&lt;&gt;0,_xlfn.SINGLE( ROW('ROMANEIO POR ITEM'!#REF!))-ROW('ROMANEIO POR ITEM'!#REF!)+1), ROW(A233)))), "")</f>
        <v/>
      </c>
      <c r="B234" t="str">
        <f>IF(A234="", "", VLOOKUP(A234, 'ROMANEIO POR ITEM'!#REF!, 2, FALSE))</f>
        <v/>
      </c>
      <c r="C234" t="str">
        <f>IF(A234="", "", VLOOKUP(A234, 'ROMANEIO POR ITEM'!#REF!, 3, FALSE))</f>
        <v/>
      </c>
      <c r="D234" t="str">
        <f>IF(A234="", "", VLOOKUP(A234, 'ROMANEIO POR ITEM'!#REF!, 4, FALSE))</f>
        <v/>
      </c>
      <c r="E234" t="str">
        <f>IF(A234="", "", VLOOKUP(A234, 'ROMANEIO POR ITEM'!#REF!, 5, FALSE))</f>
        <v/>
      </c>
      <c r="F234" t="str">
        <f>IF(A234="", "", VLOOKUP(A234, 'ROMANEIO POR ITEM'!#REF!, 6, FALSE))</f>
        <v/>
      </c>
    </row>
    <row r="235" spans="1:6">
      <c r="A235" t="str">
        <f>IFERROR(_xlfn.SINGLE(INDEX('ROMANEIO POR ITEM'!#REF!, SMALL(IF(_xlfn.SINGLE('ROMANEIO POR ITEM'!#REF!)&lt;&gt;0,_xlfn.SINGLE( ROW('ROMANEIO POR ITEM'!#REF!))-ROW('ROMANEIO POR ITEM'!#REF!)+1), ROW(A234)))), "")</f>
        <v/>
      </c>
      <c r="B235" t="str">
        <f>IF(A235="", "", VLOOKUP(A235, 'ROMANEIO POR ITEM'!#REF!, 2, FALSE))</f>
        <v/>
      </c>
      <c r="C235" t="str">
        <f>IF(A235="", "", VLOOKUP(A235, 'ROMANEIO POR ITEM'!#REF!, 3, FALSE))</f>
        <v/>
      </c>
      <c r="D235" t="str">
        <f>IF(A235="", "", VLOOKUP(A235, 'ROMANEIO POR ITEM'!#REF!, 4, FALSE))</f>
        <v/>
      </c>
      <c r="E235" t="str">
        <f>IF(A235="", "", VLOOKUP(A235, 'ROMANEIO POR ITEM'!#REF!, 5, FALSE))</f>
        <v/>
      </c>
      <c r="F235" t="str">
        <f>IF(A235="", "", VLOOKUP(A235, 'ROMANEIO POR ITEM'!#REF!, 6, FALSE))</f>
        <v/>
      </c>
    </row>
    <row r="236" spans="1:6">
      <c r="A236" t="str">
        <f>IFERROR(_xlfn.SINGLE(INDEX('ROMANEIO POR ITEM'!#REF!, SMALL(IF(_xlfn.SINGLE('ROMANEIO POR ITEM'!#REF!)&lt;&gt;0,_xlfn.SINGLE( ROW('ROMANEIO POR ITEM'!#REF!))-ROW('ROMANEIO POR ITEM'!#REF!)+1), ROW(A235)))), "")</f>
        <v/>
      </c>
      <c r="B236" t="str">
        <f>IF(A236="", "", VLOOKUP(A236, 'ROMANEIO POR ITEM'!#REF!, 2, FALSE))</f>
        <v/>
      </c>
      <c r="C236" t="str">
        <f>IF(A236="", "", VLOOKUP(A236, 'ROMANEIO POR ITEM'!#REF!, 3, FALSE))</f>
        <v/>
      </c>
      <c r="D236" t="str">
        <f>IF(A236="", "", VLOOKUP(A236, 'ROMANEIO POR ITEM'!#REF!, 4, FALSE))</f>
        <v/>
      </c>
      <c r="E236" t="str">
        <f>IF(A236="", "", VLOOKUP(A236, 'ROMANEIO POR ITEM'!#REF!, 5, FALSE))</f>
        <v/>
      </c>
      <c r="F236" t="str">
        <f>IF(A236="", "", VLOOKUP(A236, 'ROMANEIO POR ITEM'!#REF!, 6, FALSE))</f>
        <v/>
      </c>
    </row>
    <row r="237" spans="1:6">
      <c r="A237" t="str">
        <f>IFERROR(_xlfn.SINGLE(INDEX('ROMANEIO POR ITEM'!#REF!, SMALL(IF(_xlfn.SINGLE('ROMANEIO POR ITEM'!#REF!)&lt;&gt;0,_xlfn.SINGLE( ROW('ROMANEIO POR ITEM'!#REF!))-ROW('ROMANEIO POR ITEM'!#REF!)+1), ROW(A236)))), "")</f>
        <v/>
      </c>
      <c r="B237" t="str">
        <f>IF(A237="", "", VLOOKUP(A237, 'ROMANEIO POR ITEM'!#REF!, 2, FALSE))</f>
        <v/>
      </c>
      <c r="C237" t="str">
        <f>IF(A237="", "", VLOOKUP(A237, 'ROMANEIO POR ITEM'!#REF!, 3, FALSE))</f>
        <v/>
      </c>
      <c r="D237" t="str">
        <f>IF(A237="", "", VLOOKUP(A237, 'ROMANEIO POR ITEM'!#REF!, 4, FALSE))</f>
        <v/>
      </c>
      <c r="E237" t="str">
        <f>IF(A237="", "", VLOOKUP(A237, 'ROMANEIO POR ITEM'!#REF!, 5, FALSE))</f>
        <v/>
      </c>
      <c r="F237" t="str">
        <f>IF(A237="", "", VLOOKUP(A237, 'ROMANEIO POR ITEM'!#REF!, 6, FALSE))</f>
        <v/>
      </c>
    </row>
    <row r="238" spans="1:6">
      <c r="A238" t="str">
        <f>IFERROR(_xlfn.SINGLE(INDEX('ROMANEIO POR ITEM'!#REF!, SMALL(IF(_xlfn.SINGLE('ROMANEIO POR ITEM'!#REF!)&lt;&gt;0,_xlfn.SINGLE( ROW('ROMANEIO POR ITEM'!#REF!))-ROW('ROMANEIO POR ITEM'!#REF!)+1), ROW(A237)))), "")</f>
        <v/>
      </c>
      <c r="B238" t="str">
        <f>IF(A238="", "", VLOOKUP(A238, 'ROMANEIO POR ITEM'!#REF!, 2, FALSE))</f>
        <v/>
      </c>
      <c r="C238" t="str">
        <f>IF(A238="", "", VLOOKUP(A238, 'ROMANEIO POR ITEM'!#REF!, 3, FALSE))</f>
        <v/>
      </c>
      <c r="D238" t="str">
        <f>IF(A238="", "", VLOOKUP(A238, 'ROMANEIO POR ITEM'!#REF!, 4, FALSE))</f>
        <v/>
      </c>
      <c r="E238" t="str">
        <f>IF(A238="", "", VLOOKUP(A238, 'ROMANEIO POR ITEM'!#REF!, 5, FALSE))</f>
        <v/>
      </c>
      <c r="F238" t="str">
        <f>IF(A238="", "", VLOOKUP(A238, 'ROMANEIO POR ITEM'!#REF!, 6, FALSE))</f>
        <v/>
      </c>
    </row>
    <row r="239" spans="1:6">
      <c r="A239" t="str">
        <f>IFERROR(_xlfn.SINGLE(INDEX('ROMANEIO POR ITEM'!#REF!, SMALL(IF(_xlfn.SINGLE('ROMANEIO POR ITEM'!#REF!)&lt;&gt;0,_xlfn.SINGLE( ROW('ROMANEIO POR ITEM'!#REF!))-ROW('ROMANEIO POR ITEM'!#REF!)+1), ROW(A238)))), "")</f>
        <v/>
      </c>
      <c r="B239" t="str">
        <f>IF(A239="", "", VLOOKUP(A239, 'ROMANEIO POR ITEM'!#REF!, 2, FALSE))</f>
        <v/>
      </c>
      <c r="C239" t="str">
        <f>IF(A239="", "", VLOOKUP(A239, 'ROMANEIO POR ITEM'!#REF!, 3, FALSE))</f>
        <v/>
      </c>
      <c r="D239" t="str">
        <f>IF(A239="", "", VLOOKUP(A239, 'ROMANEIO POR ITEM'!#REF!, 4, FALSE))</f>
        <v/>
      </c>
      <c r="E239" t="str">
        <f>IF(A239="", "", VLOOKUP(A239, 'ROMANEIO POR ITEM'!#REF!, 5, FALSE))</f>
        <v/>
      </c>
      <c r="F239" t="str">
        <f>IF(A239="", "", VLOOKUP(A239, 'ROMANEIO POR ITEM'!#REF!, 6, FALSE))</f>
        <v/>
      </c>
    </row>
    <row r="240" spans="1:6">
      <c r="A240" t="str">
        <f>IFERROR(_xlfn.SINGLE(INDEX('ROMANEIO POR ITEM'!#REF!, SMALL(IF(_xlfn.SINGLE('ROMANEIO POR ITEM'!#REF!)&lt;&gt;0,_xlfn.SINGLE( ROW('ROMANEIO POR ITEM'!#REF!))-ROW('ROMANEIO POR ITEM'!#REF!)+1), ROW(A239)))), "")</f>
        <v/>
      </c>
      <c r="B240" t="str">
        <f>IF(A240="", "", VLOOKUP(A240, 'ROMANEIO POR ITEM'!#REF!, 2, FALSE))</f>
        <v/>
      </c>
      <c r="C240" t="str">
        <f>IF(A240="", "", VLOOKUP(A240, 'ROMANEIO POR ITEM'!#REF!, 3, FALSE))</f>
        <v/>
      </c>
      <c r="D240" t="str">
        <f>IF(A240="", "", VLOOKUP(A240, 'ROMANEIO POR ITEM'!#REF!, 4, FALSE))</f>
        <v/>
      </c>
      <c r="E240" t="str">
        <f>IF(A240="", "", VLOOKUP(A240, 'ROMANEIO POR ITEM'!#REF!, 5, FALSE))</f>
        <v/>
      </c>
      <c r="F240" t="str">
        <f>IF(A240="", "", VLOOKUP(A240, 'ROMANEIO POR ITEM'!#REF!, 6, FALSE))</f>
        <v/>
      </c>
    </row>
    <row r="241" spans="1:6">
      <c r="A241" t="str">
        <f>IFERROR(_xlfn.SINGLE(INDEX('ROMANEIO POR ITEM'!#REF!, SMALL(IF(_xlfn.SINGLE('ROMANEIO POR ITEM'!#REF!)&lt;&gt;0,_xlfn.SINGLE( ROW('ROMANEIO POR ITEM'!#REF!))-ROW('ROMANEIO POR ITEM'!#REF!)+1), ROW(A240)))), "")</f>
        <v/>
      </c>
      <c r="B241" t="str">
        <f>IF(A241="", "", VLOOKUP(A241, 'ROMANEIO POR ITEM'!#REF!, 2, FALSE))</f>
        <v/>
      </c>
      <c r="C241" t="str">
        <f>IF(A241="", "", VLOOKUP(A241, 'ROMANEIO POR ITEM'!#REF!, 3, FALSE))</f>
        <v/>
      </c>
      <c r="D241" t="str">
        <f>IF(A241="", "", VLOOKUP(A241, 'ROMANEIO POR ITEM'!#REF!, 4, FALSE))</f>
        <v/>
      </c>
      <c r="E241" t="str">
        <f>IF(A241="", "", VLOOKUP(A241, 'ROMANEIO POR ITEM'!#REF!, 5, FALSE))</f>
        <v/>
      </c>
      <c r="F241" t="str">
        <f>IF(A241="", "", VLOOKUP(A241, 'ROMANEIO POR ITEM'!#REF!, 6, FALSE))</f>
        <v/>
      </c>
    </row>
    <row r="242" spans="1:6">
      <c r="A242" t="str">
        <f>IFERROR(_xlfn.SINGLE(INDEX('ROMANEIO POR ITEM'!#REF!, SMALL(IF(_xlfn.SINGLE('ROMANEIO POR ITEM'!#REF!)&lt;&gt;0,_xlfn.SINGLE( ROW('ROMANEIO POR ITEM'!#REF!))-ROW('ROMANEIO POR ITEM'!#REF!)+1), ROW(A241)))), "")</f>
        <v/>
      </c>
      <c r="B242" t="str">
        <f>IF(A242="", "", VLOOKUP(A242, 'ROMANEIO POR ITEM'!#REF!, 2, FALSE))</f>
        <v/>
      </c>
      <c r="C242" t="str">
        <f>IF(A242="", "", VLOOKUP(A242, 'ROMANEIO POR ITEM'!#REF!, 3, FALSE))</f>
        <v/>
      </c>
      <c r="D242" t="str">
        <f>IF(A242="", "", VLOOKUP(A242, 'ROMANEIO POR ITEM'!#REF!, 4, FALSE))</f>
        <v/>
      </c>
      <c r="E242" t="str">
        <f>IF(A242="", "", VLOOKUP(A242, 'ROMANEIO POR ITEM'!#REF!, 5, FALSE))</f>
        <v/>
      </c>
      <c r="F242" t="str">
        <f>IF(A242="", "", VLOOKUP(A242, 'ROMANEIO POR ITEM'!#REF!, 6, FALSE))</f>
        <v/>
      </c>
    </row>
    <row r="243" spans="1:6">
      <c r="A243" t="str">
        <f>IFERROR(_xlfn.SINGLE(INDEX('ROMANEIO POR ITEM'!#REF!, SMALL(IF(_xlfn.SINGLE('ROMANEIO POR ITEM'!#REF!)&lt;&gt;0,_xlfn.SINGLE( ROW('ROMANEIO POR ITEM'!#REF!))-ROW('ROMANEIO POR ITEM'!#REF!)+1), ROW(A242)))), "")</f>
        <v/>
      </c>
      <c r="B243" t="str">
        <f>IF(A243="", "", VLOOKUP(A243, 'ROMANEIO POR ITEM'!#REF!, 2, FALSE))</f>
        <v/>
      </c>
      <c r="C243" t="str">
        <f>IF(A243="", "", VLOOKUP(A243, 'ROMANEIO POR ITEM'!#REF!, 3, FALSE))</f>
        <v/>
      </c>
      <c r="D243" t="str">
        <f>IF(A243="", "", VLOOKUP(A243, 'ROMANEIO POR ITEM'!#REF!, 4, FALSE))</f>
        <v/>
      </c>
      <c r="E243" t="str">
        <f>IF(A243="", "", VLOOKUP(A243, 'ROMANEIO POR ITEM'!#REF!, 5, FALSE))</f>
        <v/>
      </c>
      <c r="F243" t="str">
        <f>IF(A243="", "", VLOOKUP(A243, 'ROMANEIO POR ITEM'!#REF!, 6, FALSE))</f>
        <v/>
      </c>
    </row>
    <row r="244" spans="1:6">
      <c r="A244" t="str">
        <f>IFERROR(_xlfn.SINGLE(INDEX('ROMANEIO POR ITEM'!#REF!, SMALL(IF(_xlfn.SINGLE('ROMANEIO POR ITEM'!#REF!)&lt;&gt;0,_xlfn.SINGLE( ROW('ROMANEIO POR ITEM'!#REF!))-ROW('ROMANEIO POR ITEM'!#REF!)+1), ROW(A243)))), "")</f>
        <v/>
      </c>
      <c r="B244" t="str">
        <f>IF(A244="", "", VLOOKUP(A244, 'ROMANEIO POR ITEM'!#REF!, 2, FALSE))</f>
        <v/>
      </c>
      <c r="C244" t="str">
        <f>IF(A244="", "", VLOOKUP(A244, 'ROMANEIO POR ITEM'!#REF!, 3, FALSE))</f>
        <v/>
      </c>
      <c r="D244" t="str">
        <f>IF(A244="", "", VLOOKUP(A244, 'ROMANEIO POR ITEM'!#REF!, 4, FALSE))</f>
        <v/>
      </c>
      <c r="E244" t="str">
        <f>IF(A244="", "", VLOOKUP(A244, 'ROMANEIO POR ITEM'!#REF!, 5, FALSE))</f>
        <v/>
      </c>
      <c r="F244" t="str">
        <f>IF(A244="", "", VLOOKUP(A244, 'ROMANEIO POR ITEM'!#REF!, 6, FALSE))</f>
        <v/>
      </c>
    </row>
    <row r="245" spans="1:6">
      <c r="A245" t="str">
        <f>IFERROR(_xlfn.SINGLE(INDEX('ROMANEIO POR ITEM'!#REF!, SMALL(IF(_xlfn.SINGLE('ROMANEIO POR ITEM'!#REF!)&lt;&gt;0,_xlfn.SINGLE( ROW('ROMANEIO POR ITEM'!#REF!))-ROW('ROMANEIO POR ITEM'!#REF!)+1), ROW(A244)))), "")</f>
        <v/>
      </c>
      <c r="B245" t="str">
        <f>IF(A245="", "", VLOOKUP(A245, 'ROMANEIO POR ITEM'!#REF!, 2, FALSE))</f>
        <v/>
      </c>
      <c r="C245" t="str">
        <f>IF(A245="", "", VLOOKUP(A245, 'ROMANEIO POR ITEM'!#REF!, 3, FALSE))</f>
        <v/>
      </c>
      <c r="D245" t="str">
        <f>IF(A245="", "", VLOOKUP(A245, 'ROMANEIO POR ITEM'!#REF!, 4, FALSE))</f>
        <v/>
      </c>
      <c r="E245" t="str">
        <f>IF(A245="", "", VLOOKUP(A245, 'ROMANEIO POR ITEM'!#REF!, 5, FALSE))</f>
        <v/>
      </c>
      <c r="F245" t="str">
        <f>IF(A245="", "", VLOOKUP(A245, 'ROMANEIO POR ITEM'!#REF!, 6, FALSE))</f>
        <v/>
      </c>
    </row>
    <row r="246" spans="1:6">
      <c r="A246" t="str">
        <f>IFERROR(_xlfn.SINGLE(INDEX('ROMANEIO POR ITEM'!#REF!, SMALL(IF(_xlfn.SINGLE('ROMANEIO POR ITEM'!#REF!)&lt;&gt;0,_xlfn.SINGLE( ROW('ROMANEIO POR ITEM'!#REF!))-ROW('ROMANEIO POR ITEM'!#REF!)+1), ROW(A245)))), "")</f>
        <v/>
      </c>
      <c r="B246" t="str">
        <f>IF(A246="", "", VLOOKUP(A246, 'ROMANEIO POR ITEM'!#REF!, 2, FALSE))</f>
        <v/>
      </c>
      <c r="C246" t="str">
        <f>IF(A246="", "", VLOOKUP(A246, 'ROMANEIO POR ITEM'!#REF!, 3, FALSE))</f>
        <v/>
      </c>
      <c r="D246" t="str">
        <f>IF(A246="", "", VLOOKUP(A246, 'ROMANEIO POR ITEM'!#REF!, 4, FALSE))</f>
        <v/>
      </c>
      <c r="E246" t="str">
        <f>IF(A246="", "", VLOOKUP(A246, 'ROMANEIO POR ITEM'!#REF!, 5, FALSE))</f>
        <v/>
      </c>
      <c r="F246" t="str">
        <f>IF(A246="", "", VLOOKUP(A246, 'ROMANEIO POR ITEM'!#REF!, 6, FALSE))</f>
        <v/>
      </c>
    </row>
    <row r="247" spans="1:6">
      <c r="A247" t="str">
        <f>IFERROR(_xlfn.SINGLE(INDEX('ROMANEIO POR ITEM'!#REF!, SMALL(IF(_xlfn.SINGLE('ROMANEIO POR ITEM'!#REF!)&lt;&gt;0,_xlfn.SINGLE( ROW('ROMANEIO POR ITEM'!#REF!))-ROW('ROMANEIO POR ITEM'!#REF!)+1), ROW(A246)))), "")</f>
        <v/>
      </c>
      <c r="B247" t="str">
        <f>IF(A247="", "", VLOOKUP(A247, 'ROMANEIO POR ITEM'!#REF!, 2, FALSE))</f>
        <v/>
      </c>
      <c r="C247" t="str">
        <f>IF(A247="", "", VLOOKUP(A247, 'ROMANEIO POR ITEM'!#REF!, 3, FALSE))</f>
        <v/>
      </c>
      <c r="D247" t="str">
        <f>IF(A247="", "", VLOOKUP(A247, 'ROMANEIO POR ITEM'!#REF!, 4, FALSE))</f>
        <v/>
      </c>
      <c r="E247" t="str">
        <f>IF(A247="", "", VLOOKUP(A247, 'ROMANEIO POR ITEM'!#REF!, 5, FALSE))</f>
        <v/>
      </c>
      <c r="F247" t="str">
        <f>IF(A247="", "", VLOOKUP(A247, 'ROMANEIO POR ITEM'!#REF!, 6, FALSE))</f>
        <v/>
      </c>
    </row>
    <row r="248" spans="1:6">
      <c r="A248" t="str">
        <f>IFERROR(_xlfn.SINGLE(INDEX('ROMANEIO POR ITEM'!#REF!, SMALL(IF(_xlfn.SINGLE('ROMANEIO POR ITEM'!#REF!)&lt;&gt;0,_xlfn.SINGLE( ROW('ROMANEIO POR ITEM'!#REF!))-ROW('ROMANEIO POR ITEM'!#REF!)+1), ROW(A247)))), "")</f>
        <v/>
      </c>
      <c r="B248" t="str">
        <f>IF(A248="", "", VLOOKUP(A248, 'ROMANEIO POR ITEM'!#REF!, 2, FALSE))</f>
        <v/>
      </c>
      <c r="C248" t="str">
        <f>IF(A248="", "", VLOOKUP(A248, 'ROMANEIO POR ITEM'!#REF!, 3, FALSE))</f>
        <v/>
      </c>
      <c r="D248" t="str">
        <f>IF(A248="", "", VLOOKUP(A248, 'ROMANEIO POR ITEM'!#REF!, 4, FALSE))</f>
        <v/>
      </c>
      <c r="E248" t="str">
        <f>IF(A248="", "", VLOOKUP(A248, 'ROMANEIO POR ITEM'!#REF!, 5, FALSE))</f>
        <v/>
      </c>
      <c r="F248" t="str">
        <f>IF(A248="", "", VLOOKUP(A248, 'ROMANEIO POR ITEM'!#REF!, 6, FALSE))</f>
        <v/>
      </c>
    </row>
    <row r="249" spans="1:6">
      <c r="A249" t="str">
        <f>IFERROR(_xlfn.SINGLE(INDEX('ROMANEIO POR ITEM'!#REF!, SMALL(IF(_xlfn.SINGLE('ROMANEIO POR ITEM'!#REF!)&lt;&gt;0,_xlfn.SINGLE( ROW('ROMANEIO POR ITEM'!#REF!))-ROW('ROMANEIO POR ITEM'!#REF!)+1), ROW(A248)))), "")</f>
        <v/>
      </c>
      <c r="B249" t="str">
        <f>IF(A249="", "", VLOOKUP(A249, 'ROMANEIO POR ITEM'!#REF!, 2, FALSE))</f>
        <v/>
      </c>
      <c r="C249" t="str">
        <f>IF(A249="", "", VLOOKUP(A249, 'ROMANEIO POR ITEM'!#REF!, 3, FALSE))</f>
        <v/>
      </c>
      <c r="D249" t="str">
        <f>IF(A249="", "", VLOOKUP(A249, 'ROMANEIO POR ITEM'!#REF!, 4, FALSE))</f>
        <v/>
      </c>
      <c r="E249" t="str">
        <f>IF(A249="", "", VLOOKUP(A249, 'ROMANEIO POR ITEM'!#REF!, 5, FALSE))</f>
        <v/>
      </c>
      <c r="F249" t="str">
        <f>IF(A249="", "", VLOOKUP(A249, 'ROMANEIO POR ITEM'!#REF!, 6, FALSE))</f>
        <v/>
      </c>
    </row>
    <row r="250" spans="1:6">
      <c r="A250" t="str">
        <f>IFERROR(_xlfn.SINGLE(INDEX('ROMANEIO POR ITEM'!#REF!, SMALL(IF(_xlfn.SINGLE('ROMANEIO POR ITEM'!#REF!)&lt;&gt;0,_xlfn.SINGLE( ROW('ROMANEIO POR ITEM'!#REF!))-ROW('ROMANEIO POR ITEM'!#REF!)+1), ROW(A249)))), "")</f>
        <v/>
      </c>
      <c r="B250" t="str">
        <f>IF(A250="", "", VLOOKUP(A250, 'ROMANEIO POR ITEM'!#REF!, 2, FALSE))</f>
        <v/>
      </c>
      <c r="C250" t="str">
        <f>IF(A250="", "", VLOOKUP(A250, 'ROMANEIO POR ITEM'!#REF!, 3, FALSE))</f>
        <v/>
      </c>
      <c r="D250" t="str">
        <f>IF(A250="", "", VLOOKUP(A250, 'ROMANEIO POR ITEM'!#REF!, 4, FALSE))</f>
        <v/>
      </c>
      <c r="E250" t="str">
        <f>IF(A250="", "", VLOOKUP(A250, 'ROMANEIO POR ITEM'!#REF!, 5, FALSE))</f>
        <v/>
      </c>
      <c r="F250" t="str">
        <f>IF(A250="", "", VLOOKUP(A250, 'ROMANEIO POR ITEM'!#REF!, 6, FALSE))</f>
        <v/>
      </c>
    </row>
    <row r="251" spans="1:6">
      <c r="A251" t="str">
        <f>IFERROR(_xlfn.SINGLE(INDEX('ROMANEIO POR ITEM'!#REF!, SMALL(IF(_xlfn.SINGLE('ROMANEIO POR ITEM'!#REF!)&lt;&gt;0,_xlfn.SINGLE( ROW('ROMANEIO POR ITEM'!#REF!))-ROW('ROMANEIO POR ITEM'!#REF!)+1), ROW(A250)))), "")</f>
        <v/>
      </c>
      <c r="B251" t="str">
        <f>IF(A251="", "", VLOOKUP(A251, 'ROMANEIO POR ITEM'!#REF!, 2, FALSE))</f>
        <v/>
      </c>
      <c r="C251" t="str">
        <f>IF(A251="", "", VLOOKUP(A251, 'ROMANEIO POR ITEM'!#REF!, 3, FALSE))</f>
        <v/>
      </c>
      <c r="D251" t="str">
        <f>IF(A251="", "", VLOOKUP(A251, 'ROMANEIO POR ITEM'!#REF!, 4, FALSE))</f>
        <v/>
      </c>
      <c r="E251" t="str">
        <f>IF(A251="", "", VLOOKUP(A251, 'ROMANEIO POR ITEM'!#REF!, 5, FALSE))</f>
        <v/>
      </c>
      <c r="F251" t="str">
        <f>IF(A251="", "", VLOOKUP(A251, 'ROMANEIO POR ITEM'!#REF!, 6, FALSE))</f>
        <v/>
      </c>
    </row>
    <row r="252" spans="1:6">
      <c r="A252" t="str">
        <f>IFERROR(_xlfn.SINGLE(INDEX('ROMANEIO POR ITEM'!#REF!, SMALL(IF(_xlfn.SINGLE('ROMANEIO POR ITEM'!#REF!)&lt;&gt;0,_xlfn.SINGLE( ROW('ROMANEIO POR ITEM'!#REF!))-ROW('ROMANEIO POR ITEM'!#REF!)+1), ROW(A251)))), "")</f>
        <v/>
      </c>
      <c r="B252" t="str">
        <f>IF(A252="", "", VLOOKUP(A252, 'ROMANEIO POR ITEM'!#REF!, 2, FALSE))</f>
        <v/>
      </c>
      <c r="C252" t="str">
        <f>IF(A252="", "", VLOOKUP(A252, 'ROMANEIO POR ITEM'!#REF!, 3, FALSE))</f>
        <v/>
      </c>
      <c r="D252" t="str">
        <f>IF(A252="", "", VLOOKUP(A252, 'ROMANEIO POR ITEM'!#REF!, 4, FALSE))</f>
        <v/>
      </c>
      <c r="E252" t="str">
        <f>IF(A252="", "", VLOOKUP(A252, 'ROMANEIO POR ITEM'!#REF!, 5, FALSE))</f>
        <v/>
      </c>
      <c r="F252" t="str">
        <f>IF(A252="", "", VLOOKUP(A252, 'ROMANEIO POR ITEM'!#REF!, 6, FALSE))</f>
        <v/>
      </c>
    </row>
    <row r="253" spans="1:6">
      <c r="A253" t="str">
        <f>IFERROR(_xlfn.SINGLE(INDEX('ROMANEIO POR ITEM'!#REF!, SMALL(IF(_xlfn.SINGLE('ROMANEIO POR ITEM'!#REF!)&lt;&gt;0,_xlfn.SINGLE( ROW('ROMANEIO POR ITEM'!#REF!))-ROW('ROMANEIO POR ITEM'!#REF!)+1), ROW(A252)))), "")</f>
        <v/>
      </c>
      <c r="B253" t="str">
        <f>IF(A253="", "", VLOOKUP(A253, 'ROMANEIO POR ITEM'!#REF!, 2, FALSE))</f>
        <v/>
      </c>
      <c r="C253" t="str">
        <f>IF(A253="", "", VLOOKUP(A253, 'ROMANEIO POR ITEM'!#REF!, 3, FALSE))</f>
        <v/>
      </c>
      <c r="D253" t="str">
        <f>IF(A253="", "", VLOOKUP(A253, 'ROMANEIO POR ITEM'!#REF!, 4, FALSE))</f>
        <v/>
      </c>
      <c r="E253" t="str">
        <f>IF(A253="", "", VLOOKUP(A253, 'ROMANEIO POR ITEM'!#REF!, 5, FALSE))</f>
        <v/>
      </c>
      <c r="F253" t="str">
        <f>IF(A253="", "", VLOOKUP(A253, 'ROMANEIO POR ITEM'!#REF!, 6, FALSE))</f>
        <v/>
      </c>
    </row>
    <row r="254" spans="1:6">
      <c r="A254" t="str">
        <f>IFERROR(_xlfn.SINGLE(INDEX('ROMANEIO POR ITEM'!#REF!, SMALL(IF(_xlfn.SINGLE('ROMANEIO POR ITEM'!#REF!)&lt;&gt;0,_xlfn.SINGLE( ROW('ROMANEIO POR ITEM'!#REF!))-ROW('ROMANEIO POR ITEM'!#REF!)+1), ROW(A253)))), "")</f>
        <v/>
      </c>
      <c r="B254" t="str">
        <f>IF(A254="", "", VLOOKUP(A254, 'ROMANEIO POR ITEM'!#REF!, 2, FALSE))</f>
        <v/>
      </c>
      <c r="C254" t="str">
        <f>IF(A254="", "", VLOOKUP(A254, 'ROMANEIO POR ITEM'!#REF!, 3, FALSE))</f>
        <v/>
      </c>
      <c r="D254" t="str">
        <f>IF(A254="", "", VLOOKUP(A254, 'ROMANEIO POR ITEM'!#REF!, 4, FALSE))</f>
        <v/>
      </c>
      <c r="E254" t="str">
        <f>IF(A254="", "", VLOOKUP(A254, 'ROMANEIO POR ITEM'!#REF!, 5, FALSE))</f>
        <v/>
      </c>
      <c r="F254" t="str">
        <f>IF(A254="", "", VLOOKUP(A254, 'ROMANEIO POR ITEM'!#REF!, 6, FALSE))</f>
        <v/>
      </c>
    </row>
    <row r="255" spans="1:6">
      <c r="A255" t="str">
        <f>IFERROR(_xlfn.SINGLE(INDEX('ROMANEIO POR ITEM'!#REF!, SMALL(IF(_xlfn.SINGLE('ROMANEIO POR ITEM'!#REF!)&lt;&gt;0,_xlfn.SINGLE( ROW('ROMANEIO POR ITEM'!#REF!))-ROW('ROMANEIO POR ITEM'!#REF!)+1), ROW(A254)))), "")</f>
        <v/>
      </c>
      <c r="B255" t="str">
        <f>IF(A255="", "", VLOOKUP(A255, 'ROMANEIO POR ITEM'!#REF!, 2, FALSE))</f>
        <v/>
      </c>
      <c r="C255" t="str">
        <f>IF(A255="", "", VLOOKUP(A255, 'ROMANEIO POR ITEM'!#REF!, 3, FALSE))</f>
        <v/>
      </c>
      <c r="D255" t="str">
        <f>IF(A255="", "", VLOOKUP(A255, 'ROMANEIO POR ITEM'!#REF!, 4, FALSE))</f>
        <v/>
      </c>
      <c r="E255" t="str">
        <f>IF(A255="", "", VLOOKUP(A255, 'ROMANEIO POR ITEM'!#REF!, 5, FALSE))</f>
        <v/>
      </c>
      <c r="F255" t="str">
        <f>IF(A255="", "", VLOOKUP(A255, 'ROMANEIO POR ITEM'!#REF!, 6, FALSE))</f>
        <v/>
      </c>
    </row>
    <row r="256" spans="1:6">
      <c r="A256" t="str">
        <f>IFERROR(_xlfn.SINGLE(INDEX('ROMANEIO POR ITEM'!#REF!, SMALL(IF(_xlfn.SINGLE('ROMANEIO POR ITEM'!#REF!)&lt;&gt;0,_xlfn.SINGLE( ROW('ROMANEIO POR ITEM'!#REF!))-ROW('ROMANEIO POR ITEM'!#REF!)+1), ROW(A255)))), "")</f>
        <v/>
      </c>
      <c r="B256" t="str">
        <f>IF(A256="", "", VLOOKUP(A256, 'ROMANEIO POR ITEM'!#REF!, 2, FALSE))</f>
        <v/>
      </c>
      <c r="C256" t="str">
        <f>IF(A256="", "", VLOOKUP(A256, 'ROMANEIO POR ITEM'!#REF!, 3, FALSE))</f>
        <v/>
      </c>
      <c r="D256" t="str">
        <f>IF(A256="", "", VLOOKUP(A256, 'ROMANEIO POR ITEM'!#REF!, 4, FALSE))</f>
        <v/>
      </c>
      <c r="E256" t="str">
        <f>IF(A256="", "", VLOOKUP(A256, 'ROMANEIO POR ITEM'!#REF!, 5, FALSE))</f>
        <v/>
      </c>
      <c r="F256" t="str">
        <f>IF(A256="", "", VLOOKUP(A256, 'ROMANEIO POR ITEM'!#REF!, 6, FALSE))</f>
        <v/>
      </c>
    </row>
    <row r="257" spans="1:6">
      <c r="A257" t="str">
        <f>IFERROR(_xlfn.SINGLE(INDEX('ROMANEIO POR ITEM'!#REF!, SMALL(IF(_xlfn.SINGLE('ROMANEIO POR ITEM'!#REF!)&lt;&gt;0,_xlfn.SINGLE( ROW('ROMANEIO POR ITEM'!#REF!))-ROW('ROMANEIO POR ITEM'!#REF!)+1), ROW(A256)))), "")</f>
        <v/>
      </c>
      <c r="B257" t="str">
        <f>IF(A257="", "", VLOOKUP(A257, 'ROMANEIO POR ITEM'!#REF!, 2, FALSE))</f>
        <v/>
      </c>
      <c r="C257" t="str">
        <f>IF(A257="", "", VLOOKUP(A257, 'ROMANEIO POR ITEM'!#REF!, 3, FALSE))</f>
        <v/>
      </c>
      <c r="D257" t="str">
        <f>IF(A257="", "", VLOOKUP(A257, 'ROMANEIO POR ITEM'!#REF!, 4, FALSE))</f>
        <v/>
      </c>
      <c r="E257" t="str">
        <f>IF(A257="", "", VLOOKUP(A257, 'ROMANEIO POR ITEM'!#REF!, 5, FALSE))</f>
        <v/>
      </c>
      <c r="F257" t="str">
        <f>IF(A257="", "", VLOOKUP(A257, 'ROMANEIO POR ITEM'!#REF!, 6, FALSE))</f>
        <v/>
      </c>
    </row>
    <row r="258" spans="1:6">
      <c r="A258" t="str">
        <f>IFERROR(_xlfn.SINGLE(INDEX('ROMANEIO POR ITEM'!#REF!, SMALL(IF(_xlfn.SINGLE('ROMANEIO POR ITEM'!#REF!)&lt;&gt;0,_xlfn.SINGLE( ROW('ROMANEIO POR ITEM'!#REF!))-ROW('ROMANEIO POR ITEM'!#REF!)+1), ROW(A257)))), "")</f>
        <v/>
      </c>
      <c r="B258" t="str">
        <f>IF(A258="", "", VLOOKUP(A258, 'ROMANEIO POR ITEM'!#REF!, 2, FALSE))</f>
        <v/>
      </c>
      <c r="C258" t="str">
        <f>IF(A258="", "", VLOOKUP(A258, 'ROMANEIO POR ITEM'!#REF!, 3, FALSE))</f>
        <v/>
      </c>
      <c r="D258" t="str">
        <f>IF(A258="", "", VLOOKUP(A258, 'ROMANEIO POR ITEM'!#REF!, 4, FALSE))</f>
        <v/>
      </c>
      <c r="E258" t="str">
        <f>IF(A258="", "", VLOOKUP(A258, 'ROMANEIO POR ITEM'!#REF!, 5, FALSE))</f>
        <v/>
      </c>
      <c r="F258" t="str">
        <f>IF(A258="", "", VLOOKUP(A258, 'ROMANEIO POR ITEM'!#REF!, 6, FALSE))</f>
        <v/>
      </c>
    </row>
    <row r="259" spans="1:6">
      <c r="A259" t="str">
        <f>IFERROR(_xlfn.SINGLE(INDEX('ROMANEIO POR ITEM'!#REF!, SMALL(IF(_xlfn.SINGLE('ROMANEIO POR ITEM'!#REF!)&lt;&gt;0,_xlfn.SINGLE( ROW('ROMANEIO POR ITEM'!#REF!))-ROW('ROMANEIO POR ITEM'!#REF!)+1), ROW(A258)))), "")</f>
        <v/>
      </c>
      <c r="B259" t="str">
        <f>IF(A259="", "", VLOOKUP(A259, 'ROMANEIO POR ITEM'!#REF!, 2, FALSE))</f>
        <v/>
      </c>
      <c r="C259" t="str">
        <f>IF(A259="", "", VLOOKUP(A259, 'ROMANEIO POR ITEM'!#REF!, 3, FALSE))</f>
        <v/>
      </c>
      <c r="D259" t="str">
        <f>IF(A259="", "", VLOOKUP(A259, 'ROMANEIO POR ITEM'!#REF!, 4, FALSE))</f>
        <v/>
      </c>
      <c r="E259" t="str">
        <f>IF(A259="", "", VLOOKUP(A259, 'ROMANEIO POR ITEM'!#REF!, 5, FALSE))</f>
        <v/>
      </c>
      <c r="F259" t="str">
        <f>IF(A259="", "", VLOOKUP(A259, 'ROMANEIO POR ITEM'!#REF!, 6, FALSE))</f>
        <v/>
      </c>
    </row>
    <row r="260" spans="1:6">
      <c r="A260" t="str">
        <f>IFERROR(_xlfn.SINGLE(INDEX('ROMANEIO POR ITEM'!#REF!, SMALL(IF(_xlfn.SINGLE('ROMANEIO POR ITEM'!#REF!)&lt;&gt;0,_xlfn.SINGLE( ROW('ROMANEIO POR ITEM'!#REF!))-ROW('ROMANEIO POR ITEM'!#REF!)+1), ROW(A259)))), "")</f>
        <v/>
      </c>
      <c r="B260" t="str">
        <f>IF(A260="", "", VLOOKUP(A260, 'ROMANEIO POR ITEM'!#REF!, 2, FALSE))</f>
        <v/>
      </c>
      <c r="C260" t="str">
        <f>IF(A260="", "", VLOOKUP(A260, 'ROMANEIO POR ITEM'!#REF!, 3, FALSE))</f>
        <v/>
      </c>
      <c r="D260" t="str">
        <f>IF(A260="", "", VLOOKUP(A260, 'ROMANEIO POR ITEM'!#REF!, 4, FALSE))</f>
        <v/>
      </c>
      <c r="E260" t="str">
        <f>IF(A260="", "", VLOOKUP(A260, 'ROMANEIO POR ITEM'!#REF!, 5, FALSE))</f>
        <v/>
      </c>
      <c r="F260" t="str">
        <f>IF(A260="", "", VLOOKUP(A260, 'ROMANEIO POR ITEM'!#REF!, 6, FALSE))</f>
        <v/>
      </c>
    </row>
    <row r="261" spans="1:6">
      <c r="A261" t="str">
        <f>IFERROR(_xlfn.SINGLE(INDEX('ROMANEIO POR ITEM'!#REF!, SMALL(IF(_xlfn.SINGLE('ROMANEIO POR ITEM'!#REF!)&lt;&gt;0,_xlfn.SINGLE( ROW('ROMANEIO POR ITEM'!#REF!))-ROW('ROMANEIO POR ITEM'!#REF!)+1), ROW(A260)))), "")</f>
        <v/>
      </c>
      <c r="B261" t="str">
        <f>IF(A261="", "", VLOOKUP(A261, 'ROMANEIO POR ITEM'!#REF!, 2, FALSE))</f>
        <v/>
      </c>
      <c r="C261" t="str">
        <f>IF(A261="", "", VLOOKUP(A261, 'ROMANEIO POR ITEM'!#REF!, 3, FALSE))</f>
        <v/>
      </c>
      <c r="D261" t="str">
        <f>IF(A261="", "", VLOOKUP(A261, 'ROMANEIO POR ITEM'!#REF!, 4, FALSE))</f>
        <v/>
      </c>
      <c r="E261" t="str">
        <f>IF(A261="", "", VLOOKUP(A261, 'ROMANEIO POR ITEM'!#REF!, 5, FALSE))</f>
        <v/>
      </c>
      <c r="F261" t="str">
        <f>IF(A261="", "", VLOOKUP(A261, 'ROMANEIO POR ITEM'!#REF!, 6, FALSE))</f>
        <v/>
      </c>
    </row>
    <row r="262" spans="1:6">
      <c r="A262" t="str">
        <f>IFERROR(_xlfn.SINGLE(INDEX('ROMANEIO POR ITEM'!#REF!, SMALL(IF(_xlfn.SINGLE('ROMANEIO POR ITEM'!#REF!)&lt;&gt;0,_xlfn.SINGLE( ROW('ROMANEIO POR ITEM'!#REF!))-ROW('ROMANEIO POR ITEM'!#REF!)+1), ROW(A261)))), "")</f>
        <v/>
      </c>
      <c r="B262" t="str">
        <f>IF(A262="", "", VLOOKUP(A262, 'ROMANEIO POR ITEM'!#REF!, 2, FALSE))</f>
        <v/>
      </c>
      <c r="C262" t="str">
        <f>IF(A262="", "", VLOOKUP(A262, 'ROMANEIO POR ITEM'!#REF!, 3, FALSE))</f>
        <v/>
      </c>
      <c r="D262" t="str">
        <f>IF(A262="", "", VLOOKUP(A262, 'ROMANEIO POR ITEM'!#REF!, 4, FALSE))</f>
        <v/>
      </c>
      <c r="E262" t="str">
        <f>IF(A262="", "", VLOOKUP(A262, 'ROMANEIO POR ITEM'!#REF!, 5, FALSE))</f>
        <v/>
      </c>
      <c r="F262" t="str">
        <f>IF(A262="", "", VLOOKUP(A262, 'ROMANEIO POR ITEM'!#REF!, 6, FALSE))</f>
        <v/>
      </c>
    </row>
    <row r="263" spans="1:6">
      <c r="A263" t="str">
        <f>IFERROR(_xlfn.SINGLE(INDEX('ROMANEIO POR ITEM'!#REF!, SMALL(IF(_xlfn.SINGLE('ROMANEIO POR ITEM'!#REF!)&lt;&gt;0,_xlfn.SINGLE( ROW('ROMANEIO POR ITEM'!#REF!))-ROW('ROMANEIO POR ITEM'!#REF!)+1), ROW(A262)))), "")</f>
        <v/>
      </c>
      <c r="B263" t="str">
        <f>IF(A263="", "", VLOOKUP(A263, 'ROMANEIO POR ITEM'!#REF!, 2, FALSE))</f>
        <v/>
      </c>
      <c r="C263" t="str">
        <f>IF(A263="", "", VLOOKUP(A263, 'ROMANEIO POR ITEM'!#REF!, 3, FALSE))</f>
        <v/>
      </c>
      <c r="D263" t="str">
        <f>IF(A263="", "", VLOOKUP(A263, 'ROMANEIO POR ITEM'!#REF!, 4, FALSE))</f>
        <v/>
      </c>
      <c r="E263" t="str">
        <f>IF(A263="", "", VLOOKUP(A263, 'ROMANEIO POR ITEM'!#REF!, 5, FALSE))</f>
        <v/>
      </c>
      <c r="F263" t="str">
        <f>IF(A263="", "", VLOOKUP(A263, 'ROMANEIO POR ITEM'!#REF!, 6, FALSE))</f>
        <v/>
      </c>
    </row>
    <row r="264" spans="1:6">
      <c r="A264" t="str">
        <f>IFERROR(_xlfn.SINGLE(INDEX('ROMANEIO POR ITEM'!#REF!, SMALL(IF(_xlfn.SINGLE('ROMANEIO POR ITEM'!#REF!)&lt;&gt;0,_xlfn.SINGLE( ROW('ROMANEIO POR ITEM'!#REF!))-ROW('ROMANEIO POR ITEM'!#REF!)+1), ROW(A263)))), "")</f>
        <v/>
      </c>
      <c r="B264" t="str">
        <f>IF(A264="", "", VLOOKUP(A264, 'ROMANEIO POR ITEM'!#REF!, 2, FALSE))</f>
        <v/>
      </c>
      <c r="C264" t="str">
        <f>IF(A264="", "", VLOOKUP(A264, 'ROMANEIO POR ITEM'!#REF!, 3, FALSE))</f>
        <v/>
      </c>
      <c r="D264" t="str">
        <f>IF(A264="", "", VLOOKUP(A264, 'ROMANEIO POR ITEM'!#REF!, 4, FALSE))</f>
        <v/>
      </c>
      <c r="E264" t="str">
        <f>IF(A264="", "", VLOOKUP(A264, 'ROMANEIO POR ITEM'!#REF!, 5, FALSE))</f>
        <v/>
      </c>
      <c r="F264" t="str">
        <f>IF(A264="", "", VLOOKUP(A264, 'ROMANEIO POR ITEM'!#REF!, 6, FALSE))</f>
        <v/>
      </c>
    </row>
    <row r="265" spans="1:6">
      <c r="A265" t="str">
        <f>IFERROR(_xlfn.SINGLE(INDEX('ROMANEIO POR ITEM'!#REF!, SMALL(IF(_xlfn.SINGLE('ROMANEIO POR ITEM'!#REF!)&lt;&gt;0,_xlfn.SINGLE( ROW('ROMANEIO POR ITEM'!#REF!))-ROW('ROMANEIO POR ITEM'!#REF!)+1), ROW(A264)))), "")</f>
        <v/>
      </c>
      <c r="B265" t="str">
        <f>IF(A265="", "", VLOOKUP(A265, 'ROMANEIO POR ITEM'!#REF!, 2, FALSE))</f>
        <v/>
      </c>
      <c r="C265" t="str">
        <f>IF(A265="", "", VLOOKUP(A265, 'ROMANEIO POR ITEM'!#REF!, 3, FALSE))</f>
        <v/>
      </c>
      <c r="D265" t="str">
        <f>IF(A265="", "", VLOOKUP(A265, 'ROMANEIO POR ITEM'!#REF!, 4, FALSE))</f>
        <v/>
      </c>
      <c r="E265" t="str">
        <f>IF(A265="", "", VLOOKUP(A265, 'ROMANEIO POR ITEM'!#REF!, 5, FALSE))</f>
        <v/>
      </c>
      <c r="F265" t="str">
        <f>IF(A265="", "", VLOOKUP(A265, 'ROMANEIO POR ITEM'!#REF!, 6, FALSE))</f>
        <v/>
      </c>
    </row>
    <row r="266" spans="1:6">
      <c r="A266" t="str">
        <f>IFERROR(_xlfn.SINGLE(INDEX('ROMANEIO POR ITEM'!#REF!, SMALL(IF(_xlfn.SINGLE('ROMANEIO POR ITEM'!#REF!)&lt;&gt;0,_xlfn.SINGLE( ROW('ROMANEIO POR ITEM'!#REF!))-ROW('ROMANEIO POR ITEM'!#REF!)+1), ROW(A265)))), "")</f>
        <v/>
      </c>
      <c r="B266" t="str">
        <f>IF(A266="", "", VLOOKUP(A266, 'ROMANEIO POR ITEM'!#REF!, 2, FALSE))</f>
        <v/>
      </c>
      <c r="C266" t="str">
        <f>IF(A266="", "", VLOOKUP(A266, 'ROMANEIO POR ITEM'!#REF!, 3, FALSE))</f>
        <v/>
      </c>
      <c r="D266" t="str">
        <f>IF(A266="", "", VLOOKUP(A266, 'ROMANEIO POR ITEM'!#REF!, 4, FALSE))</f>
        <v/>
      </c>
      <c r="E266" t="str">
        <f>IF(A266="", "", VLOOKUP(A266, 'ROMANEIO POR ITEM'!#REF!, 5, FALSE))</f>
        <v/>
      </c>
      <c r="F266" t="str">
        <f>IF(A266="", "", VLOOKUP(A266, 'ROMANEIO POR ITEM'!#REF!, 6, FALSE))</f>
        <v/>
      </c>
    </row>
    <row r="267" spans="1:6">
      <c r="A267" t="str">
        <f>IFERROR(_xlfn.SINGLE(INDEX('ROMANEIO POR ITEM'!#REF!, SMALL(IF(_xlfn.SINGLE('ROMANEIO POR ITEM'!#REF!)&lt;&gt;0,_xlfn.SINGLE( ROW('ROMANEIO POR ITEM'!#REF!))-ROW('ROMANEIO POR ITEM'!#REF!)+1), ROW(A266)))), "")</f>
        <v/>
      </c>
      <c r="B267" t="str">
        <f>IF(A267="", "", VLOOKUP(A267, 'ROMANEIO POR ITEM'!#REF!, 2, FALSE))</f>
        <v/>
      </c>
      <c r="C267" t="str">
        <f>IF(A267="", "", VLOOKUP(A267, 'ROMANEIO POR ITEM'!#REF!, 3, FALSE))</f>
        <v/>
      </c>
      <c r="D267" t="str">
        <f>IF(A267="", "", VLOOKUP(A267, 'ROMANEIO POR ITEM'!#REF!, 4, FALSE))</f>
        <v/>
      </c>
      <c r="E267" t="str">
        <f>IF(A267="", "", VLOOKUP(A267, 'ROMANEIO POR ITEM'!#REF!, 5, FALSE))</f>
        <v/>
      </c>
      <c r="F267" t="str">
        <f>IF(A267="", "", VLOOKUP(A267, 'ROMANEIO POR ITEM'!#REF!, 6, FALSE))</f>
        <v/>
      </c>
    </row>
    <row r="268" spans="1:6">
      <c r="A268" t="str">
        <f>IFERROR(_xlfn.SINGLE(INDEX('ROMANEIO POR ITEM'!#REF!, SMALL(IF(_xlfn.SINGLE('ROMANEIO POR ITEM'!#REF!)&lt;&gt;0,_xlfn.SINGLE( ROW('ROMANEIO POR ITEM'!#REF!))-ROW('ROMANEIO POR ITEM'!#REF!)+1), ROW(A267)))), "")</f>
        <v/>
      </c>
      <c r="B268" t="str">
        <f>IF(A268="", "", VLOOKUP(A268, 'ROMANEIO POR ITEM'!#REF!, 2, FALSE))</f>
        <v/>
      </c>
      <c r="C268" t="str">
        <f>IF(A268="", "", VLOOKUP(A268, 'ROMANEIO POR ITEM'!#REF!, 3, FALSE))</f>
        <v/>
      </c>
      <c r="D268" t="str">
        <f>IF(A268="", "", VLOOKUP(A268, 'ROMANEIO POR ITEM'!#REF!, 4, FALSE))</f>
        <v/>
      </c>
      <c r="E268" t="str">
        <f>IF(A268="", "", VLOOKUP(A268, 'ROMANEIO POR ITEM'!#REF!, 5, FALSE))</f>
        <v/>
      </c>
      <c r="F268" t="str">
        <f>IF(A268="", "", VLOOKUP(A268, 'ROMANEIO POR ITEM'!#REF!, 6, FALSE))</f>
        <v/>
      </c>
    </row>
    <row r="269" spans="1:6">
      <c r="A269" t="str">
        <f>IFERROR(_xlfn.SINGLE(INDEX('ROMANEIO POR ITEM'!#REF!, SMALL(IF(_xlfn.SINGLE('ROMANEIO POR ITEM'!#REF!)&lt;&gt;0,_xlfn.SINGLE( ROW('ROMANEIO POR ITEM'!#REF!))-ROW('ROMANEIO POR ITEM'!#REF!)+1), ROW(A268)))), "")</f>
        <v/>
      </c>
      <c r="B269" t="str">
        <f>IF(A269="", "", VLOOKUP(A269, 'ROMANEIO POR ITEM'!#REF!, 2, FALSE))</f>
        <v/>
      </c>
      <c r="C269" t="str">
        <f>IF(A269="", "", VLOOKUP(A269, 'ROMANEIO POR ITEM'!#REF!, 3, FALSE))</f>
        <v/>
      </c>
      <c r="D269" t="str">
        <f>IF(A269="", "", VLOOKUP(A269, 'ROMANEIO POR ITEM'!#REF!, 4, FALSE))</f>
        <v/>
      </c>
      <c r="E269" t="str">
        <f>IF(A269="", "", VLOOKUP(A269, 'ROMANEIO POR ITEM'!#REF!, 5, FALSE))</f>
        <v/>
      </c>
      <c r="F269" t="str">
        <f>IF(A269="", "", VLOOKUP(A269, 'ROMANEIO POR ITEM'!#REF!, 6, FALSE))</f>
        <v/>
      </c>
    </row>
    <row r="270" spans="1:6">
      <c r="A270" t="str">
        <f>IFERROR(_xlfn.SINGLE(INDEX('ROMANEIO POR ITEM'!#REF!, SMALL(IF(_xlfn.SINGLE('ROMANEIO POR ITEM'!#REF!)&lt;&gt;0,_xlfn.SINGLE( ROW('ROMANEIO POR ITEM'!#REF!))-ROW('ROMANEIO POR ITEM'!#REF!)+1), ROW(A269)))), "")</f>
        <v/>
      </c>
      <c r="B270" t="str">
        <f>IF(A270="", "", VLOOKUP(A270, 'ROMANEIO POR ITEM'!#REF!, 2, FALSE))</f>
        <v/>
      </c>
      <c r="C270" t="str">
        <f>IF(A270="", "", VLOOKUP(A270, 'ROMANEIO POR ITEM'!#REF!, 3, FALSE))</f>
        <v/>
      </c>
      <c r="D270" t="str">
        <f>IF(A270="", "", VLOOKUP(A270, 'ROMANEIO POR ITEM'!#REF!, 4, FALSE))</f>
        <v/>
      </c>
      <c r="E270" t="str">
        <f>IF(A270="", "", VLOOKUP(A270, 'ROMANEIO POR ITEM'!#REF!, 5, FALSE))</f>
        <v/>
      </c>
      <c r="F270" t="str">
        <f>IF(A270="", "", VLOOKUP(A270, 'ROMANEIO POR ITEM'!#REF!, 6, FALSE))</f>
        <v/>
      </c>
    </row>
    <row r="271" spans="1:6">
      <c r="A271" t="str">
        <f>IFERROR(_xlfn.SINGLE(INDEX('ROMANEIO POR ITEM'!#REF!, SMALL(IF(_xlfn.SINGLE('ROMANEIO POR ITEM'!#REF!)&lt;&gt;0,_xlfn.SINGLE( ROW('ROMANEIO POR ITEM'!#REF!))-ROW('ROMANEIO POR ITEM'!#REF!)+1), ROW(A270)))), "")</f>
        <v/>
      </c>
      <c r="B271" t="str">
        <f>IF(A271="", "", VLOOKUP(A271, 'ROMANEIO POR ITEM'!#REF!, 2, FALSE))</f>
        <v/>
      </c>
      <c r="C271" t="str">
        <f>IF(A271="", "", VLOOKUP(A271, 'ROMANEIO POR ITEM'!#REF!, 3, FALSE))</f>
        <v/>
      </c>
      <c r="D271" t="str">
        <f>IF(A271="", "", VLOOKUP(A271, 'ROMANEIO POR ITEM'!#REF!, 4, FALSE))</f>
        <v/>
      </c>
      <c r="E271" t="str">
        <f>IF(A271="", "", VLOOKUP(A271, 'ROMANEIO POR ITEM'!#REF!, 5, FALSE))</f>
        <v/>
      </c>
      <c r="F271" t="str">
        <f>IF(A271="", "", VLOOKUP(A271, 'ROMANEIO POR ITEM'!#REF!, 6, FALSE))</f>
        <v/>
      </c>
    </row>
    <row r="272" spans="1:6">
      <c r="A272" t="str">
        <f>IFERROR(_xlfn.SINGLE(INDEX('ROMANEIO POR ITEM'!#REF!, SMALL(IF(_xlfn.SINGLE('ROMANEIO POR ITEM'!#REF!)&lt;&gt;0,_xlfn.SINGLE( ROW('ROMANEIO POR ITEM'!#REF!))-ROW('ROMANEIO POR ITEM'!#REF!)+1), ROW(A271)))), "")</f>
        <v/>
      </c>
      <c r="B272" t="str">
        <f>IF(A272="", "", VLOOKUP(A272, 'ROMANEIO POR ITEM'!#REF!, 2, FALSE))</f>
        <v/>
      </c>
      <c r="C272" t="str">
        <f>IF(A272="", "", VLOOKUP(A272, 'ROMANEIO POR ITEM'!#REF!, 3, FALSE))</f>
        <v/>
      </c>
      <c r="D272" t="str">
        <f>IF(A272="", "", VLOOKUP(A272, 'ROMANEIO POR ITEM'!#REF!, 4, FALSE))</f>
        <v/>
      </c>
      <c r="E272" t="str">
        <f>IF(A272="", "", VLOOKUP(A272, 'ROMANEIO POR ITEM'!#REF!, 5, FALSE))</f>
        <v/>
      </c>
      <c r="F272" t="str">
        <f>IF(A272="", "", VLOOKUP(A272, 'ROMANEIO POR ITEM'!#REF!, 6, FALSE))</f>
        <v/>
      </c>
    </row>
    <row r="273" spans="1:6">
      <c r="A273" t="str">
        <f>IFERROR(_xlfn.SINGLE(INDEX('ROMANEIO POR ITEM'!#REF!, SMALL(IF(_xlfn.SINGLE('ROMANEIO POR ITEM'!#REF!)&lt;&gt;0,_xlfn.SINGLE( ROW('ROMANEIO POR ITEM'!#REF!))-ROW('ROMANEIO POR ITEM'!#REF!)+1), ROW(A272)))), "")</f>
        <v/>
      </c>
      <c r="B273" t="str">
        <f>IF(A273="", "", VLOOKUP(A273, 'ROMANEIO POR ITEM'!#REF!, 2, FALSE))</f>
        <v/>
      </c>
      <c r="C273" t="str">
        <f>IF(A273="", "", VLOOKUP(A273, 'ROMANEIO POR ITEM'!#REF!, 3, FALSE))</f>
        <v/>
      </c>
      <c r="D273" t="str">
        <f>IF(A273="", "", VLOOKUP(A273, 'ROMANEIO POR ITEM'!#REF!, 4, FALSE))</f>
        <v/>
      </c>
      <c r="E273" t="str">
        <f>IF(A273="", "", VLOOKUP(A273, 'ROMANEIO POR ITEM'!#REF!, 5, FALSE))</f>
        <v/>
      </c>
      <c r="F273" t="str">
        <f>IF(A273="", "", VLOOKUP(A273, 'ROMANEIO POR ITEM'!#REF!, 6, FALSE))</f>
        <v/>
      </c>
    </row>
    <row r="274" spans="1:6">
      <c r="A274" t="str">
        <f>IFERROR(_xlfn.SINGLE(INDEX('ROMANEIO POR ITEM'!#REF!, SMALL(IF(_xlfn.SINGLE('ROMANEIO POR ITEM'!#REF!)&lt;&gt;0,_xlfn.SINGLE( ROW('ROMANEIO POR ITEM'!#REF!))-ROW('ROMANEIO POR ITEM'!#REF!)+1), ROW(A273)))), "")</f>
        <v/>
      </c>
      <c r="B274" t="str">
        <f>IF(A274="", "", VLOOKUP(A274, 'ROMANEIO POR ITEM'!#REF!, 2, FALSE))</f>
        <v/>
      </c>
      <c r="C274" t="str">
        <f>IF(A274="", "", VLOOKUP(A274, 'ROMANEIO POR ITEM'!#REF!, 3, FALSE))</f>
        <v/>
      </c>
      <c r="D274" t="str">
        <f>IF(A274="", "", VLOOKUP(A274, 'ROMANEIO POR ITEM'!#REF!, 4, FALSE))</f>
        <v/>
      </c>
      <c r="E274" t="str">
        <f>IF(A274="", "", VLOOKUP(A274, 'ROMANEIO POR ITEM'!#REF!, 5, FALSE))</f>
        <v/>
      </c>
      <c r="F274" t="str">
        <f>IF(A274="", "", VLOOKUP(A274, 'ROMANEIO POR ITEM'!#REF!, 6, FALSE))</f>
        <v/>
      </c>
    </row>
    <row r="275" spans="1:6">
      <c r="A275" t="str">
        <f>IFERROR(_xlfn.SINGLE(INDEX('ROMANEIO POR ITEM'!#REF!, SMALL(IF(_xlfn.SINGLE('ROMANEIO POR ITEM'!#REF!)&lt;&gt;0,_xlfn.SINGLE( ROW('ROMANEIO POR ITEM'!#REF!))-ROW('ROMANEIO POR ITEM'!#REF!)+1), ROW(A274)))), "")</f>
        <v/>
      </c>
      <c r="B275" t="str">
        <f>IF(A275="", "", VLOOKUP(A275, 'ROMANEIO POR ITEM'!#REF!, 2, FALSE))</f>
        <v/>
      </c>
      <c r="C275" t="str">
        <f>IF(A275="", "", VLOOKUP(A275, 'ROMANEIO POR ITEM'!#REF!, 3, FALSE))</f>
        <v/>
      </c>
      <c r="D275" t="str">
        <f>IF(A275="", "", VLOOKUP(A275, 'ROMANEIO POR ITEM'!#REF!, 4, FALSE))</f>
        <v/>
      </c>
      <c r="E275" t="str">
        <f>IF(A275="", "", VLOOKUP(A275, 'ROMANEIO POR ITEM'!#REF!, 5, FALSE))</f>
        <v/>
      </c>
      <c r="F275" t="str">
        <f>IF(A275="", "", VLOOKUP(A275, 'ROMANEIO POR ITEM'!#REF!, 6, FALSE))</f>
        <v/>
      </c>
    </row>
    <row r="276" spans="1:6">
      <c r="A276" t="str">
        <f>IFERROR(_xlfn.SINGLE(INDEX('ROMANEIO POR ITEM'!#REF!, SMALL(IF(_xlfn.SINGLE('ROMANEIO POR ITEM'!#REF!)&lt;&gt;0,_xlfn.SINGLE( ROW('ROMANEIO POR ITEM'!#REF!))-ROW('ROMANEIO POR ITEM'!#REF!)+1), ROW(A275)))), "")</f>
        <v/>
      </c>
      <c r="B276" t="str">
        <f>IF(A276="", "", VLOOKUP(A276, 'ROMANEIO POR ITEM'!#REF!, 2, FALSE))</f>
        <v/>
      </c>
      <c r="C276" t="str">
        <f>IF(A276="", "", VLOOKUP(A276, 'ROMANEIO POR ITEM'!#REF!, 3, FALSE))</f>
        <v/>
      </c>
      <c r="D276" t="str">
        <f>IF(A276="", "", VLOOKUP(A276, 'ROMANEIO POR ITEM'!#REF!, 4, FALSE))</f>
        <v/>
      </c>
      <c r="E276" t="str">
        <f>IF(A276="", "", VLOOKUP(A276, 'ROMANEIO POR ITEM'!#REF!, 5, FALSE))</f>
        <v/>
      </c>
      <c r="F276" t="str">
        <f>IF(A276="", "", VLOOKUP(A276, 'ROMANEIO POR ITEM'!#REF!, 6, FALSE))</f>
        <v/>
      </c>
    </row>
    <row r="277" spans="1:6">
      <c r="A277" t="str">
        <f>IFERROR(_xlfn.SINGLE(INDEX('ROMANEIO POR ITEM'!#REF!, SMALL(IF(_xlfn.SINGLE('ROMANEIO POR ITEM'!#REF!)&lt;&gt;0,_xlfn.SINGLE( ROW('ROMANEIO POR ITEM'!#REF!))-ROW('ROMANEIO POR ITEM'!#REF!)+1), ROW(A276)))), "")</f>
        <v/>
      </c>
      <c r="B277" t="str">
        <f>IF(A277="", "", VLOOKUP(A277, 'ROMANEIO POR ITEM'!#REF!, 2, FALSE))</f>
        <v/>
      </c>
      <c r="C277" t="str">
        <f>IF(A277="", "", VLOOKUP(A277, 'ROMANEIO POR ITEM'!#REF!, 3, FALSE))</f>
        <v/>
      </c>
      <c r="D277" t="str">
        <f>IF(A277="", "", VLOOKUP(A277, 'ROMANEIO POR ITEM'!#REF!, 4, FALSE))</f>
        <v/>
      </c>
      <c r="E277" t="str">
        <f>IF(A277="", "", VLOOKUP(A277, 'ROMANEIO POR ITEM'!#REF!, 5, FALSE))</f>
        <v/>
      </c>
      <c r="F277" t="str">
        <f>IF(A277="", "", VLOOKUP(A277, 'ROMANEIO POR ITEM'!#REF!, 6, FALSE))</f>
        <v/>
      </c>
    </row>
    <row r="278" spans="1:6">
      <c r="A278" t="str">
        <f>IFERROR(_xlfn.SINGLE(INDEX('ROMANEIO POR ITEM'!#REF!, SMALL(IF(_xlfn.SINGLE('ROMANEIO POR ITEM'!#REF!)&lt;&gt;0,_xlfn.SINGLE( ROW('ROMANEIO POR ITEM'!#REF!))-ROW('ROMANEIO POR ITEM'!#REF!)+1), ROW(A277)))), "")</f>
        <v/>
      </c>
      <c r="B278" t="str">
        <f>IF(A278="", "", VLOOKUP(A278, 'ROMANEIO POR ITEM'!#REF!, 2, FALSE))</f>
        <v/>
      </c>
      <c r="C278" t="str">
        <f>IF(A278="", "", VLOOKUP(A278, 'ROMANEIO POR ITEM'!#REF!, 3, FALSE))</f>
        <v/>
      </c>
      <c r="D278" t="str">
        <f>IF(A278="", "", VLOOKUP(A278, 'ROMANEIO POR ITEM'!#REF!, 4, FALSE))</f>
        <v/>
      </c>
      <c r="E278" t="str">
        <f>IF(A278="", "", VLOOKUP(A278, 'ROMANEIO POR ITEM'!#REF!, 5, FALSE))</f>
        <v/>
      </c>
      <c r="F278" t="str">
        <f>IF(A278="", "", VLOOKUP(A278, 'ROMANEIO POR ITEM'!#REF!, 6, FALSE))</f>
        <v/>
      </c>
    </row>
    <row r="279" spans="1:6">
      <c r="A279" t="str">
        <f>IFERROR(_xlfn.SINGLE(INDEX('ROMANEIO POR ITEM'!#REF!, SMALL(IF(_xlfn.SINGLE('ROMANEIO POR ITEM'!#REF!)&lt;&gt;0,_xlfn.SINGLE( ROW('ROMANEIO POR ITEM'!#REF!))-ROW('ROMANEIO POR ITEM'!#REF!)+1), ROW(A278)))), "")</f>
        <v/>
      </c>
      <c r="B279" t="str">
        <f>IF(A279="", "", VLOOKUP(A279, 'ROMANEIO POR ITEM'!#REF!, 2, FALSE))</f>
        <v/>
      </c>
      <c r="C279" t="str">
        <f>IF(A279="", "", VLOOKUP(A279, 'ROMANEIO POR ITEM'!#REF!, 3, FALSE))</f>
        <v/>
      </c>
      <c r="D279" t="str">
        <f>IF(A279="", "", VLOOKUP(A279, 'ROMANEIO POR ITEM'!#REF!, 4, FALSE))</f>
        <v/>
      </c>
      <c r="E279" t="str">
        <f>IF(A279="", "", VLOOKUP(A279, 'ROMANEIO POR ITEM'!#REF!, 5, FALSE))</f>
        <v/>
      </c>
      <c r="F279" t="str">
        <f>IF(A279="", "", VLOOKUP(A279, 'ROMANEIO POR ITEM'!#REF!, 6, FALSE))</f>
        <v/>
      </c>
    </row>
    <row r="280" spans="1:6">
      <c r="A280" t="str">
        <f>IFERROR(_xlfn.SINGLE(INDEX('ROMANEIO POR ITEM'!#REF!, SMALL(IF(_xlfn.SINGLE('ROMANEIO POR ITEM'!#REF!)&lt;&gt;0,_xlfn.SINGLE( ROW('ROMANEIO POR ITEM'!#REF!))-ROW('ROMANEIO POR ITEM'!#REF!)+1), ROW(A279)))), "")</f>
        <v/>
      </c>
      <c r="B280" t="str">
        <f>IF(A280="", "", VLOOKUP(A280, 'ROMANEIO POR ITEM'!#REF!, 2, FALSE))</f>
        <v/>
      </c>
      <c r="C280" t="str">
        <f>IF(A280="", "", VLOOKUP(A280, 'ROMANEIO POR ITEM'!#REF!, 3, FALSE))</f>
        <v/>
      </c>
      <c r="D280" t="str">
        <f>IF(A280="", "", VLOOKUP(A280, 'ROMANEIO POR ITEM'!#REF!, 4, FALSE))</f>
        <v/>
      </c>
      <c r="E280" t="str">
        <f>IF(A280="", "", VLOOKUP(A280, 'ROMANEIO POR ITEM'!#REF!, 5, FALSE))</f>
        <v/>
      </c>
      <c r="F280" t="str">
        <f>IF(A280="", "", VLOOKUP(A280, 'ROMANEIO POR ITEM'!#REF!, 6, FALSE))</f>
        <v/>
      </c>
    </row>
    <row r="281" spans="1:6">
      <c r="A281" t="str">
        <f>IFERROR(_xlfn.SINGLE(INDEX('ROMANEIO POR ITEM'!#REF!, SMALL(IF(_xlfn.SINGLE('ROMANEIO POR ITEM'!#REF!)&lt;&gt;0,_xlfn.SINGLE( ROW('ROMANEIO POR ITEM'!#REF!))-ROW('ROMANEIO POR ITEM'!#REF!)+1), ROW(A280)))), "")</f>
        <v/>
      </c>
      <c r="B281" t="str">
        <f>IF(A281="", "", VLOOKUP(A281, 'ROMANEIO POR ITEM'!#REF!, 2, FALSE))</f>
        <v/>
      </c>
      <c r="C281" t="str">
        <f>IF(A281="", "", VLOOKUP(A281, 'ROMANEIO POR ITEM'!#REF!, 3, FALSE))</f>
        <v/>
      </c>
      <c r="D281" t="str">
        <f>IF(A281="", "", VLOOKUP(A281, 'ROMANEIO POR ITEM'!#REF!, 4, FALSE))</f>
        <v/>
      </c>
      <c r="E281" t="str">
        <f>IF(A281="", "", VLOOKUP(A281, 'ROMANEIO POR ITEM'!#REF!, 5, FALSE))</f>
        <v/>
      </c>
      <c r="F281" t="str">
        <f>IF(A281="", "", VLOOKUP(A281, 'ROMANEIO POR ITEM'!#REF!, 6, FALSE))</f>
        <v/>
      </c>
    </row>
    <row r="282" spans="1:6">
      <c r="A282" t="str">
        <f>IFERROR(_xlfn.SINGLE(INDEX('ROMANEIO POR ITEM'!#REF!, SMALL(IF(_xlfn.SINGLE('ROMANEIO POR ITEM'!#REF!)&lt;&gt;0,_xlfn.SINGLE( ROW('ROMANEIO POR ITEM'!#REF!))-ROW('ROMANEIO POR ITEM'!#REF!)+1), ROW(A281)))), "")</f>
        <v/>
      </c>
      <c r="B282" t="str">
        <f>IF(A282="", "", VLOOKUP(A282, 'ROMANEIO POR ITEM'!#REF!, 2, FALSE))</f>
        <v/>
      </c>
      <c r="C282" t="str">
        <f>IF(A282="", "", VLOOKUP(A282, 'ROMANEIO POR ITEM'!#REF!, 3, FALSE))</f>
        <v/>
      </c>
      <c r="D282" t="str">
        <f>IF(A282="", "", VLOOKUP(A282, 'ROMANEIO POR ITEM'!#REF!, 4, FALSE))</f>
        <v/>
      </c>
      <c r="E282" t="str">
        <f>IF(A282="", "", VLOOKUP(A282, 'ROMANEIO POR ITEM'!#REF!, 5, FALSE))</f>
        <v/>
      </c>
      <c r="F282" t="str">
        <f>IF(A282="", "", VLOOKUP(A282, 'ROMANEIO POR ITEM'!#REF!, 6, FALSE))</f>
        <v/>
      </c>
    </row>
    <row r="283" spans="1:6">
      <c r="A283" t="str">
        <f>IFERROR(_xlfn.SINGLE(INDEX('ROMANEIO POR ITEM'!#REF!, SMALL(IF(_xlfn.SINGLE('ROMANEIO POR ITEM'!#REF!)&lt;&gt;0,_xlfn.SINGLE( ROW('ROMANEIO POR ITEM'!#REF!))-ROW('ROMANEIO POR ITEM'!#REF!)+1), ROW(A282)))), "")</f>
        <v/>
      </c>
      <c r="B283" t="str">
        <f>IF(A283="", "", VLOOKUP(A283, 'ROMANEIO POR ITEM'!#REF!, 2, FALSE))</f>
        <v/>
      </c>
      <c r="C283" t="str">
        <f>IF(A283="", "", VLOOKUP(A283, 'ROMANEIO POR ITEM'!#REF!, 3, FALSE))</f>
        <v/>
      </c>
      <c r="D283" t="str">
        <f>IF(A283="", "", VLOOKUP(A283, 'ROMANEIO POR ITEM'!#REF!, 4, FALSE))</f>
        <v/>
      </c>
      <c r="E283" t="str">
        <f>IF(A283="", "", VLOOKUP(A283, 'ROMANEIO POR ITEM'!#REF!, 5, FALSE))</f>
        <v/>
      </c>
      <c r="F283" t="str">
        <f>IF(A283="", "", VLOOKUP(A283, 'ROMANEIO POR ITEM'!#REF!, 6, FALSE))</f>
        <v/>
      </c>
    </row>
    <row r="284" spans="1:6">
      <c r="A284" t="str">
        <f>IFERROR(_xlfn.SINGLE(INDEX('ROMANEIO POR ITEM'!#REF!, SMALL(IF(_xlfn.SINGLE('ROMANEIO POR ITEM'!#REF!)&lt;&gt;0,_xlfn.SINGLE( ROW('ROMANEIO POR ITEM'!#REF!))-ROW('ROMANEIO POR ITEM'!#REF!)+1), ROW(A283)))), "")</f>
        <v/>
      </c>
      <c r="B284" t="str">
        <f>IF(A284="", "", VLOOKUP(A284, 'ROMANEIO POR ITEM'!#REF!, 2, FALSE))</f>
        <v/>
      </c>
      <c r="C284" t="str">
        <f>IF(A284="", "", VLOOKUP(A284, 'ROMANEIO POR ITEM'!#REF!, 3, FALSE))</f>
        <v/>
      </c>
      <c r="D284" t="str">
        <f>IF(A284="", "", VLOOKUP(A284, 'ROMANEIO POR ITEM'!#REF!, 4, FALSE))</f>
        <v/>
      </c>
      <c r="E284" t="str">
        <f>IF(A284="", "", VLOOKUP(A284, 'ROMANEIO POR ITEM'!#REF!, 5, FALSE))</f>
        <v/>
      </c>
      <c r="F284" t="str">
        <f>IF(A284="", "", VLOOKUP(A284, 'ROMANEIO POR ITEM'!#REF!, 6, FALSE))</f>
        <v/>
      </c>
    </row>
    <row r="285" spans="1:6">
      <c r="A285" t="str">
        <f>IFERROR(_xlfn.SINGLE(INDEX('ROMANEIO POR ITEM'!#REF!, SMALL(IF(_xlfn.SINGLE('ROMANEIO POR ITEM'!#REF!)&lt;&gt;0,_xlfn.SINGLE( ROW('ROMANEIO POR ITEM'!#REF!))-ROW('ROMANEIO POR ITEM'!#REF!)+1), ROW(A284)))), "")</f>
        <v/>
      </c>
      <c r="B285" t="str">
        <f>IF(A285="", "", VLOOKUP(A285, 'ROMANEIO POR ITEM'!#REF!, 2, FALSE))</f>
        <v/>
      </c>
      <c r="C285" t="str">
        <f>IF(A285="", "", VLOOKUP(A285, 'ROMANEIO POR ITEM'!#REF!, 3, FALSE))</f>
        <v/>
      </c>
      <c r="D285" t="str">
        <f>IF(A285="", "", VLOOKUP(A285, 'ROMANEIO POR ITEM'!#REF!, 4, FALSE))</f>
        <v/>
      </c>
      <c r="E285" t="str">
        <f>IF(A285="", "", VLOOKUP(A285, 'ROMANEIO POR ITEM'!#REF!, 5, FALSE))</f>
        <v/>
      </c>
      <c r="F285" t="str">
        <f>IF(A285="", "", VLOOKUP(A285, 'ROMANEIO POR ITEM'!#REF!, 6, FALSE))</f>
        <v/>
      </c>
    </row>
    <row r="286" spans="1:6">
      <c r="A286" t="str">
        <f>IFERROR(_xlfn.SINGLE(INDEX('ROMANEIO POR ITEM'!#REF!, SMALL(IF(_xlfn.SINGLE('ROMANEIO POR ITEM'!#REF!)&lt;&gt;0,_xlfn.SINGLE( ROW('ROMANEIO POR ITEM'!#REF!))-ROW('ROMANEIO POR ITEM'!#REF!)+1), ROW(A285)))), "")</f>
        <v/>
      </c>
      <c r="B286" t="str">
        <f>IF(A286="", "", VLOOKUP(A286, 'ROMANEIO POR ITEM'!#REF!, 2, FALSE))</f>
        <v/>
      </c>
      <c r="C286" t="str">
        <f>IF(A286="", "", VLOOKUP(A286, 'ROMANEIO POR ITEM'!#REF!, 3, FALSE))</f>
        <v/>
      </c>
      <c r="D286" t="str">
        <f>IF(A286="", "", VLOOKUP(A286, 'ROMANEIO POR ITEM'!#REF!, 4, FALSE))</f>
        <v/>
      </c>
      <c r="E286" t="str">
        <f>IF(A286="", "", VLOOKUP(A286, 'ROMANEIO POR ITEM'!#REF!, 5, FALSE))</f>
        <v/>
      </c>
      <c r="F286" t="str">
        <f>IF(A286="", "", VLOOKUP(A286, 'ROMANEIO POR ITEM'!#REF!, 6, FALSE))</f>
        <v/>
      </c>
    </row>
    <row r="287" spans="1:6">
      <c r="A287" t="str">
        <f>IFERROR(_xlfn.SINGLE(INDEX('ROMANEIO POR ITEM'!#REF!, SMALL(IF(_xlfn.SINGLE('ROMANEIO POR ITEM'!#REF!)&lt;&gt;0,_xlfn.SINGLE( ROW('ROMANEIO POR ITEM'!#REF!))-ROW('ROMANEIO POR ITEM'!#REF!)+1), ROW(A286)))), "")</f>
        <v/>
      </c>
      <c r="B287" t="str">
        <f>IF(A287="", "", VLOOKUP(A287, 'ROMANEIO POR ITEM'!#REF!, 2, FALSE))</f>
        <v/>
      </c>
      <c r="C287" t="str">
        <f>IF(A287="", "", VLOOKUP(A287, 'ROMANEIO POR ITEM'!#REF!, 3, FALSE))</f>
        <v/>
      </c>
      <c r="D287" t="str">
        <f>IF(A287="", "", VLOOKUP(A287, 'ROMANEIO POR ITEM'!#REF!, 4, FALSE))</f>
        <v/>
      </c>
      <c r="E287" t="str">
        <f>IF(A287="", "", VLOOKUP(A287, 'ROMANEIO POR ITEM'!#REF!, 5, FALSE))</f>
        <v/>
      </c>
      <c r="F287" t="str">
        <f>IF(A287="", "", VLOOKUP(A287, 'ROMANEIO POR ITEM'!#REF!, 6, FALSE))</f>
        <v/>
      </c>
    </row>
    <row r="288" spans="1:6">
      <c r="A288" t="str">
        <f>IFERROR(_xlfn.SINGLE(INDEX('ROMANEIO POR ITEM'!#REF!, SMALL(IF(_xlfn.SINGLE('ROMANEIO POR ITEM'!#REF!)&lt;&gt;0,_xlfn.SINGLE( ROW('ROMANEIO POR ITEM'!#REF!))-ROW('ROMANEIO POR ITEM'!#REF!)+1), ROW(A287)))), "")</f>
        <v/>
      </c>
      <c r="B288" t="str">
        <f>IF(A288="", "", VLOOKUP(A288, 'ROMANEIO POR ITEM'!#REF!, 2, FALSE))</f>
        <v/>
      </c>
      <c r="C288" t="str">
        <f>IF(A288="", "", VLOOKUP(A288, 'ROMANEIO POR ITEM'!#REF!, 3, FALSE))</f>
        <v/>
      </c>
      <c r="D288" t="str">
        <f>IF(A288="", "", VLOOKUP(A288, 'ROMANEIO POR ITEM'!#REF!, 4, FALSE))</f>
        <v/>
      </c>
      <c r="E288" t="str">
        <f>IF(A288="", "", VLOOKUP(A288, 'ROMANEIO POR ITEM'!#REF!, 5, FALSE))</f>
        <v/>
      </c>
      <c r="F288" t="str">
        <f>IF(A288="", "", VLOOKUP(A288, 'ROMANEIO POR ITEM'!#REF!, 6, FALSE))</f>
        <v/>
      </c>
    </row>
    <row r="289" spans="1:6">
      <c r="A289" t="str">
        <f>IFERROR(_xlfn.SINGLE(INDEX('ROMANEIO POR ITEM'!#REF!, SMALL(IF(_xlfn.SINGLE('ROMANEIO POR ITEM'!#REF!)&lt;&gt;0,_xlfn.SINGLE( ROW('ROMANEIO POR ITEM'!#REF!))-ROW('ROMANEIO POR ITEM'!#REF!)+1), ROW(A288)))), "")</f>
        <v/>
      </c>
      <c r="B289" t="str">
        <f>IF(A289="", "", VLOOKUP(A289, 'ROMANEIO POR ITEM'!#REF!, 2, FALSE))</f>
        <v/>
      </c>
      <c r="C289" t="str">
        <f>IF(A289="", "", VLOOKUP(A289, 'ROMANEIO POR ITEM'!#REF!, 3, FALSE))</f>
        <v/>
      </c>
      <c r="D289" t="str">
        <f>IF(A289="", "", VLOOKUP(A289, 'ROMANEIO POR ITEM'!#REF!, 4, FALSE))</f>
        <v/>
      </c>
      <c r="E289" t="str">
        <f>IF(A289="", "", VLOOKUP(A289, 'ROMANEIO POR ITEM'!#REF!, 5, FALSE))</f>
        <v/>
      </c>
      <c r="F289" t="str">
        <f>IF(A289="", "", VLOOKUP(A289, 'ROMANEIO POR ITEM'!#REF!, 6, FALSE))</f>
        <v/>
      </c>
    </row>
    <row r="290" spans="1:6">
      <c r="A290" t="str">
        <f>IFERROR(_xlfn.SINGLE(INDEX('ROMANEIO POR ITEM'!#REF!, SMALL(IF(_xlfn.SINGLE('ROMANEIO POR ITEM'!#REF!)&lt;&gt;0,_xlfn.SINGLE( ROW('ROMANEIO POR ITEM'!#REF!))-ROW('ROMANEIO POR ITEM'!#REF!)+1), ROW(A289)))), "")</f>
        <v/>
      </c>
      <c r="B290" t="str">
        <f>IF(A290="", "", VLOOKUP(A290, 'ROMANEIO POR ITEM'!#REF!, 2, FALSE))</f>
        <v/>
      </c>
      <c r="C290" t="str">
        <f>IF(A290="", "", VLOOKUP(A290, 'ROMANEIO POR ITEM'!#REF!, 3, FALSE))</f>
        <v/>
      </c>
      <c r="D290" t="str">
        <f>IF(A290="", "", VLOOKUP(A290, 'ROMANEIO POR ITEM'!#REF!, 4, FALSE))</f>
        <v/>
      </c>
      <c r="E290" t="str">
        <f>IF(A290="", "", VLOOKUP(A290, 'ROMANEIO POR ITEM'!#REF!, 5, FALSE))</f>
        <v/>
      </c>
      <c r="F290" t="str">
        <f>IF(A290="", "", VLOOKUP(A290, 'ROMANEIO POR ITEM'!#REF!, 6, FALSE))</f>
        <v/>
      </c>
    </row>
    <row r="291" spans="1:6">
      <c r="A291" t="str">
        <f>IFERROR(_xlfn.SINGLE(INDEX('ROMANEIO POR ITEM'!#REF!, SMALL(IF(_xlfn.SINGLE('ROMANEIO POR ITEM'!#REF!)&lt;&gt;0,_xlfn.SINGLE( ROW('ROMANEIO POR ITEM'!#REF!))-ROW('ROMANEIO POR ITEM'!#REF!)+1), ROW(A290)))), "")</f>
        <v/>
      </c>
      <c r="B291" t="str">
        <f>IF(A291="", "", VLOOKUP(A291, 'ROMANEIO POR ITEM'!#REF!, 2, FALSE))</f>
        <v/>
      </c>
      <c r="C291" t="str">
        <f>IF(A291="", "", VLOOKUP(A291, 'ROMANEIO POR ITEM'!#REF!, 3, FALSE))</f>
        <v/>
      </c>
      <c r="D291" t="str">
        <f>IF(A291="", "", VLOOKUP(A291, 'ROMANEIO POR ITEM'!#REF!, 4, FALSE))</f>
        <v/>
      </c>
      <c r="E291" t="str">
        <f>IF(A291="", "", VLOOKUP(A291, 'ROMANEIO POR ITEM'!#REF!, 5, FALSE))</f>
        <v/>
      </c>
      <c r="F291" t="str">
        <f>IF(A291="", "", VLOOKUP(A291, 'ROMANEIO POR ITEM'!#REF!, 6, FALSE))</f>
        <v/>
      </c>
    </row>
    <row r="292" spans="1:6">
      <c r="A292" t="str">
        <f>IFERROR(_xlfn.SINGLE(INDEX('ROMANEIO POR ITEM'!#REF!, SMALL(IF(_xlfn.SINGLE('ROMANEIO POR ITEM'!#REF!)&lt;&gt;0,_xlfn.SINGLE( ROW('ROMANEIO POR ITEM'!#REF!))-ROW('ROMANEIO POR ITEM'!#REF!)+1), ROW(A291)))), "")</f>
        <v/>
      </c>
      <c r="B292" t="str">
        <f>IF(A292="", "", VLOOKUP(A292, 'ROMANEIO POR ITEM'!#REF!, 2, FALSE))</f>
        <v/>
      </c>
      <c r="C292" t="str">
        <f>IF(A292="", "", VLOOKUP(A292, 'ROMANEIO POR ITEM'!#REF!, 3, FALSE))</f>
        <v/>
      </c>
      <c r="D292" t="str">
        <f>IF(A292="", "", VLOOKUP(A292, 'ROMANEIO POR ITEM'!#REF!, 4, FALSE))</f>
        <v/>
      </c>
      <c r="E292" t="str">
        <f>IF(A292="", "", VLOOKUP(A292, 'ROMANEIO POR ITEM'!#REF!, 5, FALSE))</f>
        <v/>
      </c>
      <c r="F292" t="str">
        <f>IF(A292="", "", VLOOKUP(A292, 'ROMANEIO POR ITEM'!#REF!, 6, FALSE))</f>
        <v/>
      </c>
    </row>
    <row r="293" spans="1:6">
      <c r="A293" t="str">
        <f>IFERROR(_xlfn.SINGLE(INDEX('ROMANEIO POR ITEM'!#REF!, SMALL(IF(_xlfn.SINGLE('ROMANEIO POR ITEM'!#REF!)&lt;&gt;0,_xlfn.SINGLE( ROW('ROMANEIO POR ITEM'!#REF!))-ROW('ROMANEIO POR ITEM'!#REF!)+1), ROW(A292)))), "")</f>
        <v/>
      </c>
      <c r="B293" t="str">
        <f>IF(A293="", "", VLOOKUP(A293, 'ROMANEIO POR ITEM'!#REF!, 2, FALSE))</f>
        <v/>
      </c>
      <c r="C293" t="str">
        <f>IF(A293="", "", VLOOKUP(A293, 'ROMANEIO POR ITEM'!#REF!, 3, FALSE))</f>
        <v/>
      </c>
      <c r="D293" t="str">
        <f>IF(A293="", "", VLOOKUP(A293, 'ROMANEIO POR ITEM'!#REF!, 4, FALSE))</f>
        <v/>
      </c>
      <c r="E293" t="str">
        <f>IF(A293="", "", VLOOKUP(A293, 'ROMANEIO POR ITEM'!#REF!, 5, FALSE))</f>
        <v/>
      </c>
      <c r="F293" t="str">
        <f>IF(A293="", "", VLOOKUP(A293, 'ROMANEIO POR ITEM'!#REF!, 6, FALSE))</f>
        <v/>
      </c>
    </row>
    <row r="294" spans="1:6">
      <c r="A294" t="str">
        <f>IFERROR(_xlfn.SINGLE(INDEX('ROMANEIO POR ITEM'!#REF!, SMALL(IF(_xlfn.SINGLE('ROMANEIO POR ITEM'!#REF!)&lt;&gt;0,_xlfn.SINGLE( ROW('ROMANEIO POR ITEM'!#REF!))-ROW('ROMANEIO POR ITEM'!#REF!)+1), ROW(A293)))), "")</f>
        <v/>
      </c>
      <c r="B294" t="str">
        <f>IF(A294="", "", VLOOKUP(A294, 'ROMANEIO POR ITEM'!#REF!, 2, FALSE))</f>
        <v/>
      </c>
      <c r="C294" t="str">
        <f>IF(A294="", "", VLOOKUP(A294, 'ROMANEIO POR ITEM'!#REF!, 3, FALSE))</f>
        <v/>
      </c>
      <c r="D294" t="str">
        <f>IF(A294="", "", VLOOKUP(A294, 'ROMANEIO POR ITEM'!#REF!, 4, FALSE))</f>
        <v/>
      </c>
      <c r="E294" t="str">
        <f>IF(A294="", "", VLOOKUP(A294, 'ROMANEIO POR ITEM'!#REF!, 5, FALSE))</f>
        <v/>
      </c>
      <c r="F294" t="str">
        <f>IF(A294="", "", VLOOKUP(A294, 'ROMANEIO POR ITEM'!#REF!, 6, FALSE))</f>
        <v/>
      </c>
    </row>
    <row r="295" spans="1:6">
      <c r="A295" t="str">
        <f>IFERROR(_xlfn.SINGLE(INDEX('ROMANEIO POR ITEM'!#REF!, SMALL(IF(_xlfn.SINGLE('ROMANEIO POR ITEM'!#REF!)&lt;&gt;0,_xlfn.SINGLE( ROW('ROMANEIO POR ITEM'!#REF!))-ROW('ROMANEIO POR ITEM'!#REF!)+1), ROW(A294)))), "")</f>
        <v/>
      </c>
      <c r="B295" t="str">
        <f>IF(A295="", "", VLOOKUP(A295, 'ROMANEIO POR ITEM'!#REF!, 2, FALSE))</f>
        <v/>
      </c>
      <c r="C295" t="str">
        <f>IF(A295="", "", VLOOKUP(A295, 'ROMANEIO POR ITEM'!#REF!, 3, FALSE))</f>
        <v/>
      </c>
      <c r="D295" t="str">
        <f>IF(A295="", "", VLOOKUP(A295, 'ROMANEIO POR ITEM'!#REF!, 4, FALSE))</f>
        <v/>
      </c>
      <c r="E295" t="str">
        <f>IF(A295="", "", VLOOKUP(A295, 'ROMANEIO POR ITEM'!#REF!, 5, FALSE))</f>
        <v/>
      </c>
      <c r="F295" t="str">
        <f>IF(A295="", "", VLOOKUP(A295, 'ROMANEIO POR ITEM'!#REF!, 6, FALSE))</f>
        <v/>
      </c>
    </row>
    <row r="296" spans="1:6">
      <c r="A296" t="str">
        <f>IFERROR(_xlfn.SINGLE(INDEX('ROMANEIO POR ITEM'!#REF!, SMALL(IF(_xlfn.SINGLE('ROMANEIO POR ITEM'!#REF!)&lt;&gt;0,_xlfn.SINGLE( ROW('ROMANEIO POR ITEM'!#REF!))-ROW('ROMANEIO POR ITEM'!#REF!)+1), ROW(A295)))), "")</f>
        <v/>
      </c>
      <c r="B296" t="str">
        <f>IF(A296="", "", VLOOKUP(A296, 'ROMANEIO POR ITEM'!#REF!, 2, FALSE))</f>
        <v/>
      </c>
      <c r="C296" t="str">
        <f>IF(A296="", "", VLOOKUP(A296, 'ROMANEIO POR ITEM'!#REF!, 3, FALSE))</f>
        <v/>
      </c>
      <c r="D296" t="str">
        <f>IF(A296="", "", VLOOKUP(A296, 'ROMANEIO POR ITEM'!#REF!, 4, FALSE))</f>
        <v/>
      </c>
      <c r="E296" t="str">
        <f>IF(A296="", "", VLOOKUP(A296, 'ROMANEIO POR ITEM'!#REF!, 5, FALSE))</f>
        <v/>
      </c>
      <c r="F296" t="str">
        <f>IF(A296="", "", VLOOKUP(A296, 'ROMANEIO POR ITEM'!#REF!, 6, FALSE))</f>
        <v/>
      </c>
    </row>
    <row r="297" spans="1:6">
      <c r="A297" t="str">
        <f>IFERROR(_xlfn.SINGLE(INDEX('ROMANEIO POR ITEM'!#REF!, SMALL(IF(_xlfn.SINGLE('ROMANEIO POR ITEM'!#REF!)&lt;&gt;0,_xlfn.SINGLE( ROW('ROMANEIO POR ITEM'!#REF!))-ROW('ROMANEIO POR ITEM'!#REF!)+1), ROW(A296)))), "")</f>
        <v/>
      </c>
      <c r="B297" t="str">
        <f>IF(A297="", "", VLOOKUP(A297, 'ROMANEIO POR ITEM'!#REF!, 2, FALSE))</f>
        <v/>
      </c>
      <c r="C297" t="str">
        <f>IF(A297="", "", VLOOKUP(A297, 'ROMANEIO POR ITEM'!#REF!, 3, FALSE))</f>
        <v/>
      </c>
      <c r="D297" t="str">
        <f>IF(A297="", "", VLOOKUP(A297, 'ROMANEIO POR ITEM'!#REF!, 4, FALSE))</f>
        <v/>
      </c>
      <c r="E297" t="str">
        <f>IF(A297="", "", VLOOKUP(A297, 'ROMANEIO POR ITEM'!#REF!, 5, FALSE))</f>
        <v/>
      </c>
      <c r="F297" t="str">
        <f>IF(A297="", "", VLOOKUP(A297, 'ROMANEIO POR ITEM'!#REF!, 6, FALSE))</f>
        <v/>
      </c>
    </row>
    <row r="298" spans="1:6">
      <c r="A298" t="str">
        <f>IFERROR(_xlfn.SINGLE(INDEX('ROMANEIO POR ITEM'!#REF!, SMALL(IF(_xlfn.SINGLE('ROMANEIO POR ITEM'!#REF!)&lt;&gt;0,_xlfn.SINGLE( ROW('ROMANEIO POR ITEM'!#REF!))-ROW('ROMANEIO POR ITEM'!#REF!)+1), ROW(A297)))), "")</f>
        <v/>
      </c>
      <c r="B298" t="str">
        <f>IF(A298="", "", VLOOKUP(A298, 'ROMANEIO POR ITEM'!#REF!, 2, FALSE))</f>
        <v/>
      </c>
      <c r="C298" t="str">
        <f>IF(A298="", "", VLOOKUP(A298, 'ROMANEIO POR ITEM'!#REF!, 3, FALSE))</f>
        <v/>
      </c>
      <c r="D298" t="str">
        <f>IF(A298="", "", VLOOKUP(A298, 'ROMANEIO POR ITEM'!#REF!, 4, FALSE))</f>
        <v/>
      </c>
      <c r="E298" t="str">
        <f>IF(A298="", "", VLOOKUP(A298, 'ROMANEIO POR ITEM'!#REF!, 5, FALSE))</f>
        <v/>
      </c>
      <c r="F298" t="str">
        <f>IF(A298="", "", VLOOKUP(A298, 'ROMANEIO POR ITEM'!#REF!, 6, FALSE))</f>
        <v/>
      </c>
    </row>
    <row r="299" spans="1:6">
      <c r="A299" t="str">
        <f>IFERROR(_xlfn.SINGLE(INDEX('ROMANEIO POR ITEM'!#REF!, SMALL(IF(_xlfn.SINGLE('ROMANEIO POR ITEM'!#REF!)&lt;&gt;0,_xlfn.SINGLE( ROW('ROMANEIO POR ITEM'!#REF!))-ROW('ROMANEIO POR ITEM'!#REF!)+1), ROW(A298)))), "")</f>
        <v/>
      </c>
      <c r="B299" t="str">
        <f>IF(A299="", "", VLOOKUP(A299, 'ROMANEIO POR ITEM'!#REF!, 2, FALSE))</f>
        <v/>
      </c>
      <c r="C299" t="str">
        <f>IF(A299="", "", VLOOKUP(A299, 'ROMANEIO POR ITEM'!#REF!, 3, FALSE))</f>
        <v/>
      </c>
      <c r="D299" t="str">
        <f>IF(A299="", "", VLOOKUP(A299, 'ROMANEIO POR ITEM'!#REF!, 4, FALSE))</f>
        <v/>
      </c>
      <c r="E299" t="str">
        <f>IF(A299="", "", VLOOKUP(A299, 'ROMANEIO POR ITEM'!#REF!, 5, FALSE))</f>
        <v/>
      </c>
      <c r="F299" t="str">
        <f>IF(A299="", "", VLOOKUP(A299, 'ROMANEIO POR ITEM'!#REF!, 6, FALSE))</f>
        <v/>
      </c>
    </row>
    <row r="300" spans="1:6">
      <c r="A300" t="str">
        <f>IFERROR(_xlfn.SINGLE(INDEX('ROMANEIO POR ITEM'!#REF!, SMALL(IF(_xlfn.SINGLE('ROMANEIO POR ITEM'!#REF!)&lt;&gt;0,_xlfn.SINGLE( ROW('ROMANEIO POR ITEM'!#REF!))-ROW('ROMANEIO POR ITEM'!#REF!)+1), ROW(A299)))), "")</f>
        <v/>
      </c>
      <c r="B300" t="str">
        <f>IF(A300="", "", VLOOKUP(A300, 'ROMANEIO POR ITEM'!#REF!, 2, FALSE))</f>
        <v/>
      </c>
      <c r="C300" t="str">
        <f>IF(A300="", "", VLOOKUP(A300, 'ROMANEIO POR ITEM'!#REF!, 3, FALSE))</f>
        <v/>
      </c>
      <c r="D300" t="str">
        <f>IF(A300="", "", VLOOKUP(A300, 'ROMANEIO POR ITEM'!#REF!, 4, FALSE))</f>
        <v/>
      </c>
      <c r="E300" t="str">
        <f>IF(A300="", "", VLOOKUP(A300, 'ROMANEIO POR ITEM'!#REF!, 5, FALSE))</f>
        <v/>
      </c>
      <c r="F300" t="str">
        <f>IF(A300="", "", VLOOKUP(A300, 'ROMANEIO POR ITEM'!#REF!, 6, FALSE))</f>
        <v/>
      </c>
    </row>
    <row r="301" spans="1:6">
      <c r="A301" t="str">
        <f>IFERROR(_xlfn.SINGLE(INDEX('ROMANEIO POR ITEM'!#REF!, SMALL(IF(_xlfn.SINGLE('ROMANEIO POR ITEM'!#REF!)&lt;&gt;0,_xlfn.SINGLE( ROW('ROMANEIO POR ITEM'!#REF!))-ROW('ROMANEIO POR ITEM'!#REF!)+1), ROW(A300)))), "")</f>
        <v/>
      </c>
      <c r="B301" t="str">
        <f>IF(A301="", "", VLOOKUP(A301, 'ROMANEIO POR ITEM'!#REF!, 2, FALSE))</f>
        <v/>
      </c>
      <c r="C301" t="str">
        <f>IF(A301="", "", VLOOKUP(A301, 'ROMANEIO POR ITEM'!#REF!, 3, FALSE))</f>
        <v/>
      </c>
      <c r="D301" t="str">
        <f>IF(A301="", "", VLOOKUP(A301, 'ROMANEIO POR ITEM'!#REF!, 4, FALSE))</f>
        <v/>
      </c>
      <c r="E301" t="str">
        <f>IF(A301="", "", VLOOKUP(A301, 'ROMANEIO POR ITEM'!#REF!, 5, FALSE))</f>
        <v/>
      </c>
      <c r="F301" t="str">
        <f>IF(A301="", "", VLOOKUP(A301, 'ROMANEIO POR ITEM'!#REF!, 6, FALSE))</f>
        <v/>
      </c>
    </row>
    <row r="302" spans="1:6">
      <c r="A302" t="str">
        <f>IFERROR(_xlfn.SINGLE(INDEX('ROMANEIO POR ITEM'!#REF!, SMALL(IF(_xlfn.SINGLE('ROMANEIO POR ITEM'!#REF!)&lt;&gt;0,_xlfn.SINGLE( ROW('ROMANEIO POR ITEM'!#REF!))-ROW('ROMANEIO POR ITEM'!#REF!)+1), ROW(A301)))), "")</f>
        <v/>
      </c>
      <c r="B302" t="str">
        <f>IF(A302="", "", VLOOKUP(A302, 'ROMANEIO POR ITEM'!#REF!, 2, FALSE))</f>
        <v/>
      </c>
      <c r="C302" t="str">
        <f>IF(A302="", "", VLOOKUP(A302, 'ROMANEIO POR ITEM'!#REF!, 3, FALSE))</f>
        <v/>
      </c>
      <c r="D302" t="str">
        <f>IF(A302="", "", VLOOKUP(A302, 'ROMANEIO POR ITEM'!#REF!, 4, FALSE))</f>
        <v/>
      </c>
      <c r="E302" t="str">
        <f>IF(A302="", "", VLOOKUP(A302, 'ROMANEIO POR ITEM'!#REF!, 5, FALSE))</f>
        <v/>
      </c>
      <c r="F302" t="str">
        <f>IF(A302="", "", VLOOKUP(A302, 'ROMANEIO POR ITEM'!#REF!, 6, FALSE))</f>
        <v/>
      </c>
    </row>
    <row r="303" spans="1:6">
      <c r="A303" t="str">
        <f>IFERROR(_xlfn.SINGLE(INDEX('ROMANEIO POR ITEM'!#REF!, SMALL(IF(_xlfn.SINGLE('ROMANEIO POR ITEM'!#REF!)&lt;&gt;0,_xlfn.SINGLE( ROW('ROMANEIO POR ITEM'!#REF!))-ROW('ROMANEIO POR ITEM'!#REF!)+1), ROW(A302)))), "")</f>
        <v/>
      </c>
      <c r="B303" t="str">
        <f>IF(A303="", "", VLOOKUP(A303, 'ROMANEIO POR ITEM'!#REF!, 2, FALSE))</f>
        <v/>
      </c>
      <c r="C303" t="str">
        <f>IF(A303="", "", VLOOKUP(A303, 'ROMANEIO POR ITEM'!#REF!, 3, FALSE))</f>
        <v/>
      </c>
      <c r="D303" t="str">
        <f>IF(A303="", "", VLOOKUP(A303, 'ROMANEIO POR ITEM'!#REF!, 4, FALSE))</f>
        <v/>
      </c>
      <c r="E303" t="str">
        <f>IF(A303="", "", VLOOKUP(A303, 'ROMANEIO POR ITEM'!#REF!, 5, FALSE))</f>
        <v/>
      </c>
      <c r="F303" t="str">
        <f>IF(A303="", "", VLOOKUP(A303, 'ROMANEIO POR ITEM'!#REF!, 6, FALSE))</f>
        <v/>
      </c>
    </row>
    <row r="304" spans="1:6">
      <c r="A304" t="str">
        <f>IFERROR(_xlfn.SINGLE(INDEX('ROMANEIO POR ITEM'!#REF!, SMALL(IF(_xlfn.SINGLE('ROMANEIO POR ITEM'!#REF!)&lt;&gt;0,_xlfn.SINGLE( ROW('ROMANEIO POR ITEM'!#REF!))-ROW('ROMANEIO POR ITEM'!#REF!)+1), ROW(A303)))), "")</f>
        <v/>
      </c>
      <c r="B304" t="str">
        <f>IF(A304="", "", VLOOKUP(A304, 'ROMANEIO POR ITEM'!#REF!, 2, FALSE))</f>
        <v/>
      </c>
      <c r="C304" t="str">
        <f>IF(A304="", "", VLOOKUP(A304, 'ROMANEIO POR ITEM'!#REF!, 3, FALSE))</f>
        <v/>
      </c>
      <c r="D304" t="str">
        <f>IF(A304="", "", VLOOKUP(A304, 'ROMANEIO POR ITEM'!#REF!, 4, FALSE))</f>
        <v/>
      </c>
      <c r="E304" t="str">
        <f>IF(A304="", "", VLOOKUP(A304, 'ROMANEIO POR ITEM'!#REF!, 5, FALSE))</f>
        <v/>
      </c>
      <c r="F304" t="str">
        <f>IF(A304="", "", VLOOKUP(A304, 'ROMANEIO POR ITEM'!#REF!, 6, FALSE))</f>
        <v/>
      </c>
    </row>
    <row r="305" spans="1:6">
      <c r="A305" t="str">
        <f>IFERROR(_xlfn.SINGLE(INDEX('ROMANEIO POR ITEM'!#REF!, SMALL(IF(_xlfn.SINGLE('ROMANEIO POR ITEM'!#REF!)&lt;&gt;0,_xlfn.SINGLE( ROW('ROMANEIO POR ITEM'!#REF!))-ROW('ROMANEIO POR ITEM'!#REF!)+1), ROW(A304)))), "")</f>
        <v/>
      </c>
      <c r="B305" t="str">
        <f>IF(A305="", "", VLOOKUP(A305, 'ROMANEIO POR ITEM'!#REF!, 2, FALSE))</f>
        <v/>
      </c>
      <c r="C305" t="str">
        <f>IF(A305="", "", VLOOKUP(A305, 'ROMANEIO POR ITEM'!#REF!, 3, FALSE))</f>
        <v/>
      </c>
      <c r="D305" t="str">
        <f>IF(A305="", "", VLOOKUP(A305, 'ROMANEIO POR ITEM'!#REF!, 4, FALSE))</f>
        <v/>
      </c>
      <c r="E305" t="str">
        <f>IF(A305="", "", VLOOKUP(A305, 'ROMANEIO POR ITEM'!#REF!, 5, FALSE))</f>
        <v/>
      </c>
      <c r="F305" t="str">
        <f>IF(A305="", "", VLOOKUP(A305, 'ROMANEIO POR ITEM'!#REF!, 6, FALSE))</f>
        <v/>
      </c>
    </row>
    <row r="306" spans="1:6">
      <c r="A306" t="str">
        <f>IFERROR(_xlfn.SINGLE(INDEX('ROMANEIO POR ITEM'!#REF!, SMALL(IF(_xlfn.SINGLE('ROMANEIO POR ITEM'!#REF!)&lt;&gt;0,_xlfn.SINGLE( ROW('ROMANEIO POR ITEM'!#REF!))-ROW('ROMANEIO POR ITEM'!#REF!)+1), ROW(A305)))), "")</f>
        <v/>
      </c>
      <c r="B306" t="str">
        <f>IF(A306="", "", VLOOKUP(A306, 'ROMANEIO POR ITEM'!#REF!, 2, FALSE))</f>
        <v/>
      </c>
      <c r="C306" t="str">
        <f>IF(A306="", "", VLOOKUP(A306, 'ROMANEIO POR ITEM'!#REF!, 3, FALSE))</f>
        <v/>
      </c>
      <c r="D306" t="str">
        <f>IF(A306="", "", VLOOKUP(A306, 'ROMANEIO POR ITEM'!#REF!, 4, FALSE))</f>
        <v/>
      </c>
      <c r="E306" t="str">
        <f>IF(A306="", "", VLOOKUP(A306, 'ROMANEIO POR ITEM'!#REF!, 5, FALSE))</f>
        <v/>
      </c>
      <c r="F306" t="str">
        <f>IF(A306="", "", VLOOKUP(A306, 'ROMANEIO POR ITEM'!#REF!, 6, FALSE))</f>
        <v/>
      </c>
    </row>
    <row r="307" spans="1:6">
      <c r="A307" t="str">
        <f>IFERROR(_xlfn.SINGLE(INDEX('ROMANEIO POR ITEM'!#REF!, SMALL(IF(_xlfn.SINGLE('ROMANEIO POR ITEM'!#REF!)&lt;&gt;0,_xlfn.SINGLE( ROW('ROMANEIO POR ITEM'!#REF!))-ROW('ROMANEIO POR ITEM'!#REF!)+1), ROW(A306)))), "")</f>
        <v/>
      </c>
      <c r="B307" t="str">
        <f>IF(A307="", "", VLOOKUP(A307, 'ROMANEIO POR ITEM'!#REF!, 2, FALSE))</f>
        <v/>
      </c>
      <c r="C307" t="str">
        <f>IF(A307="", "", VLOOKUP(A307, 'ROMANEIO POR ITEM'!#REF!, 3, FALSE))</f>
        <v/>
      </c>
      <c r="D307" t="str">
        <f>IF(A307="", "", VLOOKUP(A307, 'ROMANEIO POR ITEM'!#REF!, 4, FALSE))</f>
        <v/>
      </c>
      <c r="E307" t="str">
        <f>IF(A307="", "", VLOOKUP(A307, 'ROMANEIO POR ITEM'!#REF!, 5, FALSE))</f>
        <v/>
      </c>
      <c r="F307" t="str">
        <f>IF(A307="", "", VLOOKUP(A307, 'ROMANEIO POR ITEM'!#REF!, 6, FALSE))</f>
        <v/>
      </c>
    </row>
    <row r="308" spans="1:6">
      <c r="A308" t="str">
        <f>IFERROR(_xlfn.SINGLE(INDEX('ROMANEIO POR ITEM'!#REF!, SMALL(IF(_xlfn.SINGLE('ROMANEIO POR ITEM'!#REF!)&lt;&gt;0,_xlfn.SINGLE( ROW('ROMANEIO POR ITEM'!#REF!))-ROW('ROMANEIO POR ITEM'!#REF!)+1), ROW(A307)))), "")</f>
        <v/>
      </c>
      <c r="B308" t="str">
        <f>IF(A308="", "", VLOOKUP(A308, 'ROMANEIO POR ITEM'!#REF!, 2, FALSE))</f>
        <v/>
      </c>
      <c r="C308" t="str">
        <f>IF(A308="", "", VLOOKUP(A308, 'ROMANEIO POR ITEM'!#REF!, 3, FALSE))</f>
        <v/>
      </c>
      <c r="D308" t="str">
        <f>IF(A308="", "", VLOOKUP(A308, 'ROMANEIO POR ITEM'!#REF!, 4, FALSE))</f>
        <v/>
      </c>
      <c r="E308" t="str">
        <f>IF(A308="", "", VLOOKUP(A308, 'ROMANEIO POR ITEM'!#REF!, 5, FALSE))</f>
        <v/>
      </c>
      <c r="F308" t="str">
        <f>IF(A308="", "", VLOOKUP(A308, 'ROMANEIO POR ITEM'!#REF!, 6, FALSE))</f>
        <v/>
      </c>
    </row>
    <row r="309" spans="1:6">
      <c r="A309" t="str">
        <f>IFERROR(_xlfn.SINGLE(INDEX('ROMANEIO POR ITEM'!#REF!, SMALL(IF(_xlfn.SINGLE('ROMANEIO POR ITEM'!#REF!)&lt;&gt;0,_xlfn.SINGLE( ROW('ROMANEIO POR ITEM'!#REF!))-ROW('ROMANEIO POR ITEM'!#REF!)+1), ROW(A308)))), "")</f>
        <v/>
      </c>
      <c r="B309" t="str">
        <f>IF(A309="", "", VLOOKUP(A309, 'ROMANEIO POR ITEM'!#REF!, 2, FALSE))</f>
        <v/>
      </c>
      <c r="C309" t="str">
        <f>IF(A309="", "", VLOOKUP(A309, 'ROMANEIO POR ITEM'!#REF!, 3, FALSE))</f>
        <v/>
      </c>
      <c r="D309" t="str">
        <f>IF(A309="", "", VLOOKUP(A309, 'ROMANEIO POR ITEM'!#REF!, 4, FALSE))</f>
        <v/>
      </c>
      <c r="E309" t="str">
        <f>IF(A309="", "", VLOOKUP(A309, 'ROMANEIO POR ITEM'!#REF!, 5, FALSE))</f>
        <v/>
      </c>
      <c r="F309" t="str">
        <f>IF(A309="", "", VLOOKUP(A309, 'ROMANEIO POR ITEM'!#REF!, 6, FALSE))</f>
        <v/>
      </c>
    </row>
    <row r="310" spans="1:6">
      <c r="A310" t="str">
        <f>IFERROR(_xlfn.SINGLE(INDEX('ROMANEIO POR ITEM'!#REF!, SMALL(IF(_xlfn.SINGLE('ROMANEIO POR ITEM'!#REF!)&lt;&gt;0,_xlfn.SINGLE( ROW('ROMANEIO POR ITEM'!#REF!))-ROW('ROMANEIO POR ITEM'!#REF!)+1), ROW(A309)))), "")</f>
        <v/>
      </c>
      <c r="B310" t="str">
        <f>IF(A310="", "", VLOOKUP(A310, 'ROMANEIO POR ITEM'!#REF!, 2, FALSE))</f>
        <v/>
      </c>
      <c r="C310" t="str">
        <f>IF(A310="", "", VLOOKUP(A310, 'ROMANEIO POR ITEM'!#REF!, 3, FALSE))</f>
        <v/>
      </c>
      <c r="D310" t="str">
        <f>IF(A310="", "", VLOOKUP(A310, 'ROMANEIO POR ITEM'!#REF!, 4, FALSE))</f>
        <v/>
      </c>
      <c r="E310" t="str">
        <f>IF(A310="", "", VLOOKUP(A310, 'ROMANEIO POR ITEM'!#REF!, 5, FALSE))</f>
        <v/>
      </c>
      <c r="F310" t="str">
        <f>IF(A310="", "", VLOOKUP(A310, 'ROMANEIO POR ITEM'!#REF!, 6, FALSE))</f>
        <v/>
      </c>
    </row>
    <row r="311" spans="1:6">
      <c r="A311" t="str">
        <f>IFERROR(_xlfn.SINGLE(INDEX('ROMANEIO POR ITEM'!#REF!, SMALL(IF(_xlfn.SINGLE('ROMANEIO POR ITEM'!#REF!)&lt;&gt;0,_xlfn.SINGLE( ROW('ROMANEIO POR ITEM'!#REF!))-ROW('ROMANEIO POR ITEM'!#REF!)+1), ROW(A310)))), "")</f>
        <v/>
      </c>
      <c r="B311" t="str">
        <f>IF(A311="", "", VLOOKUP(A311, 'ROMANEIO POR ITEM'!#REF!, 2, FALSE))</f>
        <v/>
      </c>
      <c r="C311" t="str">
        <f>IF(A311="", "", VLOOKUP(A311, 'ROMANEIO POR ITEM'!#REF!, 3, FALSE))</f>
        <v/>
      </c>
      <c r="D311" t="str">
        <f>IF(A311="", "", VLOOKUP(A311, 'ROMANEIO POR ITEM'!#REF!, 4, FALSE))</f>
        <v/>
      </c>
      <c r="E311" t="str">
        <f>IF(A311="", "", VLOOKUP(A311, 'ROMANEIO POR ITEM'!#REF!, 5, FALSE))</f>
        <v/>
      </c>
      <c r="F311" t="str">
        <f>IF(A311="", "", VLOOKUP(A311, 'ROMANEIO POR ITEM'!#REF!, 6, FALSE))</f>
        <v/>
      </c>
    </row>
    <row r="312" spans="1:6">
      <c r="A312" t="str">
        <f>IFERROR(_xlfn.SINGLE(INDEX('ROMANEIO POR ITEM'!#REF!, SMALL(IF(_xlfn.SINGLE('ROMANEIO POR ITEM'!#REF!)&lt;&gt;0,_xlfn.SINGLE( ROW('ROMANEIO POR ITEM'!#REF!))-ROW('ROMANEIO POR ITEM'!#REF!)+1), ROW(A311)))), "")</f>
        <v/>
      </c>
      <c r="B312" t="str">
        <f>IF(A312="", "", VLOOKUP(A312, 'ROMANEIO POR ITEM'!#REF!, 2, FALSE))</f>
        <v/>
      </c>
      <c r="C312" t="str">
        <f>IF(A312="", "", VLOOKUP(A312, 'ROMANEIO POR ITEM'!#REF!, 3, FALSE))</f>
        <v/>
      </c>
      <c r="D312" t="str">
        <f>IF(A312="", "", VLOOKUP(A312, 'ROMANEIO POR ITEM'!#REF!, 4, FALSE))</f>
        <v/>
      </c>
      <c r="E312" t="str">
        <f>IF(A312="", "", VLOOKUP(A312, 'ROMANEIO POR ITEM'!#REF!, 5, FALSE))</f>
        <v/>
      </c>
      <c r="F312" t="str">
        <f>IF(A312="", "", VLOOKUP(A312, 'ROMANEIO POR ITEM'!#REF!, 6, FALSE))</f>
        <v/>
      </c>
    </row>
    <row r="313" spans="1:6">
      <c r="A313" t="str">
        <f>IFERROR(_xlfn.SINGLE(INDEX('ROMANEIO POR ITEM'!#REF!, SMALL(IF(_xlfn.SINGLE('ROMANEIO POR ITEM'!#REF!)&lt;&gt;0,_xlfn.SINGLE( ROW('ROMANEIO POR ITEM'!#REF!))-ROW('ROMANEIO POR ITEM'!#REF!)+1), ROW(A312)))), "")</f>
        <v/>
      </c>
      <c r="B313" t="str">
        <f>IF(A313="", "", VLOOKUP(A313, 'ROMANEIO POR ITEM'!#REF!, 2, FALSE))</f>
        <v/>
      </c>
      <c r="C313" t="str">
        <f>IF(A313="", "", VLOOKUP(A313, 'ROMANEIO POR ITEM'!#REF!, 3, FALSE))</f>
        <v/>
      </c>
      <c r="D313" t="str">
        <f>IF(A313="", "", VLOOKUP(A313, 'ROMANEIO POR ITEM'!#REF!, 4, FALSE))</f>
        <v/>
      </c>
      <c r="E313" t="str">
        <f>IF(A313="", "", VLOOKUP(A313, 'ROMANEIO POR ITEM'!#REF!, 5, FALSE))</f>
        <v/>
      </c>
      <c r="F313" t="str">
        <f>IF(A313="", "", VLOOKUP(A313, 'ROMANEIO POR ITEM'!#REF!, 6, FALSE))</f>
        <v/>
      </c>
    </row>
    <row r="314" spans="1:6">
      <c r="A314" t="str">
        <f>IFERROR(_xlfn.SINGLE(INDEX('ROMANEIO POR ITEM'!#REF!, SMALL(IF(_xlfn.SINGLE('ROMANEIO POR ITEM'!#REF!)&lt;&gt;0,_xlfn.SINGLE( ROW('ROMANEIO POR ITEM'!#REF!))-ROW('ROMANEIO POR ITEM'!#REF!)+1), ROW(A313)))), "")</f>
        <v/>
      </c>
      <c r="B314" t="str">
        <f>IF(A314="", "", VLOOKUP(A314, 'ROMANEIO POR ITEM'!#REF!, 2, FALSE))</f>
        <v/>
      </c>
      <c r="C314" t="str">
        <f>IF(A314="", "", VLOOKUP(A314, 'ROMANEIO POR ITEM'!#REF!, 3, FALSE))</f>
        <v/>
      </c>
      <c r="D314" t="str">
        <f>IF(A314="", "", VLOOKUP(A314, 'ROMANEIO POR ITEM'!#REF!, 4, FALSE))</f>
        <v/>
      </c>
      <c r="E314" t="str">
        <f>IF(A314="", "", VLOOKUP(A314, 'ROMANEIO POR ITEM'!#REF!, 5, FALSE))</f>
        <v/>
      </c>
      <c r="F314" t="str">
        <f>IF(A314="", "", VLOOKUP(A314, 'ROMANEIO POR ITEM'!#REF!, 6, FALSE))</f>
        <v/>
      </c>
    </row>
    <row r="315" spans="1:6">
      <c r="A315" t="str">
        <f>IFERROR(_xlfn.SINGLE(INDEX('ROMANEIO POR ITEM'!#REF!, SMALL(IF(_xlfn.SINGLE('ROMANEIO POR ITEM'!#REF!)&lt;&gt;0,_xlfn.SINGLE( ROW('ROMANEIO POR ITEM'!#REF!))-ROW('ROMANEIO POR ITEM'!#REF!)+1), ROW(A314)))), "")</f>
        <v/>
      </c>
      <c r="B315" t="str">
        <f>IF(A315="", "", VLOOKUP(A315, 'ROMANEIO POR ITEM'!#REF!, 2, FALSE))</f>
        <v/>
      </c>
      <c r="C315" t="str">
        <f>IF(A315="", "", VLOOKUP(A315, 'ROMANEIO POR ITEM'!#REF!, 3, FALSE))</f>
        <v/>
      </c>
      <c r="D315" t="str">
        <f>IF(A315="", "", VLOOKUP(A315, 'ROMANEIO POR ITEM'!#REF!, 4, FALSE))</f>
        <v/>
      </c>
      <c r="E315" t="str">
        <f>IF(A315="", "", VLOOKUP(A315, 'ROMANEIO POR ITEM'!#REF!, 5, FALSE))</f>
        <v/>
      </c>
      <c r="F315" t="str">
        <f>IF(A315="", "", VLOOKUP(A315, 'ROMANEIO POR ITEM'!#REF!, 6, FALSE))</f>
        <v/>
      </c>
    </row>
    <row r="316" spans="1:6">
      <c r="A316" t="str">
        <f>IFERROR(_xlfn.SINGLE(INDEX('ROMANEIO POR ITEM'!#REF!, SMALL(IF(_xlfn.SINGLE('ROMANEIO POR ITEM'!#REF!)&lt;&gt;0,_xlfn.SINGLE( ROW('ROMANEIO POR ITEM'!#REF!))-ROW('ROMANEIO POR ITEM'!#REF!)+1), ROW(A315)))), "")</f>
        <v/>
      </c>
      <c r="B316" t="str">
        <f>IF(A316="", "", VLOOKUP(A316, 'ROMANEIO POR ITEM'!#REF!, 2, FALSE))</f>
        <v/>
      </c>
      <c r="C316" t="str">
        <f>IF(A316="", "", VLOOKUP(A316, 'ROMANEIO POR ITEM'!#REF!, 3, FALSE))</f>
        <v/>
      </c>
      <c r="D316" t="str">
        <f>IF(A316="", "", VLOOKUP(A316, 'ROMANEIO POR ITEM'!#REF!, 4, FALSE))</f>
        <v/>
      </c>
      <c r="E316" t="str">
        <f>IF(A316="", "", VLOOKUP(A316, 'ROMANEIO POR ITEM'!#REF!, 5, FALSE))</f>
        <v/>
      </c>
      <c r="F316" t="str">
        <f>IF(A316="", "", VLOOKUP(A316, 'ROMANEIO POR ITEM'!#REF!, 6, FALSE))</f>
        <v/>
      </c>
    </row>
    <row r="317" spans="1:6">
      <c r="A317" t="str">
        <f>IFERROR(_xlfn.SINGLE(INDEX('ROMANEIO POR ITEM'!#REF!, SMALL(IF(_xlfn.SINGLE('ROMANEIO POR ITEM'!#REF!)&lt;&gt;0,_xlfn.SINGLE( ROW('ROMANEIO POR ITEM'!#REF!))-ROW('ROMANEIO POR ITEM'!#REF!)+1), ROW(A316)))), "")</f>
        <v/>
      </c>
      <c r="B317" t="str">
        <f>IF(A317="", "", VLOOKUP(A317, 'ROMANEIO POR ITEM'!#REF!, 2, FALSE))</f>
        <v/>
      </c>
      <c r="C317" t="str">
        <f>IF(A317="", "", VLOOKUP(A317, 'ROMANEIO POR ITEM'!#REF!, 3, FALSE))</f>
        <v/>
      </c>
      <c r="D317" t="str">
        <f>IF(A317="", "", VLOOKUP(A317, 'ROMANEIO POR ITEM'!#REF!, 4, FALSE))</f>
        <v/>
      </c>
      <c r="E317" t="str">
        <f>IF(A317="", "", VLOOKUP(A317, 'ROMANEIO POR ITEM'!#REF!, 5, FALSE))</f>
        <v/>
      </c>
      <c r="F317" t="str">
        <f>IF(A317="", "", VLOOKUP(A317, 'ROMANEIO POR ITEM'!#REF!, 6, FALSE))</f>
        <v/>
      </c>
    </row>
    <row r="318" spans="1:6">
      <c r="A318" t="str">
        <f>IFERROR(_xlfn.SINGLE(INDEX('ROMANEIO POR ITEM'!#REF!, SMALL(IF(_xlfn.SINGLE('ROMANEIO POR ITEM'!#REF!)&lt;&gt;0,_xlfn.SINGLE( ROW('ROMANEIO POR ITEM'!#REF!))-ROW('ROMANEIO POR ITEM'!#REF!)+1), ROW(A317)))), "")</f>
        <v/>
      </c>
      <c r="B318" t="str">
        <f>IF(A318="", "", VLOOKUP(A318, 'ROMANEIO POR ITEM'!#REF!, 2, FALSE))</f>
        <v/>
      </c>
      <c r="C318" t="str">
        <f>IF(A318="", "", VLOOKUP(A318, 'ROMANEIO POR ITEM'!#REF!, 3, FALSE))</f>
        <v/>
      </c>
      <c r="D318" t="str">
        <f>IF(A318="", "", VLOOKUP(A318, 'ROMANEIO POR ITEM'!#REF!, 4, FALSE))</f>
        <v/>
      </c>
      <c r="E318" t="str">
        <f>IF(A318="", "", VLOOKUP(A318, 'ROMANEIO POR ITEM'!#REF!, 5, FALSE))</f>
        <v/>
      </c>
      <c r="F318" t="str">
        <f>IF(A318="", "", VLOOKUP(A318, 'ROMANEIO POR ITEM'!#REF!, 6, FALSE))</f>
        <v/>
      </c>
    </row>
    <row r="319" spans="1:6">
      <c r="A319" t="str">
        <f>IFERROR(_xlfn.SINGLE(INDEX('ROMANEIO POR ITEM'!#REF!, SMALL(IF(_xlfn.SINGLE('ROMANEIO POR ITEM'!#REF!)&lt;&gt;0,_xlfn.SINGLE( ROW('ROMANEIO POR ITEM'!#REF!))-ROW('ROMANEIO POR ITEM'!#REF!)+1), ROW(A318)))), "")</f>
        <v/>
      </c>
      <c r="B319" t="str">
        <f>IF(A319="", "", VLOOKUP(A319, 'ROMANEIO POR ITEM'!#REF!, 2, FALSE))</f>
        <v/>
      </c>
      <c r="C319" t="str">
        <f>IF(A319="", "", VLOOKUP(A319, 'ROMANEIO POR ITEM'!#REF!, 3, FALSE))</f>
        <v/>
      </c>
      <c r="D319" t="str">
        <f>IF(A319="", "", VLOOKUP(A319, 'ROMANEIO POR ITEM'!#REF!, 4, FALSE))</f>
        <v/>
      </c>
      <c r="E319" t="str">
        <f>IF(A319="", "", VLOOKUP(A319, 'ROMANEIO POR ITEM'!#REF!, 5, FALSE))</f>
        <v/>
      </c>
      <c r="F319" t="str">
        <f>IF(A319="", "", VLOOKUP(A319, 'ROMANEIO POR ITEM'!#REF!, 6, FALSE))</f>
        <v/>
      </c>
    </row>
    <row r="320" spans="1:6">
      <c r="A320" t="str">
        <f>IFERROR(_xlfn.SINGLE(INDEX('ROMANEIO POR ITEM'!#REF!, SMALL(IF(_xlfn.SINGLE('ROMANEIO POR ITEM'!#REF!)&lt;&gt;0,_xlfn.SINGLE( ROW('ROMANEIO POR ITEM'!#REF!))-ROW('ROMANEIO POR ITEM'!#REF!)+1), ROW(A319)))), "")</f>
        <v/>
      </c>
      <c r="B320" t="str">
        <f>IF(A320="", "", VLOOKUP(A320, 'ROMANEIO POR ITEM'!#REF!, 2, FALSE))</f>
        <v/>
      </c>
      <c r="C320" t="str">
        <f>IF(A320="", "", VLOOKUP(A320, 'ROMANEIO POR ITEM'!#REF!, 3, FALSE))</f>
        <v/>
      </c>
      <c r="D320" t="str">
        <f>IF(A320="", "", VLOOKUP(A320, 'ROMANEIO POR ITEM'!#REF!, 4, FALSE))</f>
        <v/>
      </c>
      <c r="E320" t="str">
        <f>IF(A320="", "", VLOOKUP(A320, 'ROMANEIO POR ITEM'!#REF!, 5, FALSE))</f>
        <v/>
      </c>
      <c r="F320" t="str">
        <f>IF(A320="", "", VLOOKUP(A320, 'ROMANEIO POR ITEM'!#REF!, 6, FALSE))</f>
        <v/>
      </c>
    </row>
    <row r="321" spans="1:6">
      <c r="A321" t="str">
        <f>IFERROR(_xlfn.SINGLE(INDEX('ROMANEIO POR ITEM'!#REF!, SMALL(IF(_xlfn.SINGLE('ROMANEIO POR ITEM'!#REF!)&lt;&gt;0,_xlfn.SINGLE( ROW('ROMANEIO POR ITEM'!#REF!))-ROW('ROMANEIO POR ITEM'!#REF!)+1), ROW(A320)))), "")</f>
        <v/>
      </c>
      <c r="B321" t="str">
        <f>IF(A321="", "", VLOOKUP(A321, 'ROMANEIO POR ITEM'!#REF!, 2, FALSE))</f>
        <v/>
      </c>
      <c r="C321" t="str">
        <f>IF(A321="", "", VLOOKUP(A321, 'ROMANEIO POR ITEM'!#REF!, 3, FALSE))</f>
        <v/>
      </c>
      <c r="D321" t="str">
        <f>IF(A321="", "", VLOOKUP(A321, 'ROMANEIO POR ITEM'!#REF!, 4, FALSE))</f>
        <v/>
      </c>
      <c r="E321" t="str">
        <f>IF(A321="", "", VLOOKUP(A321, 'ROMANEIO POR ITEM'!#REF!, 5, FALSE))</f>
        <v/>
      </c>
      <c r="F321" t="str">
        <f>IF(A321="", "", VLOOKUP(A321, 'ROMANEIO POR ITEM'!#REF!, 6, FALSE))</f>
        <v/>
      </c>
    </row>
    <row r="322" spans="1:6">
      <c r="A322" t="str">
        <f>IFERROR(_xlfn.SINGLE(INDEX('ROMANEIO POR ITEM'!#REF!, SMALL(IF(_xlfn.SINGLE('ROMANEIO POR ITEM'!#REF!)&lt;&gt;0,_xlfn.SINGLE( ROW('ROMANEIO POR ITEM'!#REF!))-ROW('ROMANEIO POR ITEM'!#REF!)+1), ROW(A321)))), "")</f>
        <v/>
      </c>
      <c r="B322" t="str">
        <f>IF(A322="", "", VLOOKUP(A322, 'ROMANEIO POR ITEM'!#REF!, 2, FALSE))</f>
        <v/>
      </c>
      <c r="C322" t="str">
        <f>IF(A322="", "", VLOOKUP(A322, 'ROMANEIO POR ITEM'!#REF!, 3, FALSE))</f>
        <v/>
      </c>
      <c r="D322" t="str">
        <f>IF(A322="", "", VLOOKUP(A322, 'ROMANEIO POR ITEM'!#REF!, 4, FALSE))</f>
        <v/>
      </c>
      <c r="E322" t="str">
        <f>IF(A322="", "", VLOOKUP(A322, 'ROMANEIO POR ITEM'!#REF!, 5, FALSE))</f>
        <v/>
      </c>
      <c r="F322" t="str">
        <f>IF(A322="", "", VLOOKUP(A322, 'ROMANEIO POR ITEM'!#REF!, 6, FALSE))</f>
        <v/>
      </c>
    </row>
    <row r="323" spans="1:6">
      <c r="A323" t="str">
        <f>IFERROR(_xlfn.SINGLE(INDEX('ROMANEIO POR ITEM'!#REF!, SMALL(IF(_xlfn.SINGLE('ROMANEIO POR ITEM'!#REF!)&lt;&gt;0,_xlfn.SINGLE( ROW('ROMANEIO POR ITEM'!#REF!))-ROW('ROMANEIO POR ITEM'!#REF!)+1), ROW(A322)))), "")</f>
        <v/>
      </c>
      <c r="B323" t="str">
        <f>IF(A323="", "", VLOOKUP(A323, 'ROMANEIO POR ITEM'!#REF!, 2, FALSE))</f>
        <v/>
      </c>
      <c r="C323" t="str">
        <f>IF(A323="", "", VLOOKUP(A323, 'ROMANEIO POR ITEM'!#REF!, 3, FALSE))</f>
        <v/>
      </c>
      <c r="D323" t="str">
        <f>IF(A323="", "", VLOOKUP(A323, 'ROMANEIO POR ITEM'!#REF!, 4, FALSE))</f>
        <v/>
      </c>
      <c r="E323" t="str">
        <f>IF(A323="", "", VLOOKUP(A323, 'ROMANEIO POR ITEM'!#REF!, 5, FALSE))</f>
        <v/>
      </c>
      <c r="F323" t="str">
        <f>IF(A323="", "", VLOOKUP(A323, 'ROMANEIO POR ITEM'!#REF!, 6, FALSE))</f>
        <v/>
      </c>
    </row>
    <row r="324" spans="1:6">
      <c r="A324" t="str">
        <f>IFERROR(_xlfn.SINGLE(INDEX('ROMANEIO POR ITEM'!#REF!, SMALL(IF(_xlfn.SINGLE('ROMANEIO POR ITEM'!#REF!)&lt;&gt;0,_xlfn.SINGLE( ROW('ROMANEIO POR ITEM'!#REF!))-ROW('ROMANEIO POR ITEM'!#REF!)+1), ROW(A323)))), "")</f>
        <v/>
      </c>
      <c r="B324" t="str">
        <f>IF(A324="", "", VLOOKUP(A324, 'ROMANEIO POR ITEM'!#REF!, 2, FALSE))</f>
        <v/>
      </c>
      <c r="C324" t="str">
        <f>IF(A324="", "", VLOOKUP(A324, 'ROMANEIO POR ITEM'!#REF!, 3, FALSE))</f>
        <v/>
      </c>
      <c r="D324" t="str">
        <f>IF(A324="", "", VLOOKUP(A324, 'ROMANEIO POR ITEM'!#REF!, 4, FALSE))</f>
        <v/>
      </c>
      <c r="E324" t="str">
        <f>IF(A324="", "", VLOOKUP(A324, 'ROMANEIO POR ITEM'!#REF!, 5, FALSE))</f>
        <v/>
      </c>
      <c r="F324" t="str">
        <f>IF(A324="", "", VLOOKUP(A324, 'ROMANEIO POR ITEM'!#REF!, 6, FALSE))</f>
        <v/>
      </c>
    </row>
    <row r="325" spans="1:6">
      <c r="A325" t="str">
        <f>IFERROR(_xlfn.SINGLE(INDEX('ROMANEIO POR ITEM'!#REF!, SMALL(IF(_xlfn.SINGLE('ROMANEIO POR ITEM'!#REF!)&lt;&gt;0,_xlfn.SINGLE( ROW('ROMANEIO POR ITEM'!#REF!))-ROW('ROMANEIO POR ITEM'!#REF!)+1), ROW(A324)))), "")</f>
        <v/>
      </c>
      <c r="B325" t="str">
        <f>IF(A325="", "", VLOOKUP(A325, 'ROMANEIO POR ITEM'!#REF!, 2, FALSE))</f>
        <v/>
      </c>
      <c r="C325" t="str">
        <f>IF(A325="", "", VLOOKUP(A325, 'ROMANEIO POR ITEM'!#REF!, 3, FALSE))</f>
        <v/>
      </c>
      <c r="D325" t="str">
        <f>IF(A325="", "", VLOOKUP(A325, 'ROMANEIO POR ITEM'!#REF!, 4, FALSE))</f>
        <v/>
      </c>
      <c r="E325" t="str">
        <f>IF(A325="", "", VLOOKUP(A325, 'ROMANEIO POR ITEM'!#REF!, 5, FALSE))</f>
        <v/>
      </c>
      <c r="F325" t="str">
        <f>IF(A325="", "", VLOOKUP(A325, 'ROMANEIO POR ITEM'!#REF!, 6, FALSE))</f>
        <v/>
      </c>
    </row>
    <row r="326" spans="1:6">
      <c r="A326" t="str">
        <f>IFERROR(_xlfn.SINGLE(INDEX('ROMANEIO POR ITEM'!#REF!, SMALL(IF(_xlfn.SINGLE('ROMANEIO POR ITEM'!#REF!)&lt;&gt;0,_xlfn.SINGLE( ROW('ROMANEIO POR ITEM'!#REF!))-ROW('ROMANEIO POR ITEM'!#REF!)+1), ROW(A325)))), "")</f>
        <v/>
      </c>
      <c r="B326" t="str">
        <f>IF(A326="", "", VLOOKUP(A326, 'ROMANEIO POR ITEM'!#REF!, 2, FALSE))</f>
        <v/>
      </c>
      <c r="C326" t="str">
        <f>IF(A326="", "", VLOOKUP(A326, 'ROMANEIO POR ITEM'!#REF!, 3, FALSE))</f>
        <v/>
      </c>
      <c r="D326" t="str">
        <f>IF(A326="", "", VLOOKUP(A326, 'ROMANEIO POR ITEM'!#REF!, 4, FALSE))</f>
        <v/>
      </c>
      <c r="E326" t="str">
        <f>IF(A326="", "", VLOOKUP(A326, 'ROMANEIO POR ITEM'!#REF!, 5, FALSE))</f>
        <v/>
      </c>
      <c r="F326" t="str">
        <f>IF(A326="", "", VLOOKUP(A326, 'ROMANEIO POR ITEM'!#REF!, 6, FALSE))</f>
        <v/>
      </c>
    </row>
    <row r="327" spans="1:6">
      <c r="A327" t="str">
        <f>IFERROR(_xlfn.SINGLE(INDEX('ROMANEIO POR ITEM'!#REF!, SMALL(IF(_xlfn.SINGLE('ROMANEIO POR ITEM'!#REF!)&lt;&gt;0,_xlfn.SINGLE( ROW('ROMANEIO POR ITEM'!#REF!))-ROW('ROMANEIO POR ITEM'!#REF!)+1), ROW(A326)))), "")</f>
        <v/>
      </c>
      <c r="B327" t="str">
        <f>IF(A327="", "", VLOOKUP(A327, 'ROMANEIO POR ITEM'!#REF!, 2, FALSE))</f>
        <v/>
      </c>
      <c r="C327" t="str">
        <f>IF(A327="", "", VLOOKUP(A327, 'ROMANEIO POR ITEM'!#REF!, 3, FALSE))</f>
        <v/>
      </c>
      <c r="D327" t="str">
        <f>IF(A327="", "", VLOOKUP(A327, 'ROMANEIO POR ITEM'!#REF!, 4, FALSE))</f>
        <v/>
      </c>
      <c r="E327" t="str">
        <f>IF(A327="", "", VLOOKUP(A327, 'ROMANEIO POR ITEM'!#REF!, 5, FALSE))</f>
        <v/>
      </c>
      <c r="F327" t="str">
        <f>IF(A327="", "", VLOOKUP(A327, 'ROMANEIO POR ITEM'!#REF!, 6, FALSE))</f>
        <v/>
      </c>
    </row>
    <row r="328" spans="1:6">
      <c r="A328" t="str">
        <f>IFERROR(_xlfn.SINGLE(INDEX('ROMANEIO POR ITEM'!#REF!, SMALL(IF(_xlfn.SINGLE('ROMANEIO POR ITEM'!#REF!)&lt;&gt;0,_xlfn.SINGLE( ROW('ROMANEIO POR ITEM'!#REF!))-ROW('ROMANEIO POR ITEM'!#REF!)+1), ROW(A327)))), "")</f>
        <v/>
      </c>
      <c r="B328" t="str">
        <f>IF(A328="", "", VLOOKUP(A328, 'ROMANEIO POR ITEM'!#REF!, 2, FALSE))</f>
        <v/>
      </c>
      <c r="C328" t="str">
        <f>IF(A328="", "", VLOOKUP(A328, 'ROMANEIO POR ITEM'!#REF!, 3, FALSE))</f>
        <v/>
      </c>
      <c r="D328" t="str">
        <f>IF(A328="", "", VLOOKUP(A328, 'ROMANEIO POR ITEM'!#REF!, 4, FALSE))</f>
        <v/>
      </c>
      <c r="E328" t="str">
        <f>IF(A328="", "", VLOOKUP(A328, 'ROMANEIO POR ITEM'!#REF!, 5, FALSE))</f>
        <v/>
      </c>
      <c r="F328" t="str">
        <f>IF(A328="", "", VLOOKUP(A328, 'ROMANEIO POR ITEM'!#REF!, 6, FALSE))</f>
        <v/>
      </c>
    </row>
    <row r="329" spans="1:6">
      <c r="A329" t="str">
        <f>IFERROR(_xlfn.SINGLE(INDEX('ROMANEIO POR ITEM'!#REF!, SMALL(IF(_xlfn.SINGLE('ROMANEIO POR ITEM'!#REF!)&lt;&gt;0,_xlfn.SINGLE( ROW('ROMANEIO POR ITEM'!#REF!))-ROW('ROMANEIO POR ITEM'!#REF!)+1), ROW(A328)))), "")</f>
        <v/>
      </c>
      <c r="B329" t="str">
        <f>IF(A329="", "", VLOOKUP(A329, 'ROMANEIO POR ITEM'!#REF!, 2, FALSE))</f>
        <v/>
      </c>
      <c r="C329" t="str">
        <f>IF(A329="", "", VLOOKUP(A329, 'ROMANEIO POR ITEM'!#REF!, 3, FALSE))</f>
        <v/>
      </c>
      <c r="D329" t="str">
        <f>IF(A329="", "", VLOOKUP(A329, 'ROMANEIO POR ITEM'!#REF!, 4, FALSE))</f>
        <v/>
      </c>
      <c r="E329" t="str">
        <f>IF(A329="", "", VLOOKUP(A329, 'ROMANEIO POR ITEM'!#REF!, 5, FALSE))</f>
        <v/>
      </c>
      <c r="F329" t="str">
        <f>IF(A329="", "", VLOOKUP(A329, 'ROMANEIO POR ITEM'!#REF!, 6, FALSE))</f>
        <v/>
      </c>
    </row>
    <row r="330" spans="1:6">
      <c r="A330" t="str">
        <f>IFERROR(_xlfn.SINGLE(INDEX('ROMANEIO POR ITEM'!#REF!, SMALL(IF(_xlfn.SINGLE('ROMANEIO POR ITEM'!#REF!)&lt;&gt;0,_xlfn.SINGLE( ROW('ROMANEIO POR ITEM'!#REF!))-ROW('ROMANEIO POR ITEM'!#REF!)+1), ROW(A329)))), "")</f>
        <v/>
      </c>
      <c r="B330" t="str">
        <f>IF(A330="", "", VLOOKUP(A330, 'ROMANEIO POR ITEM'!#REF!, 2, FALSE))</f>
        <v/>
      </c>
      <c r="C330" t="str">
        <f>IF(A330="", "", VLOOKUP(A330, 'ROMANEIO POR ITEM'!#REF!, 3, FALSE))</f>
        <v/>
      </c>
      <c r="D330" t="str">
        <f>IF(A330="", "", VLOOKUP(A330, 'ROMANEIO POR ITEM'!#REF!, 4, FALSE))</f>
        <v/>
      </c>
      <c r="E330" t="str">
        <f>IF(A330="", "", VLOOKUP(A330, 'ROMANEIO POR ITEM'!#REF!, 5, FALSE))</f>
        <v/>
      </c>
      <c r="F330" t="str">
        <f>IF(A330="", "", VLOOKUP(A330, 'ROMANEIO POR ITEM'!#REF!, 6, FALSE))</f>
        <v/>
      </c>
    </row>
    <row r="331" spans="1:6">
      <c r="A331" t="str">
        <f>IFERROR(_xlfn.SINGLE(INDEX('ROMANEIO POR ITEM'!#REF!, SMALL(IF(_xlfn.SINGLE('ROMANEIO POR ITEM'!#REF!)&lt;&gt;0,_xlfn.SINGLE( ROW('ROMANEIO POR ITEM'!#REF!))-ROW('ROMANEIO POR ITEM'!#REF!)+1), ROW(A330)))), "")</f>
        <v/>
      </c>
      <c r="B331" t="str">
        <f>IF(A331="", "", VLOOKUP(A331, 'ROMANEIO POR ITEM'!#REF!, 2, FALSE))</f>
        <v/>
      </c>
      <c r="C331" t="str">
        <f>IF(A331="", "", VLOOKUP(A331, 'ROMANEIO POR ITEM'!#REF!, 3, FALSE))</f>
        <v/>
      </c>
      <c r="D331" t="str">
        <f>IF(A331="", "", VLOOKUP(A331, 'ROMANEIO POR ITEM'!#REF!, 4, FALSE))</f>
        <v/>
      </c>
      <c r="E331" t="str">
        <f>IF(A331="", "", VLOOKUP(A331, 'ROMANEIO POR ITEM'!#REF!, 5, FALSE))</f>
        <v/>
      </c>
      <c r="F331" t="str">
        <f>IF(A331="", "", VLOOKUP(A331, 'ROMANEIO POR ITEM'!#REF!, 6, FALSE))</f>
        <v/>
      </c>
    </row>
    <row r="332" spans="1:6">
      <c r="A332" t="str">
        <f>IFERROR(_xlfn.SINGLE(INDEX('ROMANEIO POR ITEM'!#REF!, SMALL(IF(_xlfn.SINGLE('ROMANEIO POR ITEM'!#REF!)&lt;&gt;0,_xlfn.SINGLE( ROW('ROMANEIO POR ITEM'!#REF!))-ROW('ROMANEIO POR ITEM'!#REF!)+1), ROW(A331)))), "")</f>
        <v/>
      </c>
      <c r="B332" t="str">
        <f>IF(A332="", "", VLOOKUP(A332, 'ROMANEIO POR ITEM'!#REF!, 2, FALSE))</f>
        <v/>
      </c>
      <c r="C332" t="str">
        <f>IF(A332="", "", VLOOKUP(A332, 'ROMANEIO POR ITEM'!#REF!, 3, FALSE))</f>
        <v/>
      </c>
      <c r="D332" t="str">
        <f>IF(A332="", "", VLOOKUP(A332, 'ROMANEIO POR ITEM'!#REF!, 4, FALSE))</f>
        <v/>
      </c>
      <c r="E332" t="str">
        <f>IF(A332="", "", VLOOKUP(A332, 'ROMANEIO POR ITEM'!#REF!, 5, FALSE))</f>
        <v/>
      </c>
      <c r="F332" t="str">
        <f>IF(A332="", "", VLOOKUP(A332, 'ROMANEIO POR ITEM'!#REF!, 6, FALSE))</f>
        <v/>
      </c>
    </row>
    <row r="333" spans="1:6">
      <c r="A333" t="str">
        <f>IFERROR(_xlfn.SINGLE(INDEX('ROMANEIO POR ITEM'!#REF!, SMALL(IF(_xlfn.SINGLE('ROMANEIO POR ITEM'!#REF!)&lt;&gt;0,_xlfn.SINGLE( ROW('ROMANEIO POR ITEM'!#REF!))-ROW('ROMANEIO POR ITEM'!#REF!)+1), ROW(A332)))), "")</f>
        <v/>
      </c>
      <c r="B333" t="str">
        <f>IF(A333="", "", VLOOKUP(A333, 'ROMANEIO POR ITEM'!#REF!, 2, FALSE))</f>
        <v/>
      </c>
      <c r="C333" t="str">
        <f>IF(A333="", "", VLOOKUP(A333, 'ROMANEIO POR ITEM'!#REF!, 3, FALSE))</f>
        <v/>
      </c>
      <c r="D333" t="str">
        <f>IF(A333="", "", VLOOKUP(A333, 'ROMANEIO POR ITEM'!#REF!, 4, FALSE))</f>
        <v/>
      </c>
      <c r="E333" t="str">
        <f>IF(A333="", "", VLOOKUP(A333, 'ROMANEIO POR ITEM'!#REF!, 5, FALSE))</f>
        <v/>
      </c>
      <c r="F333" t="str">
        <f>IF(A333="", "", VLOOKUP(A333, 'ROMANEIO POR ITEM'!#REF!, 6, FALSE))</f>
        <v/>
      </c>
    </row>
    <row r="334" spans="1:6">
      <c r="A334" t="str">
        <f>IFERROR(_xlfn.SINGLE(INDEX('ROMANEIO POR ITEM'!#REF!, SMALL(IF(_xlfn.SINGLE('ROMANEIO POR ITEM'!#REF!)&lt;&gt;0,_xlfn.SINGLE( ROW('ROMANEIO POR ITEM'!#REF!))-ROW('ROMANEIO POR ITEM'!#REF!)+1), ROW(A333)))), "")</f>
        <v/>
      </c>
      <c r="B334" t="str">
        <f>IF(A334="", "", VLOOKUP(A334, 'ROMANEIO POR ITEM'!#REF!, 2, FALSE))</f>
        <v/>
      </c>
      <c r="C334" t="str">
        <f>IF(A334="", "", VLOOKUP(A334, 'ROMANEIO POR ITEM'!#REF!, 3, FALSE))</f>
        <v/>
      </c>
      <c r="D334" t="str">
        <f>IF(A334="", "", VLOOKUP(A334, 'ROMANEIO POR ITEM'!#REF!, 4, FALSE))</f>
        <v/>
      </c>
      <c r="E334" t="str">
        <f>IF(A334="", "", VLOOKUP(A334, 'ROMANEIO POR ITEM'!#REF!, 5, FALSE))</f>
        <v/>
      </c>
      <c r="F334" t="str">
        <f>IF(A334="", "", VLOOKUP(A334, 'ROMANEIO POR ITEM'!#REF!, 6, FALSE))</f>
        <v/>
      </c>
    </row>
    <row r="335" spans="1:6">
      <c r="A335" t="str">
        <f>IFERROR(_xlfn.SINGLE(INDEX('ROMANEIO POR ITEM'!#REF!, SMALL(IF(_xlfn.SINGLE('ROMANEIO POR ITEM'!#REF!)&lt;&gt;0,_xlfn.SINGLE( ROW('ROMANEIO POR ITEM'!#REF!))-ROW('ROMANEIO POR ITEM'!#REF!)+1), ROW(A334)))), "")</f>
        <v/>
      </c>
      <c r="B335" t="str">
        <f>IF(A335="", "", VLOOKUP(A335, 'ROMANEIO POR ITEM'!#REF!, 2, FALSE))</f>
        <v/>
      </c>
      <c r="C335" t="str">
        <f>IF(A335="", "", VLOOKUP(A335, 'ROMANEIO POR ITEM'!#REF!, 3, FALSE))</f>
        <v/>
      </c>
      <c r="D335" t="str">
        <f>IF(A335="", "", VLOOKUP(A335, 'ROMANEIO POR ITEM'!#REF!, 4, FALSE))</f>
        <v/>
      </c>
      <c r="E335" t="str">
        <f>IF(A335="", "", VLOOKUP(A335, 'ROMANEIO POR ITEM'!#REF!, 5, FALSE))</f>
        <v/>
      </c>
      <c r="F335" t="str">
        <f>IF(A335="", "", VLOOKUP(A335, 'ROMANEIO POR ITEM'!#REF!, 6, FALSE))</f>
        <v/>
      </c>
    </row>
    <row r="336" spans="1:6">
      <c r="A336" t="str">
        <f>IFERROR(_xlfn.SINGLE(INDEX('ROMANEIO POR ITEM'!#REF!, SMALL(IF(_xlfn.SINGLE('ROMANEIO POR ITEM'!#REF!)&lt;&gt;0,_xlfn.SINGLE( ROW('ROMANEIO POR ITEM'!#REF!))-ROW('ROMANEIO POR ITEM'!#REF!)+1), ROW(A335)))), "")</f>
        <v/>
      </c>
      <c r="B336" t="str">
        <f>IF(A336="", "", VLOOKUP(A336, 'ROMANEIO POR ITEM'!#REF!, 2, FALSE))</f>
        <v/>
      </c>
      <c r="C336" t="str">
        <f>IF(A336="", "", VLOOKUP(A336, 'ROMANEIO POR ITEM'!#REF!, 3, FALSE))</f>
        <v/>
      </c>
      <c r="D336" t="str">
        <f>IF(A336="", "", VLOOKUP(A336, 'ROMANEIO POR ITEM'!#REF!, 4, FALSE))</f>
        <v/>
      </c>
      <c r="E336" t="str">
        <f>IF(A336="", "", VLOOKUP(A336, 'ROMANEIO POR ITEM'!#REF!, 5, FALSE))</f>
        <v/>
      </c>
      <c r="F336" t="str">
        <f>IF(A336="", "", VLOOKUP(A336, 'ROMANEIO POR ITEM'!#REF!, 6, FALSE))</f>
        <v/>
      </c>
    </row>
    <row r="337" spans="1:6">
      <c r="A337" t="str">
        <f>IFERROR(_xlfn.SINGLE(INDEX('ROMANEIO POR ITEM'!#REF!, SMALL(IF(_xlfn.SINGLE('ROMANEIO POR ITEM'!#REF!)&lt;&gt;0,_xlfn.SINGLE( ROW('ROMANEIO POR ITEM'!#REF!))-ROW('ROMANEIO POR ITEM'!#REF!)+1), ROW(A336)))), "")</f>
        <v/>
      </c>
      <c r="B337" t="str">
        <f>IF(A337="", "", VLOOKUP(A337, 'ROMANEIO POR ITEM'!#REF!, 2, FALSE))</f>
        <v/>
      </c>
      <c r="C337" t="str">
        <f>IF(A337="", "", VLOOKUP(A337, 'ROMANEIO POR ITEM'!#REF!, 3, FALSE))</f>
        <v/>
      </c>
      <c r="D337" t="str">
        <f>IF(A337="", "", VLOOKUP(A337, 'ROMANEIO POR ITEM'!#REF!, 4, FALSE))</f>
        <v/>
      </c>
      <c r="E337" t="str">
        <f>IF(A337="", "", VLOOKUP(A337, 'ROMANEIO POR ITEM'!#REF!, 5, FALSE))</f>
        <v/>
      </c>
      <c r="F337" t="str">
        <f>IF(A337="", "", VLOOKUP(A337, 'ROMANEIO POR ITEM'!#REF!, 6, FALSE))</f>
        <v/>
      </c>
    </row>
    <row r="338" spans="1:6">
      <c r="A338" t="str">
        <f>IFERROR(_xlfn.SINGLE(INDEX('ROMANEIO POR ITEM'!#REF!, SMALL(IF(_xlfn.SINGLE('ROMANEIO POR ITEM'!#REF!)&lt;&gt;0,_xlfn.SINGLE( ROW('ROMANEIO POR ITEM'!#REF!))-ROW('ROMANEIO POR ITEM'!#REF!)+1), ROW(A337)))), "")</f>
        <v/>
      </c>
      <c r="B338" t="str">
        <f>IF(A338="", "", VLOOKUP(A338, 'ROMANEIO POR ITEM'!#REF!, 2, FALSE))</f>
        <v/>
      </c>
      <c r="C338" t="str">
        <f>IF(A338="", "", VLOOKUP(A338, 'ROMANEIO POR ITEM'!#REF!, 3, FALSE))</f>
        <v/>
      </c>
      <c r="D338" t="str">
        <f>IF(A338="", "", VLOOKUP(A338, 'ROMANEIO POR ITEM'!#REF!, 4, FALSE))</f>
        <v/>
      </c>
      <c r="E338" t="str">
        <f>IF(A338="", "", VLOOKUP(A338, 'ROMANEIO POR ITEM'!#REF!, 5, FALSE))</f>
        <v/>
      </c>
      <c r="F338" t="str">
        <f>IF(A338="", "", VLOOKUP(A338, 'ROMANEIO POR ITEM'!#REF!, 6, FALSE))</f>
        <v/>
      </c>
    </row>
    <row r="339" spans="1:6">
      <c r="A339" t="str">
        <f>IFERROR(_xlfn.SINGLE(INDEX('ROMANEIO POR ITEM'!#REF!, SMALL(IF(_xlfn.SINGLE('ROMANEIO POR ITEM'!#REF!)&lt;&gt;0,_xlfn.SINGLE( ROW('ROMANEIO POR ITEM'!#REF!))-ROW('ROMANEIO POR ITEM'!#REF!)+1), ROW(A338)))), "")</f>
        <v/>
      </c>
      <c r="B339" t="str">
        <f>IF(A339="", "", VLOOKUP(A339, 'ROMANEIO POR ITEM'!#REF!, 2, FALSE))</f>
        <v/>
      </c>
      <c r="C339" t="str">
        <f>IF(A339="", "", VLOOKUP(A339, 'ROMANEIO POR ITEM'!#REF!, 3, FALSE))</f>
        <v/>
      </c>
      <c r="D339" t="str">
        <f>IF(A339="", "", VLOOKUP(A339, 'ROMANEIO POR ITEM'!#REF!, 4, FALSE))</f>
        <v/>
      </c>
      <c r="E339" t="str">
        <f>IF(A339="", "", VLOOKUP(A339, 'ROMANEIO POR ITEM'!#REF!, 5, FALSE))</f>
        <v/>
      </c>
      <c r="F339" t="str">
        <f>IF(A339="", "", VLOOKUP(A339, 'ROMANEIO POR ITEM'!#REF!, 6, FALSE))</f>
        <v/>
      </c>
    </row>
    <row r="340" spans="1:6">
      <c r="A340" t="str">
        <f>IFERROR(_xlfn.SINGLE(INDEX('ROMANEIO POR ITEM'!#REF!, SMALL(IF(_xlfn.SINGLE('ROMANEIO POR ITEM'!#REF!)&lt;&gt;0,_xlfn.SINGLE( ROW('ROMANEIO POR ITEM'!#REF!))-ROW('ROMANEIO POR ITEM'!#REF!)+1), ROW(A339)))), "")</f>
        <v/>
      </c>
      <c r="B340" t="str">
        <f>IF(A340="", "", VLOOKUP(A340, 'ROMANEIO POR ITEM'!#REF!, 2, FALSE))</f>
        <v/>
      </c>
      <c r="C340" t="str">
        <f>IF(A340="", "", VLOOKUP(A340, 'ROMANEIO POR ITEM'!#REF!, 3, FALSE))</f>
        <v/>
      </c>
      <c r="D340" t="str">
        <f>IF(A340="", "", VLOOKUP(A340, 'ROMANEIO POR ITEM'!#REF!, 4, FALSE))</f>
        <v/>
      </c>
      <c r="E340" t="str">
        <f>IF(A340="", "", VLOOKUP(A340, 'ROMANEIO POR ITEM'!#REF!, 5, FALSE))</f>
        <v/>
      </c>
      <c r="F340" t="str">
        <f>IF(A340="", "", VLOOKUP(A340, 'ROMANEIO POR ITEM'!#REF!, 6, FALSE))</f>
        <v/>
      </c>
    </row>
    <row r="341" spans="1:6">
      <c r="A341" t="str">
        <f>IFERROR(_xlfn.SINGLE(INDEX('ROMANEIO POR ITEM'!#REF!, SMALL(IF(_xlfn.SINGLE('ROMANEIO POR ITEM'!#REF!)&lt;&gt;0,_xlfn.SINGLE( ROW('ROMANEIO POR ITEM'!#REF!))-ROW('ROMANEIO POR ITEM'!#REF!)+1), ROW(A340)))), "")</f>
        <v/>
      </c>
      <c r="B341" t="str">
        <f>IF(A341="", "", VLOOKUP(A341, 'ROMANEIO POR ITEM'!#REF!, 2, FALSE))</f>
        <v/>
      </c>
      <c r="C341" t="str">
        <f>IF(A341="", "", VLOOKUP(A341, 'ROMANEIO POR ITEM'!#REF!, 3, FALSE))</f>
        <v/>
      </c>
      <c r="D341" t="str">
        <f>IF(A341="", "", VLOOKUP(A341, 'ROMANEIO POR ITEM'!#REF!, 4, FALSE))</f>
        <v/>
      </c>
      <c r="E341" t="str">
        <f>IF(A341="", "", VLOOKUP(A341, 'ROMANEIO POR ITEM'!#REF!, 5, FALSE))</f>
        <v/>
      </c>
      <c r="F341" t="str">
        <f>IF(A341="", "", VLOOKUP(A341, 'ROMANEIO POR ITEM'!#REF!, 6, FALSE))</f>
        <v/>
      </c>
    </row>
    <row r="342" spans="1:6">
      <c r="A342" t="str">
        <f>IFERROR(_xlfn.SINGLE(INDEX('ROMANEIO POR ITEM'!#REF!, SMALL(IF(_xlfn.SINGLE('ROMANEIO POR ITEM'!#REF!)&lt;&gt;0,_xlfn.SINGLE( ROW('ROMANEIO POR ITEM'!#REF!))-ROW('ROMANEIO POR ITEM'!#REF!)+1), ROW(A341)))), "")</f>
        <v/>
      </c>
      <c r="B342" t="str">
        <f>IF(A342="", "", VLOOKUP(A342, 'ROMANEIO POR ITEM'!#REF!, 2, FALSE))</f>
        <v/>
      </c>
      <c r="C342" t="str">
        <f>IF(A342="", "", VLOOKUP(A342, 'ROMANEIO POR ITEM'!#REF!, 3, FALSE))</f>
        <v/>
      </c>
      <c r="D342" t="str">
        <f>IF(A342="", "", VLOOKUP(A342, 'ROMANEIO POR ITEM'!#REF!, 4, FALSE))</f>
        <v/>
      </c>
      <c r="E342" t="str">
        <f>IF(A342="", "", VLOOKUP(A342, 'ROMANEIO POR ITEM'!#REF!, 5, FALSE))</f>
        <v/>
      </c>
      <c r="F342" t="str">
        <f>IF(A342="", "", VLOOKUP(A342, 'ROMANEIO POR ITEM'!#REF!, 6, FALSE))</f>
        <v/>
      </c>
    </row>
    <row r="343" spans="1:6">
      <c r="A343" t="str">
        <f>IFERROR(_xlfn.SINGLE(INDEX('ROMANEIO POR ITEM'!#REF!, SMALL(IF(_xlfn.SINGLE('ROMANEIO POR ITEM'!#REF!)&lt;&gt;0,_xlfn.SINGLE( ROW('ROMANEIO POR ITEM'!#REF!))-ROW('ROMANEIO POR ITEM'!#REF!)+1), ROW(A342)))), "")</f>
        <v/>
      </c>
      <c r="B343" t="str">
        <f>IF(A343="", "", VLOOKUP(A343, 'ROMANEIO POR ITEM'!#REF!, 2, FALSE))</f>
        <v/>
      </c>
      <c r="C343" t="str">
        <f>IF(A343="", "", VLOOKUP(A343, 'ROMANEIO POR ITEM'!#REF!, 3, FALSE))</f>
        <v/>
      </c>
      <c r="D343" t="str">
        <f>IF(A343="", "", VLOOKUP(A343, 'ROMANEIO POR ITEM'!#REF!, 4, FALSE))</f>
        <v/>
      </c>
      <c r="E343" t="str">
        <f>IF(A343="", "", VLOOKUP(A343, 'ROMANEIO POR ITEM'!#REF!, 5, FALSE))</f>
        <v/>
      </c>
      <c r="F343" t="str">
        <f>IF(A343="", "", VLOOKUP(A343, 'ROMANEIO POR ITEM'!#REF!, 6, FALSE))</f>
        <v/>
      </c>
    </row>
    <row r="344" spans="1:6">
      <c r="A344" t="str">
        <f>IFERROR(_xlfn.SINGLE(INDEX('ROMANEIO POR ITEM'!#REF!, SMALL(IF(_xlfn.SINGLE('ROMANEIO POR ITEM'!#REF!)&lt;&gt;0,_xlfn.SINGLE( ROW('ROMANEIO POR ITEM'!#REF!))-ROW('ROMANEIO POR ITEM'!#REF!)+1), ROW(A343)))), "")</f>
        <v/>
      </c>
      <c r="B344" t="str">
        <f>IF(A344="", "", VLOOKUP(A344, 'ROMANEIO POR ITEM'!#REF!, 2, FALSE))</f>
        <v/>
      </c>
      <c r="C344" t="str">
        <f>IF(A344="", "", VLOOKUP(A344, 'ROMANEIO POR ITEM'!#REF!, 3, FALSE))</f>
        <v/>
      </c>
      <c r="D344" t="str">
        <f>IF(A344="", "", VLOOKUP(A344, 'ROMANEIO POR ITEM'!#REF!, 4, FALSE))</f>
        <v/>
      </c>
      <c r="E344" t="str">
        <f>IF(A344="", "", VLOOKUP(A344, 'ROMANEIO POR ITEM'!#REF!, 5, FALSE))</f>
        <v/>
      </c>
      <c r="F344" t="str">
        <f>IF(A344="", "", VLOOKUP(A344, 'ROMANEIO POR ITEM'!#REF!, 6, FALSE))</f>
        <v/>
      </c>
    </row>
    <row r="345" spans="1:6">
      <c r="A345" t="str">
        <f>IFERROR(_xlfn.SINGLE(INDEX('ROMANEIO POR ITEM'!#REF!, SMALL(IF(_xlfn.SINGLE('ROMANEIO POR ITEM'!#REF!)&lt;&gt;0,_xlfn.SINGLE( ROW('ROMANEIO POR ITEM'!#REF!))-ROW('ROMANEIO POR ITEM'!#REF!)+1), ROW(A344)))), "")</f>
        <v/>
      </c>
      <c r="B345" t="str">
        <f>IF(A345="", "", VLOOKUP(A345, 'ROMANEIO POR ITEM'!#REF!, 2, FALSE))</f>
        <v/>
      </c>
      <c r="C345" t="str">
        <f>IF(A345="", "", VLOOKUP(A345, 'ROMANEIO POR ITEM'!#REF!, 3, FALSE))</f>
        <v/>
      </c>
      <c r="D345" t="str">
        <f>IF(A345="", "", VLOOKUP(A345, 'ROMANEIO POR ITEM'!#REF!, 4, FALSE))</f>
        <v/>
      </c>
      <c r="E345" t="str">
        <f>IF(A345="", "", VLOOKUP(A345, 'ROMANEIO POR ITEM'!#REF!, 5, FALSE))</f>
        <v/>
      </c>
      <c r="F345" t="str">
        <f>IF(A345="", "", VLOOKUP(A345, 'ROMANEIO POR ITEM'!#REF!, 6, FALSE))</f>
        <v/>
      </c>
    </row>
    <row r="346" spans="1:6">
      <c r="A346" t="str">
        <f>IFERROR(_xlfn.SINGLE(INDEX('ROMANEIO POR ITEM'!#REF!, SMALL(IF(_xlfn.SINGLE('ROMANEIO POR ITEM'!#REF!)&lt;&gt;0,_xlfn.SINGLE( ROW('ROMANEIO POR ITEM'!#REF!))-ROW('ROMANEIO POR ITEM'!#REF!)+1), ROW(A345)))), "")</f>
        <v/>
      </c>
      <c r="B346" t="str">
        <f>IF(A346="", "", VLOOKUP(A346, 'ROMANEIO POR ITEM'!#REF!, 2, FALSE))</f>
        <v/>
      </c>
      <c r="C346" t="str">
        <f>IF(A346="", "", VLOOKUP(A346, 'ROMANEIO POR ITEM'!#REF!, 3, FALSE))</f>
        <v/>
      </c>
      <c r="D346" t="str">
        <f>IF(A346="", "", VLOOKUP(A346, 'ROMANEIO POR ITEM'!#REF!, 4, FALSE))</f>
        <v/>
      </c>
      <c r="E346" t="str">
        <f>IF(A346="", "", VLOOKUP(A346, 'ROMANEIO POR ITEM'!#REF!, 5, FALSE))</f>
        <v/>
      </c>
      <c r="F346" t="str">
        <f>IF(A346="", "", VLOOKUP(A346, 'ROMANEIO POR ITEM'!#REF!, 6, FALSE))</f>
        <v/>
      </c>
    </row>
    <row r="347" spans="1:6">
      <c r="A347" t="str">
        <f>IFERROR(_xlfn.SINGLE(INDEX('ROMANEIO POR ITEM'!#REF!, SMALL(IF(_xlfn.SINGLE('ROMANEIO POR ITEM'!#REF!)&lt;&gt;0,_xlfn.SINGLE( ROW('ROMANEIO POR ITEM'!#REF!))-ROW('ROMANEIO POR ITEM'!#REF!)+1), ROW(A346)))), "")</f>
        <v/>
      </c>
      <c r="B347" t="str">
        <f>IF(A347="", "", VLOOKUP(A347, 'ROMANEIO POR ITEM'!#REF!, 2, FALSE))</f>
        <v/>
      </c>
      <c r="C347" t="str">
        <f>IF(A347="", "", VLOOKUP(A347, 'ROMANEIO POR ITEM'!#REF!, 3, FALSE))</f>
        <v/>
      </c>
      <c r="D347" t="str">
        <f>IF(A347="", "", VLOOKUP(A347, 'ROMANEIO POR ITEM'!#REF!, 4, FALSE))</f>
        <v/>
      </c>
      <c r="E347" t="str">
        <f>IF(A347="", "", VLOOKUP(A347, 'ROMANEIO POR ITEM'!#REF!, 5, FALSE))</f>
        <v/>
      </c>
      <c r="F347" t="str">
        <f>IF(A347="", "", VLOOKUP(A347, 'ROMANEIO POR ITEM'!#REF!, 6, FALSE))</f>
        <v/>
      </c>
    </row>
    <row r="348" spans="1:6">
      <c r="A348" t="str">
        <f>IFERROR(_xlfn.SINGLE(INDEX('ROMANEIO POR ITEM'!#REF!, SMALL(IF(_xlfn.SINGLE('ROMANEIO POR ITEM'!#REF!)&lt;&gt;0,_xlfn.SINGLE( ROW('ROMANEIO POR ITEM'!#REF!))-ROW('ROMANEIO POR ITEM'!#REF!)+1), ROW(A347)))), "")</f>
        <v/>
      </c>
      <c r="B348" t="str">
        <f>IF(A348="", "", VLOOKUP(A348, 'ROMANEIO POR ITEM'!#REF!, 2, FALSE))</f>
        <v/>
      </c>
      <c r="C348" t="str">
        <f>IF(A348="", "", VLOOKUP(A348, 'ROMANEIO POR ITEM'!#REF!, 3, FALSE))</f>
        <v/>
      </c>
      <c r="D348" t="str">
        <f>IF(A348="", "", VLOOKUP(A348, 'ROMANEIO POR ITEM'!#REF!, 4, FALSE))</f>
        <v/>
      </c>
      <c r="E348" t="str">
        <f>IF(A348="", "", VLOOKUP(A348, 'ROMANEIO POR ITEM'!#REF!, 5, FALSE))</f>
        <v/>
      </c>
      <c r="F348" t="str">
        <f>IF(A348="", "", VLOOKUP(A348, 'ROMANEIO POR ITEM'!#REF!, 6, FALSE))</f>
        <v/>
      </c>
    </row>
    <row r="349" spans="1:6">
      <c r="A349" t="str">
        <f>IFERROR(_xlfn.SINGLE(INDEX('ROMANEIO POR ITEM'!#REF!, SMALL(IF(_xlfn.SINGLE('ROMANEIO POR ITEM'!#REF!)&lt;&gt;0,_xlfn.SINGLE( ROW('ROMANEIO POR ITEM'!#REF!))-ROW('ROMANEIO POR ITEM'!#REF!)+1), ROW(A348)))), "")</f>
        <v/>
      </c>
      <c r="B349" t="str">
        <f>IF(A349="", "", VLOOKUP(A349, 'ROMANEIO POR ITEM'!#REF!, 2, FALSE))</f>
        <v/>
      </c>
      <c r="C349" t="str">
        <f>IF(A349="", "", VLOOKUP(A349, 'ROMANEIO POR ITEM'!#REF!, 3, FALSE))</f>
        <v/>
      </c>
      <c r="D349" t="str">
        <f>IF(A349="", "", VLOOKUP(A349, 'ROMANEIO POR ITEM'!#REF!, 4, FALSE))</f>
        <v/>
      </c>
      <c r="E349" t="str">
        <f>IF(A349="", "", VLOOKUP(A349, 'ROMANEIO POR ITEM'!#REF!, 5, FALSE))</f>
        <v/>
      </c>
      <c r="F349" t="str">
        <f>IF(A349="", "", VLOOKUP(A349, 'ROMANEIO POR ITEM'!#REF!, 6, FALSE))</f>
        <v/>
      </c>
    </row>
    <row r="350" spans="1:6">
      <c r="A350" t="str">
        <f>IFERROR(_xlfn.SINGLE(INDEX('ROMANEIO POR ITEM'!#REF!, SMALL(IF(_xlfn.SINGLE('ROMANEIO POR ITEM'!#REF!)&lt;&gt;0,_xlfn.SINGLE( ROW('ROMANEIO POR ITEM'!#REF!))-ROW('ROMANEIO POR ITEM'!#REF!)+1), ROW(A349)))), "")</f>
        <v/>
      </c>
      <c r="B350" t="str">
        <f>IF(A350="", "", VLOOKUP(A350, 'ROMANEIO POR ITEM'!#REF!, 2, FALSE))</f>
        <v/>
      </c>
      <c r="C350" t="str">
        <f>IF(A350="", "", VLOOKUP(A350, 'ROMANEIO POR ITEM'!#REF!, 3, FALSE))</f>
        <v/>
      </c>
      <c r="D350" t="str">
        <f>IF(A350="", "", VLOOKUP(A350, 'ROMANEIO POR ITEM'!#REF!, 4, FALSE))</f>
        <v/>
      </c>
      <c r="E350" t="str">
        <f>IF(A350="", "", VLOOKUP(A350, 'ROMANEIO POR ITEM'!#REF!, 5, FALSE))</f>
        <v/>
      </c>
      <c r="F350" t="str">
        <f>IF(A350="", "", VLOOKUP(A350, 'ROMANEIO POR ITEM'!#REF!, 6, FALSE))</f>
        <v/>
      </c>
    </row>
    <row r="351" spans="1:6">
      <c r="A351" t="str">
        <f>IFERROR(_xlfn.SINGLE(INDEX('ROMANEIO POR ITEM'!#REF!, SMALL(IF(_xlfn.SINGLE('ROMANEIO POR ITEM'!#REF!)&lt;&gt;0,_xlfn.SINGLE( ROW('ROMANEIO POR ITEM'!#REF!))-ROW('ROMANEIO POR ITEM'!#REF!)+1), ROW(A350)))), "")</f>
        <v/>
      </c>
      <c r="B351" t="str">
        <f>IF(A351="", "", VLOOKUP(A351, 'ROMANEIO POR ITEM'!#REF!, 2, FALSE))</f>
        <v/>
      </c>
      <c r="C351" t="str">
        <f>IF(A351="", "", VLOOKUP(A351, 'ROMANEIO POR ITEM'!#REF!, 3, FALSE))</f>
        <v/>
      </c>
      <c r="D351" t="str">
        <f>IF(A351="", "", VLOOKUP(A351, 'ROMANEIO POR ITEM'!#REF!, 4, FALSE))</f>
        <v/>
      </c>
      <c r="E351" t="str">
        <f>IF(A351="", "", VLOOKUP(A351, 'ROMANEIO POR ITEM'!#REF!, 5, FALSE))</f>
        <v/>
      </c>
      <c r="F351" t="str">
        <f>IF(A351="", "", VLOOKUP(A351, 'ROMANEIO POR ITEM'!#REF!, 6, FALSE))</f>
        <v/>
      </c>
    </row>
    <row r="352" spans="1:6">
      <c r="A352" t="str">
        <f>IFERROR(_xlfn.SINGLE(INDEX('ROMANEIO POR ITEM'!#REF!, SMALL(IF(_xlfn.SINGLE('ROMANEIO POR ITEM'!#REF!)&lt;&gt;0,_xlfn.SINGLE( ROW('ROMANEIO POR ITEM'!#REF!))-ROW('ROMANEIO POR ITEM'!#REF!)+1), ROW(A351)))), "")</f>
        <v/>
      </c>
      <c r="B352" t="str">
        <f>IF(A352="", "", VLOOKUP(A352, 'ROMANEIO POR ITEM'!#REF!, 2, FALSE))</f>
        <v/>
      </c>
      <c r="C352" t="str">
        <f>IF(A352="", "", VLOOKUP(A352, 'ROMANEIO POR ITEM'!#REF!, 3, FALSE))</f>
        <v/>
      </c>
      <c r="D352" t="str">
        <f>IF(A352="", "", VLOOKUP(A352, 'ROMANEIO POR ITEM'!#REF!, 4, FALSE))</f>
        <v/>
      </c>
      <c r="E352" t="str">
        <f>IF(A352="", "", VLOOKUP(A352, 'ROMANEIO POR ITEM'!#REF!, 5, FALSE))</f>
        <v/>
      </c>
      <c r="F352" t="str">
        <f>IF(A352="", "", VLOOKUP(A352, 'ROMANEIO POR ITEM'!#REF!, 6, FALSE))</f>
        <v/>
      </c>
    </row>
    <row r="353" spans="1:6">
      <c r="A353" t="str">
        <f>IFERROR(_xlfn.SINGLE(INDEX('ROMANEIO POR ITEM'!#REF!, SMALL(IF(_xlfn.SINGLE('ROMANEIO POR ITEM'!#REF!)&lt;&gt;0,_xlfn.SINGLE( ROW('ROMANEIO POR ITEM'!#REF!))-ROW('ROMANEIO POR ITEM'!#REF!)+1), ROW(A352)))), "")</f>
        <v/>
      </c>
      <c r="B353" t="str">
        <f>IF(A353="", "", VLOOKUP(A353, 'ROMANEIO POR ITEM'!#REF!, 2, FALSE))</f>
        <v/>
      </c>
      <c r="C353" t="str">
        <f>IF(A353="", "", VLOOKUP(A353, 'ROMANEIO POR ITEM'!#REF!, 3, FALSE))</f>
        <v/>
      </c>
      <c r="D353" t="str">
        <f>IF(A353="", "", VLOOKUP(A353, 'ROMANEIO POR ITEM'!#REF!, 4, FALSE))</f>
        <v/>
      </c>
      <c r="E353" t="str">
        <f>IF(A353="", "", VLOOKUP(A353, 'ROMANEIO POR ITEM'!#REF!, 5, FALSE))</f>
        <v/>
      </c>
      <c r="F353" t="str">
        <f>IF(A353="", "", VLOOKUP(A353, 'ROMANEIO POR ITEM'!#REF!, 6, FALSE))</f>
        <v/>
      </c>
    </row>
    <row r="354" spans="1:6">
      <c r="A354" t="str">
        <f>IFERROR(_xlfn.SINGLE(INDEX('ROMANEIO POR ITEM'!#REF!, SMALL(IF(_xlfn.SINGLE('ROMANEIO POR ITEM'!#REF!)&lt;&gt;0,_xlfn.SINGLE( ROW('ROMANEIO POR ITEM'!#REF!))-ROW('ROMANEIO POR ITEM'!#REF!)+1), ROW(A353)))), "")</f>
        <v/>
      </c>
      <c r="B354" t="str">
        <f>IF(A354="", "", VLOOKUP(A354, 'ROMANEIO POR ITEM'!#REF!, 2, FALSE))</f>
        <v/>
      </c>
      <c r="C354" t="str">
        <f>IF(A354="", "", VLOOKUP(A354, 'ROMANEIO POR ITEM'!#REF!, 3, FALSE))</f>
        <v/>
      </c>
      <c r="D354" t="str">
        <f>IF(A354="", "", VLOOKUP(A354, 'ROMANEIO POR ITEM'!#REF!, 4, FALSE))</f>
        <v/>
      </c>
      <c r="E354" t="str">
        <f>IF(A354="", "", VLOOKUP(A354, 'ROMANEIO POR ITEM'!#REF!, 5, FALSE))</f>
        <v/>
      </c>
      <c r="F354" t="str">
        <f>IF(A354="", "", VLOOKUP(A354, 'ROMANEIO POR ITEM'!#REF!, 6, FALSE))</f>
        <v/>
      </c>
    </row>
    <row r="355" spans="1:6">
      <c r="A355" t="str">
        <f>IFERROR(_xlfn.SINGLE(INDEX('ROMANEIO POR ITEM'!#REF!, SMALL(IF(_xlfn.SINGLE('ROMANEIO POR ITEM'!#REF!)&lt;&gt;0,_xlfn.SINGLE( ROW('ROMANEIO POR ITEM'!#REF!))-ROW('ROMANEIO POR ITEM'!#REF!)+1), ROW(A354)))), "")</f>
        <v/>
      </c>
      <c r="B355" t="str">
        <f>IF(A355="", "", VLOOKUP(A355, 'ROMANEIO POR ITEM'!#REF!, 2, FALSE))</f>
        <v/>
      </c>
      <c r="C355" t="str">
        <f>IF(A355="", "", VLOOKUP(A355, 'ROMANEIO POR ITEM'!#REF!, 3, FALSE))</f>
        <v/>
      </c>
      <c r="D355" t="str">
        <f>IF(A355="", "", VLOOKUP(A355, 'ROMANEIO POR ITEM'!#REF!, 4, FALSE))</f>
        <v/>
      </c>
      <c r="E355" t="str">
        <f>IF(A355="", "", VLOOKUP(A355, 'ROMANEIO POR ITEM'!#REF!, 5, FALSE))</f>
        <v/>
      </c>
      <c r="F355" t="str">
        <f>IF(A355="", "", VLOOKUP(A355, 'ROMANEIO POR ITEM'!#REF!, 6, FALSE))</f>
        <v/>
      </c>
    </row>
    <row r="356" spans="1:6">
      <c r="A356" t="str">
        <f>IFERROR(_xlfn.SINGLE(INDEX('ROMANEIO POR ITEM'!#REF!, SMALL(IF(_xlfn.SINGLE('ROMANEIO POR ITEM'!#REF!)&lt;&gt;0,_xlfn.SINGLE( ROW('ROMANEIO POR ITEM'!#REF!))-ROW('ROMANEIO POR ITEM'!#REF!)+1), ROW(A355)))), "")</f>
        <v/>
      </c>
      <c r="B356" t="str">
        <f>IF(A356="", "", VLOOKUP(A356, 'ROMANEIO POR ITEM'!#REF!, 2, FALSE))</f>
        <v/>
      </c>
      <c r="C356" t="str">
        <f>IF(A356="", "", VLOOKUP(A356, 'ROMANEIO POR ITEM'!#REF!, 3, FALSE))</f>
        <v/>
      </c>
      <c r="D356" t="str">
        <f>IF(A356="", "", VLOOKUP(A356, 'ROMANEIO POR ITEM'!#REF!, 4, FALSE))</f>
        <v/>
      </c>
      <c r="E356" t="str">
        <f>IF(A356="", "", VLOOKUP(A356, 'ROMANEIO POR ITEM'!#REF!, 5, FALSE))</f>
        <v/>
      </c>
      <c r="F356" t="str">
        <f>IF(A356="", "", VLOOKUP(A356, 'ROMANEIO POR ITEM'!#REF!, 6, FALSE))</f>
        <v/>
      </c>
    </row>
    <row r="357" spans="1:6">
      <c r="A357" t="str">
        <f>IFERROR(_xlfn.SINGLE(INDEX('ROMANEIO POR ITEM'!#REF!, SMALL(IF(_xlfn.SINGLE('ROMANEIO POR ITEM'!#REF!)&lt;&gt;0,_xlfn.SINGLE( ROW('ROMANEIO POR ITEM'!#REF!))-ROW('ROMANEIO POR ITEM'!#REF!)+1), ROW(A356)))), "")</f>
        <v/>
      </c>
      <c r="B357" t="str">
        <f>IF(A357="", "", VLOOKUP(A357, 'ROMANEIO POR ITEM'!#REF!, 2, FALSE))</f>
        <v/>
      </c>
      <c r="C357" t="str">
        <f>IF(A357="", "", VLOOKUP(A357, 'ROMANEIO POR ITEM'!#REF!, 3, FALSE))</f>
        <v/>
      </c>
      <c r="D357" t="str">
        <f>IF(A357="", "", VLOOKUP(A357, 'ROMANEIO POR ITEM'!#REF!, 4, FALSE))</f>
        <v/>
      </c>
      <c r="E357" t="str">
        <f>IF(A357="", "", VLOOKUP(A357, 'ROMANEIO POR ITEM'!#REF!, 5, FALSE))</f>
        <v/>
      </c>
      <c r="F357" t="str">
        <f>IF(A357="", "", VLOOKUP(A357, 'ROMANEIO POR ITEM'!#REF!, 6, FALSE))</f>
        <v/>
      </c>
    </row>
    <row r="358" spans="1:6">
      <c r="A358" t="str">
        <f>IFERROR(_xlfn.SINGLE(INDEX('ROMANEIO POR ITEM'!#REF!, SMALL(IF(_xlfn.SINGLE('ROMANEIO POR ITEM'!#REF!)&lt;&gt;0,_xlfn.SINGLE( ROW('ROMANEIO POR ITEM'!#REF!))-ROW('ROMANEIO POR ITEM'!#REF!)+1), ROW(A357)))), "")</f>
        <v/>
      </c>
      <c r="B358" t="str">
        <f>IF(A358="", "", VLOOKUP(A358, 'ROMANEIO POR ITEM'!#REF!, 2, FALSE))</f>
        <v/>
      </c>
      <c r="C358" t="str">
        <f>IF(A358="", "", VLOOKUP(A358, 'ROMANEIO POR ITEM'!#REF!, 3, FALSE))</f>
        <v/>
      </c>
      <c r="D358" t="str">
        <f>IF(A358="", "", VLOOKUP(A358, 'ROMANEIO POR ITEM'!#REF!, 4, FALSE))</f>
        <v/>
      </c>
      <c r="E358" t="str">
        <f>IF(A358="", "", VLOOKUP(A358, 'ROMANEIO POR ITEM'!#REF!, 5, FALSE))</f>
        <v/>
      </c>
      <c r="F358" t="str">
        <f>IF(A358="", "", VLOOKUP(A358, 'ROMANEIO POR ITEM'!#REF!, 6, FALSE))</f>
        <v/>
      </c>
    </row>
    <row r="359" spans="1:6">
      <c r="A359" t="str">
        <f>IFERROR(_xlfn.SINGLE(INDEX('ROMANEIO POR ITEM'!#REF!, SMALL(IF(_xlfn.SINGLE('ROMANEIO POR ITEM'!#REF!)&lt;&gt;0,_xlfn.SINGLE( ROW('ROMANEIO POR ITEM'!#REF!))-ROW('ROMANEIO POR ITEM'!#REF!)+1), ROW(A358)))), "")</f>
        <v/>
      </c>
      <c r="B359" t="str">
        <f>IF(A359="", "", VLOOKUP(A359, 'ROMANEIO POR ITEM'!#REF!, 2, FALSE))</f>
        <v/>
      </c>
      <c r="C359" t="str">
        <f>IF(A359="", "", VLOOKUP(A359, 'ROMANEIO POR ITEM'!#REF!, 3, FALSE))</f>
        <v/>
      </c>
      <c r="D359" t="str">
        <f>IF(A359="", "", VLOOKUP(A359, 'ROMANEIO POR ITEM'!#REF!, 4, FALSE))</f>
        <v/>
      </c>
      <c r="E359" t="str">
        <f>IF(A359="", "", VLOOKUP(A359, 'ROMANEIO POR ITEM'!#REF!, 5, FALSE))</f>
        <v/>
      </c>
      <c r="F359" t="str">
        <f>IF(A359="", "", VLOOKUP(A359, 'ROMANEIO POR ITEM'!#REF!, 6, FALSE))</f>
        <v/>
      </c>
    </row>
    <row r="360" spans="1:6">
      <c r="A360" t="str">
        <f>IFERROR(_xlfn.SINGLE(INDEX('ROMANEIO POR ITEM'!#REF!, SMALL(IF(_xlfn.SINGLE('ROMANEIO POR ITEM'!#REF!)&lt;&gt;0,_xlfn.SINGLE( ROW('ROMANEIO POR ITEM'!#REF!))-ROW('ROMANEIO POR ITEM'!#REF!)+1), ROW(A359)))), "")</f>
        <v/>
      </c>
      <c r="B360" t="str">
        <f>IF(A360="", "", VLOOKUP(A360, 'ROMANEIO POR ITEM'!#REF!, 2, FALSE))</f>
        <v/>
      </c>
      <c r="C360" t="str">
        <f>IF(A360="", "", VLOOKUP(A360, 'ROMANEIO POR ITEM'!#REF!, 3, FALSE))</f>
        <v/>
      </c>
      <c r="D360" t="str">
        <f>IF(A360="", "", VLOOKUP(A360, 'ROMANEIO POR ITEM'!#REF!, 4, FALSE))</f>
        <v/>
      </c>
      <c r="E360" t="str">
        <f>IF(A360="", "", VLOOKUP(A360, 'ROMANEIO POR ITEM'!#REF!, 5, FALSE))</f>
        <v/>
      </c>
      <c r="F360" t="str">
        <f>IF(A360="", "", VLOOKUP(A360, 'ROMANEIO POR ITEM'!#REF!, 6, FALSE))</f>
        <v/>
      </c>
    </row>
    <row r="361" spans="1:6">
      <c r="A361" t="str">
        <f>IFERROR(_xlfn.SINGLE(INDEX('ROMANEIO POR ITEM'!#REF!, SMALL(IF(_xlfn.SINGLE('ROMANEIO POR ITEM'!#REF!)&lt;&gt;0,_xlfn.SINGLE( ROW('ROMANEIO POR ITEM'!#REF!))-ROW('ROMANEIO POR ITEM'!#REF!)+1), ROW(A360)))), "")</f>
        <v/>
      </c>
      <c r="B361" t="str">
        <f>IF(A361="", "", VLOOKUP(A361, 'ROMANEIO POR ITEM'!#REF!, 2, FALSE))</f>
        <v/>
      </c>
      <c r="C361" t="str">
        <f>IF(A361="", "", VLOOKUP(A361, 'ROMANEIO POR ITEM'!#REF!, 3, FALSE))</f>
        <v/>
      </c>
      <c r="D361" t="str">
        <f>IF(A361="", "", VLOOKUP(A361, 'ROMANEIO POR ITEM'!#REF!, 4, FALSE))</f>
        <v/>
      </c>
      <c r="E361" t="str">
        <f>IF(A361="", "", VLOOKUP(A361, 'ROMANEIO POR ITEM'!#REF!, 5, FALSE))</f>
        <v/>
      </c>
      <c r="F361" t="str">
        <f>IF(A361="", "", VLOOKUP(A361, 'ROMANEIO POR ITEM'!#REF!, 6, FALSE))</f>
        <v/>
      </c>
    </row>
    <row r="362" spans="1:6">
      <c r="A362" t="str">
        <f>IFERROR(_xlfn.SINGLE(INDEX('ROMANEIO POR ITEM'!#REF!, SMALL(IF(_xlfn.SINGLE('ROMANEIO POR ITEM'!#REF!)&lt;&gt;0,_xlfn.SINGLE( ROW('ROMANEIO POR ITEM'!#REF!))-ROW('ROMANEIO POR ITEM'!#REF!)+1), ROW(A361)))), "")</f>
        <v/>
      </c>
      <c r="B362" t="str">
        <f>IF(A362="", "", VLOOKUP(A362, 'ROMANEIO POR ITEM'!#REF!, 2, FALSE))</f>
        <v/>
      </c>
      <c r="C362" t="str">
        <f>IF(A362="", "", VLOOKUP(A362, 'ROMANEIO POR ITEM'!#REF!, 3, FALSE))</f>
        <v/>
      </c>
      <c r="D362" t="str">
        <f>IF(A362="", "", VLOOKUP(A362, 'ROMANEIO POR ITEM'!#REF!, 4, FALSE))</f>
        <v/>
      </c>
      <c r="E362" t="str">
        <f>IF(A362="", "", VLOOKUP(A362, 'ROMANEIO POR ITEM'!#REF!, 5, FALSE))</f>
        <v/>
      </c>
      <c r="F362" t="str">
        <f>IF(A362="", "", VLOOKUP(A362, 'ROMANEIO POR ITEM'!#REF!, 6, FALSE))</f>
        <v/>
      </c>
    </row>
    <row r="363" spans="1:6">
      <c r="A363" t="str">
        <f>IFERROR(_xlfn.SINGLE(INDEX('ROMANEIO POR ITEM'!#REF!, SMALL(IF(_xlfn.SINGLE('ROMANEIO POR ITEM'!#REF!)&lt;&gt;0,_xlfn.SINGLE( ROW('ROMANEIO POR ITEM'!#REF!))-ROW('ROMANEIO POR ITEM'!#REF!)+1), ROW(A362)))), "")</f>
        <v/>
      </c>
      <c r="B363" t="str">
        <f>IF(A363="", "", VLOOKUP(A363, 'ROMANEIO POR ITEM'!#REF!, 2, FALSE))</f>
        <v/>
      </c>
      <c r="C363" t="str">
        <f>IF(A363="", "", VLOOKUP(A363, 'ROMANEIO POR ITEM'!#REF!, 3, FALSE))</f>
        <v/>
      </c>
      <c r="D363" t="str">
        <f>IF(A363="", "", VLOOKUP(A363, 'ROMANEIO POR ITEM'!#REF!, 4, FALSE))</f>
        <v/>
      </c>
      <c r="E363" t="str">
        <f>IF(A363="", "", VLOOKUP(A363, 'ROMANEIO POR ITEM'!#REF!, 5, FALSE))</f>
        <v/>
      </c>
      <c r="F363" t="str">
        <f>IF(A363="", "", VLOOKUP(A363, 'ROMANEIO POR ITEM'!#REF!, 6, FALSE))</f>
        <v/>
      </c>
    </row>
    <row r="364" spans="1:6">
      <c r="A364" t="str">
        <f>IFERROR(_xlfn.SINGLE(INDEX('ROMANEIO POR ITEM'!#REF!, SMALL(IF(_xlfn.SINGLE('ROMANEIO POR ITEM'!#REF!)&lt;&gt;0,_xlfn.SINGLE( ROW('ROMANEIO POR ITEM'!#REF!))-ROW('ROMANEIO POR ITEM'!#REF!)+1), ROW(A363)))), "")</f>
        <v/>
      </c>
      <c r="B364" t="str">
        <f>IF(A364="", "", VLOOKUP(A364, 'ROMANEIO POR ITEM'!#REF!, 2, FALSE))</f>
        <v/>
      </c>
      <c r="C364" t="str">
        <f>IF(A364="", "", VLOOKUP(A364, 'ROMANEIO POR ITEM'!#REF!, 3, FALSE))</f>
        <v/>
      </c>
      <c r="D364" t="str">
        <f>IF(A364="", "", VLOOKUP(A364, 'ROMANEIO POR ITEM'!#REF!, 4, FALSE))</f>
        <v/>
      </c>
      <c r="E364" t="str">
        <f>IF(A364="", "", VLOOKUP(A364, 'ROMANEIO POR ITEM'!#REF!, 5, FALSE))</f>
        <v/>
      </c>
      <c r="F364" t="str">
        <f>IF(A364="", "", VLOOKUP(A364, 'ROMANEIO POR ITEM'!#REF!, 6, FALSE))</f>
        <v/>
      </c>
    </row>
    <row r="365" spans="1:6">
      <c r="A365" t="str">
        <f>IFERROR(_xlfn.SINGLE(INDEX('ROMANEIO POR ITEM'!#REF!, SMALL(IF(_xlfn.SINGLE('ROMANEIO POR ITEM'!#REF!)&lt;&gt;0,_xlfn.SINGLE( ROW('ROMANEIO POR ITEM'!#REF!))-ROW('ROMANEIO POR ITEM'!#REF!)+1), ROW(A364)))), "")</f>
        <v/>
      </c>
      <c r="B365" t="str">
        <f>IF(A365="", "", VLOOKUP(A365, 'ROMANEIO POR ITEM'!#REF!, 2, FALSE))</f>
        <v/>
      </c>
      <c r="C365" t="str">
        <f>IF(A365="", "", VLOOKUP(A365, 'ROMANEIO POR ITEM'!#REF!, 3, FALSE))</f>
        <v/>
      </c>
      <c r="D365" t="str">
        <f>IF(A365="", "", VLOOKUP(A365, 'ROMANEIO POR ITEM'!#REF!, 4, FALSE))</f>
        <v/>
      </c>
      <c r="E365" t="str">
        <f>IF(A365="", "", VLOOKUP(A365, 'ROMANEIO POR ITEM'!#REF!, 5, FALSE))</f>
        <v/>
      </c>
      <c r="F365" t="str">
        <f>IF(A365="", "", VLOOKUP(A365, 'ROMANEIO POR ITEM'!#REF!, 6, FALSE))</f>
        <v/>
      </c>
    </row>
    <row r="366" spans="1:6">
      <c r="A366" t="str">
        <f>IFERROR(_xlfn.SINGLE(INDEX('ROMANEIO POR ITEM'!#REF!, SMALL(IF(_xlfn.SINGLE('ROMANEIO POR ITEM'!#REF!)&lt;&gt;0,_xlfn.SINGLE( ROW('ROMANEIO POR ITEM'!#REF!))-ROW('ROMANEIO POR ITEM'!#REF!)+1), ROW(A365)))), "")</f>
        <v/>
      </c>
      <c r="B366" t="str">
        <f>IF(A366="", "", VLOOKUP(A366, 'ROMANEIO POR ITEM'!#REF!, 2, FALSE))</f>
        <v/>
      </c>
      <c r="C366" t="str">
        <f>IF(A366="", "", VLOOKUP(A366, 'ROMANEIO POR ITEM'!#REF!, 3, FALSE))</f>
        <v/>
      </c>
      <c r="D366" t="str">
        <f>IF(A366="", "", VLOOKUP(A366, 'ROMANEIO POR ITEM'!#REF!, 4, FALSE))</f>
        <v/>
      </c>
      <c r="E366" t="str">
        <f>IF(A366="", "", VLOOKUP(A366, 'ROMANEIO POR ITEM'!#REF!, 5, FALSE))</f>
        <v/>
      </c>
      <c r="F366" t="str">
        <f>IF(A366="", "", VLOOKUP(A366, 'ROMANEIO POR ITEM'!#REF!, 6, FALSE))</f>
        <v/>
      </c>
    </row>
    <row r="367" spans="1:6">
      <c r="A367" t="str">
        <f>IFERROR(_xlfn.SINGLE(INDEX('ROMANEIO POR ITEM'!#REF!, SMALL(IF(_xlfn.SINGLE('ROMANEIO POR ITEM'!#REF!)&lt;&gt;0,_xlfn.SINGLE( ROW('ROMANEIO POR ITEM'!#REF!))-ROW('ROMANEIO POR ITEM'!#REF!)+1), ROW(A366)))), "")</f>
        <v/>
      </c>
      <c r="B367" t="str">
        <f>IF(A367="", "", VLOOKUP(A367, 'ROMANEIO POR ITEM'!#REF!, 2, FALSE))</f>
        <v/>
      </c>
      <c r="C367" t="str">
        <f>IF(A367="", "", VLOOKUP(A367, 'ROMANEIO POR ITEM'!#REF!, 3, FALSE))</f>
        <v/>
      </c>
      <c r="D367" t="str">
        <f>IF(A367="", "", VLOOKUP(A367, 'ROMANEIO POR ITEM'!#REF!, 4, FALSE))</f>
        <v/>
      </c>
      <c r="E367" t="str">
        <f>IF(A367="", "", VLOOKUP(A367, 'ROMANEIO POR ITEM'!#REF!, 5, FALSE))</f>
        <v/>
      </c>
      <c r="F367" t="str">
        <f>IF(A367="", "", VLOOKUP(A367, 'ROMANEIO POR ITEM'!#REF!, 6, FALSE))</f>
        <v/>
      </c>
    </row>
    <row r="368" spans="1:6">
      <c r="A368" t="str">
        <f>IFERROR(_xlfn.SINGLE(INDEX('ROMANEIO POR ITEM'!#REF!, SMALL(IF(_xlfn.SINGLE('ROMANEIO POR ITEM'!#REF!)&lt;&gt;0,_xlfn.SINGLE( ROW('ROMANEIO POR ITEM'!#REF!))-ROW('ROMANEIO POR ITEM'!#REF!)+1), ROW(A367)))), "")</f>
        <v/>
      </c>
      <c r="B368" t="str">
        <f>IF(A368="", "", VLOOKUP(A368, 'ROMANEIO POR ITEM'!#REF!, 2, FALSE))</f>
        <v/>
      </c>
      <c r="C368" t="str">
        <f>IF(A368="", "", VLOOKUP(A368, 'ROMANEIO POR ITEM'!#REF!, 3, FALSE))</f>
        <v/>
      </c>
      <c r="D368" t="str">
        <f>IF(A368="", "", VLOOKUP(A368, 'ROMANEIO POR ITEM'!#REF!, 4, FALSE))</f>
        <v/>
      </c>
      <c r="E368" t="str">
        <f>IF(A368="", "", VLOOKUP(A368, 'ROMANEIO POR ITEM'!#REF!, 5, FALSE))</f>
        <v/>
      </c>
      <c r="F368" t="str">
        <f>IF(A368="", "", VLOOKUP(A368, 'ROMANEIO POR ITEM'!#REF!, 6, FALSE))</f>
        <v/>
      </c>
    </row>
    <row r="369" spans="1:6">
      <c r="A369" t="str">
        <f>IFERROR(_xlfn.SINGLE(INDEX('ROMANEIO POR ITEM'!#REF!, SMALL(IF(_xlfn.SINGLE('ROMANEIO POR ITEM'!#REF!)&lt;&gt;0,_xlfn.SINGLE( ROW('ROMANEIO POR ITEM'!#REF!))-ROW('ROMANEIO POR ITEM'!#REF!)+1), ROW(A368)))), "")</f>
        <v/>
      </c>
      <c r="B369" t="str">
        <f>IF(A369="", "", VLOOKUP(A369, 'ROMANEIO POR ITEM'!#REF!, 2, FALSE))</f>
        <v/>
      </c>
      <c r="C369" t="str">
        <f>IF(A369="", "", VLOOKUP(A369, 'ROMANEIO POR ITEM'!#REF!, 3, FALSE))</f>
        <v/>
      </c>
      <c r="D369" t="str">
        <f>IF(A369="", "", VLOOKUP(A369, 'ROMANEIO POR ITEM'!#REF!, 4, FALSE))</f>
        <v/>
      </c>
      <c r="E369" t="str">
        <f>IF(A369="", "", VLOOKUP(A369, 'ROMANEIO POR ITEM'!#REF!, 5, FALSE))</f>
        <v/>
      </c>
      <c r="F369" t="str">
        <f>IF(A369="", "", VLOOKUP(A369, 'ROMANEIO POR ITEM'!#REF!, 6, FALSE))</f>
        <v/>
      </c>
    </row>
    <row r="370" spans="1:6">
      <c r="A370" t="str">
        <f>IFERROR(_xlfn.SINGLE(INDEX('ROMANEIO POR ITEM'!#REF!, SMALL(IF(_xlfn.SINGLE('ROMANEIO POR ITEM'!#REF!)&lt;&gt;0,_xlfn.SINGLE( ROW('ROMANEIO POR ITEM'!#REF!))-ROW('ROMANEIO POR ITEM'!#REF!)+1), ROW(A369)))), "")</f>
        <v/>
      </c>
      <c r="B370" t="str">
        <f>IF(A370="", "", VLOOKUP(A370, 'ROMANEIO POR ITEM'!#REF!, 2, FALSE))</f>
        <v/>
      </c>
      <c r="C370" t="str">
        <f>IF(A370="", "", VLOOKUP(A370, 'ROMANEIO POR ITEM'!#REF!, 3, FALSE))</f>
        <v/>
      </c>
      <c r="D370" t="str">
        <f>IF(A370="", "", VLOOKUP(A370, 'ROMANEIO POR ITEM'!#REF!, 4, FALSE))</f>
        <v/>
      </c>
      <c r="E370" t="str">
        <f>IF(A370="", "", VLOOKUP(A370, 'ROMANEIO POR ITEM'!#REF!, 5, FALSE))</f>
        <v/>
      </c>
      <c r="F370" t="str">
        <f>IF(A370="", "", VLOOKUP(A370, 'ROMANEIO POR ITEM'!#REF!, 6, FALSE))</f>
        <v/>
      </c>
    </row>
    <row r="371" spans="1:6">
      <c r="A371" t="str">
        <f>IFERROR(_xlfn.SINGLE(INDEX('ROMANEIO POR ITEM'!#REF!, SMALL(IF(_xlfn.SINGLE('ROMANEIO POR ITEM'!#REF!)&lt;&gt;0,_xlfn.SINGLE( ROW('ROMANEIO POR ITEM'!#REF!))-ROW('ROMANEIO POR ITEM'!#REF!)+1), ROW(A370)))), "")</f>
        <v/>
      </c>
      <c r="B371" t="str">
        <f>IF(A371="", "", VLOOKUP(A371, 'ROMANEIO POR ITEM'!#REF!, 2, FALSE))</f>
        <v/>
      </c>
      <c r="C371" t="str">
        <f>IF(A371="", "", VLOOKUP(A371, 'ROMANEIO POR ITEM'!#REF!, 3, FALSE))</f>
        <v/>
      </c>
      <c r="D371" t="str">
        <f>IF(A371="", "", VLOOKUP(A371, 'ROMANEIO POR ITEM'!#REF!, 4, FALSE))</f>
        <v/>
      </c>
      <c r="E371" t="str">
        <f>IF(A371="", "", VLOOKUP(A371, 'ROMANEIO POR ITEM'!#REF!, 5, FALSE))</f>
        <v/>
      </c>
      <c r="F371" t="str">
        <f>IF(A371="", "", VLOOKUP(A371, 'ROMANEIO POR ITEM'!#REF!, 6, FALSE))</f>
        <v/>
      </c>
    </row>
    <row r="372" spans="1:6">
      <c r="A372" t="str">
        <f>IFERROR(_xlfn.SINGLE(INDEX('ROMANEIO POR ITEM'!#REF!, SMALL(IF(_xlfn.SINGLE('ROMANEIO POR ITEM'!#REF!)&lt;&gt;0,_xlfn.SINGLE( ROW('ROMANEIO POR ITEM'!#REF!))-ROW('ROMANEIO POR ITEM'!#REF!)+1), ROW(A371)))), "")</f>
        <v/>
      </c>
      <c r="B372" t="str">
        <f>IF(A372="", "", VLOOKUP(A372, 'ROMANEIO POR ITEM'!#REF!, 2, FALSE))</f>
        <v/>
      </c>
      <c r="C372" t="str">
        <f>IF(A372="", "", VLOOKUP(A372, 'ROMANEIO POR ITEM'!#REF!, 3, FALSE))</f>
        <v/>
      </c>
      <c r="D372" t="str">
        <f>IF(A372="", "", VLOOKUP(A372, 'ROMANEIO POR ITEM'!#REF!, 4, FALSE))</f>
        <v/>
      </c>
      <c r="E372" t="str">
        <f>IF(A372="", "", VLOOKUP(A372, 'ROMANEIO POR ITEM'!#REF!, 5, FALSE))</f>
        <v/>
      </c>
      <c r="F372" t="str">
        <f>IF(A372="", "", VLOOKUP(A372, 'ROMANEIO POR ITEM'!#REF!, 6, FALSE))</f>
        <v/>
      </c>
    </row>
    <row r="373" spans="1:6">
      <c r="A373" t="str">
        <f>IFERROR(_xlfn.SINGLE(INDEX('ROMANEIO POR ITEM'!#REF!, SMALL(IF(_xlfn.SINGLE('ROMANEIO POR ITEM'!#REF!)&lt;&gt;0,_xlfn.SINGLE( ROW('ROMANEIO POR ITEM'!#REF!))-ROW('ROMANEIO POR ITEM'!#REF!)+1), ROW(A372)))), "")</f>
        <v/>
      </c>
      <c r="B373" t="str">
        <f>IF(A373="", "", VLOOKUP(A373, 'ROMANEIO POR ITEM'!#REF!, 2, FALSE))</f>
        <v/>
      </c>
      <c r="C373" t="str">
        <f>IF(A373="", "", VLOOKUP(A373, 'ROMANEIO POR ITEM'!#REF!, 3, FALSE))</f>
        <v/>
      </c>
      <c r="D373" t="str">
        <f>IF(A373="", "", VLOOKUP(A373, 'ROMANEIO POR ITEM'!#REF!, 4, FALSE))</f>
        <v/>
      </c>
      <c r="E373" t="str">
        <f>IF(A373="", "", VLOOKUP(A373, 'ROMANEIO POR ITEM'!#REF!, 5, FALSE))</f>
        <v/>
      </c>
      <c r="F373" t="str">
        <f>IF(A373="", "", VLOOKUP(A373, 'ROMANEIO POR ITEM'!#REF!, 6, FALSE))</f>
        <v/>
      </c>
    </row>
    <row r="374" spans="1:6">
      <c r="A374" t="str">
        <f>IFERROR(_xlfn.SINGLE(INDEX('ROMANEIO POR ITEM'!#REF!, SMALL(IF(_xlfn.SINGLE('ROMANEIO POR ITEM'!#REF!)&lt;&gt;0,_xlfn.SINGLE( ROW('ROMANEIO POR ITEM'!#REF!))-ROW('ROMANEIO POR ITEM'!#REF!)+1), ROW(A373)))), "")</f>
        <v/>
      </c>
      <c r="B374" t="str">
        <f>IF(A374="", "", VLOOKUP(A374, 'ROMANEIO POR ITEM'!#REF!, 2, FALSE))</f>
        <v/>
      </c>
      <c r="C374" t="str">
        <f>IF(A374="", "", VLOOKUP(A374, 'ROMANEIO POR ITEM'!#REF!, 3, FALSE))</f>
        <v/>
      </c>
      <c r="D374" t="str">
        <f>IF(A374="", "", VLOOKUP(A374, 'ROMANEIO POR ITEM'!#REF!, 4, FALSE))</f>
        <v/>
      </c>
      <c r="E374" t="str">
        <f>IF(A374="", "", VLOOKUP(A374, 'ROMANEIO POR ITEM'!#REF!, 5, FALSE))</f>
        <v/>
      </c>
      <c r="F374" t="str">
        <f>IF(A374="", "", VLOOKUP(A374, 'ROMANEIO POR ITEM'!#REF!, 6, FALSE))</f>
        <v/>
      </c>
    </row>
    <row r="375" spans="1:6">
      <c r="A375" t="str">
        <f>IFERROR(_xlfn.SINGLE(INDEX('ROMANEIO POR ITEM'!#REF!, SMALL(IF(_xlfn.SINGLE('ROMANEIO POR ITEM'!#REF!)&lt;&gt;0,_xlfn.SINGLE( ROW('ROMANEIO POR ITEM'!#REF!))-ROW('ROMANEIO POR ITEM'!#REF!)+1), ROW(A374)))), "")</f>
        <v/>
      </c>
      <c r="B375" t="str">
        <f>IF(A375="", "", VLOOKUP(A375, 'ROMANEIO POR ITEM'!#REF!, 2, FALSE))</f>
        <v/>
      </c>
      <c r="C375" t="str">
        <f>IF(A375="", "", VLOOKUP(A375, 'ROMANEIO POR ITEM'!#REF!, 3, FALSE))</f>
        <v/>
      </c>
      <c r="D375" t="str">
        <f>IF(A375="", "", VLOOKUP(A375, 'ROMANEIO POR ITEM'!#REF!, 4, FALSE))</f>
        <v/>
      </c>
      <c r="E375" t="str">
        <f>IF(A375="", "", VLOOKUP(A375, 'ROMANEIO POR ITEM'!#REF!, 5, FALSE))</f>
        <v/>
      </c>
      <c r="F375" t="str">
        <f>IF(A375="", "", VLOOKUP(A375, 'ROMANEIO POR ITEM'!#REF!, 6, FALSE))</f>
        <v/>
      </c>
    </row>
    <row r="376" spans="1:6">
      <c r="A376" t="str">
        <f>IFERROR(_xlfn.SINGLE(INDEX('ROMANEIO POR ITEM'!#REF!, SMALL(IF(_xlfn.SINGLE('ROMANEIO POR ITEM'!#REF!)&lt;&gt;0,_xlfn.SINGLE( ROW('ROMANEIO POR ITEM'!#REF!))-ROW('ROMANEIO POR ITEM'!#REF!)+1), ROW(A375)))), "")</f>
        <v/>
      </c>
      <c r="B376" t="str">
        <f>IF(A376="", "", VLOOKUP(A376, 'ROMANEIO POR ITEM'!#REF!, 2, FALSE))</f>
        <v/>
      </c>
      <c r="C376" t="str">
        <f>IF(A376="", "", VLOOKUP(A376, 'ROMANEIO POR ITEM'!#REF!, 3, FALSE))</f>
        <v/>
      </c>
      <c r="D376" t="str">
        <f>IF(A376="", "", VLOOKUP(A376, 'ROMANEIO POR ITEM'!#REF!, 4, FALSE))</f>
        <v/>
      </c>
      <c r="E376" t="str">
        <f>IF(A376="", "", VLOOKUP(A376, 'ROMANEIO POR ITEM'!#REF!, 5, FALSE))</f>
        <v/>
      </c>
      <c r="F376" t="str">
        <f>IF(A376="", "", VLOOKUP(A376, 'ROMANEIO POR ITEM'!#REF!, 6, FALSE))</f>
        <v/>
      </c>
    </row>
    <row r="377" spans="1:6">
      <c r="A377" t="str">
        <f>IFERROR(_xlfn.SINGLE(INDEX('ROMANEIO POR ITEM'!#REF!, SMALL(IF(_xlfn.SINGLE('ROMANEIO POR ITEM'!#REF!)&lt;&gt;0,_xlfn.SINGLE( ROW('ROMANEIO POR ITEM'!#REF!))-ROW('ROMANEIO POR ITEM'!#REF!)+1), ROW(A376)))), "")</f>
        <v/>
      </c>
      <c r="B377" t="str">
        <f>IF(A377="", "", VLOOKUP(A377, 'ROMANEIO POR ITEM'!#REF!, 2, FALSE))</f>
        <v/>
      </c>
      <c r="C377" t="str">
        <f>IF(A377="", "", VLOOKUP(A377, 'ROMANEIO POR ITEM'!#REF!, 3, FALSE))</f>
        <v/>
      </c>
      <c r="D377" t="str">
        <f>IF(A377="", "", VLOOKUP(A377, 'ROMANEIO POR ITEM'!#REF!, 4, FALSE))</f>
        <v/>
      </c>
      <c r="E377" t="str">
        <f>IF(A377="", "", VLOOKUP(A377, 'ROMANEIO POR ITEM'!#REF!, 5, FALSE))</f>
        <v/>
      </c>
      <c r="F377" t="str">
        <f>IF(A377="", "", VLOOKUP(A377, 'ROMANEIO POR ITEM'!#REF!, 6, FALSE))</f>
        <v/>
      </c>
    </row>
    <row r="378" spans="1:6">
      <c r="A378" t="str">
        <f>IFERROR(_xlfn.SINGLE(INDEX('ROMANEIO POR ITEM'!#REF!, SMALL(IF(_xlfn.SINGLE('ROMANEIO POR ITEM'!#REF!)&lt;&gt;0,_xlfn.SINGLE( ROW('ROMANEIO POR ITEM'!#REF!))-ROW('ROMANEIO POR ITEM'!#REF!)+1), ROW(A377)))), "")</f>
        <v/>
      </c>
      <c r="B378" t="str">
        <f>IF(A378="", "", VLOOKUP(A378, 'ROMANEIO POR ITEM'!#REF!, 2, FALSE))</f>
        <v/>
      </c>
      <c r="C378" t="str">
        <f>IF(A378="", "", VLOOKUP(A378, 'ROMANEIO POR ITEM'!#REF!, 3, FALSE))</f>
        <v/>
      </c>
      <c r="D378" t="str">
        <f>IF(A378="", "", VLOOKUP(A378, 'ROMANEIO POR ITEM'!#REF!, 4, FALSE))</f>
        <v/>
      </c>
      <c r="E378" t="str">
        <f>IF(A378="", "", VLOOKUP(A378, 'ROMANEIO POR ITEM'!#REF!, 5, FALSE))</f>
        <v/>
      </c>
      <c r="F378" t="str">
        <f>IF(A378="", "", VLOOKUP(A378, 'ROMANEIO POR ITEM'!#REF!, 6, FALSE))</f>
        <v/>
      </c>
    </row>
    <row r="379" spans="1:6">
      <c r="A379" t="str">
        <f>IFERROR(_xlfn.SINGLE(INDEX('ROMANEIO POR ITEM'!#REF!, SMALL(IF(_xlfn.SINGLE('ROMANEIO POR ITEM'!#REF!)&lt;&gt;0,_xlfn.SINGLE( ROW('ROMANEIO POR ITEM'!#REF!))-ROW('ROMANEIO POR ITEM'!#REF!)+1), ROW(A378)))), "")</f>
        <v/>
      </c>
      <c r="B379" t="str">
        <f>IF(A379="", "", VLOOKUP(A379, 'ROMANEIO POR ITEM'!#REF!, 2, FALSE))</f>
        <v/>
      </c>
      <c r="C379" t="str">
        <f>IF(A379="", "", VLOOKUP(A379, 'ROMANEIO POR ITEM'!#REF!, 3, FALSE))</f>
        <v/>
      </c>
      <c r="D379" t="str">
        <f>IF(A379="", "", VLOOKUP(A379, 'ROMANEIO POR ITEM'!#REF!, 4, FALSE))</f>
        <v/>
      </c>
      <c r="E379" t="str">
        <f>IF(A379="", "", VLOOKUP(A379, 'ROMANEIO POR ITEM'!#REF!, 5, FALSE))</f>
        <v/>
      </c>
      <c r="F379" t="str">
        <f>IF(A379="", "", VLOOKUP(A379, 'ROMANEIO POR ITEM'!#REF!, 6, FALSE))</f>
        <v/>
      </c>
    </row>
    <row r="380" spans="1:6">
      <c r="A380" t="str">
        <f>IFERROR(_xlfn.SINGLE(INDEX('ROMANEIO POR ITEM'!#REF!, SMALL(IF(_xlfn.SINGLE('ROMANEIO POR ITEM'!#REF!)&lt;&gt;0,_xlfn.SINGLE( ROW('ROMANEIO POR ITEM'!#REF!))-ROW('ROMANEIO POR ITEM'!#REF!)+1), ROW(A379)))), "")</f>
        <v/>
      </c>
      <c r="B380" t="str">
        <f>IF(A380="", "", VLOOKUP(A380, 'ROMANEIO POR ITEM'!#REF!, 2, FALSE))</f>
        <v/>
      </c>
      <c r="C380" t="str">
        <f>IF(A380="", "", VLOOKUP(A380, 'ROMANEIO POR ITEM'!#REF!, 3, FALSE))</f>
        <v/>
      </c>
      <c r="D380" t="str">
        <f>IF(A380="", "", VLOOKUP(A380, 'ROMANEIO POR ITEM'!#REF!, 4, FALSE))</f>
        <v/>
      </c>
      <c r="E380" t="str">
        <f>IF(A380="", "", VLOOKUP(A380, 'ROMANEIO POR ITEM'!#REF!, 5, FALSE))</f>
        <v/>
      </c>
      <c r="F380" t="str">
        <f>IF(A380="", "", VLOOKUP(A380, 'ROMANEIO POR ITEM'!#REF!, 6, FALSE))</f>
        <v/>
      </c>
    </row>
    <row r="381" spans="1:6">
      <c r="A381" t="str">
        <f>IFERROR(_xlfn.SINGLE(INDEX('ROMANEIO POR ITEM'!#REF!, SMALL(IF(_xlfn.SINGLE('ROMANEIO POR ITEM'!#REF!)&lt;&gt;0,_xlfn.SINGLE( ROW('ROMANEIO POR ITEM'!#REF!))-ROW('ROMANEIO POR ITEM'!#REF!)+1), ROW(A380)))), "")</f>
        <v/>
      </c>
      <c r="B381" t="str">
        <f>IF(A381="", "", VLOOKUP(A381, 'ROMANEIO POR ITEM'!#REF!, 2, FALSE))</f>
        <v/>
      </c>
      <c r="C381" t="str">
        <f>IF(A381="", "", VLOOKUP(A381, 'ROMANEIO POR ITEM'!#REF!, 3, FALSE))</f>
        <v/>
      </c>
      <c r="D381" t="str">
        <f>IF(A381="", "", VLOOKUP(A381, 'ROMANEIO POR ITEM'!#REF!, 4, FALSE))</f>
        <v/>
      </c>
      <c r="E381" t="str">
        <f>IF(A381="", "", VLOOKUP(A381, 'ROMANEIO POR ITEM'!#REF!, 5, FALSE))</f>
        <v/>
      </c>
      <c r="F381" t="str">
        <f>IF(A381="", "", VLOOKUP(A381, 'ROMANEIO POR ITEM'!#REF!, 6, FALSE))</f>
        <v/>
      </c>
    </row>
    <row r="382" spans="1:6">
      <c r="A382" t="str">
        <f>IFERROR(_xlfn.SINGLE(INDEX('ROMANEIO POR ITEM'!#REF!, SMALL(IF(_xlfn.SINGLE('ROMANEIO POR ITEM'!#REF!)&lt;&gt;0,_xlfn.SINGLE( ROW('ROMANEIO POR ITEM'!#REF!))-ROW('ROMANEIO POR ITEM'!#REF!)+1), ROW(A381)))), "")</f>
        <v/>
      </c>
      <c r="B382" t="str">
        <f>IF(A382="", "", VLOOKUP(A382, 'ROMANEIO POR ITEM'!#REF!, 2, FALSE))</f>
        <v/>
      </c>
      <c r="C382" t="str">
        <f>IF(A382="", "", VLOOKUP(A382, 'ROMANEIO POR ITEM'!#REF!, 3, FALSE))</f>
        <v/>
      </c>
      <c r="D382" t="str">
        <f>IF(A382="", "", VLOOKUP(A382, 'ROMANEIO POR ITEM'!#REF!, 4, FALSE))</f>
        <v/>
      </c>
      <c r="E382" t="str">
        <f>IF(A382="", "", VLOOKUP(A382, 'ROMANEIO POR ITEM'!#REF!, 5, FALSE))</f>
        <v/>
      </c>
      <c r="F382" t="str">
        <f>IF(A382="", "", VLOOKUP(A382, 'ROMANEIO POR ITEM'!#REF!, 6, FALSE))</f>
        <v/>
      </c>
    </row>
    <row r="383" spans="1:6">
      <c r="A383" t="str">
        <f>IFERROR(_xlfn.SINGLE(INDEX('ROMANEIO POR ITEM'!#REF!, SMALL(IF(_xlfn.SINGLE('ROMANEIO POR ITEM'!#REF!)&lt;&gt;0,_xlfn.SINGLE( ROW('ROMANEIO POR ITEM'!#REF!))-ROW('ROMANEIO POR ITEM'!#REF!)+1), ROW(A382)))), "")</f>
        <v/>
      </c>
      <c r="B383" t="str">
        <f>IF(A383="", "", VLOOKUP(A383, 'ROMANEIO POR ITEM'!#REF!, 2, FALSE))</f>
        <v/>
      </c>
      <c r="C383" t="str">
        <f>IF(A383="", "", VLOOKUP(A383, 'ROMANEIO POR ITEM'!#REF!, 3, FALSE))</f>
        <v/>
      </c>
      <c r="D383" t="str">
        <f>IF(A383="", "", VLOOKUP(A383, 'ROMANEIO POR ITEM'!#REF!, 4, FALSE))</f>
        <v/>
      </c>
      <c r="E383" t="str">
        <f>IF(A383="", "", VLOOKUP(A383, 'ROMANEIO POR ITEM'!#REF!, 5, FALSE))</f>
        <v/>
      </c>
      <c r="F383" t="str">
        <f>IF(A383="", "", VLOOKUP(A383, 'ROMANEIO POR ITEM'!#REF!, 6, FALSE))</f>
        <v/>
      </c>
    </row>
    <row r="384" spans="1:6">
      <c r="A384" t="str">
        <f>IFERROR(_xlfn.SINGLE(INDEX('ROMANEIO POR ITEM'!#REF!, SMALL(IF(_xlfn.SINGLE('ROMANEIO POR ITEM'!#REF!)&lt;&gt;0,_xlfn.SINGLE( ROW('ROMANEIO POR ITEM'!#REF!))-ROW('ROMANEIO POR ITEM'!#REF!)+1), ROW(A383)))), "")</f>
        <v/>
      </c>
      <c r="B384" t="str">
        <f>IF(A384="", "", VLOOKUP(A384, 'ROMANEIO POR ITEM'!#REF!, 2, FALSE))</f>
        <v/>
      </c>
      <c r="C384" t="str">
        <f>IF(A384="", "", VLOOKUP(A384, 'ROMANEIO POR ITEM'!#REF!, 3, FALSE))</f>
        <v/>
      </c>
      <c r="D384" t="str">
        <f>IF(A384="", "", VLOOKUP(A384, 'ROMANEIO POR ITEM'!#REF!, 4, FALSE))</f>
        <v/>
      </c>
      <c r="E384" t="str">
        <f>IF(A384="", "", VLOOKUP(A384, 'ROMANEIO POR ITEM'!#REF!, 5, FALSE))</f>
        <v/>
      </c>
      <c r="F384" t="str">
        <f>IF(A384="", "", VLOOKUP(A384, 'ROMANEIO POR ITEM'!#REF!, 6, FALSE))</f>
        <v/>
      </c>
    </row>
    <row r="385" spans="1:6">
      <c r="A385" t="str">
        <f>IFERROR(_xlfn.SINGLE(INDEX('ROMANEIO POR ITEM'!#REF!, SMALL(IF(_xlfn.SINGLE('ROMANEIO POR ITEM'!#REF!)&lt;&gt;0,_xlfn.SINGLE( ROW('ROMANEIO POR ITEM'!#REF!))-ROW('ROMANEIO POR ITEM'!#REF!)+1), ROW(A384)))), "")</f>
        <v/>
      </c>
      <c r="B385" t="str">
        <f>IF(A385="", "", VLOOKUP(A385, 'ROMANEIO POR ITEM'!#REF!, 2, FALSE))</f>
        <v/>
      </c>
      <c r="C385" t="str">
        <f>IF(A385="", "", VLOOKUP(A385, 'ROMANEIO POR ITEM'!#REF!, 3, FALSE))</f>
        <v/>
      </c>
      <c r="D385" t="str">
        <f>IF(A385="", "", VLOOKUP(A385, 'ROMANEIO POR ITEM'!#REF!, 4, FALSE))</f>
        <v/>
      </c>
      <c r="E385" t="str">
        <f>IF(A385="", "", VLOOKUP(A385, 'ROMANEIO POR ITEM'!#REF!, 5, FALSE))</f>
        <v/>
      </c>
      <c r="F385" t="str">
        <f>IF(A385="", "", VLOOKUP(A385, 'ROMANEIO POR ITEM'!#REF!, 6, FALSE))</f>
        <v/>
      </c>
    </row>
    <row r="386" spans="1:6">
      <c r="A386" t="str">
        <f>IFERROR(_xlfn.SINGLE(INDEX('ROMANEIO POR ITEM'!#REF!, SMALL(IF(_xlfn.SINGLE('ROMANEIO POR ITEM'!#REF!)&lt;&gt;0,_xlfn.SINGLE( ROW('ROMANEIO POR ITEM'!#REF!))-ROW('ROMANEIO POR ITEM'!#REF!)+1), ROW(A385)))), "")</f>
        <v/>
      </c>
      <c r="B386" t="str">
        <f>IF(A386="", "", VLOOKUP(A386, 'ROMANEIO POR ITEM'!#REF!, 2, FALSE))</f>
        <v/>
      </c>
      <c r="C386" t="str">
        <f>IF(A386="", "", VLOOKUP(A386, 'ROMANEIO POR ITEM'!#REF!, 3, FALSE))</f>
        <v/>
      </c>
      <c r="D386" t="str">
        <f>IF(A386="", "", VLOOKUP(A386, 'ROMANEIO POR ITEM'!#REF!, 4, FALSE))</f>
        <v/>
      </c>
      <c r="E386" t="str">
        <f>IF(A386="", "", VLOOKUP(A386, 'ROMANEIO POR ITEM'!#REF!, 5, FALSE))</f>
        <v/>
      </c>
      <c r="F386" t="str">
        <f>IF(A386="", "", VLOOKUP(A386, 'ROMANEIO POR ITEM'!#REF!, 6, FALSE))</f>
        <v/>
      </c>
    </row>
    <row r="387" spans="1:6">
      <c r="A387" t="str">
        <f>IFERROR(_xlfn.SINGLE(INDEX('ROMANEIO POR ITEM'!#REF!, SMALL(IF(_xlfn.SINGLE('ROMANEIO POR ITEM'!#REF!)&lt;&gt;0,_xlfn.SINGLE( ROW('ROMANEIO POR ITEM'!#REF!))-ROW('ROMANEIO POR ITEM'!#REF!)+1), ROW(A386)))), "")</f>
        <v/>
      </c>
      <c r="B387" t="str">
        <f>IF(A387="", "", VLOOKUP(A387, 'ROMANEIO POR ITEM'!#REF!, 2, FALSE))</f>
        <v/>
      </c>
      <c r="C387" t="str">
        <f>IF(A387="", "", VLOOKUP(A387, 'ROMANEIO POR ITEM'!#REF!, 3, FALSE))</f>
        <v/>
      </c>
      <c r="D387" t="str">
        <f>IF(A387="", "", VLOOKUP(A387, 'ROMANEIO POR ITEM'!#REF!, 4, FALSE))</f>
        <v/>
      </c>
      <c r="E387" t="str">
        <f>IF(A387="", "", VLOOKUP(A387, 'ROMANEIO POR ITEM'!#REF!, 5, FALSE))</f>
        <v/>
      </c>
      <c r="F387" t="str">
        <f>IF(A387="", "", VLOOKUP(A387, 'ROMANEIO POR ITEM'!#REF!, 6, FALSE))</f>
        <v/>
      </c>
    </row>
    <row r="388" spans="1:6">
      <c r="A388" t="str">
        <f>IFERROR(_xlfn.SINGLE(INDEX('ROMANEIO POR ITEM'!#REF!, SMALL(IF(_xlfn.SINGLE('ROMANEIO POR ITEM'!#REF!)&lt;&gt;0,_xlfn.SINGLE( ROW('ROMANEIO POR ITEM'!#REF!))-ROW('ROMANEIO POR ITEM'!#REF!)+1), ROW(A387)))), "")</f>
        <v/>
      </c>
      <c r="B388" t="str">
        <f>IF(A388="", "", VLOOKUP(A388, 'ROMANEIO POR ITEM'!#REF!, 2, FALSE))</f>
        <v/>
      </c>
      <c r="C388" t="str">
        <f>IF(A388="", "", VLOOKUP(A388, 'ROMANEIO POR ITEM'!#REF!, 3, FALSE))</f>
        <v/>
      </c>
      <c r="D388" t="str">
        <f>IF(A388="", "", VLOOKUP(A388, 'ROMANEIO POR ITEM'!#REF!, 4, FALSE))</f>
        <v/>
      </c>
      <c r="E388" t="str">
        <f>IF(A388="", "", VLOOKUP(A388, 'ROMANEIO POR ITEM'!#REF!, 5, FALSE))</f>
        <v/>
      </c>
      <c r="F388" t="str">
        <f>IF(A388="", "", VLOOKUP(A388, 'ROMANEIO POR ITEM'!#REF!, 6, FALSE))</f>
        <v/>
      </c>
    </row>
    <row r="389" spans="1:6">
      <c r="A389" t="str">
        <f>IFERROR(_xlfn.SINGLE(INDEX('ROMANEIO POR ITEM'!#REF!, SMALL(IF(_xlfn.SINGLE('ROMANEIO POR ITEM'!#REF!)&lt;&gt;0,_xlfn.SINGLE( ROW('ROMANEIO POR ITEM'!#REF!))-ROW('ROMANEIO POR ITEM'!#REF!)+1), ROW(A388)))), "")</f>
        <v/>
      </c>
      <c r="B389" t="str">
        <f>IF(A389="", "", VLOOKUP(A389, 'ROMANEIO POR ITEM'!#REF!, 2, FALSE))</f>
        <v/>
      </c>
      <c r="C389" t="str">
        <f>IF(A389="", "", VLOOKUP(A389, 'ROMANEIO POR ITEM'!#REF!, 3, FALSE))</f>
        <v/>
      </c>
      <c r="D389" t="str">
        <f>IF(A389="", "", VLOOKUP(A389, 'ROMANEIO POR ITEM'!#REF!, 4, FALSE))</f>
        <v/>
      </c>
      <c r="E389" t="str">
        <f>IF(A389="", "", VLOOKUP(A389, 'ROMANEIO POR ITEM'!#REF!, 5, FALSE))</f>
        <v/>
      </c>
      <c r="F389" t="str">
        <f>IF(A389="", "", VLOOKUP(A389, 'ROMANEIO POR ITEM'!#REF!, 6, FALSE))</f>
        <v/>
      </c>
    </row>
    <row r="390" spans="1:6">
      <c r="A390" t="str">
        <f>IFERROR(_xlfn.SINGLE(INDEX('ROMANEIO POR ITEM'!#REF!, SMALL(IF(_xlfn.SINGLE('ROMANEIO POR ITEM'!#REF!)&lt;&gt;0,_xlfn.SINGLE( ROW('ROMANEIO POR ITEM'!#REF!))-ROW('ROMANEIO POR ITEM'!#REF!)+1), ROW(A389)))), "")</f>
        <v/>
      </c>
      <c r="B390" t="str">
        <f>IF(A390="", "", VLOOKUP(A390, 'ROMANEIO POR ITEM'!#REF!, 2, FALSE))</f>
        <v/>
      </c>
      <c r="C390" t="str">
        <f>IF(A390="", "", VLOOKUP(A390, 'ROMANEIO POR ITEM'!#REF!, 3, FALSE))</f>
        <v/>
      </c>
      <c r="D390" t="str">
        <f>IF(A390="", "", VLOOKUP(A390, 'ROMANEIO POR ITEM'!#REF!, 4, FALSE))</f>
        <v/>
      </c>
      <c r="E390" t="str">
        <f>IF(A390="", "", VLOOKUP(A390, 'ROMANEIO POR ITEM'!#REF!, 5, FALSE))</f>
        <v/>
      </c>
      <c r="F390" t="str">
        <f>IF(A390="", "", VLOOKUP(A390, 'ROMANEIO POR ITEM'!#REF!, 6, FALSE))</f>
        <v/>
      </c>
    </row>
    <row r="391" spans="1:6">
      <c r="A391" t="str">
        <f>IFERROR(_xlfn.SINGLE(INDEX('ROMANEIO POR ITEM'!#REF!, SMALL(IF(_xlfn.SINGLE('ROMANEIO POR ITEM'!#REF!)&lt;&gt;0,_xlfn.SINGLE( ROW('ROMANEIO POR ITEM'!#REF!))-ROW('ROMANEIO POR ITEM'!#REF!)+1), ROW(A390)))), "")</f>
        <v/>
      </c>
      <c r="B391" t="str">
        <f>IF(A391="", "", VLOOKUP(A391, 'ROMANEIO POR ITEM'!#REF!, 2, FALSE))</f>
        <v/>
      </c>
      <c r="C391" t="str">
        <f>IF(A391="", "", VLOOKUP(A391, 'ROMANEIO POR ITEM'!#REF!, 3, FALSE))</f>
        <v/>
      </c>
      <c r="D391" t="str">
        <f>IF(A391="", "", VLOOKUP(A391, 'ROMANEIO POR ITEM'!#REF!, 4, FALSE))</f>
        <v/>
      </c>
      <c r="E391" t="str">
        <f>IF(A391="", "", VLOOKUP(A391, 'ROMANEIO POR ITEM'!#REF!, 5, FALSE))</f>
        <v/>
      </c>
      <c r="F391" t="str">
        <f>IF(A391="", "", VLOOKUP(A391, 'ROMANEIO POR ITEM'!#REF!, 6, FALSE))</f>
        <v/>
      </c>
    </row>
    <row r="392" spans="1:6">
      <c r="A392" t="str">
        <f>IFERROR(_xlfn.SINGLE(INDEX('ROMANEIO POR ITEM'!#REF!, SMALL(IF(_xlfn.SINGLE('ROMANEIO POR ITEM'!#REF!)&lt;&gt;0,_xlfn.SINGLE( ROW('ROMANEIO POR ITEM'!#REF!))-ROW('ROMANEIO POR ITEM'!#REF!)+1), ROW(A391)))), "")</f>
        <v/>
      </c>
      <c r="B392" t="str">
        <f>IF(A392="", "", VLOOKUP(A392, 'ROMANEIO POR ITEM'!#REF!, 2, FALSE))</f>
        <v/>
      </c>
      <c r="C392" t="str">
        <f>IF(A392="", "", VLOOKUP(A392, 'ROMANEIO POR ITEM'!#REF!, 3, FALSE))</f>
        <v/>
      </c>
      <c r="D392" t="str">
        <f>IF(A392="", "", VLOOKUP(A392, 'ROMANEIO POR ITEM'!#REF!, 4, FALSE))</f>
        <v/>
      </c>
      <c r="E392" t="str">
        <f>IF(A392="", "", VLOOKUP(A392, 'ROMANEIO POR ITEM'!#REF!, 5, FALSE))</f>
        <v/>
      </c>
      <c r="F392" t="str">
        <f>IF(A392="", "", VLOOKUP(A392, 'ROMANEIO POR ITEM'!#REF!, 6, FALSE))</f>
        <v/>
      </c>
    </row>
    <row r="393" spans="1:6">
      <c r="A393" t="str">
        <f>IFERROR(_xlfn.SINGLE(INDEX('ROMANEIO POR ITEM'!#REF!, SMALL(IF(_xlfn.SINGLE('ROMANEIO POR ITEM'!#REF!)&lt;&gt;0,_xlfn.SINGLE( ROW('ROMANEIO POR ITEM'!#REF!))-ROW('ROMANEIO POR ITEM'!#REF!)+1), ROW(A392)))), "")</f>
        <v/>
      </c>
      <c r="B393" t="str">
        <f>IF(A393="", "", VLOOKUP(A393, 'ROMANEIO POR ITEM'!#REF!, 2, FALSE))</f>
        <v/>
      </c>
      <c r="C393" t="str">
        <f>IF(A393="", "", VLOOKUP(A393, 'ROMANEIO POR ITEM'!#REF!, 3, FALSE))</f>
        <v/>
      </c>
      <c r="D393" t="str">
        <f>IF(A393="", "", VLOOKUP(A393, 'ROMANEIO POR ITEM'!#REF!, 4, FALSE))</f>
        <v/>
      </c>
      <c r="E393" t="str">
        <f>IF(A393="", "", VLOOKUP(A393, 'ROMANEIO POR ITEM'!#REF!, 5, FALSE))</f>
        <v/>
      </c>
      <c r="F393" t="str">
        <f>IF(A393="", "", VLOOKUP(A393, 'ROMANEIO POR ITEM'!#REF!, 6, FALSE))</f>
        <v/>
      </c>
    </row>
    <row r="394" spans="1:6">
      <c r="A394" t="str">
        <f>IFERROR(_xlfn.SINGLE(INDEX('ROMANEIO POR ITEM'!#REF!, SMALL(IF(_xlfn.SINGLE('ROMANEIO POR ITEM'!#REF!)&lt;&gt;0,_xlfn.SINGLE( ROW('ROMANEIO POR ITEM'!#REF!))-ROW('ROMANEIO POR ITEM'!#REF!)+1), ROW(A393)))), "")</f>
        <v/>
      </c>
      <c r="B394" t="str">
        <f>IF(A394="", "", VLOOKUP(A394, 'ROMANEIO POR ITEM'!#REF!, 2, FALSE))</f>
        <v/>
      </c>
      <c r="C394" t="str">
        <f>IF(A394="", "", VLOOKUP(A394, 'ROMANEIO POR ITEM'!#REF!, 3, FALSE))</f>
        <v/>
      </c>
      <c r="D394" t="str">
        <f>IF(A394="", "", VLOOKUP(A394, 'ROMANEIO POR ITEM'!#REF!, 4, FALSE))</f>
        <v/>
      </c>
      <c r="E394" t="str">
        <f>IF(A394="", "", VLOOKUP(A394, 'ROMANEIO POR ITEM'!#REF!, 5, FALSE))</f>
        <v/>
      </c>
      <c r="F394" t="str">
        <f>IF(A394="", "", VLOOKUP(A394, 'ROMANEIO POR ITEM'!#REF!, 6, FALSE))</f>
        <v/>
      </c>
    </row>
    <row r="395" spans="1:6">
      <c r="A395" t="str">
        <f>IFERROR(_xlfn.SINGLE(INDEX('ROMANEIO POR ITEM'!#REF!, SMALL(IF(_xlfn.SINGLE('ROMANEIO POR ITEM'!#REF!)&lt;&gt;0,_xlfn.SINGLE( ROW('ROMANEIO POR ITEM'!#REF!))-ROW('ROMANEIO POR ITEM'!#REF!)+1), ROW(A394)))), "")</f>
        <v/>
      </c>
      <c r="B395" t="str">
        <f>IF(A395="", "", VLOOKUP(A395, 'ROMANEIO POR ITEM'!#REF!, 2, FALSE))</f>
        <v/>
      </c>
      <c r="C395" t="str">
        <f>IF(A395="", "", VLOOKUP(A395, 'ROMANEIO POR ITEM'!#REF!, 3, FALSE))</f>
        <v/>
      </c>
      <c r="D395" t="str">
        <f>IF(A395="", "", VLOOKUP(A395, 'ROMANEIO POR ITEM'!#REF!, 4, FALSE))</f>
        <v/>
      </c>
      <c r="E395" t="str">
        <f>IF(A395="", "", VLOOKUP(A395, 'ROMANEIO POR ITEM'!#REF!, 5, FALSE))</f>
        <v/>
      </c>
      <c r="F395" t="str">
        <f>IF(A395="", "", VLOOKUP(A395, 'ROMANEIO POR ITEM'!#REF!, 6, FALSE))</f>
        <v/>
      </c>
    </row>
    <row r="396" spans="1:6">
      <c r="A396" t="str">
        <f>IFERROR(_xlfn.SINGLE(INDEX('ROMANEIO POR ITEM'!#REF!, SMALL(IF(_xlfn.SINGLE('ROMANEIO POR ITEM'!#REF!)&lt;&gt;0,_xlfn.SINGLE( ROW('ROMANEIO POR ITEM'!#REF!))-ROW('ROMANEIO POR ITEM'!#REF!)+1), ROW(A395)))), "")</f>
        <v/>
      </c>
      <c r="B396" t="str">
        <f>IF(A396="", "", VLOOKUP(A396, 'ROMANEIO POR ITEM'!#REF!, 2, FALSE))</f>
        <v/>
      </c>
      <c r="C396" t="str">
        <f>IF(A396="", "", VLOOKUP(A396, 'ROMANEIO POR ITEM'!#REF!, 3, FALSE))</f>
        <v/>
      </c>
      <c r="D396" t="str">
        <f>IF(A396="", "", VLOOKUP(A396, 'ROMANEIO POR ITEM'!#REF!, 4, FALSE))</f>
        <v/>
      </c>
      <c r="E396" t="str">
        <f>IF(A396="", "", VLOOKUP(A396, 'ROMANEIO POR ITEM'!#REF!, 5, FALSE))</f>
        <v/>
      </c>
      <c r="F396" t="str">
        <f>IF(A396="", "", VLOOKUP(A396, 'ROMANEIO POR ITEM'!#REF!, 6, FALSE))</f>
        <v/>
      </c>
    </row>
    <row r="397" spans="1:6">
      <c r="A397" t="str">
        <f>IFERROR(_xlfn.SINGLE(INDEX('ROMANEIO POR ITEM'!#REF!, SMALL(IF(_xlfn.SINGLE('ROMANEIO POR ITEM'!#REF!)&lt;&gt;0,_xlfn.SINGLE( ROW('ROMANEIO POR ITEM'!#REF!))-ROW('ROMANEIO POR ITEM'!#REF!)+1), ROW(A396)))), "")</f>
        <v/>
      </c>
      <c r="B397" t="str">
        <f>IF(A397="", "", VLOOKUP(A397, 'ROMANEIO POR ITEM'!#REF!, 2, FALSE))</f>
        <v/>
      </c>
      <c r="C397" t="str">
        <f>IF(A397="", "", VLOOKUP(A397, 'ROMANEIO POR ITEM'!#REF!, 3, FALSE))</f>
        <v/>
      </c>
      <c r="D397" t="str">
        <f>IF(A397="", "", VLOOKUP(A397, 'ROMANEIO POR ITEM'!#REF!, 4, FALSE))</f>
        <v/>
      </c>
      <c r="E397" t="str">
        <f>IF(A397="", "", VLOOKUP(A397, 'ROMANEIO POR ITEM'!#REF!, 5, FALSE))</f>
        <v/>
      </c>
      <c r="F397" t="str">
        <f>IF(A397="", "", VLOOKUP(A397, 'ROMANEIO POR ITEM'!#REF!, 6, FALSE))</f>
        <v/>
      </c>
    </row>
    <row r="398" spans="1:6">
      <c r="A398" t="str">
        <f>IFERROR(_xlfn.SINGLE(INDEX('ROMANEIO POR ITEM'!#REF!, SMALL(IF(_xlfn.SINGLE('ROMANEIO POR ITEM'!#REF!)&lt;&gt;0,_xlfn.SINGLE( ROW('ROMANEIO POR ITEM'!#REF!))-ROW('ROMANEIO POR ITEM'!#REF!)+1), ROW(A397)))), "")</f>
        <v/>
      </c>
      <c r="B398" t="str">
        <f>IF(A398="", "", VLOOKUP(A398, 'ROMANEIO POR ITEM'!#REF!, 2, FALSE))</f>
        <v/>
      </c>
      <c r="C398" t="str">
        <f>IF(A398="", "", VLOOKUP(A398, 'ROMANEIO POR ITEM'!#REF!, 3, FALSE))</f>
        <v/>
      </c>
      <c r="D398" t="str">
        <f>IF(A398="", "", VLOOKUP(A398, 'ROMANEIO POR ITEM'!#REF!, 4, FALSE))</f>
        <v/>
      </c>
      <c r="E398" t="str">
        <f>IF(A398="", "", VLOOKUP(A398, 'ROMANEIO POR ITEM'!#REF!, 5, FALSE))</f>
        <v/>
      </c>
      <c r="F398" t="str">
        <f>IF(A398="", "", VLOOKUP(A398, 'ROMANEIO POR ITEM'!#REF!, 6, FALSE))</f>
        <v/>
      </c>
    </row>
    <row r="399" spans="1:6">
      <c r="A399" t="str">
        <f>IFERROR(_xlfn.SINGLE(INDEX('ROMANEIO POR ITEM'!#REF!, SMALL(IF(_xlfn.SINGLE('ROMANEIO POR ITEM'!#REF!)&lt;&gt;0,_xlfn.SINGLE( ROW('ROMANEIO POR ITEM'!#REF!))-ROW('ROMANEIO POR ITEM'!#REF!)+1), ROW(A398)))), "")</f>
        <v/>
      </c>
      <c r="B399" t="str">
        <f>IF(A399="", "", VLOOKUP(A399, 'ROMANEIO POR ITEM'!#REF!, 2, FALSE))</f>
        <v/>
      </c>
      <c r="C399" t="str">
        <f>IF(A399="", "", VLOOKUP(A399, 'ROMANEIO POR ITEM'!#REF!, 3, FALSE))</f>
        <v/>
      </c>
      <c r="D399" t="str">
        <f>IF(A399="", "", VLOOKUP(A399, 'ROMANEIO POR ITEM'!#REF!, 4, FALSE))</f>
        <v/>
      </c>
      <c r="E399" t="str">
        <f>IF(A399="", "", VLOOKUP(A399, 'ROMANEIO POR ITEM'!#REF!, 5, FALSE))</f>
        <v/>
      </c>
      <c r="F399" t="str">
        <f>IF(A399="", "", VLOOKUP(A399, 'ROMANEIO POR ITEM'!#REF!, 6, FALSE))</f>
        <v/>
      </c>
    </row>
    <row r="400" spans="1:6">
      <c r="A400" t="str">
        <f>IFERROR(_xlfn.SINGLE(INDEX('ROMANEIO POR ITEM'!#REF!, SMALL(IF(_xlfn.SINGLE('ROMANEIO POR ITEM'!#REF!)&lt;&gt;0,_xlfn.SINGLE( ROW('ROMANEIO POR ITEM'!#REF!))-ROW('ROMANEIO POR ITEM'!#REF!)+1), ROW(A399)))), "")</f>
        <v/>
      </c>
      <c r="B400" t="str">
        <f>IF(A400="", "", VLOOKUP(A400, 'ROMANEIO POR ITEM'!#REF!, 2, FALSE))</f>
        <v/>
      </c>
      <c r="C400" t="str">
        <f>IF(A400="", "", VLOOKUP(A400, 'ROMANEIO POR ITEM'!#REF!, 3, FALSE))</f>
        <v/>
      </c>
      <c r="D400" t="str">
        <f>IF(A400="", "", VLOOKUP(A400, 'ROMANEIO POR ITEM'!#REF!, 4, FALSE))</f>
        <v/>
      </c>
      <c r="E400" t="str">
        <f>IF(A400="", "", VLOOKUP(A400, 'ROMANEIO POR ITEM'!#REF!, 5, FALSE))</f>
        <v/>
      </c>
      <c r="F400" t="str">
        <f>IF(A400="", "", VLOOKUP(A400, 'ROMANEIO POR ITEM'!#REF!, 6, FALSE))</f>
        <v/>
      </c>
    </row>
    <row r="401" spans="1:6">
      <c r="A401" t="str">
        <f>IFERROR(_xlfn.SINGLE(INDEX('ROMANEIO POR ITEM'!#REF!, SMALL(IF(_xlfn.SINGLE('ROMANEIO POR ITEM'!#REF!)&lt;&gt;0,_xlfn.SINGLE( ROW('ROMANEIO POR ITEM'!#REF!))-ROW('ROMANEIO POR ITEM'!#REF!)+1), ROW(A400)))), "")</f>
        <v/>
      </c>
      <c r="B401" t="str">
        <f>IF(A401="", "", VLOOKUP(A401, 'ROMANEIO POR ITEM'!#REF!, 2, FALSE))</f>
        <v/>
      </c>
      <c r="C401" t="str">
        <f>IF(A401="", "", VLOOKUP(A401, 'ROMANEIO POR ITEM'!#REF!, 3, FALSE))</f>
        <v/>
      </c>
      <c r="D401" t="str">
        <f>IF(A401="", "", VLOOKUP(A401, 'ROMANEIO POR ITEM'!#REF!, 4, FALSE))</f>
        <v/>
      </c>
      <c r="E401" t="str">
        <f>IF(A401="", "", VLOOKUP(A401, 'ROMANEIO POR ITEM'!#REF!, 5, FALSE))</f>
        <v/>
      </c>
      <c r="F401" t="str">
        <f>IF(A401="", "", VLOOKUP(A401, 'ROMANEIO POR ITEM'!#REF!, 6, FALSE))</f>
        <v/>
      </c>
    </row>
    <row r="402" spans="1:6">
      <c r="A402" t="str">
        <f>IFERROR(_xlfn.SINGLE(INDEX('ROMANEIO POR ITEM'!#REF!, SMALL(IF(_xlfn.SINGLE('ROMANEIO POR ITEM'!#REF!)&lt;&gt;0,_xlfn.SINGLE( ROW('ROMANEIO POR ITEM'!#REF!))-ROW('ROMANEIO POR ITEM'!#REF!)+1), ROW(A401)))), "")</f>
        <v/>
      </c>
      <c r="B402" t="str">
        <f>IF(A402="", "", VLOOKUP(A402, 'ROMANEIO POR ITEM'!#REF!, 2, FALSE))</f>
        <v/>
      </c>
      <c r="C402" t="str">
        <f>IF(A402="", "", VLOOKUP(A402, 'ROMANEIO POR ITEM'!#REF!, 3, FALSE))</f>
        <v/>
      </c>
      <c r="D402" t="str">
        <f>IF(A402="", "", VLOOKUP(A402, 'ROMANEIO POR ITEM'!#REF!, 4, FALSE))</f>
        <v/>
      </c>
      <c r="E402" t="str">
        <f>IF(A402="", "", VLOOKUP(A402, 'ROMANEIO POR ITEM'!#REF!, 5, FALSE))</f>
        <v/>
      </c>
      <c r="F402" t="str">
        <f>IF(A402="", "", VLOOKUP(A402, 'ROMANEIO POR ITEM'!#REF!, 6, FALSE))</f>
        <v/>
      </c>
    </row>
    <row r="403" spans="1:6">
      <c r="A403" t="str">
        <f>IFERROR(_xlfn.SINGLE(INDEX('ROMANEIO POR ITEM'!#REF!, SMALL(IF(_xlfn.SINGLE('ROMANEIO POR ITEM'!#REF!)&lt;&gt;0,_xlfn.SINGLE( ROW('ROMANEIO POR ITEM'!#REF!))-ROW('ROMANEIO POR ITEM'!#REF!)+1), ROW(A402)))), "")</f>
        <v/>
      </c>
      <c r="B403" t="str">
        <f>IF(A403="", "", VLOOKUP(A403, 'ROMANEIO POR ITEM'!#REF!, 2, FALSE))</f>
        <v/>
      </c>
      <c r="C403" t="str">
        <f>IF(A403="", "", VLOOKUP(A403, 'ROMANEIO POR ITEM'!#REF!, 3, FALSE))</f>
        <v/>
      </c>
      <c r="D403" t="str">
        <f>IF(A403="", "", VLOOKUP(A403, 'ROMANEIO POR ITEM'!#REF!, 4, FALSE))</f>
        <v/>
      </c>
      <c r="E403" t="str">
        <f>IF(A403="", "", VLOOKUP(A403, 'ROMANEIO POR ITEM'!#REF!, 5, FALSE))</f>
        <v/>
      </c>
      <c r="F403" t="str">
        <f>IF(A403="", "", VLOOKUP(A403, 'ROMANEIO POR ITEM'!#REF!, 6, FALSE))</f>
        <v/>
      </c>
    </row>
    <row r="404" spans="1:6">
      <c r="A404" t="str">
        <f>IFERROR(_xlfn.SINGLE(INDEX('ROMANEIO POR ITEM'!#REF!, SMALL(IF(_xlfn.SINGLE('ROMANEIO POR ITEM'!#REF!)&lt;&gt;0,_xlfn.SINGLE( ROW('ROMANEIO POR ITEM'!#REF!))-ROW('ROMANEIO POR ITEM'!#REF!)+1), ROW(A403)))), "")</f>
        <v/>
      </c>
      <c r="B404" t="str">
        <f>IF(A404="", "", VLOOKUP(A404, 'ROMANEIO POR ITEM'!#REF!, 2, FALSE))</f>
        <v/>
      </c>
      <c r="C404" t="str">
        <f>IF(A404="", "", VLOOKUP(A404, 'ROMANEIO POR ITEM'!#REF!, 3, FALSE))</f>
        <v/>
      </c>
      <c r="D404" t="str">
        <f>IF(A404="", "", VLOOKUP(A404, 'ROMANEIO POR ITEM'!#REF!, 4, FALSE))</f>
        <v/>
      </c>
      <c r="E404" t="str">
        <f>IF(A404="", "", VLOOKUP(A404, 'ROMANEIO POR ITEM'!#REF!, 5, FALSE))</f>
        <v/>
      </c>
      <c r="F404" t="str">
        <f>IF(A404="", "", VLOOKUP(A404, 'ROMANEIO POR ITEM'!#REF!, 6, FALSE))</f>
        <v/>
      </c>
    </row>
    <row r="405" spans="1:6">
      <c r="A405" t="str">
        <f>IFERROR(_xlfn.SINGLE(INDEX('ROMANEIO POR ITEM'!#REF!, SMALL(IF(_xlfn.SINGLE('ROMANEIO POR ITEM'!#REF!)&lt;&gt;0,_xlfn.SINGLE( ROW('ROMANEIO POR ITEM'!#REF!))-ROW('ROMANEIO POR ITEM'!#REF!)+1), ROW(A404)))), "")</f>
        <v/>
      </c>
      <c r="B405" t="str">
        <f>IF(A405="", "", VLOOKUP(A405, 'ROMANEIO POR ITEM'!#REF!, 2, FALSE))</f>
        <v/>
      </c>
      <c r="C405" t="str">
        <f>IF(A405="", "", VLOOKUP(A405, 'ROMANEIO POR ITEM'!#REF!, 3, FALSE))</f>
        <v/>
      </c>
      <c r="D405" t="str">
        <f>IF(A405="", "", VLOOKUP(A405, 'ROMANEIO POR ITEM'!#REF!, 4, FALSE))</f>
        <v/>
      </c>
      <c r="E405" t="str">
        <f>IF(A405="", "", VLOOKUP(A405, 'ROMANEIO POR ITEM'!#REF!, 5, FALSE))</f>
        <v/>
      </c>
      <c r="F405" t="str">
        <f>IF(A405="", "", VLOOKUP(A405, 'ROMANEIO POR ITEM'!#REF!, 6, FALSE))</f>
        <v/>
      </c>
    </row>
    <row r="406" spans="1:6">
      <c r="A406" t="str">
        <f>IFERROR(_xlfn.SINGLE(INDEX('ROMANEIO POR ITEM'!#REF!, SMALL(IF(_xlfn.SINGLE('ROMANEIO POR ITEM'!#REF!)&lt;&gt;0,_xlfn.SINGLE( ROW('ROMANEIO POR ITEM'!#REF!))-ROW('ROMANEIO POR ITEM'!#REF!)+1), ROW(A405)))), "")</f>
        <v/>
      </c>
      <c r="B406" t="str">
        <f>IF(A406="", "", VLOOKUP(A406, 'ROMANEIO POR ITEM'!#REF!, 2, FALSE))</f>
        <v/>
      </c>
      <c r="C406" t="str">
        <f>IF(A406="", "", VLOOKUP(A406, 'ROMANEIO POR ITEM'!#REF!, 3, FALSE))</f>
        <v/>
      </c>
      <c r="D406" t="str">
        <f>IF(A406="", "", VLOOKUP(A406, 'ROMANEIO POR ITEM'!#REF!, 4, FALSE))</f>
        <v/>
      </c>
      <c r="E406" t="str">
        <f>IF(A406="", "", VLOOKUP(A406, 'ROMANEIO POR ITEM'!#REF!, 5, FALSE))</f>
        <v/>
      </c>
      <c r="F406" t="str">
        <f>IF(A406="", "", VLOOKUP(A406, 'ROMANEIO POR ITEM'!#REF!, 6, FALSE))</f>
        <v/>
      </c>
    </row>
    <row r="407" spans="1:6">
      <c r="A407" t="str">
        <f>IFERROR(_xlfn.SINGLE(INDEX('ROMANEIO POR ITEM'!#REF!, SMALL(IF(_xlfn.SINGLE('ROMANEIO POR ITEM'!#REF!)&lt;&gt;0,_xlfn.SINGLE( ROW('ROMANEIO POR ITEM'!#REF!))-ROW('ROMANEIO POR ITEM'!#REF!)+1), ROW(A406)))), "")</f>
        <v/>
      </c>
      <c r="B407" t="str">
        <f>IF(A407="", "", VLOOKUP(A407, 'ROMANEIO POR ITEM'!#REF!, 2, FALSE))</f>
        <v/>
      </c>
      <c r="C407" t="str">
        <f>IF(A407="", "", VLOOKUP(A407, 'ROMANEIO POR ITEM'!#REF!, 3, FALSE))</f>
        <v/>
      </c>
      <c r="D407" t="str">
        <f>IF(A407="", "", VLOOKUP(A407, 'ROMANEIO POR ITEM'!#REF!, 4, FALSE))</f>
        <v/>
      </c>
      <c r="E407" t="str">
        <f>IF(A407="", "", VLOOKUP(A407, 'ROMANEIO POR ITEM'!#REF!, 5, FALSE))</f>
        <v/>
      </c>
      <c r="F407" t="str">
        <f>IF(A407="", "", VLOOKUP(A407, 'ROMANEIO POR ITEM'!#REF!, 6, FALSE))</f>
        <v/>
      </c>
    </row>
    <row r="408" spans="1:6">
      <c r="A408" t="str">
        <f>IFERROR(_xlfn.SINGLE(INDEX('ROMANEIO POR ITEM'!#REF!, SMALL(IF(_xlfn.SINGLE('ROMANEIO POR ITEM'!#REF!)&lt;&gt;0,_xlfn.SINGLE( ROW('ROMANEIO POR ITEM'!#REF!))-ROW('ROMANEIO POR ITEM'!#REF!)+1), ROW(A407)))), "")</f>
        <v/>
      </c>
      <c r="B408" t="str">
        <f>IF(A408="", "", VLOOKUP(A408, 'ROMANEIO POR ITEM'!#REF!, 2, FALSE))</f>
        <v/>
      </c>
      <c r="C408" t="str">
        <f>IF(A408="", "", VLOOKUP(A408, 'ROMANEIO POR ITEM'!#REF!, 3, FALSE))</f>
        <v/>
      </c>
      <c r="D408" t="str">
        <f>IF(A408="", "", VLOOKUP(A408, 'ROMANEIO POR ITEM'!#REF!, 4, FALSE))</f>
        <v/>
      </c>
      <c r="E408" t="str">
        <f>IF(A408="", "", VLOOKUP(A408, 'ROMANEIO POR ITEM'!#REF!, 5, FALSE))</f>
        <v/>
      </c>
      <c r="F408" t="str">
        <f>IF(A408="", "", VLOOKUP(A408, 'ROMANEIO POR ITEM'!#REF!, 6, FALSE))</f>
        <v/>
      </c>
    </row>
    <row r="409" spans="1:6">
      <c r="A409" t="str">
        <f>IFERROR(_xlfn.SINGLE(INDEX('ROMANEIO POR ITEM'!#REF!, SMALL(IF(_xlfn.SINGLE('ROMANEIO POR ITEM'!#REF!)&lt;&gt;0,_xlfn.SINGLE( ROW('ROMANEIO POR ITEM'!#REF!))-ROW('ROMANEIO POR ITEM'!#REF!)+1), ROW(A408)))), "")</f>
        <v/>
      </c>
      <c r="B409" t="str">
        <f>IF(A409="", "", VLOOKUP(A409, 'ROMANEIO POR ITEM'!#REF!, 2, FALSE))</f>
        <v/>
      </c>
      <c r="C409" t="str">
        <f>IF(A409="", "", VLOOKUP(A409, 'ROMANEIO POR ITEM'!#REF!, 3, FALSE))</f>
        <v/>
      </c>
      <c r="D409" t="str">
        <f>IF(A409="", "", VLOOKUP(A409, 'ROMANEIO POR ITEM'!#REF!, 4, FALSE))</f>
        <v/>
      </c>
      <c r="E409" t="str">
        <f>IF(A409="", "", VLOOKUP(A409, 'ROMANEIO POR ITEM'!#REF!, 5, FALSE))</f>
        <v/>
      </c>
      <c r="F409" t="str">
        <f>IF(A409="", "", VLOOKUP(A409, 'ROMANEIO POR ITEM'!#REF!, 6, FALSE))</f>
        <v/>
      </c>
    </row>
    <row r="410" spans="1:6">
      <c r="A410" t="str">
        <f>IFERROR(_xlfn.SINGLE(INDEX('ROMANEIO POR ITEM'!#REF!, SMALL(IF(_xlfn.SINGLE('ROMANEIO POR ITEM'!#REF!)&lt;&gt;0,_xlfn.SINGLE( ROW('ROMANEIO POR ITEM'!#REF!))-ROW('ROMANEIO POR ITEM'!#REF!)+1), ROW(A409)))), "")</f>
        <v/>
      </c>
      <c r="B410" t="str">
        <f>IF(A410="", "", VLOOKUP(A410, 'ROMANEIO POR ITEM'!#REF!, 2, FALSE))</f>
        <v/>
      </c>
      <c r="C410" t="str">
        <f>IF(A410="", "", VLOOKUP(A410, 'ROMANEIO POR ITEM'!#REF!, 3, FALSE))</f>
        <v/>
      </c>
      <c r="D410" t="str">
        <f>IF(A410="", "", VLOOKUP(A410, 'ROMANEIO POR ITEM'!#REF!, 4, FALSE))</f>
        <v/>
      </c>
      <c r="E410" t="str">
        <f>IF(A410="", "", VLOOKUP(A410, 'ROMANEIO POR ITEM'!#REF!, 5, FALSE))</f>
        <v/>
      </c>
      <c r="F410" t="str">
        <f>IF(A410="", "", VLOOKUP(A410, 'ROMANEIO POR ITEM'!#REF!, 6, FALSE))</f>
        <v/>
      </c>
    </row>
    <row r="411" spans="1:6">
      <c r="A411" t="str">
        <f>IFERROR(_xlfn.SINGLE(INDEX('ROMANEIO POR ITEM'!#REF!, SMALL(IF(_xlfn.SINGLE('ROMANEIO POR ITEM'!#REF!)&lt;&gt;0,_xlfn.SINGLE( ROW('ROMANEIO POR ITEM'!#REF!))-ROW('ROMANEIO POR ITEM'!#REF!)+1), ROW(A410)))), "")</f>
        <v/>
      </c>
      <c r="B411" t="str">
        <f>IF(A411="", "", VLOOKUP(A411, 'ROMANEIO POR ITEM'!#REF!, 2, FALSE))</f>
        <v/>
      </c>
      <c r="C411" t="str">
        <f>IF(A411="", "", VLOOKUP(A411, 'ROMANEIO POR ITEM'!#REF!, 3, FALSE))</f>
        <v/>
      </c>
      <c r="D411" t="str">
        <f>IF(A411="", "", VLOOKUP(A411, 'ROMANEIO POR ITEM'!#REF!, 4, FALSE))</f>
        <v/>
      </c>
      <c r="E411" t="str">
        <f>IF(A411="", "", VLOOKUP(A411, 'ROMANEIO POR ITEM'!#REF!, 5, FALSE))</f>
        <v/>
      </c>
      <c r="F411" t="str">
        <f>IF(A411="", "", VLOOKUP(A411, 'ROMANEIO POR ITEM'!#REF!, 6, FALSE))</f>
        <v/>
      </c>
    </row>
    <row r="412" spans="1:6">
      <c r="A412" t="str">
        <f>IFERROR(_xlfn.SINGLE(INDEX('ROMANEIO POR ITEM'!#REF!, SMALL(IF(_xlfn.SINGLE('ROMANEIO POR ITEM'!#REF!)&lt;&gt;0,_xlfn.SINGLE( ROW('ROMANEIO POR ITEM'!#REF!))-ROW('ROMANEIO POR ITEM'!#REF!)+1), ROW(A411)))), "")</f>
        <v/>
      </c>
      <c r="B412" t="str">
        <f>IF(A412="", "", VLOOKUP(A412, 'ROMANEIO POR ITEM'!#REF!, 2, FALSE))</f>
        <v/>
      </c>
      <c r="C412" t="str">
        <f>IF(A412="", "", VLOOKUP(A412, 'ROMANEIO POR ITEM'!#REF!, 3, FALSE))</f>
        <v/>
      </c>
      <c r="D412" t="str">
        <f>IF(A412="", "", VLOOKUP(A412, 'ROMANEIO POR ITEM'!#REF!, 4, FALSE))</f>
        <v/>
      </c>
      <c r="E412" t="str">
        <f>IF(A412="", "", VLOOKUP(A412, 'ROMANEIO POR ITEM'!#REF!, 5, FALSE))</f>
        <v/>
      </c>
      <c r="F412" t="str">
        <f>IF(A412="", "", VLOOKUP(A412, 'ROMANEIO POR ITEM'!#REF!, 6, FALSE))</f>
        <v/>
      </c>
    </row>
    <row r="413" spans="1:6">
      <c r="A413" t="str">
        <f>IFERROR(_xlfn.SINGLE(INDEX('ROMANEIO POR ITEM'!#REF!, SMALL(IF(_xlfn.SINGLE('ROMANEIO POR ITEM'!#REF!)&lt;&gt;0,_xlfn.SINGLE( ROW('ROMANEIO POR ITEM'!#REF!))-ROW('ROMANEIO POR ITEM'!#REF!)+1), ROW(A412)))), "")</f>
        <v/>
      </c>
      <c r="B413" t="str">
        <f>IF(A413="", "", VLOOKUP(A413, 'ROMANEIO POR ITEM'!#REF!, 2, FALSE))</f>
        <v/>
      </c>
      <c r="C413" t="str">
        <f>IF(A413="", "", VLOOKUP(A413, 'ROMANEIO POR ITEM'!#REF!, 3, FALSE))</f>
        <v/>
      </c>
      <c r="D413" t="str">
        <f>IF(A413="", "", VLOOKUP(A413, 'ROMANEIO POR ITEM'!#REF!, 4, FALSE))</f>
        <v/>
      </c>
      <c r="E413" t="str">
        <f>IF(A413="", "", VLOOKUP(A413, 'ROMANEIO POR ITEM'!#REF!, 5, FALSE))</f>
        <v/>
      </c>
      <c r="F413" t="str">
        <f>IF(A413="", "", VLOOKUP(A413, 'ROMANEIO POR ITEM'!#REF!, 6, FALSE))</f>
        <v/>
      </c>
    </row>
    <row r="414" spans="1:6">
      <c r="A414" t="str">
        <f>IFERROR(_xlfn.SINGLE(INDEX('ROMANEIO POR ITEM'!#REF!, SMALL(IF(_xlfn.SINGLE('ROMANEIO POR ITEM'!#REF!)&lt;&gt;0,_xlfn.SINGLE( ROW('ROMANEIO POR ITEM'!#REF!))-ROW('ROMANEIO POR ITEM'!#REF!)+1), ROW(A413)))), "")</f>
        <v/>
      </c>
      <c r="B414" t="str">
        <f>IF(A414="", "", VLOOKUP(A414, 'ROMANEIO POR ITEM'!#REF!, 2, FALSE))</f>
        <v/>
      </c>
      <c r="C414" t="str">
        <f>IF(A414="", "", VLOOKUP(A414, 'ROMANEIO POR ITEM'!#REF!, 3, FALSE))</f>
        <v/>
      </c>
      <c r="D414" t="str">
        <f>IF(A414="", "", VLOOKUP(A414, 'ROMANEIO POR ITEM'!#REF!, 4, FALSE))</f>
        <v/>
      </c>
      <c r="E414" t="str">
        <f>IF(A414="", "", VLOOKUP(A414, 'ROMANEIO POR ITEM'!#REF!, 5, FALSE))</f>
        <v/>
      </c>
      <c r="F414" t="str">
        <f>IF(A414="", "", VLOOKUP(A414, 'ROMANEIO POR ITEM'!#REF!, 6, FALSE))</f>
        <v/>
      </c>
    </row>
    <row r="415" spans="1:6">
      <c r="A415" t="str">
        <f>IFERROR(_xlfn.SINGLE(INDEX('ROMANEIO POR ITEM'!#REF!, SMALL(IF(_xlfn.SINGLE('ROMANEIO POR ITEM'!#REF!)&lt;&gt;0,_xlfn.SINGLE( ROW('ROMANEIO POR ITEM'!#REF!))-ROW('ROMANEIO POR ITEM'!#REF!)+1), ROW(A414)))), "")</f>
        <v/>
      </c>
      <c r="B415" t="str">
        <f>IF(A415="", "", VLOOKUP(A415, 'ROMANEIO POR ITEM'!#REF!, 2, FALSE))</f>
        <v/>
      </c>
      <c r="C415" t="str">
        <f>IF(A415="", "", VLOOKUP(A415, 'ROMANEIO POR ITEM'!#REF!, 3, FALSE))</f>
        <v/>
      </c>
      <c r="D415" t="str">
        <f>IF(A415="", "", VLOOKUP(A415, 'ROMANEIO POR ITEM'!#REF!, 4, FALSE))</f>
        <v/>
      </c>
      <c r="E415" t="str">
        <f>IF(A415="", "", VLOOKUP(A415, 'ROMANEIO POR ITEM'!#REF!, 5, FALSE))</f>
        <v/>
      </c>
      <c r="F415" t="str">
        <f>IF(A415="", "", VLOOKUP(A415, 'ROMANEIO POR ITEM'!#REF!, 6, FALSE))</f>
        <v/>
      </c>
    </row>
    <row r="416" spans="1:6">
      <c r="A416" t="str">
        <f>IFERROR(_xlfn.SINGLE(INDEX('ROMANEIO POR ITEM'!#REF!, SMALL(IF(_xlfn.SINGLE('ROMANEIO POR ITEM'!#REF!)&lt;&gt;0,_xlfn.SINGLE( ROW('ROMANEIO POR ITEM'!#REF!))-ROW('ROMANEIO POR ITEM'!#REF!)+1), ROW(A415)))), "")</f>
        <v/>
      </c>
      <c r="B416" t="str">
        <f>IF(A416="", "", VLOOKUP(A416, 'ROMANEIO POR ITEM'!#REF!, 2, FALSE))</f>
        <v/>
      </c>
      <c r="C416" t="str">
        <f>IF(A416="", "", VLOOKUP(A416, 'ROMANEIO POR ITEM'!#REF!, 3, FALSE))</f>
        <v/>
      </c>
      <c r="D416" t="str">
        <f>IF(A416="", "", VLOOKUP(A416, 'ROMANEIO POR ITEM'!#REF!, 4, FALSE))</f>
        <v/>
      </c>
      <c r="E416" t="str">
        <f>IF(A416="", "", VLOOKUP(A416, 'ROMANEIO POR ITEM'!#REF!, 5, FALSE))</f>
        <v/>
      </c>
      <c r="F416" t="str">
        <f>IF(A416="", "", VLOOKUP(A416, 'ROMANEIO POR ITEM'!#REF!, 6, FALSE))</f>
        <v/>
      </c>
    </row>
    <row r="417" spans="1:6">
      <c r="A417" t="str">
        <f>IFERROR(_xlfn.SINGLE(INDEX('ROMANEIO POR ITEM'!#REF!, SMALL(IF(_xlfn.SINGLE('ROMANEIO POR ITEM'!#REF!)&lt;&gt;0,_xlfn.SINGLE( ROW('ROMANEIO POR ITEM'!#REF!))-ROW('ROMANEIO POR ITEM'!#REF!)+1), ROW(A416)))), "")</f>
        <v/>
      </c>
      <c r="B417" t="str">
        <f>IF(A417="", "", VLOOKUP(A417, 'ROMANEIO POR ITEM'!#REF!, 2, FALSE))</f>
        <v/>
      </c>
      <c r="C417" t="str">
        <f>IF(A417="", "", VLOOKUP(A417, 'ROMANEIO POR ITEM'!#REF!, 3, FALSE))</f>
        <v/>
      </c>
      <c r="D417" t="str">
        <f>IF(A417="", "", VLOOKUP(A417, 'ROMANEIO POR ITEM'!#REF!, 4, FALSE))</f>
        <v/>
      </c>
      <c r="E417" t="str">
        <f>IF(A417="", "", VLOOKUP(A417, 'ROMANEIO POR ITEM'!#REF!, 5, FALSE))</f>
        <v/>
      </c>
      <c r="F417" t="str">
        <f>IF(A417="", "", VLOOKUP(A417, 'ROMANEIO POR ITEM'!#REF!, 6, FALSE))</f>
        <v/>
      </c>
    </row>
    <row r="418" spans="1:6">
      <c r="A418" t="str">
        <f>IFERROR(_xlfn.SINGLE(INDEX('ROMANEIO POR ITEM'!#REF!, SMALL(IF(_xlfn.SINGLE('ROMANEIO POR ITEM'!#REF!)&lt;&gt;0,_xlfn.SINGLE( ROW('ROMANEIO POR ITEM'!#REF!))-ROW('ROMANEIO POR ITEM'!#REF!)+1), ROW(A417)))), "")</f>
        <v/>
      </c>
      <c r="B418" t="str">
        <f>IF(A418="", "", VLOOKUP(A418, 'ROMANEIO POR ITEM'!#REF!, 2, FALSE))</f>
        <v/>
      </c>
      <c r="C418" t="str">
        <f>IF(A418="", "", VLOOKUP(A418, 'ROMANEIO POR ITEM'!#REF!, 3, FALSE))</f>
        <v/>
      </c>
      <c r="D418" t="str">
        <f>IF(A418="", "", VLOOKUP(A418, 'ROMANEIO POR ITEM'!#REF!, 4, FALSE))</f>
        <v/>
      </c>
      <c r="E418" t="str">
        <f>IF(A418="", "", VLOOKUP(A418, 'ROMANEIO POR ITEM'!#REF!, 5, FALSE))</f>
        <v/>
      </c>
      <c r="F418" t="str">
        <f>IF(A418="", "", VLOOKUP(A418, 'ROMANEIO POR ITEM'!#REF!, 6, FALSE))</f>
        <v/>
      </c>
    </row>
    <row r="419" spans="1:6">
      <c r="A419" t="str">
        <f>IFERROR(_xlfn.SINGLE(INDEX('ROMANEIO POR ITEM'!#REF!, SMALL(IF(_xlfn.SINGLE('ROMANEIO POR ITEM'!#REF!)&lt;&gt;0,_xlfn.SINGLE( ROW('ROMANEIO POR ITEM'!#REF!))-ROW('ROMANEIO POR ITEM'!#REF!)+1), ROW(A418)))), "")</f>
        <v/>
      </c>
      <c r="B419" t="str">
        <f>IF(A419="", "", VLOOKUP(A419, 'ROMANEIO POR ITEM'!#REF!, 2, FALSE))</f>
        <v/>
      </c>
      <c r="C419" t="str">
        <f>IF(A419="", "", VLOOKUP(A419, 'ROMANEIO POR ITEM'!#REF!, 3, FALSE))</f>
        <v/>
      </c>
      <c r="D419" t="str">
        <f>IF(A419="", "", VLOOKUP(A419, 'ROMANEIO POR ITEM'!#REF!, 4, FALSE))</f>
        <v/>
      </c>
      <c r="E419" t="str">
        <f>IF(A419="", "", VLOOKUP(A419, 'ROMANEIO POR ITEM'!#REF!, 5, FALSE))</f>
        <v/>
      </c>
      <c r="F419" t="str">
        <f>IF(A419="", "", VLOOKUP(A419, 'ROMANEIO POR ITEM'!#REF!, 6, FALSE))</f>
        <v/>
      </c>
    </row>
    <row r="420" spans="1:6">
      <c r="A420" t="str">
        <f>IFERROR(_xlfn.SINGLE(INDEX('ROMANEIO POR ITEM'!#REF!, SMALL(IF(_xlfn.SINGLE('ROMANEIO POR ITEM'!#REF!)&lt;&gt;0,_xlfn.SINGLE( ROW('ROMANEIO POR ITEM'!#REF!))-ROW('ROMANEIO POR ITEM'!#REF!)+1), ROW(A419)))), "")</f>
        <v/>
      </c>
      <c r="B420" t="str">
        <f>IF(A420="", "", VLOOKUP(A420, 'ROMANEIO POR ITEM'!#REF!, 2, FALSE))</f>
        <v/>
      </c>
      <c r="C420" t="str">
        <f>IF(A420="", "", VLOOKUP(A420, 'ROMANEIO POR ITEM'!#REF!, 3, FALSE))</f>
        <v/>
      </c>
      <c r="D420" t="str">
        <f>IF(A420="", "", VLOOKUP(A420, 'ROMANEIO POR ITEM'!#REF!, 4, FALSE))</f>
        <v/>
      </c>
      <c r="E420" t="str">
        <f>IF(A420="", "", VLOOKUP(A420, 'ROMANEIO POR ITEM'!#REF!, 5, FALSE))</f>
        <v/>
      </c>
      <c r="F420" t="str">
        <f>IF(A420="", "", VLOOKUP(A420, 'ROMANEIO POR ITEM'!#REF!, 6, FALSE))</f>
        <v/>
      </c>
    </row>
    <row r="421" spans="1:6">
      <c r="A421" t="str">
        <f>IFERROR(_xlfn.SINGLE(INDEX('ROMANEIO POR ITEM'!#REF!, SMALL(IF(_xlfn.SINGLE('ROMANEIO POR ITEM'!#REF!)&lt;&gt;0,_xlfn.SINGLE( ROW('ROMANEIO POR ITEM'!#REF!))-ROW('ROMANEIO POR ITEM'!#REF!)+1), ROW(A420)))), "")</f>
        <v/>
      </c>
      <c r="B421" t="str">
        <f>IF(A421="", "", VLOOKUP(A421, 'ROMANEIO POR ITEM'!#REF!, 2, FALSE))</f>
        <v/>
      </c>
      <c r="C421" t="str">
        <f>IF(A421="", "", VLOOKUP(A421, 'ROMANEIO POR ITEM'!#REF!, 3, FALSE))</f>
        <v/>
      </c>
      <c r="D421" t="str">
        <f>IF(A421="", "", VLOOKUP(A421, 'ROMANEIO POR ITEM'!#REF!, 4, FALSE))</f>
        <v/>
      </c>
      <c r="E421" t="str">
        <f>IF(A421="", "", VLOOKUP(A421, 'ROMANEIO POR ITEM'!#REF!, 5, FALSE))</f>
        <v/>
      </c>
      <c r="F421" t="str">
        <f>IF(A421="", "", VLOOKUP(A421, 'ROMANEIO POR ITEM'!#REF!, 6, FALSE))</f>
        <v/>
      </c>
    </row>
    <row r="422" spans="1:6">
      <c r="A422" t="str">
        <f>IFERROR(_xlfn.SINGLE(INDEX('ROMANEIO POR ITEM'!#REF!, SMALL(IF(_xlfn.SINGLE('ROMANEIO POR ITEM'!#REF!)&lt;&gt;0,_xlfn.SINGLE( ROW('ROMANEIO POR ITEM'!#REF!))-ROW('ROMANEIO POR ITEM'!#REF!)+1), ROW(A421)))), "")</f>
        <v/>
      </c>
      <c r="B422" t="str">
        <f>IF(A422="", "", VLOOKUP(A422, 'ROMANEIO POR ITEM'!#REF!, 2, FALSE))</f>
        <v/>
      </c>
      <c r="C422" t="str">
        <f>IF(A422="", "", VLOOKUP(A422, 'ROMANEIO POR ITEM'!#REF!, 3, FALSE))</f>
        <v/>
      </c>
      <c r="D422" t="str">
        <f>IF(A422="", "", VLOOKUP(A422, 'ROMANEIO POR ITEM'!#REF!, 4, FALSE))</f>
        <v/>
      </c>
      <c r="E422" t="str">
        <f>IF(A422="", "", VLOOKUP(A422, 'ROMANEIO POR ITEM'!#REF!, 5, FALSE))</f>
        <v/>
      </c>
      <c r="F422" t="str">
        <f>IF(A422="", "", VLOOKUP(A422, 'ROMANEIO POR ITEM'!#REF!, 6, FALSE))</f>
        <v/>
      </c>
    </row>
    <row r="423" spans="1:6">
      <c r="A423" t="str">
        <f>IFERROR(_xlfn.SINGLE(INDEX('ROMANEIO POR ITEM'!#REF!, SMALL(IF(_xlfn.SINGLE('ROMANEIO POR ITEM'!#REF!)&lt;&gt;0,_xlfn.SINGLE( ROW('ROMANEIO POR ITEM'!#REF!))-ROW('ROMANEIO POR ITEM'!#REF!)+1), ROW(A422)))), "")</f>
        <v/>
      </c>
      <c r="B423" t="str">
        <f>IF(A423="", "", VLOOKUP(A423, 'ROMANEIO POR ITEM'!#REF!, 2, FALSE))</f>
        <v/>
      </c>
      <c r="C423" t="str">
        <f>IF(A423="", "", VLOOKUP(A423, 'ROMANEIO POR ITEM'!#REF!, 3, FALSE))</f>
        <v/>
      </c>
      <c r="D423" t="str">
        <f>IF(A423="", "", VLOOKUP(A423, 'ROMANEIO POR ITEM'!#REF!, 4, FALSE))</f>
        <v/>
      </c>
      <c r="E423" t="str">
        <f>IF(A423="", "", VLOOKUP(A423, 'ROMANEIO POR ITEM'!#REF!, 5, FALSE))</f>
        <v/>
      </c>
      <c r="F423" t="str">
        <f>IF(A423="", "", VLOOKUP(A423, 'ROMANEIO POR ITEM'!#REF!, 6, FALSE))</f>
        <v/>
      </c>
    </row>
    <row r="424" spans="1:6">
      <c r="A424" t="str">
        <f>IFERROR(_xlfn.SINGLE(INDEX('ROMANEIO POR ITEM'!#REF!, SMALL(IF(_xlfn.SINGLE('ROMANEIO POR ITEM'!#REF!)&lt;&gt;0,_xlfn.SINGLE( ROW('ROMANEIO POR ITEM'!#REF!))-ROW('ROMANEIO POR ITEM'!#REF!)+1), ROW(A423)))), "")</f>
        <v/>
      </c>
      <c r="B424" t="str">
        <f>IF(A424="", "", VLOOKUP(A424, 'ROMANEIO POR ITEM'!#REF!, 2, FALSE))</f>
        <v/>
      </c>
      <c r="C424" t="str">
        <f>IF(A424="", "", VLOOKUP(A424, 'ROMANEIO POR ITEM'!#REF!, 3, FALSE))</f>
        <v/>
      </c>
      <c r="D424" t="str">
        <f>IF(A424="", "", VLOOKUP(A424, 'ROMANEIO POR ITEM'!#REF!, 4, FALSE))</f>
        <v/>
      </c>
      <c r="E424" t="str">
        <f>IF(A424="", "", VLOOKUP(A424, 'ROMANEIO POR ITEM'!#REF!, 5, FALSE))</f>
        <v/>
      </c>
      <c r="F424" t="str">
        <f>IF(A424="", "", VLOOKUP(A424, 'ROMANEIO POR ITEM'!#REF!, 6, FALSE))</f>
        <v/>
      </c>
    </row>
    <row r="425" spans="1:6">
      <c r="A425" t="str">
        <f>IFERROR(_xlfn.SINGLE(INDEX('ROMANEIO POR ITEM'!#REF!, SMALL(IF(_xlfn.SINGLE('ROMANEIO POR ITEM'!#REF!)&lt;&gt;0,_xlfn.SINGLE( ROW('ROMANEIO POR ITEM'!#REF!))-ROW('ROMANEIO POR ITEM'!#REF!)+1), ROW(A424)))), "")</f>
        <v/>
      </c>
      <c r="B425" t="str">
        <f>IF(A425="", "", VLOOKUP(A425, 'ROMANEIO POR ITEM'!#REF!, 2, FALSE))</f>
        <v/>
      </c>
      <c r="C425" t="str">
        <f>IF(A425="", "", VLOOKUP(A425, 'ROMANEIO POR ITEM'!#REF!, 3, FALSE))</f>
        <v/>
      </c>
      <c r="D425" t="str">
        <f>IF(A425="", "", VLOOKUP(A425, 'ROMANEIO POR ITEM'!#REF!, 4, FALSE))</f>
        <v/>
      </c>
      <c r="E425" t="str">
        <f>IF(A425="", "", VLOOKUP(A425, 'ROMANEIO POR ITEM'!#REF!, 5, FALSE))</f>
        <v/>
      </c>
      <c r="F425" t="str">
        <f>IF(A425="", "", VLOOKUP(A425, 'ROMANEIO POR ITEM'!#REF!, 6, FALSE))</f>
        <v/>
      </c>
    </row>
    <row r="426" spans="1:6">
      <c r="A426" t="str">
        <f>IFERROR(_xlfn.SINGLE(INDEX('ROMANEIO POR ITEM'!#REF!, SMALL(IF(_xlfn.SINGLE('ROMANEIO POR ITEM'!#REF!)&lt;&gt;0,_xlfn.SINGLE( ROW('ROMANEIO POR ITEM'!#REF!))-ROW('ROMANEIO POR ITEM'!#REF!)+1), ROW(A425)))), "")</f>
        <v/>
      </c>
      <c r="B426" t="str">
        <f>IF(A426="", "", VLOOKUP(A426, 'ROMANEIO POR ITEM'!#REF!, 2, FALSE))</f>
        <v/>
      </c>
      <c r="C426" t="str">
        <f>IF(A426="", "", VLOOKUP(A426, 'ROMANEIO POR ITEM'!#REF!, 3, FALSE))</f>
        <v/>
      </c>
      <c r="D426" t="str">
        <f>IF(A426="", "", VLOOKUP(A426, 'ROMANEIO POR ITEM'!#REF!, 4, FALSE))</f>
        <v/>
      </c>
      <c r="E426" t="str">
        <f>IF(A426="", "", VLOOKUP(A426, 'ROMANEIO POR ITEM'!#REF!, 5, FALSE))</f>
        <v/>
      </c>
      <c r="F426" t="str">
        <f>IF(A426="", "", VLOOKUP(A426, 'ROMANEIO POR ITEM'!#REF!, 6, FALSE))</f>
        <v/>
      </c>
    </row>
    <row r="427" spans="1:6">
      <c r="A427" t="str">
        <f>IFERROR(_xlfn.SINGLE(INDEX('ROMANEIO POR ITEM'!#REF!, SMALL(IF(_xlfn.SINGLE('ROMANEIO POR ITEM'!#REF!)&lt;&gt;0,_xlfn.SINGLE( ROW('ROMANEIO POR ITEM'!#REF!))-ROW('ROMANEIO POR ITEM'!#REF!)+1), ROW(A426)))), "")</f>
        <v/>
      </c>
      <c r="B427" t="str">
        <f>IF(A427="", "", VLOOKUP(A427, 'ROMANEIO POR ITEM'!#REF!, 2, FALSE))</f>
        <v/>
      </c>
      <c r="C427" t="str">
        <f>IF(A427="", "", VLOOKUP(A427, 'ROMANEIO POR ITEM'!#REF!, 3, FALSE))</f>
        <v/>
      </c>
      <c r="D427" t="str">
        <f>IF(A427="", "", VLOOKUP(A427, 'ROMANEIO POR ITEM'!#REF!, 4, FALSE))</f>
        <v/>
      </c>
      <c r="E427" t="str">
        <f>IF(A427="", "", VLOOKUP(A427, 'ROMANEIO POR ITEM'!#REF!, 5, FALSE))</f>
        <v/>
      </c>
      <c r="F427" t="str">
        <f>IF(A427="", "", VLOOKUP(A427, 'ROMANEIO POR ITEM'!#REF!, 6, FALSE))</f>
        <v/>
      </c>
    </row>
    <row r="428" spans="1:6">
      <c r="A428" t="str">
        <f>IFERROR(_xlfn.SINGLE(INDEX('ROMANEIO POR ITEM'!#REF!, SMALL(IF(_xlfn.SINGLE('ROMANEIO POR ITEM'!#REF!)&lt;&gt;0,_xlfn.SINGLE( ROW('ROMANEIO POR ITEM'!#REF!))-ROW('ROMANEIO POR ITEM'!#REF!)+1), ROW(A427)))), "")</f>
        <v/>
      </c>
      <c r="B428" t="str">
        <f>IF(A428="", "", VLOOKUP(A428, 'ROMANEIO POR ITEM'!#REF!, 2, FALSE))</f>
        <v/>
      </c>
      <c r="C428" t="str">
        <f>IF(A428="", "", VLOOKUP(A428, 'ROMANEIO POR ITEM'!#REF!, 3, FALSE))</f>
        <v/>
      </c>
      <c r="D428" t="str">
        <f>IF(A428="", "", VLOOKUP(A428, 'ROMANEIO POR ITEM'!#REF!, 4, FALSE))</f>
        <v/>
      </c>
      <c r="E428" t="str">
        <f>IF(A428="", "", VLOOKUP(A428, 'ROMANEIO POR ITEM'!#REF!, 5, FALSE))</f>
        <v/>
      </c>
      <c r="F428" t="str">
        <f>IF(A428="", "", VLOOKUP(A428, 'ROMANEIO POR ITEM'!#REF!, 6, FALSE))</f>
        <v/>
      </c>
    </row>
    <row r="429" spans="1:6">
      <c r="A429" t="str">
        <f>IFERROR(_xlfn.SINGLE(INDEX('ROMANEIO POR ITEM'!#REF!, SMALL(IF(_xlfn.SINGLE('ROMANEIO POR ITEM'!#REF!)&lt;&gt;0,_xlfn.SINGLE( ROW('ROMANEIO POR ITEM'!#REF!))-ROW('ROMANEIO POR ITEM'!#REF!)+1), ROW(A428)))), "")</f>
        <v/>
      </c>
      <c r="B429" t="str">
        <f>IF(A429="", "", VLOOKUP(A429, 'ROMANEIO POR ITEM'!#REF!, 2, FALSE))</f>
        <v/>
      </c>
      <c r="C429" t="str">
        <f>IF(A429="", "", VLOOKUP(A429, 'ROMANEIO POR ITEM'!#REF!, 3, FALSE))</f>
        <v/>
      </c>
      <c r="D429" t="str">
        <f>IF(A429="", "", VLOOKUP(A429, 'ROMANEIO POR ITEM'!#REF!, 4, FALSE))</f>
        <v/>
      </c>
      <c r="E429" t="str">
        <f>IF(A429="", "", VLOOKUP(A429, 'ROMANEIO POR ITEM'!#REF!, 5, FALSE))</f>
        <v/>
      </c>
      <c r="F429" t="str">
        <f>IF(A429="", "", VLOOKUP(A429, 'ROMANEIO POR ITEM'!#REF!, 6, FALSE))</f>
        <v/>
      </c>
    </row>
    <row r="430" spans="1:6">
      <c r="A430" t="str">
        <f>IFERROR(_xlfn.SINGLE(INDEX('ROMANEIO POR ITEM'!#REF!, SMALL(IF(_xlfn.SINGLE('ROMANEIO POR ITEM'!#REF!)&lt;&gt;0,_xlfn.SINGLE( ROW('ROMANEIO POR ITEM'!#REF!))-ROW('ROMANEIO POR ITEM'!#REF!)+1), ROW(A429)))), "")</f>
        <v/>
      </c>
      <c r="B430" t="str">
        <f>IF(A430="", "", VLOOKUP(A430, 'ROMANEIO POR ITEM'!#REF!, 2, FALSE))</f>
        <v/>
      </c>
      <c r="C430" t="str">
        <f>IF(A430="", "", VLOOKUP(A430, 'ROMANEIO POR ITEM'!#REF!, 3, FALSE))</f>
        <v/>
      </c>
      <c r="D430" t="str">
        <f>IF(A430="", "", VLOOKUP(A430, 'ROMANEIO POR ITEM'!#REF!, 4, FALSE))</f>
        <v/>
      </c>
      <c r="E430" t="str">
        <f>IF(A430="", "", VLOOKUP(A430, 'ROMANEIO POR ITEM'!#REF!, 5, FALSE))</f>
        <v/>
      </c>
      <c r="F430" t="str">
        <f>IF(A430="", "", VLOOKUP(A430, 'ROMANEIO POR ITEM'!#REF!, 6, FALSE))</f>
        <v/>
      </c>
    </row>
    <row r="431" spans="1:6">
      <c r="A431" t="str">
        <f>IFERROR(_xlfn.SINGLE(INDEX('ROMANEIO POR ITEM'!#REF!, SMALL(IF(_xlfn.SINGLE('ROMANEIO POR ITEM'!#REF!)&lt;&gt;0,_xlfn.SINGLE( ROW('ROMANEIO POR ITEM'!#REF!))-ROW('ROMANEIO POR ITEM'!#REF!)+1), ROW(A430)))), "")</f>
        <v/>
      </c>
      <c r="B431" t="str">
        <f>IF(A431="", "", VLOOKUP(A431, 'ROMANEIO POR ITEM'!#REF!, 2, FALSE))</f>
        <v/>
      </c>
      <c r="C431" t="str">
        <f>IF(A431="", "", VLOOKUP(A431, 'ROMANEIO POR ITEM'!#REF!, 3, FALSE))</f>
        <v/>
      </c>
      <c r="D431" t="str">
        <f>IF(A431="", "", VLOOKUP(A431, 'ROMANEIO POR ITEM'!#REF!, 4, FALSE))</f>
        <v/>
      </c>
      <c r="E431" t="str">
        <f>IF(A431="", "", VLOOKUP(A431, 'ROMANEIO POR ITEM'!#REF!, 5, FALSE))</f>
        <v/>
      </c>
      <c r="F431" t="str">
        <f>IF(A431="", "", VLOOKUP(A431, 'ROMANEIO POR ITEM'!#REF!, 6, FALSE))</f>
        <v/>
      </c>
    </row>
    <row r="432" spans="1:6">
      <c r="A432" t="str">
        <f>IFERROR(_xlfn.SINGLE(INDEX('ROMANEIO POR ITEM'!#REF!, SMALL(IF(_xlfn.SINGLE('ROMANEIO POR ITEM'!#REF!)&lt;&gt;0,_xlfn.SINGLE( ROW('ROMANEIO POR ITEM'!#REF!))-ROW('ROMANEIO POR ITEM'!#REF!)+1), ROW(A431)))), "")</f>
        <v/>
      </c>
      <c r="B432" t="str">
        <f>IF(A432="", "", VLOOKUP(A432, 'ROMANEIO POR ITEM'!#REF!, 2, FALSE))</f>
        <v/>
      </c>
      <c r="C432" t="str">
        <f>IF(A432="", "", VLOOKUP(A432, 'ROMANEIO POR ITEM'!#REF!, 3, FALSE))</f>
        <v/>
      </c>
      <c r="D432" t="str">
        <f>IF(A432="", "", VLOOKUP(A432, 'ROMANEIO POR ITEM'!#REF!, 4, FALSE))</f>
        <v/>
      </c>
      <c r="E432" t="str">
        <f>IF(A432="", "", VLOOKUP(A432, 'ROMANEIO POR ITEM'!#REF!, 5, FALSE))</f>
        <v/>
      </c>
      <c r="F432" t="str">
        <f>IF(A432="", "", VLOOKUP(A432, 'ROMANEIO POR ITEM'!#REF!, 6, FALSE))</f>
        <v/>
      </c>
    </row>
    <row r="433" spans="1:6">
      <c r="A433" t="str">
        <f>IFERROR(_xlfn.SINGLE(INDEX('ROMANEIO POR ITEM'!#REF!, SMALL(IF(_xlfn.SINGLE('ROMANEIO POR ITEM'!#REF!)&lt;&gt;0,_xlfn.SINGLE( ROW('ROMANEIO POR ITEM'!#REF!))-ROW('ROMANEIO POR ITEM'!#REF!)+1), ROW(A432)))), "")</f>
        <v/>
      </c>
      <c r="B433" t="str">
        <f>IF(A433="", "", VLOOKUP(A433, 'ROMANEIO POR ITEM'!#REF!, 2, FALSE))</f>
        <v/>
      </c>
      <c r="C433" t="str">
        <f>IF(A433="", "", VLOOKUP(A433, 'ROMANEIO POR ITEM'!#REF!, 3, FALSE))</f>
        <v/>
      </c>
      <c r="D433" t="str">
        <f>IF(A433="", "", VLOOKUP(A433, 'ROMANEIO POR ITEM'!#REF!, 4, FALSE))</f>
        <v/>
      </c>
      <c r="E433" t="str">
        <f>IF(A433="", "", VLOOKUP(A433, 'ROMANEIO POR ITEM'!#REF!, 5, FALSE))</f>
        <v/>
      </c>
      <c r="F433" t="str">
        <f>IF(A433="", "", VLOOKUP(A433, 'ROMANEIO POR ITEM'!#REF!, 6, FALSE))</f>
        <v/>
      </c>
    </row>
    <row r="434" spans="1:6">
      <c r="A434" t="str">
        <f>IFERROR(_xlfn.SINGLE(INDEX('ROMANEIO POR ITEM'!#REF!, SMALL(IF(_xlfn.SINGLE('ROMANEIO POR ITEM'!#REF!)&lt;&gt;0,_xlfn.SINGLE( ROW('ROMANEIO POR ITEM'!#REF!))-ROW('ROMANEIO POR ITEM'!#REF!)+1), ROW(A433)))), "")</f>
        <v/>
      </c>
      <c r="B434" t="str">
        <f>IF(A434="", "", VLOOKUP(A434, 'ROMANEIO POR ITEM'!#REF!, 2, FALSE))</f>
        <v/>
      </c>
      <c r="C434" t="str">
        <f>IF(A434="", "", VLOOKUP(A434, 'ROMANEIO POR ITEM'!#REF!, 3, FALSE))</f>
        <v/>
      </c>
      <c r="D434" t="str">
        <f>IF(A434="", "", VLOOKUP(A434, 'ROMANEIO POR ITEM'!#REF!, 4, FALSE))</f>
        <v/>
      </c>
      <c r="E434" t="str">
        <f>IF(A434="", "", VLOOKUP(A434, 'ROMANEIO POR ITEM'!#REF!, 5, FALSE))</f>
        <v/>
      </c>
      <c r="F434" t="str">
        <f>IF(A434="", "", VLOOKUP(A434, 'ROMANEIO POR ITEM'!#REF!, 6, FALSE))</f>
        <v/>
      </c>
    </row>
    <row r="435" spans="1:6">
      <c r="A435" t="str">
        <f>IFERROR(_xlfn.SINGLE(INDEX('ROMANEIO POR ITEM'!#REF!, SMALL(IF(_xlfn.SINGLE('ROMANEIO POR ITEM'!#REF!)&lt;&gt;0,_xlfn.SINGLE( ROW('ROMANEIO POR ITEM'!#REF!))-ROW('ROMANEIO POR ITEM'!#REF!)+1), ROW(A434)))), "")</f>
        <v/>
      </c>
      <c r="B435" t="str">
        <f>IF(A435="", "", VLOOKUP(A435, 'ROMANEIO POR ITEM'!#REF!, 2, FALSE))</f>
        <v/>
      </c>
      <c r="C435" t="str">
        <f>IF(A435="", "", VLOOKUP(A435, 'ROMANEIO POR ITEM'!#REF!, 3, FALSE))</f>
        <v/>
      </c>
      <c r="D435" t="str">
        <f>IF(A435="", "", VLOOKUP(A435, 'ROMANEIO POR ITEM'!#REF!, 4, FALSE))</f>
        <v/>
      </c>
      <c r="E435" t="str">
        <f>IF(A435="", "", VLOOKUP(A435, 'ROMANEIO POR ITEM'!#REF!, 5, FALSE))</f>
        <v/>
      </c>
      <c r="F435" t="str">
        <f>IF(A435="", "", VLOOKUP(A435, 'ROMANEIO POR ITEM'!#REF!, 6, FALSE))</f>
        <v/>
      </c>
    </row>
    <row r="436" spans="1:6">
      <c r="A436" t="str">
        <f>IFERROR(_xlfn.SINGLE(INDEX('ROMANEIO POR ITEM'!#REF!, SMALL(IF(_xlfn.SINGLE('ROMANEIO POR ITEM'!#REF!)&lt;&gt;0,_xlfn.SINGLE( ROW('ROMANEIO POR ITEM'!#REF!))-ROW('ROMANEIO POR ITEM'!#REF!)+1), ROW(A435)))), "")</f>
        <v/>
      </c>
      <c r="B436" t="str">
        <f>IF(A436="", "", VLOOKUP(A436, 'ROMANEIO POR ITEM'!#REF!, 2, FALSE))</f>
        <v/>
      </c>
      <c r="C436" t="str">
        <f>IF(A436="", "", VLOOKUP(A436, 'ROMANEIO POR ITEM'!#REF!, 3, FALSE))</f>
        <v/>
      </c>
      <c r="D436" t="str">
        <f>IF(A436="", "", VLOOKUP(A436, 'ROMANEIO POR ITEM'!#REF!, 4, FALSE))</f>
        <v/>
      </c>
      <c r="E436" t="str">
        <f>IF(A436="", "", VLOOKUP(A436, 'ROMANEIO POR ITEM'!#REF!, 5, FALSE))</f>
        <v/>
      </c>
      <c r="F436" t="str">
        <f>IF(A436="", "", VLOOKUP(A436, 'ROMANEIO POR ITEM'!#REF!, 6, FALSE))</f>
        <v/>
      </c>
    </row>
    <row r="437" spans="1:6">
      <c r="A437" t="str">
        <f>IFERROR(_xlfn.SINGLE(INDEX('ROMANEIO POR ITEM'!#REF!, SMALL(IF(_xlfn.SINGLE('ROMANEIO POR ITEM'!#REF!)&lt;&gt;0,_xlfn.SINGLE( ROW('ROMANEIO POR ITEM'!#REF!))-ROW('ROMANEIO POR ITEM'!#REF!)+1), ROW(A436)))), "")</f>
        <v/>
      </c>
      <c r="B437" t="str">
        <f>IF(A437="", "", VLOOKUP(A437, 'ROMANEIO POR ITEM'!#REF!, 2, FALSE))</f>
        <v/>
      </c>
      <c r="C437" t="str">
        <f>IF(A437="", "", VLOOKUP(A437, 'ROMANEIO POR ITEM'!#REF!, 3, FALSE))</f>
        <v/>
      </c>
      <c r="D437" t="str">
        <f>IF(A437="", "", VLOOKUP(A437, 'ROMANEIO POR ITEM'!#REF!, 4, FALSE))</f>
        <v/>
      </c>
      <c r="E437" t="str">
        <f>IF(A437="", "", VLOOKUP(A437, 'ROMANEIO POR ITEM'!#REF!, 5, FALSE))</f>
        <v/>
      </c>
      <c r="F437" t="str">
        <f>IF(A437="", "", VLOOKUP(A437, 'ROMANEIO POR ITEM'!#REF!, 6, FALSE))</f>
        <v/>
      </c>
    </row>
    <row r="438" spans="1:6">
      <c r="A438" t="str">
        <f>IFERROR(_xlfn.SINGLE(INDEX('ROMANEIO POR ITEM'!#REF!, SMALL(IF(_xlfn.SINGLE('ROMANEIO POR ITEM'!#REF!)&lt;&gt;0,_xlfn.SINGLE( ROW('ROMANEIO POR ITEM'!#REF!))-ROW('ROMANEIO POR ITEM'!#REF!)+1), ROW(A437)))), "")</f>
        <v/>
      </c>
      <c r="B438" t="str">
        <f>IF(A438="", "", VLOOKUP(A438, 'ROMANEIO POR ITEM'!#REF!, 2, FALSE))</f>
        <v/>
      </c>
      <c r="C438" t="str">
        <f>IF(A438="", "", VLOOKUP(A438, 'ROMANEIO POR ITEM'!#REF!, 3, FALSE))</f>
        <v/>
      </c>
      <c r="D438" t="str">
        <f>IF(A438="", "", VLOOKUP(A438, 'ROMANEIO POR ITEM'!#REF!, 4, FALSE))</f>
        <v/>
      </c>
      <c r="E438" t="str">
        <f>IF(A438="", "", VLOOKUP(A438, 'ROMANEIO POR ITEM'!#REF!, 5, FALSE))</f>
        <v/>
      </c>
      <c r="F438" t="str">
        <f>IF(A438="", "", VLOOKUP(A438, 'ROMANEIO POR ITEM'!#REF!, 6, FALSE))</f>
        <v/>
      </c>
    </row>
    <row r="439" spans="1:6">
      <c r="A439" t="str">
        <f>IFERROR(_xlfn.SINGLE(INDEX('ROMANEIO POR ITEM'!#REF!, SMALL(IF(_xlfn.SINGLE('ROMANEIO POR ITEM'!#REF!)&lt;&gt;0,_xlfn.SINGLE( ROW('ROMANEIO POR ITEM'!#REF!))-ROW('ROMANEIO POR ITEM'!#REF!)+1), ROW(A438)))), "")</f>
        <v/>
      </c>
      <c r="B439" t="str">
        <f>IF(A439="", "", VLOOKUP(A439, 'ROMANEIO POR ITEM'!#REF!, 2, FALSE))</f>
        <v/>
      </c>
      <c r="C439" t="str">
        <f>IF(A439="", "", VLOOKUP(A439, 'ROMANEIO POR ITEM'!#REF!, 3, FALSE))</f>
        <v/>
      </c>
      <c r="D439" t="str">
        <f>IF(A439="", "", VLOOKUP(A439, 'ROMANEIO POR ITEM'!#REF!, 4, FALSE))</f>
        <v/>
      </c>
      <c r="E439" t="str">
        <f>IF(A439="", "", VLOOKUP(A439, 'ROMANEIO POR ITEM'!#REF!, 5, FALSE))</f>
        <v/>
      </c>
      <c r="F439" t="str">
        <f>IF(A439="", "", VLOOKUP(A439, 'ROMANEIO POR ITEM'!#REF!, 6, FALSE))</f>
        <v/>
      </c>
    </row>
    <row r="440" spans="1:6">
      <c r="A440" t="str">
        <f>IFERROR(_xlfn.SINGLE(INDEX('ROMANEIO POR ITEM'!#REF!, SMALL(IF(_xlfn.SINGLE('ROMANEIO POR ITEM'!#REF!)&lt;&gt;0,_xlfn.SINGLE( ROW('ROMANEIO POR ITEM'!#REF!))-ROW('ROMANEIO POR ITEM'!#REF!)+1), ROW(A439)))), "")</f>
        <v/>
      </c>
      <c r="B440" t="str">
        <f>IF(A440="", "", VLOOKUP(A440, 'ROMANEIO POR ITEM'!#REF!, 2, FALSE))</f>
        <v/>
      </c>
      <c r="C440" t="str">
        <f>IF(A440="", "", VLOOKUP(A440, 'ROMANEIO POR ITEM'!#REF!, 3, FALSE))</f>
        <v/>
      </c>
      <c r="D440" t="str">
        <f>IF(A440="", "", VLOOKUP(A440, 'ROMANEIO POR ITEM'!#REF!, 4, FALSE))</f>
        <v/>
      </c>
      <c r="E440" t="str">
        <f>IF(A440="", "", VLOOKUP(A440, 'ROMANEIO POR ITEM'!#REF!, 5, FALSE))</f>
        <v/>
      </c>
      <c r="F440" t="str">
        <f>IF(A440="", "", VLOOKUP(A440, 'ROMANEIO POR ITEM'!#REF!, 6, FALSE))</f>
        <v/>
      </c>
    </row>
    <row r="441" spans="1:6">
      <c r="A441" t="str">
        <f>IFERROR(_xlfn.SINGLE(INDEX('ROMANEIO POR ITEM'!#REF!, SMALL(IF(_xlfn.SINGLE('ROMANEIO POR ITEM'!#REF!)&lt;&gt;0,_xlfn.SINGLE( ROW('ROMANEIO POR ITEM'!#REF!))-ROW('ROMANEIO POR ITEM'!#REF!)+1), ROW(A440)))), "")</f>
        <v/>
      </c>
      <c r="B441" t="str">
        <f>IF(A441="", "", VLOOKUP(A441, 'ROMANEIO POR ITEM'!#REF!, 2, FALSE))</f>
        <v/>
      </c>
      <c r="C441" t="str">
        <f>IF(A441="", "", VLOOKUP(A441, 'ROMANEIO POR ITEM'!#REF!, 3, FALSE))</f>
        <v/>
      </c>
      <c r="D441" t="str">
        <f>IF(A441="", "", VLOOKUP(A441, 'ROMANEIO POR ITEM'!#REF!, 4, FALSE))</f>
        <v/>
      </c>
      <c r="E441" t="str">
        <f>IF(A441="", "", VLOOKUP(A441, 'ROMANEIO POR ITEM'!#REF!, 5, FALSE))</f>
        <v/>
      </c>
      <c r="F441" t="str">
        <f>IF(A441="", "", VLOOKUP(A441, 'ROMANEIO POR ITEM'!#REF!, 6, FALSE))</f>
        <v/>
      </c>
    </row>
    <row r="442" spans="1:6">
      <c r="A442" t="str">
        <f>IFERROR(_xlfn.SINGLE(INDEX('ROMANEIO POR ITEM'!#REF!, SMALL(IF(_xlfn.SINGLE('ROMANEIO POR ITEM'!#REF!)&lt;&gt;0,_xlfn.SINGLE( ROW('ROMANEIO POR ITEM'!#REF!))-ROW('ROMANEIO POR ITEM'!#REF!)+1), ROW(A441)))), "")</f>
        <v/>
      </c>
      <c r="B442" t="str">
        <f>IF(A442="", "", VLOOKUP(A442, 'ROMANEIO POR ITEM'!#REF!, 2, FALSE))</f>
        <v/>
      </c>
      <c r="C442" t="str">
        <f>IF(A442="", "", VLOOKUP(A442, 'ROMANEIO POR ITEM'!#REF!, 3, FALSE))</f>
        <v/>
      </c>
      <c r="D442" t="str">
        <f>IF(A442="", "", VLOOKUP(A442, 'ROMANEIO POR ITEM'!#REF!, 4, FALSE))</f>
        <v/>
      </c>
      <c r="E442" t="str">
        <f>IF(A442="", "", VLOOKUP(A442, 'ROMANEIO POR ITEM'!#REF!, 5, FALSE))</f>
        <v/>
      </c>
      <c r="F442" t="str">
        <f>IF(A442="", "", VLOOKUP(A442, 'ROMANEIO POR ITEM'!#REF!, 6, FALSE))</f>
        <v/>
      </c>
    </row>
    <row r="443" spans="1:6">
      <c r="A443" t="str">
        <f>IFERROR(_xlfn.SINGLE(INDEX('ROMANEIO POR ITEM'!#REF!, SMALL(IF(_xlfn.SINGLE('ROMANEIO POR ITEM'!#REF!)&lt;&gt;0,_xlfn.SINGLE( ROW('ROMANEIO POR ITEM'!#REF!))-ROW('ROMANEIO POR ITEM'!#REF!)+1), ROW(A442)))), "")</f>
        <v/>
      </c>
      <c r="B443" t="str">
        <f>IF(A443="", "", VLOOKUP(A443, 'ROMANEIO POR ITEM'!#REF!, 2, FALSE))</f>
        <v/>
      </c>
      <c r="C443" t="str">
        <f>IF(A443="", "", VLOOKUP(A443, 'ROMANEIO POR ITEM'!#REF!, 3, FALSE))</f>
        <v/>
      </c>
      <c r="D443" t="str">
        <f>IF(A443="", "", VLOOKUP(A443, 'ROMANEIO POR ITEM'!#REF!, 4, FALSE))</f>
        <v/>
      </c>
      <c r="E443" t="str">
        <f>IF(A443="", "", VLOOKUP(A443, 'ROMANEIO POR ITEM'!#REF!, 5, FALSE))</f>
        <v/>
      </c>
      <c r="F443" t="str">
        <f>IF(A443="", "", VLOOKUP(A443, 'ROMANEIO POR ITEM'!#REF!, 6, FALSE))</f>
        <v/>
      </c>
    </row>
    <row r="444" spans="1:6">
      <c r="A444" t="str">
        <f>IFERROR(_xlfn.SINGLE(INDEX('ROMANEIO POR ITEM'!#REF!, SMALL(IF(_xlfn.SINGLE('ROMANEIO POR ITEM'!#REF!)&lt;&gt;0,_xlfn.SINGLE( ROW('ROMANEIO POR ITEM'!#REF!))-ROW('ROMANEIO POR ITEM'!#REF!)+1), ROW(A443)))), "")</f>
        <v/>
      </c>
      <c r="B444" t="str">
        <f>IF(A444="", "", VLOOKUP(A444, 'ROMANEIO POR ITEM'!#REF!, 2, FALSE))</f>
        <v/>
      </c>
      <c r="C444" t="str">
        <f>IF(A444="", "", VLOOKUP(A444, 'ROMANEIO POR ITEM'!#REF!, 3, FALSE))</f>
        <v/>
      </c>
      <c r="D444" t="str">
        <f>IF(A444="", "", VLOOKUP(A444, 'ROMANEIO POR ITEM'!#REF!, 4, FALSE))</f>
        <v/>
      </c>
      <c r="E444" t="str">
        <f>IF(A444="", "", VLOOKUP(A444, 'ROMANEIO POR ITEM'!#REF!, 5, FALSE))</f>
        <v/>
      </c>
      <c r="F444" t="str">
        <f>IF(A444="", "", VLOOKUP(A444, 'ROMANEIO POR ITEM'!#REF!, 6, FALSE))</f>
        <v/>
      </c>
    </row>
    <row r="445" spans="1:6">
      <c r="A445" t="str">
        <f>IFERROR(_xlfn.SINGLE(INDEX('ROMANEIO POR ITEM'!#REF!, SMALL(IF(_xlfn.SINGLE('ROMANEIO POR ITEM'!#REF!)&lt;&gt;0,_xlfn.SINGLE( ROW('ROMANEIO POR ITEM'!#REF!))-ROW('ROMANEIO POR ITEM'!#REF!)+1), ROW(A444)))), "")</f>
        <v/>
      </c>
      <c r="B445" t="str">
        <f>IF(A445="", "", VLOOKUP(A445, 'ROMANEIO POR ITEM'!#REF!, 2, FALSE))</f>
        <v/>
      </c>
      <c r="C445" t="str">
        <f>IF(A445="", "", VLOOKUP(A445, 'ROMANEIO POR ITEM'!#REF!, 3, FALSE))</f>
        <v/>
      </c>
      <c r="D445" t="str">
        <f>IF(A445="", "", VLOOKUP(A445, 'ROMANEIO POR ITEM'!#REF!, 4, FALSE))</f>
        <v/>
      </c>
      <c r="E445" t="str">
        <f>IF(A445="", "", VLOOKUP(A445, 'ROMANEIO POR ITEM'!#REF!, 5, FALSE))</f>
        <v/>
      </c>
      <c r="F445" t="str">
        <f>IF(A445="", "", VLOOKUP(A445, 'ROMANEIO POR ITEM'!#REF!, 6, FALSE))</f>
        <v/>
      </c>
    </row>
    <row r="446" spans="1:6">
      <c r="A446" t="str">
        <f>IFERROR(_xlfn.SINGLE(INDEX('ROMANEIO POR ITEM'!#REF!, SMALL(IF(_xlfn.SINGLE('ROMANEIO POR ITEM'!#REF!)&lt;&gt;0,_xlfn.SINGLE( ROW('ROMANEIO POR ITEM'!#REF!))-ROW('ROMANEIO POR ITEM'!#REF!)+1), ROW(A445)))), "")</f>
        <v/>
      </c>
      <c r="B446" t="str">
        <f>IF(A446="", "", VLOOKUP(A446, 'ROMANEIO POR ITEM'!#REF!, 2, FALSE))</f>
        <v/>
      </c>
      <c r="C446" t="str">
        <f>IF(A446="", "", VLOOKUP(A446, 'ROMANEIO POR ITEM'!#REF!, 3, FALSE))</f>
        <v/>
      </c>
      <c r="D446" t="str">
        <f>IF(A446="", "", VLOOKUP(A446, 'ROMANEIO POR ITEM'!#REF!, 4, FALSE))</f>
        <v/>
      </c>
      <c r="E446" t="str">
        <f>IF(A446="", "", VLOOKUP(A446, 'ROMANEIO POR ITEM'!#REF!, 5, FALSE))</f>
        <v/>
      </c>
      <c r="F446" t="str">
        <f>IF(A446="", "", VLOOKUP(A446, 'ROMANEIO POR ITEM'!#REF!, 6, FALSE))</f>
        <v/>
      </c>
    </row>
    <row r="447" spans="1:6">
      <c r="A447" t="str">
        <f>IFERROR(_xlfn.SINGLE(INDEX('ROMANEIO POR ITEM'!#REF!, SMALL(IF(_xlfn.SINGLE('ROMANEIO POR ITEM'!#REF!)&lt;&gt;0,_xlfn.SINGLE( ROW('ROMANEIO POR ITEM'!#REF!))-ROW('ROMANEIO POR ITEM'!#REF!)+1), ROW(A446)))), "")</f>
        <v/>
      </c>
      <c r="B447" t="str">
        <f>IF(A447="", "", VLOOKUP(A447, 'ROMANEIO POR ITEM'!#REF!, 2, FALSE))</f>
        <v/>
      </c>
      <c r="C447" t="str">
        <f>IF(A447="", "", VLOOKUP(A447, 'ROMANEIO POR ITEM'!#REF!, 3, FALSE))</f>
        <v/>
      </c>
      <c r="D447" t="str">
        <f>IF(A447="", "", VLOOKUP(A447, 'ROMANEIO POR ITEM'!#REF!, 4, FALSE))</f>
        <v/>
      </c>
      <c r="E447" t="str">
        <f>IF(A447="", "", VLOOKUP(A447, 'ROMANEIO POR ITEM'!#REF!, 5, FALSE))</f>
        <v/>
      </c>
      <c r="F447" t="str">
        <f>IF(A447="", "", VLOOKUP(A447, 'ROMANEIO POR ITEM'!#REF!, 6, FALSE))</f>
        <v/>
      </c>
    </row>
    <row r="448" spans="1:6">
      <c r="A448" t="str">
        <f>IFERROR(_xlfn.SINGLE(INDEX('ROMANEIO POR ITEM'!#REF!, SMALL(IF(_xlfn.SINGLE('ROMANEIO POR ITEM'!#REF!)&lt;&gt;0,_xlfn.SINGLE( ROW('ROMANEIO POR ITEM'!#REF!))-ROW('ROMANEIO POR ITEM'!#REF!)+1), ROW(A447)))), "")</f>
        <v/>
      </c>
      <c r="B448" t="str">
        <f>IF(A448="", "", VLOOKUP(A448, 'ROMANEIO POR ITEM'!#REF!, 2, FALSE))</f>
        <v/>
      </c>
      <c r="C448" t="str">
        <f>IF(A448="", "", VLOOKUP(A448, 'ROMANEIO POR ITEM'!#REF!, 3, FALSE))</f>
        <v/>
      </c>
      <c r="D448" t="str">
        <f>IF(A448="", "", VLOOKUP(A448, 'ROMANEIO POR ITEM'!#REF!, 4, FALSE))</f>
        <v/>
      </c>
      <c r="E448" t="str">
        <f>IF(A448="", "", VLOOKUP(A448, 'ROMANEIO POR ITEM'!#REF!, 5, FALSE))</f>
        <v/>
      </c>
      <c r="F448" t="str">
        <f>IF(A448="", "", VLOOKUP(A448, 'ROMANEIO POR ITEM'!#REF!, 6, FALSE))</f>
        <v/>
      </c>
    </row>
    <row r="449" spans="1:6">
      <c r="A449" t="str">
        <f>IFERROR(_xlfn.SINGLE(INDEX('ROMANEIO POR ITEM'!#REF!, SMALL(IF(_xlfn.SINGLE('ROMANEIO POR ITEM'!#REF!)&lt;&gt;0,_xlfn.SINGLE( ROW('ROMANEIO POR ITEM'!#REF!))-ROW('ROMANEIO POR ITEM'!#REF!)+1), ROW(A448)))), "")</f>
        <v/>
      </c>
      <c r="B449" t="str">
        <f>IF(A449="", "", VLOOKUP(A449, 'ROMANEIO POR ITEM'!#REF!, 2, FALSE))</f>
        <v/>
      </c>
      <c r="C449" t="str">
        <f>IF(A449="", "", VLOOKUP(A449, 'ROMANEIO POR ITEM'!#REF!, 3, FALSE))</f>
        <v/>
      </c>
      <c r="D449" t="str">
        <f>IF(A449="", "", VLOOKUP(A449, 'ROMANEIO POR ITEM'!#REF!, 4, FALSE))</f>
        <v/>
      </c>
      <c r="E449" t="str">
        <f>IF(A449="", "", VLOOKUP(A449, 'ROMANEIO POR ITEM'!#REF!, 5, FALSE))</f>
        <v/>
      </c>
      <c r="F449" t="str">
        <f>IF(A449="", "", VLOOKUP(A449, 'ROMANEIO POR ITEM'!#REF!, 6, FALSE))</f>
        <v/>
      </c>
    </row>
    <row r="450" spans="1:6">
      <c r="A450" t="str">
        <f>IFERROR(_xlfn.SINGLE(INDEX('ROMANEIO POR ITEM'!#REF!, SMALL(IF(_xlfn.SINGLE('ROMANEIO POR ITEM'!#REF!)&lt;&gt;0,_xlfn.SINGLE( ROW('ROMANEIO POR ITEM'!#REF!))-ROW('ROMANEIO POR ITEM'!#REF!)+1), ROW(A449)))), "")</f>
        <v/>
      </c>
      <c r="B450" t="str">
        <f>IF(A450="", "", VLOOKUP(A450, 'ROMANEIO POR ITEM'!#REF!, 2, FALSE))</f>
        <v/>
      </c>
      <c r="C450" t="str">
        <f>IF(A450="", "", VLOOKUP(A450, 'ROMANEIO POR ITEM'!#REF!, 3, FALSE))</f>
        <v/>
      </c>
      <c r="D450" t="str">
        <f>IF(A450="", "", VLOOKUP(A450, 'ROMANEIO POR ITEM'!#REF!, 4, FALSE))</f>
        <v/>
      </c>
      <c r="E450" t="str">
        <f>IF(A450="", "", VLOOKUP(A450, 'ROMANEIO POR ITEM'!#REF!, 5, FALSE))</f>
        <v/>
      </c>
      <c r="F450" t="str">
        <f>IF(A450="", "", VLOOKUP(A450, 'ROMANEIO POR ITEM'!#REF!, 6, FALSE))</f>
        <v/>
      </c>
    </row>
    <row r="451" spans="1:6">
      <c r="A451" t="str">
        <f>IFERROR(_xlfn.SINGLE(INDEX('ROMANEIO POR ITEM'!#REF!, SMALL(IF(_xlfn.SINGLE('ROMANEIO POR ITEM'!#REF!)&lt;&gt;0,_xlfn.SINGLE( ROW('ROMANEIO POR ITEM'!#REF!))-ROW('ROMANEIO POR ITEM'!#REF!)+1), ROW(A450)))), "")</f>
        <v/>
      </c>
      <c r="B451" t="str">
        <f>IF(A451="", "", VLOOKUP(A451, 'ROMANEIO POR ITEM'!#REF!, 2, FALSE))</f>
        <v/>
      </c>
      <c r="C451" t="str">
        <f>IF(A451="", "", VLOOKUP(A451, 'ROMANEIO POR ITEM'!#REF!, 3, FALSE))</f>
        <v/>
      </c>
      <c r="D451" t="str">
        <f>IF(A451="", "", VLOOKUP(A451, 'ROMANEIO POR ITEM'!#REF!, 4, FALSE))</f>
        <v/>
      </c>
      <c r="E451" t="str">
        <f>IF(A451="", "", VLOOKUP(A451, 'ROMANEIO POR ITEM'!#REF!, 5, FALSE))</f>
        <v/>
      </c>
      <c r="F451" t="str">
        <f>IF(A451="", "", VLOOKUP(A451, 'ROMANEIO POR ITEM'!#REF!, 6, FALSE))</f>
        <v/>
      </c>
    </row>
    <row r="452" spans="1:6">
      <c r="A452" t="str">
        <f>IFERROR(_xlfn.SINGLE(INDEX('ROMANEIO POR ITEM'!#REF!, SMALL(IF(_xlfn.SINGLE('ROMANEIO POR ITEM'!#REF!)&lt;&gt;0,_xlfn.SINGLE( ROW('ROMANEIO POR ITEM'!#REF!))-ROW('ROMANEIO POR ITEM'!#REF!)+1), ROW(A451)))), "")</f>
        <v/>
      </c>
      <c r="B452" t="str">
        <f>IF(A452="", "", VLOOKUP(A452, 'ROMANEIO POR ITEM'!#REF!, 2, FALSE))</f>
        <v/>
      </c>
      <c r="C452" t="str">
        <f>IF(A452="", "", VLOOKUP(A452, 'ROMANEIO POR ITEM'!#REF!, 3, FALSE))</f>
        <v/>
      </c>
      <c r="D452" t="str">
        <f>IF(A452="", "", VLOOKUP(A452, 'ROMANEIO POR ITEM'!#REF!, 4, FALSE))</f>
        <v/>
      </c>
      <c r="E452" t="str">
        <f>IF(A452="", "", VLOOKUP(A452, 'ROMANEIO POR ITEM'!#REF!, 5, FALSE))</f>
        <v/>
      </c>
      <c r="F452" t="str">
        <f>IF(A452="", "", VLOOKUP(A452, 'ROMANEIO POR ITEM'!#REF!, 6, FALSE))</f>
        <v/>
      </c>
    </row>
    <row r="453" spans="1:6">
      <c r="A453" t="str">
        <f>IFERROR(_xlfn.SINGLE(INDEX('ROMANEIO POR ITEM'!#REF!, SMALL(IF(_xlfn.SINGLE('ROMANEIO POR ITEM'!#REF!)&lt;&gt;0,_xlfn.SINGLE( ROW('ROMANEIO POR ITEM'!#REF!))-ROW('ROMANEIO POR ITEM'!#REF!)+1), ROW(A452)))), "")</f>
        <v/>
      </c>
      <c r="B453" t="str">
        <f>IF(A453="", "", VLOOKUP(A453, 'ROMANEIO POR ITEM'!#REF!, 2, FALSE))</f>
        <v/>
      </c>
      <c r="C453" t="str">
        <f>IF(A453="", "", VLOOKUP(A453, 'ROMANEIO POR ITEM'!#REF!, 3, FALSE))</f>
        <v/>
      </c>
      <c r="D453" t="str">
        <f>IF(A453="", "", VLOOKUP(A453, 'ROMANEIO POR ITEM'!#REF!, 4, FALSE))</f>
        <v/>
      </c>
      <c r="E453" t="str">
        <f>IF(A453="", "", VLOOKUP(A453, 'ROMANEIO POR ITEM'!#REF!, 5, FALSE))</f>
        <v/>
      </c>
      <c r="F453" t="str">
        <f>IF(A453="", "", VLOOKUP(A453, 'ROMANEIO POR ITEM'!#REF!, 6, FALSE))</f>
        <v/>
      </c>
    </row>
    <row r="454" spans="1:6">
      <c r="A454" t="str">
        <f>IFERROR(_xlfn.SINGLE(INDEX('ROMANEIO POR ITEM'!#REF!, SMALL(IF(_xlfn.SINGLE('ROMANEIO POR ITEM'!#REF!)&lt;&gt;0,_xlfn.SINGLE( ROW('ROMANEIO POR ITEM'!#REF!))-ROW('ROMANEIO POR ITEM'!#REF!)+1), ROW(A453)))), "")</f>
        <v/>
      </c>
      <c r="B454" t="str">
        <f>IF(A454="", "", VLOOKUP(A454, 'ROMANEIO POR ITEM'!#REF!, 2, FALSE))</f>
        <v/>
      </c>
      <c r="C454" t="str">
        <f>IF(A454="", "", VLOOKUP(A454, 'ROMANEIO POR ITEM'!#REF!, 3, FALSE))</f>
        <v/>
      </c>
      <c r="D454" t="str">
        <f>IF(A454="", "", VLOOKUP(A454, 'ROMANEIO POR ITEM'!#REF!, 4, FALSE))</f>
        <v/>
      </c>
      <c r="E454" t="str">
        <f>IF(A454="", "", VLOOKUP(A454, 'ROMANEIO POR ITEM'!#REF!, 5, FALSE))</f>
        <v/>
      </c>
      <c r="F454" t="str">
        <f>IF(A454="", "", VLOOKUP(A454, 'ROMANEIO POR ITEM'!#REF!, 6, FALSE))</f>
        <v/>
      </c>
    </row>
    <row r="455" spans="1:6">
      <c r="A455" t="str">
        <f>IFERROR(_xlfn.SINGLE(INDEX('ROMANEIO POR ITEM'!#REF!, SMALL(IF(_xlfn.SINGLE('ROMANEIO POR ITEM'!#REF!)&lt;&gt;0,_xlfn.SINGLE( ROW('ROMANEIO POR ITEM'!#REF!))-ROW('ROMANEIO POR ITEM'!#REF!)+1), ROW(A454)))), "")</f>
        <v/>
      </c>
      <c r="B455" t="str">
        <f>IF(A455="", "", VLOOKUP(A455, 'ROMANEIO POR ITEM'!#REF!, 2, FALSE))</f>
        <v/>
      </c>
      <c r="C455" t="str">
        <f>IF(A455="", "", VLOOKUP(A455, 'ROMANEIO POR ITEM'!#REF!, 3, FALSE))</f>
        <v/>
      </c>
      <c r="D455" t="str">
        <f>IF(A455="", "", VLOOKUP(A455, 'ROMANEIO POR ITEM'!#REF!, 4, FALSE))</f>
        <v/>
      </c>
      <c r="E455" t="str">
        <f>IF(A455="", "", VLOOKUP(A455, 'ROMANEIO POR ITEM'!#REF!, 5, FALSE))</f>
        <v/>
      </c>
      <c r="F455" t="str">
        <f>IF(A455="", "", VLOOKUP(A455, 'ROMANEIO POR ITEM'!#REF!, 6, FALSE))</f>
        <v/>
      </c>
    </row>
    <row r="456" spans="1:6">
      <c r="A456" t="str">
        <f>IFERROR(_xlfn.SINGLE(INDEX('ROMANEIO POR ITEM'!#REF!, SMALL(IF(_xlfn.SINGLE('ROMANEIO POR ITEM'!#REF!)&lt;&gt;0,_xlfn.SINGLE( ROW('ROMANEIO POR ITEM'!#REF!))-ROW('ROMANEIO POR ITEM'!#REF!)+1), ROW(A455)))), "")</f>
        <v/>
      </c>
      <c r="B456" t="str">
        <f>IF(A456="", "", VLOOKUP(A456, 'ROMANEIO POR ITEM'!#REF!, 2, FALSE))</f>
        <v/>
      </c>
      <c r="C456" t="str">
        <f>IF(A456="", "", VLOOKUP(A456, 'ROMANEIO POR ITEM'!#REF!, 3, FALSE))</f>
        <v/>
      </c>
      <c r="D456" t="str">
        <f>IF(A456="", "", VLOOKUP(A456, 'ROMANEIO POR ITEM'!#REF!, 4, FALSE))</f>
        <v/>
      </c>
      <c r="E456" t="str">
        <f>IF(A456="", "", VLOOKUP(A456, 'ROMANEIO POR ITEM'!#REF!, 5, FALSE))</f>
        <v/>
      </c>
      <c r="F456" t="str">
        <f>IF(A456="", "", VLOOKUP(A456, 'ROMANEIO POR ITEM'!#REF!, 6, FALSE))</f>
        <v/>
      </c>
    </row>
    <row r="457" spans="1:6">
      <c r="A457" t="str">
        <f>IFERROR(_xlfn.SINGLE(INDEX('ROMANEIO POR ITEM'!#REF!, SMALL(IF(_xlfn.SINGLE('ROMANEIO POR ITEM'!#REF!)&lt;&gt;0,_xlfn.SINGLE( ROW('ROMANEIO POR ITEM'!#REF!))-ROW('ROMANEIO POR ITEM'!#REF!)+1), ROW(A456)))), "")</f>
        <v/>
      </c>
      <c r="B457" t="str">
        <f>IF(A457="", "", VLOOKUP(A457, 'ROMANEIO POR ITEM'!#REF!, 2, FALSE))</f>
        <v/>
      </c>
      <c r="C457" t="str">
        <f>IF(A457="", "", VLOOKUP(A457, 'ROMANEIO POR ITEM'!#REF!, 3, FALSE))</f>
        <v/>
      </c>
      <c r="D457" t="str">
        <f>IF(A457="", "", VLOOKUP(A457, 'ROMANEIO POR ITEM'!#REF!, 4, FALSE))</f>
        <v/>
      </c>
      <c r="E457" t="str">
        <f>IF(A457="", "", VLOOKUP(A457, 'ROMANEIO POR ITEM'!#REF!, 5, FALSE))</f>
        <v/>
      </c>
      <c r="F457" t="str">
        <f>IF(A457="", "", VLOOKUP(A457, 'ROMANEIO POR ITEM'!#REF!, 6, FALSE))</f>
        <v/>
      </c>
    </row>
    <row r="458" spans="1:6">
      <c r="A458" t="str">
        <f>IFERROR(_xlfn.SINGLE(INDEX('ROMANEIO POR ITEM'!#REF!, SMALL(IF(_xlfn.SINGLE('ROMANEIO POR ITEM'!#REF!)&lt;&gt;0,_xlfn.SINGLE( ROW('ROMANEIO POR ITEM'!#REF!))-ROW('ROMANEIO POR ITEM'!#REF!)+1), ROW(A457)))), "")</f>
        <v/>
      </c>
      <c r="B458" t="str">
        <f>IF(A458="", "", VLOOKUP(A458, 'ROMANEIO POR ITEM'!#REF!, 2, FALSE))</f>
        <v/>
      </c>
      <c r="C458" t="str">
        <f>IF(A458="", "", VLOOKUP(A458, 'ROMANEIO POR ITEM'!#REF!, 3, FALSE))</f>
        <v/>
      </c>
      <c r="D458" t="str">
        <f>IF(A458="", "", VLOOKUP(A458, 'ROMANEIO POR ITEM'!#REF!, 4, FALSE))</f>
        <v/>
      </c>
      <c r="E458" t="str">
        <f>IF(A458="", "", VLOOKUP(A458, 'ROMANEIO POR ITEM'!#REF!, 5, FALSE))</f>
        <v/>
      </c>
      <c r="F458" t="str">
        <f>IF(A458="", "", VLOOKUP(A458, 'ROMANEIO POR ITEM'!#REF!, 6, FALSE))</f>
        <v/>
      </c>
    </row>
    <row r="459" spans="1:6">
      <c r="A459" t="str">
        <f>IFERROR(_xlfn.SINGLE(INDEX('ROMANEIO POR ITEM'!#REF!, SMALL(IF(_xlfn.SINGLE('ROMANEIO POR ITEM'!#REF!)&lt;&gt;0,_xlfn.SINGLE( ROW('ROMANEIO POR ITEM'!#REF!))-ROW('ROMANEIO POR ITEM'!#REF!)+1), ROW(A458)))), "")</f>
        <v/>
      </c>
      <c r="B459" t="str">
        <f>IF(A459="", "", VLOOKUP(A459, 'ROMANEIO POR ITEM'!#REF!, 2, FALSE))</f>
        <v/>
      </c>
      <c r="C459" t="str">
        <f>IF(A459="", "", VLOOKUP(A459, 'ROMANEIO POR ITEM'!#REF!, 3, FALSE))</f>
        <v/>
      </c>
      <c r="D459" t="str">
        <f>IF(A459="", "", VLOOKUP(A459, 'ROMANEIO POR ITEM'!#REF!, 4, FALSE))</f>
        <v/>
      </c>
      <c r="E459" t="str">
        <f>IF(A459="", "", VLOOKUP(A459, 'ROMANEIO POR ITEM'!#REF!, 5, FALSE))</f>
        <v/>
      </c>
      <c r="F459" t="str">
        <f>IF(A459="", "", VLOOKUP(A459, 'ROMANEIO POR ITEM'!#REF!, 6, FALSE))</f>
        <v/>
      </c>
    </row>
    <row r="460" spans="1:6">
      <c r="A460" t="str">
        <f>IFERROR(_xlfn.SINGLE(INDEX('ROMANEIO POR ITEM'!#REF!, SMALL(IF(_xlfn.SINGLE('ROMANEIO POR ITEM'!#REF!)&lt;&gt;0,_xlfn.SINGLE( ROW('ROMANEIO POR ITEM'!#REF!))-ROW('ROMANEIO POR ITEM'!#REF!)+1), ROW(A459)))), "")</f>
        <v/>
      </c>
      <c r="B460" t="str">
        <f>IF(A460="", "", VLOOKUP(A460, 'ROMANEIO POR ITEM'!#REF!, 2, FALSE))</f>
        <v/>
      </c>
      <c r="C460" t="str">
        <f>IF(A460="", "", VLOOKUP(A460, 'ROMANEIO POR ITEM'!#REF!, 3, FALSE))</f>
        <v/>
      </c>
      <c r="D460" t="str">
        <f>IF(A460="", "", VLOOKUP(A460, 'ROMANEIO POR ITEM'!#REF!, 4, FALSE))</f>
        <v/>
      </c>
      <c r="E460" t="str">
        <f>IF(A460="", "", VLOOKUP(A460, 'ROMANEIO POR ITEM'!#REF!, 5, FALSE))</f>
        <v/>
      </c>
      <c r="F460" t="str">
        <f>IF(A460="", "", VLOOKUP(A460, 'ROMANEIO POR ITEM'!#REF!, 6, FALSE))</f>
        <v/>
      </c>
    </row>
    <row r="461" spans="1:6">
      <c r="A461" t="str">
        <f>IFERROR(_xlfn.SINGLE(INDEX('ROMANEIO POR ITEM'!#REF!, SMALL(IF(_xlfn.SINGLE('ROMANEIO POR ITEM'!#REF!)&lt;&gt;0,_xlfn.SINGLE( ROW('ROMANEIO POR ITEM'!#REF!))-ROW('ROMANEIO POR ITEM'!#REF!)+1), ROW(A460)))), "")</f>
        <v/>
      </c>
      <c r="B461" t="str">
        <f>IF(A461="", "", VLOOKUP(A461, 'ROMANEIO POR ITEM'!#REF!, 2, FALSE))</f>
        <v/>
      </c>
      <c r="C461" t="str">
        <f>IF(A461="", "", VLOOKUP(A461, 'ROMANEIO POR ITEM'!#REF!, 3, FALSE))</f>
        <v/>
      </c>
      <c r="D461" t="str">
        <f>IF(A461="", "", VLOOKUP(A461, 'ROMANEIO POR ITEM'!#REF!, 4, FALSE))</f>
        <v/>
      </c>
      <c r="E461" t="str">
        <f>IF(A461="", "", VLOOKUP(A461, 'ROMANEIO POR ITEM'!#REF!, 5, FALSE))</f>
        <v/>
      </c>
      <c r="F461" t="str">
        <f>IF(A461="", "", VLOOKUP(A461, 'ROMANEIO POR ITEM'!#REF!, 6, FALSE))</f>
        <v/>
      </c>
    </row>
    <row r="462" spans="1:6">
      <c r="A462" t="str">
        <f>IFERROR(_xlfn.SINGLE(INDEX('ROMANEIO POR ITEM'!#REF!, SMALL(IF(_xlfn.SINGLE('ROMANEIO POR ITEM'!#REF!)&lt;&gt;0,_xlfn.SINGLE( ROW('ROMANEIO POR ITEM'!#REF!))-ROW('ROMANEIO POR ITEM'!#REF!)+1), ROW(A461)))), "")</f>
        <v/>
      </c>
      <c r="B462" t="str">
        <f>IF(A462="", "", VLOOKUP(A462, 'ROMANEIO POR ITEM'!#REF!, 2, FALSE))</f>
        <v/>
      </c>
      <c r="C462" t="str">
        <f>IF(A462="", "", VLOOKUP(A462, 'ROMANEIO POR ITEM'!#REF!, 3, FALSE))</f>
        <v/>
      </c>
      <c r="D462" t="str">
        <f>IF(A462="", "", VLOOKUP(A462, 'ROMANEIO POR ITEM'!#REF!, 4, FALSE))</f>
        <v/>
      </c>
      <c r="E462" t="str">
        <f>IF(A462="", "", VLOOKUP(A462, 'ROMANEIO POR ITEM'!#REF!, 5, FALSE))</f>
        <v/>
      </c>
      <c r="F462" t="str">
        <f>IF(A462="", "", VLOOKUP(A462, 'ROMANEIO POR ITEM'!#REF!, 6, FALSE))</f>
        <v/>
      </c>
    </row>
    <row r="463" spans="1:6">
      <c r="A463" t="str">
        <f>IFERROR(_xlfn.SINGLE(INDEX('ROMANEIO POR ITEM'!#REF!, SMALL(IF(_xlfn.SINGLE('ROMANEIO POR ITEM'!#REF!)&lt;&gt;0,_xlfn.SINGLE( ROW('ROMANEIO POR ITEM'!#REF!))-ROW('ROMANEIO POR ITEM'!#REF!)+1), ROW(A462)))), "")</f>
        <v/>
      </c>
      <c r="B463" t="str">
        <f>IF(A463="", "", VLOOKUP(A463, 'ROMANEIO POR ITEM'!#REF!, 2, FALSE))</f>
        <v/>
      </c>
      <c r="C463" t="str">
        <f>IF(A463="", "", VLOOKUP(A463, 'ROMANEIO POR ITEM'!#REF!, 3, FALSE))</f>
        <v/>
      </c>
      <c r="D463" t="str">
        <f>IF(A463="", "", VLOOKUP(A463, 'ROMANEIO POR ITEM'!#REF!, 4, FALSE))</f>
        <v/>
      </c>
      <c r="E463" t="str">
        <f>IF(A463="", "", VLOOKUP(A463, 'ROMANEIO POR ITEM'!#REF!, 5, FALSE))</f>
        <v/>
      </c>
      <c r="F463" t="str">
        <f>IF(A463="", "", VLOOKUP(A463, 'ROMANEIO POR ITEM'!#REF!, 6, FALSE))</f>
        <v/>
      </c>
    </row>
    <row r="464" spans="1:6">
      <c r="A464" t="str">
        <f>IFERROR(_xlfn.SINGLE(INDEX('ROMANEIO POR ITEM'!#REF!, SMALL(IF(_xlfn.SINGLE('ROMANEIO POR ITEM'!#REF!)&lt;&gt;0,_xlfn.SINGLE( ROW('ROMANEIO POR ITEM'!#REF!))-ROW('ROMANEIO POR ITEM'!#REF!)+1), ROW(A463)))), "")</f>
        <v/>
      </c>
      <c r="B464" t="str">
        <f>IF(A464="", "", VLOOKUP(A464, 'ROMANEIO POR ITEM'!#REF!, 2, FALSE))</f>
        <v/>
      </c>
      <c r="C464" t="str">
        <f>IF(A464="", "", VLOOKUP(A464, 'ROMANEIO POR ITEM'!#REF!, 3, FALSE))</f>
        <v/>
      </c>
      <c r="D464" t="str">
        <f>IF(A464="", "", VLOOKUP(A464, 'ROMANEIO POR ITEM'!#REF!, 4, FALSE))</f>
        <v/>
      </c>
      <c r="E464" t="str">
        <f>IF(A464="", "", VLOOKUP(A464, 'ROMANEIO POR ITEM'!#REF!, 5, FALSE))</f>
        <v/>
      </c>
      <c r="F464" t="str">
        <f>IF(A464="", "", VLOOKUP(A464, 'ROMANEIO POR ITEM'!#REF!, 6, FALSE))</f>
        <v/>
      </c>
    </row>
    <row r="465" spans="1:6">
      <c r="A465" t="str">
        <f>IFERROR(_xlfn.SINGLE(INDEX('ROMANEIO POR ITEM'!#REF!, SMALL(IF(_xlfn.SINGLE('ROMANEIO POR ITEM'!#REF!)&lt;&gt;0,_xlfn.SINGLE( ROW('ROMANEIO POR ITEM'!#REF!))-ROW('ROMANEIO POR ITEM'!#REF!)+1), ROW(A464)))), "")</f>
        <v/>
      </c>
      <c r="B465" t="str">
        <f>IF(A465="", "", VLOOKUP(A465, 'ROMANEIO POR ITEM'!#REF!, 2, FALSE))</f>
        <v/>
      </c>
      <c r="C465" t="str">
        <f>IF(A465="", "", VLOOKUP(A465, 'ROMANEIO POR ITEM'!#REF!, 3, FALSE))</f>
        <v/>
      </c>
      <c r="D465" t="str">
        <f>IF(A465="", "", VLOOKUP(A465, 'ROMANEIO POR ITEM'!#REF!, 4, FALSE))</f>
        <v/>
      </c>
      <c r="E465" t="str">
        <f>IF(A465="", "", VLOOKUP(A465, 'ROMANEIO POR ITEM'!#REF!, 5, FALSE))</f>
        <v/>
      </c>
      <c r="F465" t="str">
        <f>IF(A465="", "", VLOOKUP(A465, 'ROMANEIO POR ITEM'!#REF!, 6, FALSE))</f>
        <v/>
      </c>
    </row>
    <row r="466" spans="1:6">
      <c r="A466" t="str">
        <f>IFERROR(_xlfn.SINGLE(INDEX('ROMANEIO POR ITEM'!#REF!, SMALL(IF(_xlfn.SINGLE('ROMANEIO POR ITEM'!#REF!)&lt;&gt;0,_xlfn.SINGLE( ROW('ROMANEIO POR ITEM'!#REF!))-ROW('ROMANEIO POR ITEM'!#REF!)+1), ROW(A465)))), "")</f>
        <v/>
      </c>
      <c r="B466" t="str">
        <f>IF(A466="", "", VLOOKUP(A466, 'ROMANEIO POR ITEM'!#REF!, 2, FALSE))</f>
        <v/>
      </c>
      <c r="C466" t="str">
        <f>IF(A466="", "", VLOOKUP(A466, 'ROMANEIO POR ITEM'!#REF!, 3, FALSE))</f>
        <v/>
      </c>
      <c r="D466" t="str">
        <f>IF(A466="", "", VLOOKUP(A466, 'ROMANEIO POR ITEM'!#REF!, 4, FALSE))</f>
        <v/>
      </c>
      <c r="E466" t="str">
        <f>IF(A466="", "", VLOOKUP(A466, 'ROMANEIO POR ITEM'!#REF!, 5, FALSE))</f>
        <v/>
      </c>
      <c r="F466" t="str">
        <f>IF(A466="", "", VLOOKUP(A466, 'ROMANEIO POR ITEM'!#REF!, 6, FALSE))</f>
        <v/>
      </c>
    </row>
    <row r="467" spans="1:6">
      <c r="A467" t="str">
        <f>IFERROR(_xlfn.SINGLE(INDEX('ROMANEIO POR ITEM'!#REF!, SMALL(IF(_xlfn.SINGLE('ROMANEIO POR ITEM'!#REF!)&lt;&gt;0,_xlfn.SINGLE( ROW('ROMANEIO POR ITEM'!#REF!))-ROW('ROMANEIO POR ITEM'!#REF!)+1), ROW(A466)))), "")</f>
        <v/>
      </c>
      <c r="B467" t="str">
        <f>IF(A467="", "", VLOOKUP(A467, 'ROMANEIO POR ITEM'!#REF!, 2, FALSE))</f>
        <v/>
      </c>
      <c r="C467" t="str">
        <f>IF(A467="", "", VLOOKUP(A467, 'ROMANEIO POR ITEM'!#REF!, 3, FALSE))</f>
        <v/>
      </c>
      <c r="D467" t="str">
        <f>IF(A467="", "", VLOOKUP(A467, 'ROMANEIO POR ITEM'!#REF!, 4, FALSE))</f>
        <v/>
      </c>
      <c r="E467" t="str">
        <f>IF(A467="", "", VLOOKUP(A467, 'ROMANEIO POR ITEM'!#REF!, 5, FALSE))</f>
        <v/>
      </c>
      <c r="F467" t="str">
        <f>IF(A467="", "", VLOOKUP(A467, 'ROMANEIO POR ITEM'!#REF!, 6, FALSE))</f>
        <v/>
      </c>
    </row>
    <row r="468" spans="1:6">
      <c r="A468" t="str">
        <f>IFERROR(_xlfn.SINGLE(INDEX('ROMANEIO POR ITEM'!#REF!, SMALL(IF(_xlfn.SINGLE('ROMANEIO POR ITEM'!#REF!)&lt;&gt;0,_xlfn.SINGLE( ROW('ROMANEIO POR ITEM'!#REF!))-ROW('ROMANEIO POR ITEM'!#REF!)+1), ROW(A467)))), "")</f>
        <v/>
      </c>
      <c r="B468" t="str">
        <f>IF(A468="", "", VLOOKUP(A468, 'ROMANEIO POR ITEM'!#REF!, 2, FALSE))</f>
        <v/>
      </c>
      <c r="C468" t="str">
        <f>IF(A468="", "", VLOOKUP(A468, 'ROMANEIO POR ITEM'!#REF!, 3, FALSE))</f>
        <v/>
      </c>
      <c r="D468" t="str">
        <f>IF(A468="", "", VLOOKUP(A468, 'ROMANEIO POR ITEM'!#REF!, 4, FALSE))</f>
        <v/>
      </c>
      <c r="E468" t="str">
        <f>IF(A468="", "", VLOOKUP(A468, 'ROMANEIO POR ITEM'!#REF!, 5, FALSE))</f>
        <v/>
      </c>
      <c r="F468" t="str">
        <f>IF(A468="", "", VLOOKUP(A468, 'ROMANEIO POR ITEM'!#REF!, 6, FALSE))</f>
        <v/>
      </c>
    </row>
    <row r="469" spans="1:6">
      <c r="A469" t="str">
        <f>IFERROR(_xlfn.SINGLE(INDEX('ROMANEIO POR ITEM'!#REF!, SMALL(IF(_xlfn.SINGLE('ROMANEIO POR ITEM'!#REF!)&lt;&gt;0,_xlfn.SINGLE( ROW('ROMANEIO POR ITEM'!#REF!))-ROW('ROMANEIO POR ITEM'!#REF!)+1), ROW(A468)))), "")</f>
        <v/>
      </c>
      <c r="B469" t="str">
        <f>IF(A469="", "", VLOOKUP(A469, 'ROMANEIO POR ITEM'!#REF!, 2, FALSE))</f>
        <v/>
      </c>
      <c r="C469" t="str">
        <f>IF(A469="", "", VLOOKUP(A469, 'ROMANEIO POR ITEM'!#REF!, 3, FALSE))</f>
        <v/>
      </c>
      <c r="D469" t="str">
        <f>IF(A469="", "", VLOOKUP(A469, 'ROMANEIO POR ITEM'!#REF!, 4, FALSE))</f>
        <v/>
      </c>
      <c r="E469" t="str">
        <f>IF(A469="", "", VLOOKUP(A469, 'ROMANEIO POR ITEM'!#REF!, 5, FALSE))</f>
        <v/>
      </c>
      <c r="F469" t="str">
        <f>IF(A469="", "", VLOOKUP(A469, 'ROMANEIO POR ITEM'!#REF!, 6, FALSE))</f>
        <v/>
      </c>
    </row>
    <row r="470" spans="1:6">
      <c r="A470" t="str">
        <f>IFERROR(_xlfn.SINGLE(INDEX('ROMANEIO POR ITEM'!#REF!, SMALL(IF(_xlfn.SINGLE('ROMANEIO POR ITEM'!#REF!)&lt;&gt;0,_xlfn.SINGLE( ROW('ROMANEIO POR ITEM'!#REF!))-ROW('ROMANEIO POR ITEM'!#REF!)+1), ROW(A469)))), "")</f>
        <v/>
      </c>
      <c r="B470" t="str">
        <f>IF(A470="", "", VLOOKUP(A470, 'ROMANEIO POR ITEM'!#REF!, 2, FALSE))</f>
        <v/>
      </c>
      <c r="C470" t="str">
        <f>IF(A470="", "", VLOOKUP(A470, 'ROMANEIO POR ITEM'!#REF!, 3, FALSE))</f>
        <v/>
      </c>
      <c r="D470" t="str">
        <f>IF(A470="", "", VLOOKUP(A470, 'ROMANEIO POR ITEM'!#REF!, 4, FALSE))</f>
        <v/>
      </c>
      <c r="E470" t="str">
        <f>IF(A470="", "", VLOOKUP(A470, 'ROMANEIO POR ITEM'!#REF!, 5, FALSE))</f>
        <v/>
      </c>
      <c r="F470" t="str">
        <f>IF(A470="", "", VLOOKUP(A470, 'ROMANEIO POR ITEM'!#REF!, 6, FALSE))</f>
        <v/>
      </c>
    </row>
    <row r="471" spans="1:6">
      <c r="A471" t="str">
        <f>IFERROR(_xlfn.SINGLE(INDEX('ROMANEIO POR ITEM'!#REF!, SMALL(IF(_xlfn.SINGLE('ROMANEIO POR ITEM'!#REF!)&lt;&gt;0,_xlfn.SINGLE( ROW('ROMANEIO POR ITEM'!#REF!))-ROW('ROMANEIO POR ITEM'!#REF!)+1), ROW(A470)))), "")</f>
        <v/>
      </c>
      <c r="B471" t="str">
        <f>IF(A471="", "", VLOOKUP(A471, 'ROMANEIO POR ITEM'!#REF!, 2, FALSE))</f>
        <v/>
      </c>
      <c r="C471" t="str">
        <f>IF(A471="", "", VLOOKUP(A471, 'ROMANEIO POR ITEM'!#REF!, 3, FALSE))</f>
        <v/>
      </c>
      <c r="D471" t="str">
        <f>IF(A471="", "", VLOOKUP(A471, 'ROMANEIO POR ITEM'!#REF!, 4, FALSE))</f>
        <v/>
      </c>
      <c r="E471" t="str">
        <f>IF(A471="", "", VLOOKUP(A471, 'ROMANEIO POR ITEM'!#REF!, 5, FALSE))</f>
        <v/>
      </c>
      <c r="F471" t="str">
        <f>IF(A471="", "", VLOOKUP(A471, 'ROMANEIO POR ITEM'!#REF!, 6, FALSE))</f>
        <v/>
      </c>
    </row>
    <row r="472" spans="1:6">
      <c r="A472" t="str">
        <f>IFERROR(_xlfn.SINGLE(INDEX('ROMANEIO POR ITEM'!#REF!, SMALL(IF(_xlfn.SINGLE('ROMANEIO POR ITEM'!#REF!)&lt;&gt;0,_xlfn.SINGLE( ROW('ROMANEIO POR ITEM'!#REF!))-ROW('ROMANEIO POR ITEM'!#REF!)+1), ROW(A471)))), "")</f>
        <v/>
      </c>
      <c r="B472" t="str">
        <f>IF(A472="", "", VLOOKUP(A472, 'ROMANEIO POR ITEM'!#REF!, 2, FALSE))</f>
        <v/>
      </c>
      <c r="C472" t="str">
        <f>IF(A472="", "", VLOOKUP(A472, 'ROMANEIO POR ITEM'!#REF!, 3, FALSE))</f>
        <v/>
      </c>
      <c r="D472" t="str">
        <f>IF(A472="", "", VLOOKUP(A472, 'ROMANEIO POR ITEM'!#REF!, 4, FALSE))</f>
        <v/>
      </c>
      <c r="E472" t="str">
        <f>IF(A472="", "", VLOOKUP(A472, 'ROMANEIO POR ITEM'!#REF!, 5, FALSE))</f>
        <v/>
      </c>
      <c r="F472" t="str">
        <f>IF(A472="", "", VLOOKUP(A472, 'ROMANEIO POR ITEM'!#REF!, 6, FALSE))</f>
        <v/>
      </c>
    </row>
    <row r="473" spans="1:6">
      <c r="A473" t="str">
        <f>IFERROR(_xlfn.SINGLE(INDEX('ROMANEIO POR ITEM'!#REF!, SMALL(IF(_xlfn.SINGLE('ROMANEIO POR ITEM'!#REF!)&lt;&gt;0,_xlfn.SINGLE( ROW('ROMANEIO POR ITEM'!#REF!))-ROW('ROMANEIO POR ITEM'!#REF!)+1), ROW(A472)))), "")</f>
        <v/>
      </c>
      <c r="B473" t="str">
        <f>IF(A473="", "", VLOOKUP(A473, 'ROMANEIO POR ITEM'!#REF!, 2, FALSE))</f>
        <v/>
      </c>
      <c r="C473" t="str">
        <f>IF(A473="", "", VLOOKUP(A473, 'ROMANEIO POR ITEM'!#REF!, 3, FALSE))</f>
        <v/>
      </c>
      <c r="D473" t="str">
        <f>IF(A473="", "", VLOOKUP(A473, 'ROMANEIO POR ITEM'!#REF!, 4, FALSE))</f>
        <v/>
      </c>
      <c r="E473" t="str">
        <f>IF(A473="", "", VLOOKUP(A473, 'ROMANEIO POR ITEM'!#REF!, 5, FALSE))</f>
        <v/>
      </c>
      <c r="F473" t="str">
        <f>IF(A473="", "", VLOOKUP(A473, 'ROMANEIO POR ITEM'!#REF!, 6, FALSE))</f>
        <v/>
      </c>
    </row>
    <row r="474" spans="1:6">
      <c r="A474" t="str">
        <f>IFERROR(_xlfn.SINGLE(INDEX('ROMANEIO POR ITEM'!#REF!, SMALL(IF(_xlfn.SINGLE('ROMANEIO POR ITEM'!#REF!)&lt;&gt;0,_xlfn.SINGLE( ROW('ROMANEIO POR ITEM'!#REF!))-ROW('ROMANEIO POR ITEM'!#REF!)+1), ROW(A473)))), "")</f>
        <v/>
      </c>
      <c r="B474" t="str">
        <f>IF(A474="", "", VLOOKUP(A474, 'ROMANEIO POR ITEM'!#REF!, 2, FALSE))</f>
        <v/>
      </c>
      <c r="C474" t="str">
        <f>IF(A474="", "", VLOOKUP(A474, 'ROMANEIO POR ITEM'!#REF!, 3, FALSE))</f>
        <v/>
      </c>
      <c r="D474" t="str">
        <f>IF(A474="", "", VLOOKUP(A474, 'ROMANEIO POR ITEM'!#REF!, 4, FALSE))</f>
        <v/>
      </c>
      <c r="E474" t="str">
        <f>IF(A474="", "", VLOOKUP(A474, 'ROMANEIO POR ITEM'!#REF!, 5, FALSE))</f>
        <v/>
      </c>
      <c r="F474" t="str">
        <f>IF(A474="", "", VLOOKUP(A474, 'ROMANEIO POR ITEM'!#REF!, 6, FALSE))</f>
        <v/>
      </c>
    </row>
    <row r="475" spans="1:6">
      <c r="A475" t="str">
        <f>IFERROR(_xlfn.SINGLE(INDEX('ROMANEIO POR ITEM'!#REF!, SMALL(IF(_xlfn.SINGLE('ROMANEIO POR ITEM'!#REF!)&lt;&gt;0,_xlfn.SINGLE( ROW('ROMANEIO POR ITEM'!#REF!))-ROW('ROMANEIO POR ITEM'!#REF!)+1), ROW(A474)))), "")</f>
        <v/>
      </c>
      <c r="B475" t="str">
        <f>IF(A475="", "", VLOOKUP(A475, 'ROMANEIO POR ITEM'!#REF!, 2, FALSE))</f>
        <v/>
      </c>
      <c r="C475" t="str">
        <f>IF(A475="", "", VLOOKUP(A475, 'ROMANEIO POR ITEM'!#REF!, 3, FALSE))</f>
        <v/>
      </c>
      <c r="D475" t="str">
        <f>IF(A475="", "", VLOOKUP(A475, 'ROMANEIO POR ITEM'!#REF!, 4, FALSE))</f>
        <v/>
      </c>
      <c r="E475" t="str">
        <f>IF(A475="", "", VLOOKUP(A475, 'ROMANEIO POR ITEM'!#REF!, 5, FALSE))</f>
        <v/>
      </c>
      <c r="F475" t="str">
        <f>IF(A475="", "", VLOOKUP(A475, 'ROMANEIO POR ITEM'!#REF!, 6, FALSE))</f>
        <v/>
      </c>
    </row>
    <row r="476" spans="1:6">
      <c r="A476" t="str">
        <f>IFERROR(_xlfn.SINGLE(INDEX('ROMANEIO POR ITEM'!#REF!, SMALL(IF(_xlfn.SINGLE('ROMANEIO POR ITEM'!#REF!)&lt;&gt;0,_xlfn.SINGLE( ROW('ROMANEIO POR ITEM'!#REF!))-ROW('ROMANEIO POR ITEM'!#REF!)+1), ROW(A475)))), "")</f>
        <v/>
      </c>
      <c r="B476" t="str">
        <f>IF(A476="", "", VLOOKUP(A476, 'ROMANEIO POR ITEM'!#REF!, 2, FALSE))</f>
        <v/>
      </c>
      <c r="C476" t="str">
        <f>IF(A476="", "", VLOOKUP(A476, 'ROMANEIO POR ITEM'!#REF!, 3, FALSE))</f>
        <v/>
      </c>
      <c r="D476" t="str">
        <f>IF(A476="", "", VLOOKUP(A476, 'ROMANEIO POR ITEM'!#REF!, 4, FALSE))</f>
        <v/>
      </c>
      <c r="E476" t="str">
        <f>IF(A476="", "", VLOOKUP(A476, 'ROMANEIO POR ITEM'!#REF!, 5, FALSE))</f>
        <v/>
      </c>
      <c r="F476" t="str">
        <f>IF(A476="", "", VLOOKUP(A476, 'ROMANEIO POR ITEM'!#REF!, 6, FALSE))</f>
        <v/>
      </c>
    </row>
    <row r="477" spans="1:6">
      <c r="A477" t="str">
        <f>IFERROR(_xlfn.SINGLE(INDEX('ROMANEIO POR ITEM'!#REF!, SMALL(IF(_xlfn.SINGLE('ROMANEIO POR ITEM'!#REF!)&lt;&gt;0,_xlfn.SINGLE( ROW('ROMANEIO POR ITEM'!#REF!))-ROW('ROMANEIO POR ITEM'!#REF!)+1), ROW(A476)))), "")</f>
        <v/>
      </c>
      <c r="B477" t="str">
        <f>IF(A477="", "", VLOOKUP(A477, 'ROMANEIO POR ITEM'!#REF!, 2, FALSE))</f>
        <v/>
      </c>
      <c r="C477" t="str">
        <f>IF(A477="", "", VLOOKUP(A477, 'ROMANEIO POR ITEM'!#REF!, 3, FALSE))</f>
        <v/>
      </c>
      <c r="D477" t="str">
        <f>IF(A477="", "", VLOOKUP(A477, 'ROMANEIO POR ITEM'!#REF!, 4, FALSE))</f>
        <v/>
      </c>
      <c r="E477" t="str">
        <f>IF(A477="", "", VLOOKUP(A477, 'ROMANEIO POR ITEM'!#REF!, 5, FALSE))</f>
        <v/>
      </c>
      <c r="F477" t="str">
        <f>IF(A477="", "", VLOOKUP(A477, 'ROMANEIO POR ITEM'!#REF!, 6, FALSE))</f>
        <v/>
      </c>
    </row>
    <row r="478" spans="1:6">
      <c r="A478" t="str">
        <f>IFERROR(_xlfn.SINGLE(INDEX('ROMANEIO POR ITEM'!#REF!, SMALL(IF(_xlfn.SINGLE('ROMANEIO POR ITEM'!#REF!)&lt;&gt;0,_xlfn.SINGLE( ROW('ROMANEIO POR ITEM'!#REF!))-ROW('ROMANEIO POR ITEM'!#REF!)+1), ROW(A477)))), "")</f>
        <v/>
      </c>
      <c r="B478" t="str">
        <f>IF(A478="", "", VLOOKUP(A478, 'ROMANEIO POR ITEM'!#REF!, 2, FALSE))</f>
        <v/>
      </c>
      <c r="C478" t="str">
        <f>IF(A478="", "", VLOOKUP(A478, 'ROMANEIO POR ITEM'!#REF!, 3, FALSE))</f>
        <v/>
      </c>
      <c r="D478" t="str">
        <f>IF(A478="", "", VLOOKUP(A478, 'ROMANEIO POR ITEM'!#REF!, 4, FALSE))</f>
        <v/>
      </c>
      <c r="E478" t="str">
        <f>IF(A478="", "", VLOOKUP(A478, 'ROMANEIO POR ITEM'!#REF!, 5, FALSE))</f>
        <v/>
      </c>
      <c r="F478" t="str">
        <f>IF(A478="", "", VLOOKUP(A478, 'ROMANEIO POR ITEM'!#REF!, 6, FALSE))</f>
        <v/>
      </c>
    </row>
    <row r="479" spans="1:6">
      <c r="A479" t="str">
        <f>IFERROR(_xlfn.SINGLE(INDEX('ROMANEIO POR ITEM'!#REF!, SMALL(IF(_xlfn.SINGLE('ROMANEIO POR ITEM'!#REF!)&lt;&gt;0,_xlfn.SINGLE( ROW('ROMANEIO POR ITEM'!#REF!))-ROW('ROMANEIO POR ITEM'!#REF!)+1), ROW(A478)))), "")</f>
        <v/>
      </c>
      <c r="B479" t="str">
        <f>IF(A479="", "", VLOOKUP(A479, 'ROMANEIO POR ITEM'!#REF!, 2, FALSE))</f>
        <v/>
      </c>
      <c r="C479" t="str">
        <f>IF(A479="", "", VLOOKUP(A479, 'ROMANEIO POR ITEM'!#REF!, 3, FALSE))</f>
        <v/>
      </c>
      <c r="D479" t="str">
        <f>IF(A479="", "", VLOOKUP(A479, 'ROMANEIO POR ITEM'!#REF!, 4, FALSE))</f>
        <v/>
      </c>
      <c r="E479" t="str">
        <f>IF(A479="", "", VLOOKUP(A479, 'ROMANEIO POR ITEM'!#REF!, 5, FALSE))</f>
        <v/>
      </c>
      <c r="F479" t="str">
        <f>IF(A479="", "", VLOOKUP(A479, 'ROMANEIO POR ITEM'!#REF!, 6, FALSE))</f>
        <v/>
      </c>
    </row>
    <row r="480" spans="1:6">
      <c r="A480" t="str">
        <f>IFERROR(_xlfn.SINGLE(INDEX('ROMANEIO POR ITEM'!#REF!, SMALL(IF(_xlfn.SINGLE('ROMANEIO POR ITEM'!#REF!)&lt;&gt;0,_xlfn.SINGLE( ROW('ROMANEIO POR ITEM'!#REF!))-ROW('ROMANEIO POR ITEM'!#REF!)+1), ROW(A479)))), "")</f>
        <v/>
      </c>
      <c r="B480" t="str">
        <f>IF(A480="", "", VLOOKUP(A480, 'ROMANEIO POR ITEM'!#REF!, 2, FALSE))</f>
        <v/>
      </c>
      <c r="C480" t="str">
        <f>IF(A480="", "", VLOOKUP(A480, 'ROMANEIO POR ITEM'!#REF!, 3, FALSE))</f>
        <v/>
      </c>
      <c r="D480" t="str">
        <f>IF(A480="", "", VLOOKUP(A480, 'ROMANEIO POR ITEM'!#REF!, 4, FALSE))</f>
        <v/>
      </c>
      <c r="E480" t="str">
        <f>IF(A480="", "", VLOOKUP(A480, 'ROMANEIO POR ITEM'!#REF!, 5, FALSE))</f>
        <v/>
      </c>
      <c r="F480" t="str">
        <f>IF(A480="", "", VLOOKUP(A480, 'ROMANEIO POR ITEM'!#REF!, 6, FALSE))</f>
        <v/>
      </c>
    </row>
    <row r="481" spans="1:6">
      <c r="A481" t="str">
        <f>IFERROR(_xlfn.SINGLE(INDEX('ROMANEIO POR ITEM'!#REF!, SMALL(IF(_xlfn.SINGLE('ROMANEIO POR ITEM'!#REF!)&lt;&gt;0,_xlfn.SINGLE( ROW('ROMANEIO POR ITEM'!#REF!))-ROW('ROMANEIO POR ITEM'!#REF!)+1), ROW(A480)))), "")</f>
        <v/>
      </c>
      <c r="B481" t="str">
        <f>IF(A481="", "", VLOOKUP(A481, 'ROMANEIO POR ITEM'!#REF!, 2, FALSE))</f>
        <v/>
      </c>
      <c r="C481" t="str">
        <f>IF(A481="", "", VLOOKUP(A481, 'ROMANEIO POR ITEM'!#REF!, 3, FALSE))</f>
        <v/>
      </c>
      <c r="D481" t="str">
        <f>IF(A481="", "", VLOOKUP(A481, 'ROMANEIO POR ITEM'!#REF!, 4, FALSE))</f>
        <v/>
      </c>
      <c r="E481" t="str">
        <f>IF(A481="", "", VLOOKUP(A481, 'ROMANEIO POR ITEM'!#REF!, 5, FALSE))</f>
        <v/>
      </c>
      <c r="F481" t="str">
        <f>IF(A481="", "", VLOOKUP(A481, 'ROMANEIO POR ITEM'!#REF!, 6, FALSE))</f>
        <v/>
      </c>
    </row>
    <row r="482" spans="1:6">
      <c r="A482" t="str">
        <f>IFERROR(_xlfn.SINGLE(INDEX('ROMANEIO POR ITEM'!#REF!, SMALL(IF(_xlfn.SINGLE('ROMANEIO POR ITEM'!#REF!)&lt;&gt;0,_xlfn.SINGLE( ROW('ROMANEIO POR ITEM'!#REF!))-ROW('ROMANEIO POR ITEM'!#REF!)+1), ROW(A481)))), "")</f>
        <v/>
      </c>
      <c r="B482" t="str">
        <f>IF(A482="", "", VLOOKUP(A482, 'ROMANEIO POR ITEM'!#REF!, 2, FALSE))</f>
        <v/>
      </c>
      <c r="C482" t="str">
        <f>IF(A482="", "", VLOOKUP(A482, 'ROMANEIO POR ITEM'!#REF!, 3, FALSE))</f>
        <v/>
      </c>
      <c r="D482" t="str">
        <f>IF(A482="", "", VLOOKUP(A482, 'ROMANEIO POR ITEM'!#REF!, 4, FALSE))</f>
        <v/>
      </c>
      <c r="E482" t="str">
        <f>IF(A482="", "", VLOOKUP(A482, 'ROMANEIO POR ITEM'!#REF!, 5, FALSE))</f>
        <v/>
      </c>
      <c r="F482" t="str">
        <f>IF(A482="", "", VLOOKUP(A482, 'ROMANEIO POR ITEM'!#REF!, 6, FALSE))</f>
        <v/>
      </c>
    </row>
    <row r="483" spans="1:6">
      <c r="A483" t="str">
        <f>IFERROR(_xlfn.SINGLE(INDEX('ROMANEIO POR ITEM'!#REF!, SMALL(IF(_xlfn.SINGLE('ROMANEIO POR ITEM'!#REF!)&lt;&gt;0,_xlfn.SINGLE( ROW('ROMANEIO POR ITEM'!#REF!))-ROW('ROMANEIO POR ITEM'!#REF!)+1), ROW(A482)))), "")</f>
        <v/>
      </c>
      <c r="B483" t="str">
        <f>IF(A483="", "", VLOOKUP(A483, 'ROMANEIO POR ITEM'!#REF!, 2, FALSE))</f>
        <v/>
      </c>
      <c r="C483" t="str">
        <f>IF(A483="", "", VLOOKUP(A483, 'ROMANEIO POR ITEM'!#REF!, 3, FALSE))</f>
        <v/>
      </c>
      <c r="D483" t="str">
        <f>IF(A483="", "", VLOOKUP(A483, 'ROMANEIO POR ITEM'!#REF!, 4, FALSE))</f>
        <v/>
      </c>
      <c r="E483" t="str">
        <f>IF(A483="", "", VLOOKUP(A483, 'ROMANEIO POR ITEM'!#REF!, 5, FALSE))</f>
        <v/>
      </c>
      <c r="F483" t="str">
        <f>IF(A483="", "", VLOOKUP(A483, 'ROMANEIO POR ITEM'!#REF!, 6, FALSE))</f>
        <v/>
      </c>
    </row>
    <row r="484" spans="1:6">
      <c r="A484" t="str">
        <f>IFERROR(_xlfn.SINGLE(INDEX('ROMANEIO POR ITEM'!#REF!, SMALL(IF(_xlfn.SINGLE('ROMANEIO POR ITEM'!#REF!)&lt;&gt;0,_xlfn.SINGLE( ROW('ROMANEIO POR ITEM'!#REF!))-ROW('ROMANEIO POR ITEM'!#REF!)+1), ROW(A483)))), "")</f>
        <v/>
      </c>
      <c r="B484" t="str">
        <f>IF(A484="", "", VLOOKUP(A484, 'ROMANEIO POR ITEM'!#REF!, 2, FALSE))</f>
        <v/>
      </c>
      <c r="C484" t="str">
        <f>IF(A484="", "", VLOOKUP(A484, 'ROMANEIO POR ITEM'!#REF!, 3, FALSE))</f>
        <v/>
      </c>
      <c r="D484" t="str">
        <f>IF(A484="", "", VLOOKUP(A484, 'ROMANEIO POR ITEM'!#REF!, 4, FALSE))</f>
        <v/>
      </c>
      <c r="E484" t="str">
        <f>IF(A484="", "", VLOOKUP(A484, 'ROMANEIO POR ITEM'!#REF!, 5, FALSE))</f>
        <v/>
      </c>
      <c r="F484" t="str">
        <f>IF(A484="", "", VLOOKUP(A484, 'ROMANEIO POR ITEM'!#REF!, 6, FALSE))</f>
        <v/>
      </c>
    </row>
    <row r="485" spans="1:6">
      <c r="A485" t="str">
        <f>IFERROR(_xlfn.SINGLE(INDEX('ROMANEIO POR ITEM'!#REF!, SMALL(IF(_xlfn.SINGLE('ROMANEIO POR ITEM'!#REF!)&lt;&gt;0,_xlfn.SINGLE( ROW('ROMANEIO POR ITEM'!#REF!))-ROW('ROMANEIO POR ITEM'!#REF!)+1), ROW(A484)))), "")</f>
        <v/>
      </c>
      <c r="B485" t="str">
        <f>IF(A485="", "", VLOOKUP(A485, 'ROMANEIO POR ITEM'!#REF!, 2, FALSE))</f>
        <v/>
      </c>
      <c r="C485" t="str">
        <f>IF(A485="", "", VLOOKUP(A485, 'ROMANEIO POR ITEM'!#REF!, 3, FALSE))</f>
        <v/>
      </c>
      <c r="D485" t="str">
        <f>IF(A485="", "", VLOOKUP(A485, 'ROMANEIO POR ITEM'!#REF!, 4, FALSE))</f>
        <v/>
      </c>
      <c r="E485" t="str">
        <f>IF(A485="", "", VLOOKUP(A485, 'ROMANEIO POR ITEM'!#REF!, 5, FALSE))</f>
        <v/>
      </c>
      <c r="F485" t="str">
        <f>IF(A485="", "", VLOOKUP(A485, 'ROMANEIO POR ITEM'!#REF!, 6, FALSE))</f>
        <v/>
      </c>
    </row>
    <row r="486" spans="1:6">
      <c r="A486" t="str">
        <f>IFERROR(_xlfn.SINGLE(INDEX('ROMANEIO POR ITEM'!#REF!, SMALL(IF(_xlfn.SINGLE('ROMANEIO POR ITEM'!#REF!)&lt;&gt;0,_xlfn.SINGLE( ROW('ROMANEIO POR ITEM'!#REF!))-ROW('ROMANEIO POR ITEM'!#REF!)+1), ROW(A485)))), "")</f>
        <v/>
      </c>
      <c r="B486" t="str">
        <f>IF(A486="", "", VLOOKUP(A486, 'ROMANEIO POR ITEM'!#REF!, 2, FALSE))</f>
        <v/>
      </c>
      <c r="C486" t="str">
        <f>IF(A486="", "", VLOOKUP(A486, 'ROMANEIO POR ITEM'!#REF!, 3, FALSE))</f>
        <v/>
      </c>
      <c r="D486" t="str">
        <f>IF(A486="", "", VLOOKUP(A486, 'ROMANEIO POR ITEM'!#REF!, 4, FALSE))</f>
        <v/>
      </c>
      <c r="E486" t="str">
        <f>IF(A486="", "", VLOOKUP(A486, 'ROMANEIO POR ITEM'!#REF!, 5, FALSE))</f>
        <v/>
      </c>
      <c r="F486" t="str">
        <f>IF(A486="", "", VLOOKUP(A486, 'ROMANEIO POR ITEM'!#REF!, 6, FALSE))</f>
        <v/>
      </c>
    </row>
    <row r="487" spans="1:6">
      <c r="A487" t="str">
        <f>IFERROR(_xlfn.SINGLE(INDEX('ROMANEIO POR ITEM'!#REF!, SMALL(IF(_xlfn.SINGLE('ROMANEIO POR ITEM'!#REF!)&lt;&gt;0,_xlfn.SINGLE( ROW('ROMANEIO POR ITEM'!#REF!))-ROW('ROMANEIO POR ITEM'!#REF!)+1), ROW(A486)))), "")</f>
        <v/>
      </c>
      <c r="B487" t="str">
        <f>IF(A487="", "", VLOOKUP(A487, 'ROMANEIO POR ITEM'!#REF!, 2, FALSE))</f>
        <v/>
      </c>
      <c r="C487" t="str">
        <f>IF(A487="", "", VLOOKUP(A487, 'ROMANEIO POR ITEM'!#REF!, 3, FALSE))</f>
        <v/>
      </c>
      <c r="D487" t="str">
        <f>IF(A487="", "", VLOOKUP(A487, 'ROMANEIO POR ITEM'!#REF!, 4, FALSE))</f>
        <v/>
      </c>
      <c r="E487" t="str">
        <f>IF(A487="", "", VLOOKUP(A487, 'ROMANEIO POR ITEM'!#REF!, 5, FALSE))</f>
        <v/>
      </c>
      <c r="F487" t="str">
        <f>IF(A487="", "", VLOOKUP(A487, 'ROMANEIO POR ITEM'!#REF!, 6, FALSE))</f>
        <v/>
      </c>
    </row>
    <row r="488" spans="1:6">
      <c r="A488" t="str">
        <f>IFERROR(_xlfn.SINGLE(INDEX('ROMANEIO POR ITEM'!#REF!, SMALL(IF(_xlfn.SINGLE('ROMANEIO POR ITEM'!#REF!)&lt;&gt;0,_xlfn.SINGLE( ROW('ROMANEIO POR ITEM'!#REF!))-ROW('ROMANEIO POR ITEM'!#REF!)+1), ROW(A487)))), "")</f>
        <v/>
      </c>
      <c r="B488" t="str">
        <f>IF(A488="", "", VLOOKUP(A488, 'ROMANEIO POR ITEM'!#REF!, 2, FALSE))</f>
        <v/>
      </c>
      <c r="C488" t="str">
        <f>IF(A488="", "", VLOOKUP(A488, 'ROMANEIO POR ITEM'!#REF!, 3, FALSE))</f>
        <v/>
      </c>
      <c r="D488" t="str">
        <f>IF(A488="", "", VLOOKUP(A488, 'ROMANEIO POR ITEM'!#REF!, 4, FALSE))</f>
        <v/>
      </c>
      <c r="E488" t="str">
        <f>IF(A488="", "", VLOOKUP(A488, 'ROMANEIO POR ITEM'!#REF!, 5, FALSE))</f>
        <v/>
      </c>
      <c r="F488" t="str">
        <f>IF(A488="", "", VLOOKUP(A488, 'ROMANEIO POR ITEM'!#REF!, 6, FALSE))</f>
        <v/>
      </c>
    </row>
    <row r="489" spans="1:6">
      <c r="A489" t="str">
        <f>IFERROR(_xlfn.SINGLE(INDEX('ROMANEIO POR ITEM'!#REF!, SMALL(IF(_xlfn.SINGLE('ROMANEIO POR ITEM'!#REF!)&lt;&gt;0,_xlfn.SINGLE( ROW('ROMANEIO POR ITEM'!#REF!))-ROW('ROMANEIO POR ITEM'!#REF!)+1), ROW(A488)))), "")</f>
        <v/>
      </c>
      <c r="B489" t="str">
        <f>IF(A489="", "", VLOOKUP(A489, 'ROMANEIO POR ITEM'!#REF!, 2, FALSE))</f>
        <v/>
      </c>
      <c r="C489" t="str">
        <f>IF(A489="", "", VLOOKUP(A489, 'ROMANEIO POR ITEM'!#REF!, 3, FALSE))</f>
        <v/>
      </c>
      <c r="D489" t="str">
        <f>IF(A489="", "", VLOOKUP(A489, 'ROMANEIO POR ITEM'!#REF!, 4, FALSE))</f>
        <v/>
      </c>
      <c r="E489" t="str">
        <f>IF(A489="", "", VLOOKUP(A489, 'ROMANEIO POR ITEM'!#REF!, 5, FALSE))</f>
        <v/>
      </c>
      <c r="F489" t="str">
        <f>IF(A489="", "", VLOOKUP(A489, 'ROMANEIO POR ITEM'!#REF!, 6, FALSE))</f>
        <v/>
      </c>
    </row>
    <row r="490" spans="1:6">
      <c r="A490" t="str">
        <f>IFERROR(_xlfn.SINGLE(INDEX('ROMANEIO POR ITEM'!#REF!, SMALL(IF(_xlfn.SINGLE('ROMANEIO POR ITEM'!#REF!)&lt;&gt;0,_xlfn.SINGLE( ROW('ROMANEIO POR ITEM'!#REF!))-ROW('ROMANEIO POR ITEM'!#REF!)+1), ROW(A489)))), "")</f>
        <v/>
      </c>
      <c r="B490" t="str">
        <f>IF(A490="", "", VLOOKUP(A490, 'ROMANEIO POR ITEM'!#REF!, 2, FALSE))</f>
        <v/>
      </c>
      <c r="C490" t="str">
        <f>IF(A490="", "", VLOOKUP(A490, 'ROMANEIO POR ITEM'!#REF!, 3, FALSE))</f>
        <v/>
      </c>
      <c r="D490" t="str">
        <f>IF(A490="", "", VLOOKUP(A490, 'ROMANEIO POR ITEM'!#REF!, 4, FALSE))</f>
        <v/>
      </c>
      <c r="E490" t="str">
        <f>IF(A490="", "", VLOOKUP(A490, 'ROMANEIO POR ITEM'!#REF!, 5, FALSE))</f>
        <v/>
      </c>
      <c r="F490" t="str">
        <f>IF(A490="", "", VLOOKUP(A490, 'ROMANEIO POR ITEM'!#REF!, 6, FALSE))</f>
        <v/>
      </c>
    </row>
    <row r="491" spans="1:6">
      <c r="A491" t="str">
        <f>IFERROR(_xlfn.SINGLE(INDEX('ROMANEIO POR ITEM'!#REF!, SMALL(IF(_xlfn.SINGLE('ROMANEIO POR ITEM'!#REF!)&lt;&gt;0,_xlfn.SINGLE( ROW('ROMANEIO POR ITEM'!#REF!))-ROW('ROMANEIO POR ITEM'!#REF!)+1), ROW(A490)))), "")</f>
        <v/>
      </c>
      <c r="B491" t="str">
        <f>IF(A491="", "", VLOOKUP(A491, 'ROMANEIO POR ITEM'!#REF!, 2, FALSE))</f>
        <v/>
      </c>
      <c r="C491" t="str">
        <f>IF(A491="", "", VLOOKUP(A491, 'ROMANEIO POR ITEM'!#REF!, 3, FALSE))</f>
        <v/>
      </c>
      <c r="D491" t="str">
        <f>IF(A491="", "", VLOOKUP(A491, 'ROMANEIO POR ITEM'!#REF!, 4, FALSE))</f>
        <v/>
      </c>
      <c r="E491" t="str">
        <f>IF(A491="", "", VLOOKUP(A491, 'ROMANEIO POR ITEM'!#REF!, 5, FALSE))</f>
        <v/>
      </c>
      <c r="F491" t="str">
        <f>IF(A491="", "", VLOOKUP(A491, 'ROMANEIO POR ITEM'!#REF!, 6, FALSE))</f>
        <v/>
      </c>
    </row>
    <row r="492" spans="1:6">
      <c r="A492" t="str">
        <f>IFERROR(_xlfn.SINGLE(INDEX('ROMANEIO POR ITEM'!#REF!, SMALL(IF(_xlfn.SINGLE('ROMANEIO POR ITEM'!#REF!)&lt;&gt;0,_xlfn.SINGLE( ROW('ROMANEIO POR ITEM'!#REF!))-ROW('ROMANEIO POR ITEM'!#REF!)+1), ROW(A491)))), "")</f>
        <v/>
      </c>
      <c r="B492" t="str">
        <f>IF(A492="", "", VLOOKUP(A492, 'ROMANEIO POR ITEM'!#REF!, 2, FALSE))</f>
        <v/>
      </c>
      <c r="C492" t="str">
        <f>IF(A492="", "", VLOOKUP(A492, 'ROMANEIO POR ITEM'!#REF!, 3, FALSE))</f>
        <v/>
      </c>
      <c r="D492" t="str">
        <f>IF(A492="", "", VLOOKUP(A492, 'ROMANEIO POR ITEM'!#REF!, 4, FALSE))</f>
        <v/>
      </c>
      <c r="E492" t="str">
        <f>IF(A492="", "", VLOOKUP(A492, 'ROMANEIO POR ITEM'!#REF!, 5, FALSE))</f>
        <v/>
      </c>
      <c r="F492" t="str">
        <f>IF(A492="", "", VLOOKUP(A492, 'ROMANEIO POR ITEM'!#REF!, 6, FALSE))</f>
        <v/>
      </c>
    </row>
    <row r="493" spans="1:6">
      <c r="A493" t="str">
        <f>IFERROR(_xlfn.SINGLE(INDEX('ROMANEIO POR ITEM'!#REF!, SMALL(IF(_xlfn.SINGLE('ROMANEIO POR ITEM'!#REF!)&lt;&gt;0,_xlfn.SINGLE( ROW('ROMANEIO POR ITEM'!#REF!))-ROW('ROMANEIO POR ITEM'!#REF!)+1), ROW(A492)))), "")</f>
        <v/>
      </c>
      <c r="B493" t="str">
        <f>IF(A493="", "", VLOOKUP(A493, 'ROMANEIO POR ITEM'!#REF!, 2, FALSE))</f>
        <v/>
      </c>
      <c r="C493" t="str">
        <f>IF(A493="", "", VLOOKUP(A493, 'ROMANEIO POR ITEM'!#REF!, 3, FALSE))</f>
        <v/>
      </c>
      <c r="D493" t="str">
        <f>IF(A493="", "", VLOOKUP(A493, 'ROMANEIO POR ITEM'!#REF!, 4, FALSE))</f>
        <v/>
      </c>
      <c r="E493" t="str">
        <f>IF(A493="", "", VLOOKUP(A493, 'ROMANEIO POR ITEM'!#REF!, 5, FALSE))</f>
        <v/>
      </c>
      <c r="F493" t="str">
        <f>IF(A493="", "", VLOOKUP(A493, 'ROMANEIO POR ITEM'!#REF!, 6, FALSE))</f>
        <v/>
      </c>
    </row>
    <row r="494" spans="1:6">
      <c r="A494" t="str">
        <f>IFERROR(_xlfn.SINGLE(INDEX('ROMANEIO POR ITEM'!#REF!, SMALL(IF(_xlfn.SINGLE('ROMANEIO POR ITEM'!#REF!)&lt;&gt;0,_xlfn.SINGLE( ROW('ROMANEIO POR ITEM'!#REF!))-ROW('ROMANEIO POR ITEM'!#REF!)+1), ROW(A493)))), "")</f>
        <v/>
      </c>
      <c r="B494" t="str">
        <f>IF(A494="", "", VLOOKUP(A494, 'ROMANEIO POR ITEM'!#REF!, 2, FALSE))</f>
        <v/>
      </c>
      <c r="C494" t="str">
        <f>IF(A494="", "", VLOOKUP(A494, 'ROMANEIO POR ITEM'!#REF!, 3, FALSE))</f>
        <v/>
      </c>
      <c r="D494" t="str">
        <f>IF(A494="", "", VLOOKUP(A494, 'ROMANEIO POR ITEM'!#REF!, 4, FALSE))</f>
        <v/>
      </c>
      <c r="E494" t="str">
        <f>IF(A494="", "", VLOOKUP(A494, 'ROMANEIO POR ITEM'!#REF!, 5, FALSE))</f>
        <v/>
      </c>
      <c r="F494" t="str">
        <f>IF(A494="", "", VLOOKUP(A494, 'ROMANEIO POR ITEM'!#REF!, 6, FALSE))</f>
        <v/>
      </c>
    </row>
    <row r="495" spans="1:6">
      <c r="A495" t="str">
        <f>IFERROR(_xlfn.SINGLE(INDEX('ROMANEIO POR ITEM'!#REF!, SMALL(IF(_xlfn.SINGLE('ROMANEIO POR ITEM'!#REF!)&lt;&gt;0,_xlfn.SINGLE( ROW('ROMANEIO POR ITEM'!#REF!))-ROW('ROMANEIO POR ITEM'!#REF!)+1), ROW(A494)))), "")</f>
        <v/>
      </c>
      <c r="B495" t="str">
        <f>IF(A495="", "", VLOOKUP(A495, 'ROMANEIO POR ITEM'!#REF!, 2, FALSE))</f>
        <v/>
      </c>
      <c r="C495" t="str">
        <f>IF(A495="", "", VLOOKUP(A495, 'ROMANEIO POR ITEM'!#REF!, 3, FALSE))</f>
        <v/>
      </c>
      <c r="D495" t="str">
        <f>IF(A495="", "", VLOOKUP(A495, 'ROMANEIO POR ITEM'!#REF!, 4, FALSE))</f>
        <v/>
      </c>
      <c r="E495" t="str">
        <f>IF(A495="", "", VLOOKUP(A495, 'ROMANEIO POR ITEM'!#REF!, 5, FALSE))</f>
        <v/>
      </c>
      <c r="F495" t="str">
        <f>IF(A495="", "", VLOOKUP(A495, 'ROMANEIO POR ITEM'!#REF!, 6, FALSE))</f>
        <v/>
      </c>
    </row>
    <row r="496" spans="1:6">
      <c r="A496" t="str">
        <f>IFERROR(_xlfn.SINGLE(INDEX('ROMANEIO POR ITEM'!#REF!, SMALL(IF(_xlfn.SINGLE('ROMANEIO POR ITEM'!#REF!)&lt;&gt;0,_xlfn.SINGLE( ROW('ROMANEIO POR ITEM'!#REF!))-ROW('ROMANEIO POR ITEM'!#REF!)+1), ROW(A495)))), "")</f>
        <v/>
      </c>
      <c r="B496" t="str">
        <f>IF(A496="", "", VLOOKUP(A496, 'ROMANEIO POR ITEM'!#REF!, 2, FALSE))</f>
        <v/>
      </c>
      <c r="C496" t="str">
        <f>IF(A496="", "", VLOOKUP(A496, 'ROMANEIO POR ITEM'!#REF!, 3, FALSE))</f>
        <v/>
      </c>
      <c r="D496" t="str">
        <f>IF(A496="", "", VLOOKUP(A496, 'ROMANEIO POR ITEM'!#REF!, 4, FALSE))</f>
        <v/>
      </c>
      <c r="E496" t="str">
        <f>IF(A496="", "", VLOOKUP(A496, 'ROMANEIO POR ITEM'!#REF!, 5, FALSE))</f>
        <v/>
      </c>
      <c r="F496" t="str">
        <f>IF(A496="", "", VLOOKUP(A496, 'ROMANEIO POR ITEM'!#REF!, 6, FALSE))</f>
        <v/>
      </c>
    </row>
    <row r="497" spans="1:6">
      <c r="A497" t="str">
        <f>IFERROR(_xlfn.SINGLE(INDEX('ROMANEIO POR ITEM'!#REF!, SMALL(IF(_xlfn.SINGLE('ROMANEIO POR ITEM'!#REF!)&lt;&gt;0,_xlfn.SINGLE( ROW('ROMANEIO POR ITEM'!#REF!))-ROW('ROMANEIO POR ITEM'!#REF!)+1), ROW(A496)))), "")</f>
        <v/>
      </c>
      <c r="B497" t="str">
        <f>IF(A497="", "", VLOOKUP(A497, 'ROMANEIO POR ITEM'!#REF!, 2, FALSE))</f>
        <v/>
      </c>
      <c r="C497" t="str">
        <f>IF(A497="", "", VLOOKUP(A497, 'ROMANEIO POR ITEM'!#REF!, 3, FALSE))</f>
        <v/>
      </c>
      <c r="D497" t="str">
        <f>IF(A497="", "", VLOOKUP(A497, 'ROMANEIO POR ITEM'!#REF!, 4, FALSE))</f>
        <v/>
      </c>
      <c r="E497" t="str">
        <f>IF(A497="", "", VLOOKUP(A497, 'ROMANEIO POR ITEM'!#REF!, 5, FALSE))</f>
        <v/>
      </c>
      <c r="F497" t="str">
        <f>IF(A497="", "", VLOOKUP(A497, 'ROMANEIO POR ITEM'!#REF!, 6, FALSE))</f>
        <v/>
      </c>
    </row>
    <row r="498" spans="1:6">
      <c r="A498" t="str">
        <f>IFERROR(_xlfn.SINGLE(INDEX('ROMANEIO POR ITEM'!#REF!, SMALL(IF(_xlfn.SINGLE('ROMANEIO POR ITEM'!#REF!)&lt;&gt;0,_xlfn.SINGLE( ROW('ROMANEIO POR ITEM'!#REF!))-ROW('ROMANEIO POR ITEM'!#REF!)+1), ROW(A497)))), "")</f>
        <v/>
      </c>
      <c r="B498" t="str">
        <f>IF(A498="", "", VLOOKUP(A498, 'ROMANEIO POR ITEM'!#REF!, 2, FALSE))</f>
        <v/>
      </c>
      <c r="C498" t="str">
        <f>IF(A498="", "", VLOOKUP(A498, 'ROMANEIO POR ITEM'!#REF!, 3, FALSE))</f>
        <v/>
      </c>
      <c r="D498" t="str">
        <f>IF(A498="", "", VLOOKUP(A498, 'ROMANEIO POR ITEM'!#REF!, 4, FALSE))</f>
        <v/>
      </c>
      <c r="E498" t="str">
        <f>IF(A498="", "", VLOOKUP(A498, 'ROMANEIO POR ITEM'!#REF!, 5, FALSE))</f>
        <v/>
      </c>
      <c r="F498" t="str">
        <f>IF(A498="", "", VLOOKUP(A498, 'ROMANEIO POR ITEM'!#REF!, 6, FALSE))</f>
        <v/>
      </c>
    </row>
    <row r="499" spans="1:6">
      <c r="A499" t="str">
        <f>IFERROR(_xlfn.SINGLE(INDEX('ROMANEIO POR ITEM'!#REF!, SMALL(IF(_xlfn.SINGLE('ROMANEIO POR ITEM'!#REF!)&lt;&gt;0,_xlfn.SINGLE( ROW('ROMANEIO POR ITEM'!#REF!))-ROW('ROMANEIO POR ITEM'!#REF!)+1), ROW(A498)))), "")</f>
        <v/>
      </c>
      <c r="B499" t="str">
        <f>IF(A499="", "", VLOOKUP(A499, 'ROMANEIO POR ITEM'!#REF!, 2, FALSE))</f>
        <v/>
      </c>
      <c r="C499" t="str">
        <f>IF(A499="", "", VLOOKUP(A499, 'ROMANEIO POR ITEM'!#REF!, 3, FALSE))</f>
        <v/>
      </c>
      <c r="D499" t="str">
        <f>IF(A499="", "", VLOOKUP(A499, 'ROMANEIO POR ITEM'!#REF!, 4, FALSE))</f>
        <v/>
      </c>
      <c r="E499" t="str">
        <f>IF(A499="", "", VLOOKUP(A499, 'ROMANEIO POR ITEM'!#REF!, 5, FALSE))</f>
        <v/>
      </c>
      <c r="F499" t="str">
        <f>IF(A499="", "", VLOOKUP(A499, 'ROMANEIO POR ITEM'!#REF!, 6, FALSE))</f>
        <v/>
      </c>
    </row>
    <row r="500" spans="1:6">
      <c r="A500" t="str">
        <f>IFERROR(_xlfn.SINGLE(INDEX('ROMANEIO POR ITEM'!#REF!, SMALL(IF(_xlfn.SINGLE('ROMANEIO POR ITEM'!#REF!)&lt;&gt;0,_xlfn.SINGLE( ROW('ROMANEIO POR ITEM'!#REF!))-ROW('ROMANEIO POR ITEM'!#REF!)+1), ROW(A499)))), "")</f>
        <v/>
      </c>
      <c r="B500" t="str">
        <f>IF(A500="", "", VLOOKUP(A500, 'ROMANEIO POR ITEM'!#REF!, 2, FALSE))</f>
        <v/>
      </c>
      <c r="C500" t="str">
        <f>IF(A500="", "", VLOOKUP(A500, 'ROMANEIO POR ITEM'!#REF!, 3, FALSE))</f>
        <v/>
      </c>
      <c r="D500" t="str">
        <f>IF(A500="", "", VLOOKUP(A500, 'ROMANEIO POR ITEM'!#REF!, 4, FALSE))</f>
        <v/>
      </c>
      <c r="E500" t="str">
        <f>IF(A500="", "", VLOOKUP(A500, 'ROMANEIO POR ITEM'!#REF!, 5, FALSE))</f>
        <v/>
      </c>
      <c r="F500" t="str">
        <f>IF(A500="", "", VLOOKUP(A500, 'ROMANEIO POR ITEM'!#REF!, 6, FALSE))</f>
        <v/>
      </c>
    </row>
    <row r="501" spans="1:6">
      <c r="A501" t="str">
        <f>IFERROR(_xlfn.SINGLE(INDEX('ROMANEIO POR ITEM'!#REF!, SMALL(IF(_xlfn.SINGLE('ROMANEIO POR ITEM'!#REF!)&lt;&gt;0,_xlfn.SINGLE( ROW('ROMANEIO POR ITEM'!#REF!))-ROW('ROMANEIO POR ITEM'!#REF!)+1), ROW(A500)))), "")</f>
        <v/>
      </c>
      <c r="B501" t="str">
        <f>IF(A501="", "", VLOOKUP(A501, 'ROMANEIO POR ITEM'!#REF!, 2, FALSE))</f>
        <v/>
      </c>
      <c r="C501" t="str">
        <f>IF(A501="", "", VLOOKUP(A501, 'ROMANEIO POR ITEM'!#REF!, 3, FALSE))</f>
        <v/>
      </c>
      <c r="D501" t="str">
        <f>IF(A501="", "", VLOOKUP(A501, 'ROMANEIO POR ITEM'!#REF!, 4, FALSE))</f>
        <v/>
      </c>
      <c r="E501" t="str">
        <f>IF(A501="", "", VLOOKUP(A501, 'ROMANEIO POR ITEM'!#REF!, 5, FALSE))</f>
        <v/>
      </c>
      <c r="F501" t="str">
        <f>IF(A501="", "", VLOOKUP(A501, 'ROMANEIO POR ITEM'!#REF!, 6, FALSE))</f>
        <v/>
      </c>
    </row>
    <row r="502" spans="1:6">
      <c r="A502" t="str">
        <f>IFERROR(_xlfn.SINGLE(INDEX('ROMANEIO POR ITEM'!#REF!, SMALL(IF(_xlfn.SINGLE('ROMANEIO POR ITEM'!#REF!)&lt;&gt;0,_xlfn.SINGLE( ROW('ROMANEIO POR ITEM'!#REF!))-ROW('ROMANEIO POR ITEM'!#REF!)+1), ROW(A501)))), "")</f>
        <v/>
      </c>
      <c r="B502" t="str">
        <f>IF(A502="", "", VLOOKUP(A502, 'ROMANEIO POR ITEM'!#REF!, 2, FALSE))</f>
        <v/>
      </c>
      <c r="C502" t="str">
        <f>IF(A502="", "", VLOOKUP(A502, 'ROMANEIO POR ITEM'!#REF!, 3, FALSE))</f>
        <v/>
      </c>
      <c r="D502" t="str">
        <f>IF(A502="", "", VLOOKUP(A502, 'ROMANEIO POR ITEM'!#REF!, 4, FALSE))</f>
        <v/>
      </c>
      <c r="E502" t="str">
        <f>IF(A502="", "", VLOOKUP(A502, 'ROMANEIO POR ITEM'!#REF!, 5, FALSE))</f>
        <v/>
      </c>
      <c r="F502" t="str">
        <f>IF(A502="", "", VLOOKUP(A502, 'ROMANEIO POR ITEM'!#REF!, 6, FALSE))</f>
        <v/>
      </c>
    </row>
    <row r="503" spans="1:6">
      <c r="A503" t="str">
        <f>IFERROR(_xlfn.SINGLE(INDEX('ROMANEIO POR ITEM'!#REF!, SMALL(IF(_xlfn.SINGLE('ROMANEIO POR ITEM'!#REF!)&lt;&gt;0,_xlfn.SINGLE( ROW('ROMANEIO POR ITEM'!#REF!))-ROW('ROMANEIO POR ITEM'!#REF!)+1), ROW(A502)))), "")</f>
        <v/>
      </c>
      <c r="B503" t="str">
        <f>IF(A503="", "", VLOOKUP(A503, 'ROMANEIO POR ITEM'!#REF!, 2, FALSE))</f>
        <v/>
      </c>
      <c r="C503" t="str">
        <f>IF(A503="", "", VLOOKUP(A503, 'ROMANEIO POR ITEM'!#REF!, 3, FALSE))</f>
        <v/>
      </c>
      <c r="D503" t="str">
        <f>IF(A503="", "", VLOOKUP(A503, 'ROMANEIO POR ITEM'!#REF!, 4, FALSE))</f>
        <v/>
      </c>
      <c r="E503" t="str">
        <f>IF(A503="", "", VLOOKUP(A503, 'ROMANEIO POR ITEM'!#REF!, 5, FALSE))</f>
        <v/>
      </c>
      <c r="F503" t="str">
        <f>IF(A503="", "", VLOOKUP(A503, 'ROMANEIO POR ITEM'!#REF!, 6, FALSE))</f>
        <v/>
      </c>
    </row>
    <row r="504" spans="1:6">
      <c r="A504" t="str">
        <f>IFERROR(_xlfn.SINGLE(INDEX('ROMANEIO POR ITEM'!#REF!, SMALL(IF(_xlfn.SINGLE('ROMANEIO POR ITEM'!#REF!)&lt;&gt;0,_xlfn.SINGLE( ROW('ROMANEIO POR ITEM'!#REF!))-ROW('ROMANEIO POR ITEM'!#REF!)+1), ROW(A503)))), "")</f>
        <v/>
      </c>
      <c r="B504" t="str">
        <f>IF(A504="", "", VLOOKUP(A504, 'ROMANEIO POR ITEM'!#REF!, 2, FALSE))</f>
        <v/>
      </c>
      <c r="C504" t="str">
        <f>IF(A504="", "", VLOOKUP(A504, 'ROMANEIO POR ITEM'!#REF!, 3, FALSE))</f>
        <v/>
      </c>
      <c r="D504" t="str">
        <f>IF(A504="", "", VLOOKUP(A504, 'ROMANEIO POR ITEM'!#REF!, 4, FALSE))</f>
        <v/>
      </c>
      <c r="E504" t="str">
        <f>IF(A504="", "", VLOOKUP(A504, 'ROMANEIO POR ITEM'!#REF!, 5, FALSE))</f>
        <v/>
      </c>
      <c r="F504" t="str">
        <f>IF(A504="", "", VLOOKUP(A504, 'ROMANEIO POR ITEM'!#REF!, 6, FALSE))</f>
        <v/>
      </c>
    </row>
    <row r="505" spans="1:6">
      <c r="A505" t="str">
        <f>IFERROR(_xlfn.SINGLE(INDEX('ROMANEIO POR ITEM'!#REF!, SMALL(IF(_xlfn.SINGLE('ROMANEIO POR ITEM'!#REF!)&lt;&gt;0,_xlfn.SINGLE( ROW('ROMANEIO POR ITEM'!#REF!))-ROW('ROMANEIO POR ITEM'!#REF!)+1), ROW(A504)))), "")</f>
        <v/>
      </c>
      <c r="B505" t="str">
        <f>IF(A505="", "", VLOOKUP(A505, 'ROMANEIO POR ITEM'!#REF!, 2, FALSE))</f>
        <v/>
      </c>
      <c r="C505" t="str">
        <f>IF(A505="", "", VLOOKUP(A505, 'ROMANEIO POR ITEM'!#REF!, 3, FALSE))</f>
        <v/>
      </c>
      <c r="D505" t="str">
        <f>IF(A505="", "", VLOOKUP(A505, 'ROMANEIO POR ITEM'!#REF!, 4, FALSE))</f>
        <v/>
      </c>
      <c r="E505" t="str">
        <f>IF(A505="", "", VLOOKUP(A505, 'ROMANEIO POR ITEM'!#REF!, 5, FALSE))</f>
        <v/>
      </c>
      <c r="F505" t="str">
        <f>IF(A505="", "", VLOOKUP(A505, 'ROMANEIO POR ITEM'!#REF!, 6, FALSE))</f>
        <v/>
      </c>
    </row>
    <row r="506" spans="1:6">
      <c r="A506" t="str">
        <f>IFERROR(_xlfn.SINGLE(INDEX('ROMANEIO POR ITEM'!#REF!, SMALL(IF(_xlfn.SINGLE('ROMANEIO POR ITEM'!#REF!)&lt;&gt;0,_xlfn.SINGLE( ROW('ROMANEIO POR ITEM'!#REF!))-ROW('ROMANEIO POR ITEM'!#REF!)+1), ROW(A505)))), "")</f>
        <v/>
      </c>
      <c r="B506" t="str">
        <f>IF(A506="", "", VLOOKUP(A506, 'ROMANEIO POR ITEM'!#REF!, 2, FALSE))</f>
        <v/>
      </c>
      <c r="C506" t="str">
        <f>IF(A506="", "", VLOOKUP(A506, 'ROMANEIO POR ITEM'!#REF!, 3, FALSE))</f>
        <v/>
      </c>
      <c r="D506" t="str">
        <f>IF(A506="", "", VLOOKUP(A506, 'ROMANEIO POR ITEM'!#REF!, 4, FALSE))</f>
        <v/>
      </c>
      <c r="E506" t="str">
        <f>IF(A506="", "", VLOOKUP(A506, 'ROMANEIO POR ITEM'!#REF!, 5, FALSE))</f>
        <v/>
      </c>
      <c r="F506" t="str">
        <f>IF(A506="", "", VLOOKUP(A506, 'ROMANEIO POR ITEM'!#REF!, 6, FALSE))</f>
        <v/>
      </c>
    </row>
    <row r="507" spans="1:6">
      <c r="A507" t="str">
        <f>IFERROR(_xlfn.SINGLE(INDEX('ROMANEIO POR ITEM'!#REF!, SMALL(IF(_xlfn.SINGLE('ROMANEIO POR ITEM'!#REF!)&lt;&gt;0,_xlfn.SINGLE( ROW('ROMANEIO POR ITEM'!#REF!))-ROW('ROMANEIO POR ITEM'!#REF!)+1), ROW(A506)))), "")</f>
        <v/>
      </c>
      <c r="B507" t="str">
        <f>IF(A507="", "", VLOOKUP(A507, 'ROMANEIO POR ITEM'!#REF!, 2, FALSE))</f>
        <v/>
      </c>
      <c r="C507" t="str">
        <f>IF(A507="", "", VLOOKUP(A507, 'ROMANEIO POR ITEM'!#REF!, 3, FALSE))</f>
        <v/>
      </c>
      <c r="D507" t="str">
        <f>IF(A507="", "", VLOOKUP(A507, 'ROMANEIO POR ITEM'!#REF!, 4, FALSE))</f>
        <v/>
      </c>
      <c r="E507" t="str">
        <f>IF(A507="", "", VLOOKUP(A507, 'ROMANEIO POR ITEM'!#REF!, 5, FALSE))</f>
        <v/>
      </c>
      <c r="F507" t="str">
        <f>IF(A507="", "", VLOOKUP(A507, 'ROMANEIO POR ITEM'!#REF!, 6, FALSE))</f>
        <v/>
      </c>
    </row>
    <row r="508" spans="1:6">
      <c r="A508" t="str">
        <f>IFERROR(_xlfn.SINGLE(INDEX('ROMANEIO POR ITEM'!#REF!, SMALL(IF(_xlfn.SINGLE('ROMANEIO POR ITEM'!#REF!)&lt;&gt;0,_xlfn.SINGLE( ROW('ROMANEIO POR ITEM'!#REF!))-ROW('ROMANEIO POR ITEM'!#REF!)+1), ROW(A507)))), "")</f>
        <v/>
      </c>
      <c r="B508" t="str">
        <f>IF(A508="", "", VLOOKUP(A508, 'ROMANEIO POR ITEM'!#REF!, 2, FALSE))</f>
        <v/>
      </c>
      <c r="C508" t="str">
        <f>IF(A508="", "", VLOOKUP(A508, 'ROMANEIO POR ITEM'!#REF!, 3, FALSE))</f>
        <v/>
      </c>
      <c r="D508" t="str">
        <f>IF(A508="", "", VLOOKUP(A508, 'ROMANEIO POR ITEM'!#REF!, 4, FALSE))</f>
        <v/>
      </c>
      <c r="E508" t="str">
        <f>IF(A508="", "", VLOOKUP(A508, 'ROMANEIO POR ITEM'!#REF!, 5, FALSE))</f>
        <v/>
      </c>
      <c r="F508" t="str">
        <f>IF(A508="", "", VLOOKUP(A508, 'ROMANEIO POR ITEM'!#REF!, 6, FALSE))</f>
        <v/>
      </c>
    </row>
    <row r="509" spans="1:6">
      <c r="A509" t="str">
        <f>IFERROR(_xlfn.SINGLE(INDEX('ROMANEIO POR ITEM'!#REF!, SMALL(IF(_xlfn.SINGLE('ROMANEIO POR ITEM'!#REF!)&lt;&gt;0,_xlfn.SINGLE( ROW('ROMANEIO POR ITEM'!#REF!))-ROW('ROMANEIO POR ITEM'!#REF!)+1), ROW(A508)))), "")</f>
        <v/>
      </c>
      <c r="B509" t="str">
        <f>IF(A509="", "", VLOOKUP(A509, 'ROMANEIO POR ITEM'!#REF!, 2, FALSE))</f>
        <v/>
      </c>
      <c r="C509" t="str">
        <f>IF(A509="", "", VLOOKUP(A509, 'ROMANEIO POR ITEM'!#REF!, 3, FALSE))</f>
        <v/>
      </c>
      <c r="D509" t="str">
        <f>IF(A509="", "", VLOOKUP(A509, 'ROMANEIO POR ITEM'!#REF!, 4, FALSE))</f>
        <v/>
      </c>
      <c r="E509" t="str">
        <f>IF(A509="", "", VLOOKUP(A509, 'ROMANEIO POR ITEM'!#REF!, 5, FALSE))</f>
        <v/>
      </c>
      <c r="F509" t="str">
        <f>IF(A509="", "", VLOOKUP(A509, 'ROMANEIO POR ITEM'!#REF!, 6, FALSE))</f>
        <v/>
      </c>
    </row>
    <row r="510" spans="1:6">
      <c r="A510" t="str">
        <f>IFERROR(_xlfn.SINGLE(INDEX('ROMANEIO POR ITEM'!#REF!, SMALL(IF(_xlfn.SINGLE('ROMANEIO POR ITEM'!#REF!)&lt;&gt;0,_xlfn.SINGLE( ROW('ROMANEIO POR ITEM'!#REF!))-ROW('ROMANEIO POR ITEM'!#REF!)+1), ROW(A509)))), "")</f>
        <v/>
      </c>
      <c r="B510" t="str">
        <f>IF(A510="", "", VLOOKUP(A510, 'ROMANEIO POR ITEM'!#REF!, 2, FALSE))</f>
        <v/>
      </c>
      <c r="C510" t="str">
        <f>IF(A510="", "", VLOOKUP(A510, 'ROMANEIO POR ITEM'!#REF!, 3, FALSE))</f>
        <v/>
      </c>
      <c r="D510" t="str">
        <f>IF(A510="", "", VLOOKUP(A510, 'ROMANEIO POR ITEM'!#REF!, 4, FALSE))</f>
        <v/>
      </c>
      <c r="E510" t="str">
        <f>IF(A510="", "", VLOOKUP(A510, 'ROMANEIO POR ITEM'!#REF!, 5, FALSE))</f>
        <v/>
      </c>
      <c r="F510" t="str">
        <f>IF(A510="", "", VLOOKUP(A510, 'ROMANEIO POR ITEM'!#REF!, 6, FALSE))</f>
        <v/>
      </c>
    </row>
    <row r="511" spans="1:6">
      <c r="A511" t="str">
        <f>IFERROR(_xlfn.SINGLE(INDEX('ROMANEIO POR ITEM'!#REF!, SMALL(IF(_xlfn.SINGLE('ROMANEIO POR ITEM'!#REF!)&lt;&gt;0,_xlfn.SINGLE( ROW('ROMANEIO POR ITEM'!#REF!))-ROW('ROMANEIO POR ITEM'!#REF!)+1), ROW(A510)))), "")</f>
        <v/>
      </c>
      <c r="B511" t="str">
        <f>IF(A511="", "", VLOOKUP(A511, 'ROMANEIO POR ITEM'!#REF!, 2, FALSE))</f>
        <v/>
      </c>
      <c r="C511" t="str">
        <f>IF(A511="", "", VLOOKUP(A511, 'ROMANEIO POR ITEM'!#REF!, 3, FALSE))</f>
        <v/>
      </c>
      <c r="D511" t="str">
        <f>IF(A511="", "", VLOOKUP(A511, 'ROMANEIO POR ITEM'!#REF!, 4, FALSE))</f>
        <v/>
      </c>
      <c r="E511" t="str">
        <f>IF(A511="", "", VLOOKUP(A511, 'ROMANEIO POR ITEM'!#REF!, 5, FALSE))</f>
        <v/>
      </c>
      <c r="F511" t="str">
        <f>IF(A511="", "", VLOOKUP(A511, 'ROMANEIO POR ITEM'!#REF!, 6, FALSE))</f>
        <v/>
      </c>
    </row>
    <row r="512" spans="1:6">
      <c r="A512" t="str">
        <f>IFERROR(_xlfn.SINGLE(INDEX('ROMANEIO POR ITEM'!#REF!, SMALL(IF(_xlfn.SINGLE('ROMANEIO POR ITEM'!#REF!)&lt;&gt;0,_xlfn.SINGLE( ROW('ROMANEIO POR ITEM'!#REF!))-ROW('ROMANEIO POR ITEM'!#REF!)+1), ROW(A511)))), "")</f>
        <v/>
      </c>
      <c r="B512" t="str">
        <f>IF(A512="", "", VLOOKUP(A512, 'ROMANEIO POR ITEM'!#REF!, 2, FALSE))</f>
        <v/>
      </c>
      <c r="C512" t="str">
        <f>IF(A512="", "", VLOOKUP(A512, 'ROMANEIO POR ITEM'!#REF!, 3, FALSE))</f>
        <v/>
      </c>
      <c r="D512" t="str">
        <f>IF(A512="", "", VLOOKUP(A512, 'ROMANEIO POR ITEM'!#REF!, 4, FALSE))</f>
        <v/>
      </c>
      <c r="E512" t="str">
        <f>IF(A512="", "", VLOOKUP(A512, 'ROMANEIO POR ITEM'!#REF!, 5, FALSE))</f>
        <v/>
      </c>
      <c r="F512" t="str">
        <f>IF(A512="", "", VLOOKUP(A512, 'ROMANEIO POR ITEM'!#REF!, 6, FALSE))</f>
        <v/>
      </c>
    </row>
    <row r="513" spans="1:6">
      <c r="A513" t="str">
        <f>IFERROR(_xlfn.SINGLE(INDEX('ROMANEIO POR ITEM'!#REF!, SMALL(IF(_xlfn.SINGLE('ROMANEIO POR ITEM'!#REF!)&lt;&gt;0,_xlfn.SINGLE( ROW('ROMANEIO POR ITEM'!#REF!))-ROW('ROMANEIO POR ITEM'!#REF!)+1), ROW(A512)))), "")</f>
        <v/>
      </c>
      <c r="B513" t="str">
        <f>IF(A513="", "", VLOOKUP(A513, 'ROMANEIO POR ITEM'!#REF!, 2, FALSE))</f>
        <v/>
      </c>
      <c r="C513" t="str">
        <f>IF(A513="", "", VLOOKUP(A513, 'ROMANEIO POR ITEM'!#REF!, 3, FALSE))</f>
        <v/>
      </c>
      <c r="D513" t="str">
        <f>IF(A513="", "", VLOOKUP(A513, 'ROMANEIO POR ITEM'!#REF!, 4, FALSE))</f>
        <v/>
      </c>
      <c r="E513" t="str">
        <f>IF(A513="", "", VLOOKUP(A513, 'ROMANEIO POR ITEM'!#REF!, 5, FALSE))</f>
        <v/>
      </c>
      <c r="F513" t="str">
        <f>IF(A513="", "", VLOOKUP(A513, 'ROMANEIO POR ITEM'!#REF!, 6, FALSE))</f>
        <v/>
      </c>
    </row>
    <row r="514" spans="1:6">
      <c r="A514" t="str">
        <f>IFERROR(_xlfn.SINGLE(INDEX('ROMANEIO POR ITEM'!#REF!, SMALL(IF(_xlfn.SINGLE('ROMANEIO POR ITEM'!#REF!)&lt;&gt;0,_xlfn.SINGLE( ROW('ROMANEIO POR ITEM'!#REF!))-ROW('ROMANEIO POR ITEM'!#REF!)+1), ROW(A513)))), "")</f>
        <v/>
      </c>
      <c r="B514" t="str">
        <f>IF(A514="", "", VLOOKUP(A514, 'ROMANEIO POR ITEM'!#REF!, 2, FALSE))</f>
        <v/>
      </c>
      <c r="C514" t="str">
        <f>IF(A514="", "", VLOOKUP(A514, 'ROMANEIO POR ITEM'!#REF!, 3, FALSE))</f>
        <v/>
      </c>
      <c r="D514" t="str">
        <f>IF(A514="", "", VLOOKUP(A514, 'ROMANEIO POR ITEM'!#REF!, 4, FALSE))</f>
        <v/>
      </c>
      <c r="E514" t="str">
        <f>IF(A514="", "", VLOOKUP(A514, 'ROMANEIO POR ITEM'!#REF!, 5, FALSE))</f>
        <v/>
      </c>
      <c r="F514" t="str">
        <f>IF(A514="", "", VLOOKUP(A514, 'ROMANEIO POR ITEM'!#REF!, 6, FALSE))</f>
        <v/>
      </c>
    </row>
    <row r="515" spans="1:6">
      <c r="A515" t="str">
        <f>IFERROR(_xlfn.SINGLE(INDEX('ROMANEIO POR ITEM'!#REF!, SMALL(IF(_xlfn.SINGLE('ROMANEIO POR ITEM'!#REF!)&lt;&gt;0,_xlfn.SINGLE( ROW('ROMANEIO POR ITEM'!#REF!))-ROW('ROMANEIO POR ITEM'!#REF!)+1), ROW(A514)))), "")</f>
        <v/>
      </c>
      <c r="B515" t="str">
        <f>IF(A515="", "", VLOOKUP(A515, 'ROMANEIO POR ITEM'!#REF!, 2, FALSE))</f>
        <v/>
      </c>
      <c r="C515" t="str">
        <f>IF(A515="", "", VLOOKUP(A515, 'ROMANEIO POR ITEM'!#REF!, 3, FALSE))</f>
        <v/>
      </c>
      <c r="D515" t="str">
        <f>IF(A515="", "", VLOOKUP(A515, 'ROMANEIO POR ITEM'!#REF!, 4, FALSE))</f>
        <v/>
      </c>
      <c r="E515" t="str">
        <f>IF(A515="", "", VLOOKUP(A515, 'ROMANEIO POR ITEM'!#REF!, 5, FALSE))</f>
        <v/>
      </c>
      <c r="F515" t="str">
        <f>IF(A515="", "", VLOOKUP(A515, 'ROMANEIO POR ITEM'!#REF!, 6, FALSE))</f>
        <v/>
      </c>
    </row>
    <row r="516" spans="1:6">
      <c r="A516" t="str">
        <f>IFERROR(_xlfn.SINGLE(INDEX('ROMANEIO POR ITEM'!#REF!, SMALL(IF(_xlfn.SINGLE('ROMANEIO POR ITEM'!#REF!)&lt;&gt;0,_xlfn.SINGLE( ROW('ROMANEIO POR ITEM'!#REF!))-ROW('ROMANEIO POR ITEM'!#REF!)+1), ROW(A515)))), "")</f>
        <v/>
      </c>
      <c r="B516" t="str">
        <f>IF(A516="", "", VLOOKUP(A516, 'ROMANEIO POR ITEM'!#REF!, 2, FALSE))</f>
        <v/>
      </c>
      <c r="C516" t="str">
        <f>IF(A516="", "", VLOOKUP(A516, 'ROMANEIO POR ITEM'!#REF!, 3, FALSE))</f>
        <v/>
      </c>
      <c r="D516" t="str">
        <f>IF(A516="", "", VLOOKUP(A516, 'ROMANEIO POR ITEM'!#REF!, 4, FALSE))</f>
        <v/>
      </c>
      <c r="E516" t="str">
        <f>IF(A516="", "", VLOOKUP(A516, 'ROMANEIO POR ITEM'!#REF!, 5, FALSE))</f>
        <v/>
      </c>
      <c r="F516" t="str">
        <f>IF(A516="", "", VLOOKUP(A516, 'ROMANEIO POR ITEM'!#REF!, 6, FALSE))</f>
        <v/>
      </c>
    </row>
    <row r="517" spans="1:6">
      <c r="A517" t="str">
        <f>IFERROR(_xlfn.SINGLE(INDEX('ROMANEIO POR ITEM'!#REF!, SMALL(IF(_xlfn.SINGLE('ROMANEIO POR ITEM'!#REF!)&lt;&gt;0,_xlfn.SINGLE( ROW('ROMANEIO POR ITEM'!#REF!))-ROW('ROMANEIO POR ITEM'!#REF!)+1), ROW(A516)))), "")</f>
        <v/>
      </c>
      <c r="B517" t="str">
        <f>IF(A517="", "", VLOOKUP(A517, 'ROMANEIO POR ITEM'!#REF!, 2, FALSE))</f>
        <v/>
      </c>
      <c r="C517" t="str">
        <f>IF(A517="", "", VLOOKUP(A517, 'ROMANEIO POR ITEM'!#REF!, 3, FALSE))</f>
        <v/>
      </c>
      <c r="D517" t="str">
        <f>IF(A517="", "", VLOOKUP(A517, 'ROMANEIO POR ITEM'!#REF!, 4, FALSE))</f>
        <v/>
      </c>
      <c r="E517" t="str">
        <f>IF(A517="", "", VLOOKUP(A517, 'ROMANEIO POR ITEM'!#REF!, 5, FALSE))</f>
        <v/>
      </c>
      <c r="F517" t="str">
        <f>IF(A517="", "", VLOOKUP(A517, 'ROMANEIO POR ITEM'!#REF!, 6, FALSE))</f>
        <v/>
      </c>
    </row>
    <row r="518" spans="1:6">
      <c r="A518" t="str">
        <f>IFERROR(_xlfn.SINGLE(INDEX('ROMANEIO POR ITEM'!#REF!, SMALL(IF(_xlfn.SINGLE('ROMANEIO POR ITEM'!#REF!)&lt;&gt;0,_xlfn.SINGLE( ROW('ROMANEIO POR ITEM'!#REF!))-ROW('ROMANEIO POR ITEM'!#REF!)+1), ROW(A517)))), "")</f>
        <v/>
      </c>
      <c r="B518" t="str">
        <f>IF(A518="", "", VLOOKUP(A518, 'ROMANEIO POR ITEM'!#REF!, 2, FALSE))</f>
        <v/>
      </c>
      <c r="C518" t="str">
        <f>IF(A518="", "", VLOOKUP(A518, 'ROMANEIO POR ITEM'!#REF!, 3, FALSE))</f>
        <v/>
      </c>
      <c r="D518" t="str">
        <f>IF(A518="", "", VLOOKUP(A518, 'ROMANEIO POR ITEM'!#REF!, 4, FALSE))</f>
        <v/>
      </c>
      <c r="E518" t="str">
        <f>IF(A518="", "", VLOOKUP(A518, 'ROMANEIO POR ITEM'!#REF!, 5, FALSE))</f>
        <v/>
      </c>
      <c r="F518" t="str">
        <f>IF(A518="", "", VLOOKUP(A518, 'ROMANEIO POR ITEM'!#REF!, 6, FALSE))</f>
        <v/>
      </c>
    </row>
    <row r="519" spans="1:6">
      <c r="A519" t="str">
        <f>IFERROR(_xlfn.SINGLE(INDEX('ROMANEIO POR ITEM'!#REF!, SMALL(IF(_xlfn.SINGLE('ROMANEIO POR ITEM'!#REF!)&lt;&gt;0,_xlfn.SINGLE( ROW('ROMANEIO POR ITEM'!#REF!))-ROW('ROMANEIO POR ITEM'!#REF!)+1), ROW(A518)))), "")</f>
        <v/>
      </c>
      <c r="B519" t="str">
        <f>IF(A519="", "", VLOOKUP(A519, 'ROMANEIO POR ITEM'!#REF!, 2, FALSE))</f>
        <v/>
      </c>
      <c r="C519" t="str">
        <f>IF(A519="", "", VLOOKUP(A519, 'ROMANEIO POR ITEM'!#REF!, 3, FALSE))</f>
        <v/>
      </c>
      <c r="D519" t="str">
        <f>IF(A519="", "", VLOOKUP(A519, 'ROMANEIO POR ITEM'!#REF!, 4, FALSE))</f>
        <v/>
      </c>
      <c r="E519" t="str">
        <f>IF(A519="", "", VLOOKUP(A519, 'ROMANEIO POR ITEM'!#REF!, 5, FALSE))</f>
        <v/>
      </c>
      <c r="F519" t="str">
        <f>IF(A519="", "", VLOOKUP(A519, 'ROMANEIO POR ITEM'!#REF!, 6, FALSE))</f>
        <v/>
      </c>
    </row>
    <row r="520" spans="1:6">
      <c r="A520" t="str">
        <f>IFERROR(_xlfn.SINGLE(INDEX('ROMANEIO POR ITEM'!#REF!, SMALL(IF(_xlfn.SINGLE('ROMANEIO POR ITEM'!#REF!)&lt;&gt;0,_xlfn.SINGLE( ROW('ROMANEIO POR ITEM'!#REF!))-ROW('ROMANEIO POR ITEM'!#REF!)+1), ROW(A519)))), "")</f>
        <v/>
      </c>
      <c r="B520" t="str">
        <f>IF(A520="", "", VLOOKUP(A520, 'ROMANEIO POR ITEM'!#REF!, 2, FALSE))</f>
        <v/>
      </c>
      <c r="C520" t="str">
        <f>IF(A520="", "", VLOOKUP(A520, 'ROMANEIO POR ITEM'!#REF!, 3, FALSE))</f>
        <v/>
      </c>
      <c r="D520" t="str">
        <f>IF(A520="", "", VLOOKUP(A520, 'ROMANEIO POR ITEM'!#REF!, 4, FALSE))</f>
        <v/>
      </c>
      <c r="E520" t="str">
        <f>IF(A520="", "", VLOOKUP(A520, 'ROMANEIO POR ITEM'!#REF!, 5, FALSE))</f>
        <v/>
      </c>
      <c r="F520" t="str">
        <f>IF(A520="", "", VLOOKUP(A520, 'ROMANEIO POR ITEM'!#REF!, 6, FALSE))</f>
        <v/>
      </c>
    </row>
    <row r="521" spans="1:6">
      <c r="A521" t="str">
        <f>IFERROR(_xlfn.SINGLE(INDEX('ROMANEIO POR ITEM'!#REF!, SMALL(IF(_xlfn.SINGLE('ROMANEIO POR ITEM'!#REF!)&lt;&gt;0,_xlfn.SINGLE( ROW('ROMANEIO POR ITEM'!#REF!))-ROW('ROMANEIO POR ITEM'!#REF!)+1), ROW(A520)))), "")</f>
        <v/>
      </c>
      <c r="B521" t="str">
        <f>IF(A521="", "", VLOOKUP(A521, 'ROMANEIO POR ITEM'!#REF!, 2, FALSE))</f>
        <v/>
      </c>
      <c r="C521" t="str">
        <f>IF(A521="", "", VLOOKUP(A521, 'ROMANEIO POR ITEM'!#REF!, 3, FALSE))</f>
        <v/>
      </c>
      <c r="D521" t="str">
        <f>IF(A521="", "", VLOOKUP(A521, 'ROMANEIO POR ITEM'!#REF!, 4, FALSE))</f>
        <v/>
      </c>
      <c r="E521" t="str">
        <f>IF(A521="", "", VLOOKUP(A521, 'ROMANEIO POR ITEM'!#REF!, 5, FALSE))</f>
        <v/>
      </c>
      <c r="F521" t="str">
        <f>IF(A521="", "", VLOOKUP(A521, 'ROMANEIO POR ITEM'!#REF!, 6, FALSE))</f>
        <v/>
      </c>
    </row>
    <row r="522" spans="1:6">
      <c r="A522" t="str">
        <f>IFERROR(_xlfn.SINGLE(INDEX('ROMANEIO POR ITEM'!#REF!, SMALL(IF(_xlfn.SINGLE('ROMANEIO POR ITEM'!#REF!)&lt;&gt;0,_xlfn.SINGLE( ROW('ROMANEIO POR ITEM'!#REF!))-ROW('ROMANEIO POR ITEM'!#REF!)+1), ROW(A521)))), "")</f>
        <v/>
      </c>
      <c r="B522" t="str">
        <f>IF(A522="", "", VLOOKUP(A522, 'ROMANEIO POR ITEM'!#REF!, 2, FALSE))</f>
        <v/>
      </c>
      <c r="C522" t="str">
        <f>IF(A522="", "", VLOOKUP(A522, 'ROMANEIO POR ITEM'!#REF!, 3, FALSE))</f>
        <v/>
      </c>
      <c r="D522" t="str">
        <f>IF(A522="", "", VLOOKUP(A522, 'ROMANEIO POR ITEM'!#REF!, 4, FALSE))</f>
        <v/>
      </c>
      <c r="E522" t="str">
        <f>IF(A522="", "", VLOOKUP(A522, 'ROMANEIO POR ITEM'!#REF!, 5, FALSE))</f>
        <v/>
      </c>
      <c r="F522" t="str">
        <f>IF(A522="", "", VLOOKUP(A522, 'ROMANEIO POR ITEM'!#REF!, 6, FALSE))</f>
        <v/>
      </c>
    </row>
    <row r="523" spans="1:6">
      <c r="A523" t="str">
        <f>IFERROR(_xlfn.SINGLE(INDEX('ROMANEIO POR ITEM'!#REF!, SMALL(IF(_xlfn.SINGLE('ROMANEIO POR ITEM'!#REF!)&lt;&gt;0,_xlfn.SINGLE( ROW('ROMANEIO POR ITEM'!#REF!))-ROW('ROMANEIO POR ITEM'!#REF!)+1), ROW(A522)))), "")</f>
        <v/>
      </c>
      <c r="B523" t="str">
        <f>IF(A523="", "", VLOOKUP(A523, 'ROMANEIO POR ITEM'!#REF!, 2, FALSE))</f>
        <v/>
      </c>
      <c r="C523" t="str">
        <f>IF(A523="", "", VLOOKUP(A523, 'ROMANEIO POR ITEM'!#REF!, 3, FALSE))</f>
        <v/>
      </c>
      <c r="D523" t="str">
        <f>IF(A523="", "", VLOOKUP(A523, 'ROMANEIO POR ITEM'!#REF!, 4, FALSE))</f>
        <v/>
      </c>
      <c r="E523" t="str">
        <f>IF(A523="", "", VLOOKUP(A523, 'ROMANEIO POR ITEM'!#REF!, 5, FALSE))</f>
        <v/>
      </c>
      <c r="F523" t="str">
        <f>IF(A523="", "", VLOOKUP(A523, 'ROMANEIO POR ITEM'!#REF!, 6, FALSE))</f>
        <v/>
      </c>
    </row>
    <row r="524" spans="1:6">
      <c r="A524" t="str">
        <f>IFERROR(_xlfn.SINGLE(INDEX('ROMANEIO POR ITEM'!#REF!, SMALL(IF(_xlfn.SINGLE('ROMANEIO POR ITEM'!#REF!)&lt;&gt;0,_xlfn.SINGLE( ROW('ROMANEIO POR ITEM'!#REF!))-ROW('ROMANEIO POR ITEM'!#REF!)+1), ROW(A523)))), "")</f>
        <v/>
      </c>
      <c r="B524" t="str">
        <f>IF(A524="", "", VLOOKUP(A524, 'ROMANEIO POR ITEM'!#REF!, 2, FALSE))</f>
        <v/>
      </c>
      <c r="C524" t="str">
        <f>IF(A524="", "", VLOOKUP(A524, 'ROMANEIO POR ITEM'!#REF!, 3, FALSE))</f>
        <v/>
      </c>
      <c r="D524" t="str">
        <f>IF(A524="", "", VLOOKUP(A524, 'ROMANEIO POR ITEM'!#REF!, 4, FALSE))</f>
        <v/>
      </c>
      <c r="E524" t="str">
        <f>IF(A524="", "", VLOOKUP(A524, 'ROMANEIO POR ITEM'!#REF!, 5, FALSE))</f>
        <v/>
      </c>
      <c r="F524" t="str">
        <f>IF(A524="", "", VLOOKUP(A524, 'ROMANEIO POR ITEM'!#REF!, 6, FALSE))</f>
        <v/>
      </c>
    </row>
    <row r="525" spans="1:6">
      <c r="A525" t="str">
        <f>IFERROR(_xlfn.SINGLE(INDEX('ROMANEIO POR ITEM'!#REF!, SMALL(IF(_xlfn.SINGLE('ROMANEIO POR ITEM'!#REF!)&lt;&gt;0,_xlfn.SINGLE( ROW('ROMANEIO POR ITEM'!#REF!))-ROW('ROMANEIO POR ITEM'!#REF!)+1), ROW(A524)))), "")</f>
        <v/>
      </c>
      <c r="B525" t="str">
        <f>IF(A525="", "", VLOOKUP(A525, 'ROMANEIO POR ITEM'!#REF!, 2, FALSE))</f>
        <v/>
      </c>
      <c r="C525" t="str">
        <f>IF(A525="", "", VLOOKUP(A525, 'ROMANEIO POR ITEM'!#REF!, 3, FALSE))</f>
        <v/>
      </c>
      <c r="D525" t="str">
        <f>IF(A525="", "", VLOOKUP(A525, 'ROMANEIO POR ITEM'!#REF!, 4, FALSE))</f>
        <v/>
      </c>
      <c r="E525" t="str">
        <f>IF(A525="", "", VLOOKUP(A525, 'ROMANEIO POR ITEM'!#REF!, 5, FALSE))</f>
        <v/>
      </c>
      <c r="F525" t="str">
        <f>IF(A525="", "", VLOOKUP(A525, 'ROMANEIO POR ITEM'!#REF!, 6, FALSE))</f>
        <v/>
      </c>
    </row>
    <row r="526" spans="1:6">
      <c r="A526" t="str">
        <f>IFERROR(_xlfn.SINGLE(INDEX('ROMANEIO POR ITEM'!#REF!, SMALL(IF(_xlfn.SINGLE('ROMANEIO POR ITEM'!#REF!)&lt;&gt;0,_xlfn.SINGLE( ROW('ROMANEIO POR ITEM'!#REF!))-ROW('ROMANEIO POR ITEM'!#REF!)+1), ROW(A525)))), "")</f>
        <v/>
      </c>
      <c r="B526" t="str">
        <f>IF(A526="", "", VLOOKUP(A526, 'ROMANEIO POR ITEM'!#REF!, 2, FALSE))</f>
        <v/>
      </c>
      <c r="C526" t="str">
        <f>IF(A526="", "", VLOOKUP(A526, 'ROMANEIO POR ITEM'!#REF!, 3, FALSE))</f>
        <v/>
      </c>
      <c r="D526" t="str">
        <f>IF(A526="", "", VLOOKUP(A526, 'ROMANEIO POR ITEM'!#REF!, 4, FALSE))</f>
        <v/>
      </c>
      <c r="E526" t="str">
        <f>IF(A526="", "", VLOOKUP(A526, 'ROMANEIO POR ITEM'!#REF!, 5, FALSE))</f>
        <v/>
      </c>
      <c r="F526" t="str">
        <f>IF(A526="", "", VLOOKUP(A526, 'ROMANEIO POR ITEM'!#REF!, 6, FALSE))</f>
        <v/>
      </c>
    </row>
    <row r="527" spans="1:6">
      <c r="A527" t="str">
        <f>IFERROR(_xlfn.SINGLE(INDEX('ROMANEIO POR ITEM'!#REF!, SMALL(IF(_xlfn.SINGLE('ROMANEIO POR ITEM'!#REF!)&lt;&gt;0,_xlfn.SINGLE( ROW('ROMANEIO POR ITEM'!#REF!))-ROW('ROMANEIO POR ITEM'!#REF!)+1), ROW(A526)))), "")</f>
        <v/>
      </c>
      <c r="B527" t="str">
        <f>IF(A527="", "", VLOOKUP(A527, 'ROMANEIO POR ITEM'!#REF!, 2, FALSE))</f>
        <v/>
      </c>
      <c r="C527" t="str">
        <f>IF(A527="", "", VLOOKUP(A527, 'ROMANEIO POR ITEM'!#REF!, 3, FALSE))</f>
        <v/>
      </c>
      <c r="D527" t="str">
        <f>IF(A527="", "", VLOOKUP(A527, 'ROMANEIO POR ITEM'!#REF!, 4, FALSE))</f>
        <v/>
      </c>
      <c r="E527" t="str">
        <f>IF(A527="", "", VLOOKUP(A527, 'ROMANEIO POR ITEM'!#REF!, 5, FALSE))</f>
        <v/>
      </c>
      <c r="F527" t="str">
        <f>IF(A527="", "", VLOOKUP(A527, 'ROMANEIO POR ITEM'!#REF!, 6, FALSE))</f>
        <v/>
      </c>
    </row>
    <row r="528" spans="1:6">
      <c r="A528" t="str">
        <f>IFERROR(_xlfn.SINGLE(INDEX('ROMANEIO POR ITEM'!#REF!, SMALL(IF(_xlfn.SINGLE('ROMANEIO POR ITEM'!#REF!)&lt;&gt;0,_xlfn.SINGLE( ROW('ROMANEIO POR ITEM'!#REF!))-ROW('ROMANEIO POR ITEM'!#REF!)+1), ROW(A527)))), "")</f>
        <v/>
      </c>
      <c r="B528" t="str">
        <f>IF(A528="", "", VLOOKUP(A528, 'ROMANEIO POR ITEM'!#REF!, 2, FALSE))</f>
        <v/>
      </c>
      <c r="C528" t="str">
        <f>IF(A528="", "", VLOOKUP(A528, 'ROMANEIO POR ITEM'!#REF!, 3, FALSE))</f>
        <v/>
      </c>
      <c r="D528" t="str">
        <f>IF(A528="", "", VLOOKUP(A528, 'ROMANEIO POR ITEM'!#REF!, 4, FALSE))</f>
        <v/>
      </c>
      <c r="E528" t="str">
        <f>IF(A528="", "", VLOOKUP(A528, 'ROMANEIO POR ITEM'!#REF!, 5, FALSE))</f>
        <v/>
      </c>
      <c r="F528" t="str">
        <f>IF(A528="", "", VLOOKUP(A528, 'ROMANEIO POR ITEM'!#REF!, 6, FALSE))</f>
        <v/>
      </c>
    </row>
    <row r="529" spans="1:6">
      <c r="A529" t="str">
        <f>IFERROR(_xlfn.SINGLE(INDEX('ROMANEIO POR ITEM'!#REF!, SMALL(IF(_xlfn.SINGLE('ROMANEIO POR ITEM'!#REF!)&lt;&gt;0,_xlfn.SINGLE( ROW('ROMANEIO POR ITEM'!#REF!))-ROW('ROMANEIO POR ITEM'!#REF!)+1), ROW(A528)))), "")</f>
        <v/>
      </c>
      <c r="B529" t="str">
        <f>IF(A529="", "", VLOOKUP(A529, 'ROMANEIO POR ITEM'!#REF!, 2, FALSE))</f>
        <v/>
      </c>
      <c r="C529" t="str">
        <f>IF(A529="", "", VLOOKUP(A529, 'ROMANEIO POR ITEM'!#REF!, 3, FALSE))</f>
        <v/>
      </c>
      <c r="D529" t="str">
        <f>IF(A529="", "", VLOOKUP(A529, 'ROMANEIO POR ITEM'!#REF!, 4, FALSE))</f>
        <v/>
      </c>
      <c r="E529" t="str">
        <f>IF(A529="", "", VLOOKUP(A529, 'ROMANEIO POR ITEM'!#REF!, 5, FALSE))</f>
        <v/>
      </c>
      <c r="F529" t="str">
        <f>IF(A529="", "", VLOOKUP(A529, 'ROMANEIO POR ITEM'!#REF!, 6, FALSE))</f>
        <v/>
      </c>
    </row>
    <row r="530" spans="1:6">
      <c r="A530" t="str">
        <f>IFERROR(_xlfn.SINGLE(INDEX('ROMANEIO POR ITEM'!#REF!, SMALL(IF(_xlfn.SINGLE('ROMANEIO POR ITEM'!#REF!)&lt;&gt;0,_xlfn.SINGLE( ROW('ROMANEIO POR ITEM'!#REF!))-ROW('ROMANEIO POR ITEM'!#REF!)+1), ROW(A529)))), "")</f>
        <v/>
      </c>
      <c r="B530" t="str">
        <f>IF(A530="", "", VLOOKUP(A530, 'ROMANEIO POR ITEM'!#REF!, 2, FALSE))</f>
        <v/>
      </c>
      <c r="C530" t="str">
        <f>IF(A530="", "", VLOOKUP(A530, 'ROMANEIO POR ITEM'!#REF!, 3, FALSE))</f>
        <v/>
      </c>
      <c r="D530" t="str">
        <f>IF(A530="", "", VLOOKUP(A530, 'ROMANEIO POR ITEM'!#REF!, 4, FALSE))</f>
        <v/>
      </c>
      <c r="E530" t="str">
        <f>IF(A530="", "", VLOOKUP(A530, 'ROMANEIO POR ITEM'!#REF!, 5, FALSE))</f>
        <v/>
      </c>
      <c r="F530" t="str">
        <f>IF(A530="", "", VLOOKUP(A530, 'ROMANEIO POR ITEM'!#REF!, 6, FALSE))</f>
        <v/>
      </c>
    </row>
    <row r="531" spans="1:6">
      <c r="A531" t="str">
        <f>IFERROR(_xlfn.SINGLE(INDEX('ROMANEIO POR ITEM'!#REF!, SMALL(IF(_xlfn.SINGLE('ROMANEIO POR ITEM'!#REF!)&lt;&gt;0,_xlfn.SINGLE( ROW('ROMANEIO POR ITEM'!#REF!))-ROW('ROMANEIO POR ITEM'!#REF!)+1), ROW(A530)))), "")</f>
        <v/>
      </c>
      <c r="B531" t="str">
        <f>IF(A531="", "", VLOOKUP(A531, 'ROMANEIO POR ITEM'!#REF!, 2, FALSE))</f>
        <v/>
      </c>
      <c r="C531" t="str">
        <f>IF(A531="", "", VLOOKUP(A531, 'ROMANEIO POR ITEM'!#REF!, 3, FALSE))</f>
        <v/>
      </c>
      <c r="D531" t="str">
        <f>IF(A531="", "", VLOOKUP(A531, 'ROMANEIO POR ITEM'!#REF!, 4, FALSE))</f>
        <v/>
      </c>
      <c r="E531" t="str">
        <f>IF(A531="", "", VLOOKUP(A531, 'ROMANEIO POR ITEM'!#REF!, 5, FALSE))</f>
        <v/>
      </c>
      <c r="F531" t="str">
        <f>IF(A531="", "", VLOOKUP(A531, 'ROMANEIO POR ITEM'!#REF!, 6, FALSE))</f>
        <v/>
      </c>
    </row>
    <row r="532" spans="1:6">
      <c r="A532" t="str">
        <f>IFERROR(_xlfn.SINGLE(INDEX('ROMANEIO POR ITEM'!#REF!, SMALL(IF(_xlfn.SINGLE('ROMANEIO POR ITEM'!#REF!)&lt;&gt;0,_xlfn.SINGLE( ROW('ROMANEIO POR ITEM'!#REF!))-ROW('ROMANEIO POR ITEM'!#REF!)+1), ROW(A531)))), "")</f>
        <v/>
      </c>
      <c r="B532" t="str">
        <f>IF(A532="", "", VLOOKUP(A532, 'ROMANEIO POR ITEM'!#REF!, 2, FALSE))</f>
        <v/>
      </c>
      <c r="C532" t="str">
        <f>IF(A532="", "", VLOOKUP(A532, 'ROMANEIO POR ITEM'!#REF!, 3, FALSE))</f>
        <v/>
      </c>
      <c r="D532" t="str">
        <f>IF(A532="", "", VLOOKUP(A532, 'ROMANEIO POR ITEM'!#REF!, 4, FALSE))</f>
        <v/>
      </c>
      <c r="E532" t="str">
        <f>IF(A532="", "", VLOOKUP(A532, 'ROMANEIO POR ITEM'!#REF!, 5, FALSE))</f>
        <v/>
      </c>
      <c r="F532" t="str">
        <f>IF(A532="", "", VLOOKUP(A532, 'ROMANEIO POR ITEM'!#REF!, 6, FALSE))</f>
        <v/>
      </c>
    </row>
    <row r="533" spans="1:6">
      <c r="A533" t="str">
        <f>IFERROR(_xlfn.SINGLE(INDEX('ROMANEIO POR ITEM'!#REF!, SMALL(IF(_xlfn.SINGLE('ROMANEIO POR ITEM'!#REF!)&lt;&gt;0,_xlfn.SINGLE( ROW('ROMANEIO POR ITEM'!#REF!))-ROW('ROMANEIO POR ITEM'!#REF!)+1), ROW(A532)))), "")</f>
        <v/>
      </c>
      <c r="B533" t="str">
        <f>IF(A533="", "", VLOOKUP(A533, 'ROMANEIO POR ITEM'!#REF!, 2, FALSE))</f>
        <v/>
      </c>
      <c r="C533" t="str">
        <f>IF(A533="", "", VLOOKUP(A533, 'ROMANEIO POR ITEM'!#REF!, 3, FALSE))</f>
        <v/>
      </c>
      <c r="D533" t="str">
        <f>IF(A533="", "", VLOOKUP(A533, 'ROMANEIO POR ITEM'!#REF!, 4, FALSE))</f>
        <v/>
      </c>
      <c r="E533" t="str">
        <f>IF(A533="", "", VLOOKUP(A533, 'ROMANEIO POR ITEM'!#REF!, 5, FALSE))</f>
        <v/>
      </c>
      <c r="F533" t="str">
        <f>IF(A533="", "", VLOOKUP(A533, 'ROMANEIO POR ITEM'!#REF!, 6, FALSE))</f>
        <v/>
      </c>
    </row>
    <row r="534" spans="1:6">
      <c r="A534" t="str">
        <f>IFERROR(_xlfn.SINGLE(INDEX('ROMANEIO POR ITEM'!#REF!, SMALL(IF(_xlfn.SINGLE('ROMANEIO POR ITEM'!#REF!)&lt;&gt;0,_xlfn.SINGLE( ROW('ROMANEIO POR ITEM'!#REF!))-ROW('ROMANEIO POR ITEM'!#REF!)+1), ROW(A533)))), "")</f>
        <v/>
      </c>
      <c r="B534" t="str">
        <f>IF(A534="", "", VLOOKUP(A534, 'ROMANEIO POR ITEM'!#REF!, 2, FALSE))</f>
        <v/>
      </c>
      <c r="C534" t="str">
        <f>IF(A534="", "", VLOOKUP(A534, 'ROMANEIO POR ITEM'!#REF!, 3, FALSE))</f>
        <v/>
      </c>
      <c r="D534" t="str">
        <f>IF(A534="", "", VLOOKUP(A534, 'ROMANEIO POR ITEM'!#REF!, 4, FALSE))</f>
        <v/>
      </c>
      <c r="E534" t="str">
        <f>IF(A534="", "", VLOOKUP(A534, 'ROMANEIO POR ITEM'!#REF!, 5, FALSE))</f>
        <v/>
      </c>
      <c r="F534" t="str">
        <f>IF(A534="", "", VLOOKUP(A534, 'ROMANEIO POR ITEM'!#REF!, 6, FALSE))</f>
        <v/>
      </c>
    </row>
    <row r="535" spans="1:6">
      <c r="A535" t="str">
        <f>IFERROR(_xlfn.SINGLE(INDEX('ROMANEIO POR ITEM'!#REF!, SMALL(IF(_xlfn.SINGLE('ROMANEIO POR ITEM'!#REF!)&lt;&gt;0,_xlfn.SINGLE( ROW('ROMANEIO POR ITEM'!#REF!))-ROW('ROMANEIO POR ITEM'!#REF!)+1), ROW(A534)))), "")</f>
        <v/>
      </c>
      <c r="B535" t="str">
        <f>IF(A535="", "", VLOOKUP(A535, 'ROMANEIO POR ITEM'!#REF!, 2, FALSE))</f>
        <v/>
      </c>
      <c r="C535" t="str">
        <f>IF(A535="", "", VLOOKUP(A535, 'ROMANEIO POR ITEM'!#REF!, 3, FALSE))</f>
        <v/>
      </c>
      <c r="D535" t="str">
        <f>IF(A535="", "", VLOOKUP(A535, 'ROMANEIO POR ITEM'!#REF!, 4, FALSE))</f>
        <v/>
      </c>
      <c r="E535" t="str">
        <f>IF(A535="", "", VLOOKUP(A535, 'ROMANEIO POR ITEM'!#REF!, 5, FALSE))</f>
        <v/>
      </c>
      <c r="F535" t="str">
        <f>IF(A535="", "", VLOOKUP(A535, 'ROMANEIO POR ITEM'!#REF!, 6, FALSE))</f>
        <v/>
      </c>
    </row>
    <row r="536" spans="1:6">
      <c r="A536" t="str">
        <f>IFERROR(_xlfn.SINGLE(INDEX('ROMANEIO POR ITEM'!#REF!, SMALL(IF(_xlfn.SINGLE('ROMANEIO POR ITEM'!#REF!)&lt;&gt;0,_xlfn.SINGLE( ROW('ROMANEIO POR ITEM'!#REF!))-ROW('ROMANEIO POR ITEM'!#REF!)+1), ROW(A535)))), "")</f>
        <v/>
      </c>
      <c r="B536" t="str">
        <f>IF(A536="", "", VLOOKUP(A536, 'ROMANEIO POR ITEM'!#REF!, 2, FALSE))</f>
        <v/>
      </c>
      <c r="C536" t="str">
        <f>IF(A536="", "", VLOOKUP(A536, 'ROMANEIO POR ITEM'!#REF!, 3, FALSE))</f>
        <v/>
      </c>
      <c r="D536" t="str">
        <f>IF(A536="", "", VLOOKUP(A536, 'ROMANEIO POR ITEM'!#REF!, 4, FALSE))</f>
        <v/>
      </c>
      <c r="E536" t="str">
        <f>IF(A536="", "", VLOOKUP(A536, 'ROMANEIO POR ITEM'!#REF!, 5, FALSE))</f>
        <v/>
      </c>
      <c r="F536" t="str">
        <f>IF(A536="", "", VLOOKUP(A536, 'ROMANEIO POR ITEM'!#REF!, 6, FALSE))</f>
        <v/>
      </c>
    </row>
    <row r="537" spans="1:6">
      <c r="A537" t="str">
        <f>IFERROR(_xlfn.SINGLE(INDEX('ROMANEIO POR ITEM'!#REF!, SMALL(IF(_xlfn.SINGLE('ROMANEIO POR ITEM'!#REF!)&lt;&gt;0,_xlfn.SINGLE( ROW('ROMANEIO POR ITEM'!#REF!))-ROW('ROMANEIO POR ITEM'!#REF!)+1), ROW(A536)))), "")</f>
        <v/>
      </c>
      <c r="B537" t="str">
        <f>IF(A537="", "", VLOOKUP(A537, 'ROMANEIO POR ITEM'!#REF!, 2, FALSE))</f>
        <v/>
      </c>
      <c r="C537" t="str">
        <f>IF(A537="", "", VLOOKUP(A537, 'ROMANEIO POR ITEM'!#REF!, 3, FALSE))</f>
        <v/>
      </c>
      <c r="D537" t="str">
        <f>IF(A537="", "", VLOOKUP(A537, 'ROMANEIO POR ITEM'!#REF!, 4, FALSE))</f>
        <v/>
      </c>
      <c r="E537" t="str">
        <f>IF(A537="", "", VLOOKUP(A537, 'ROMANEIO POR ITEM'!#REF!, 5, FALSE))</f>
        <v/>
      </c>
      <c r="F537" t="str">
        <f>IF(A537="", "", VLOOKUP(A537, 'ROMANEIO POR ITEM'!#REF!, 6, FALSE))</f>
        <v/>
      </c>
    </row>
    <row r="538" spans="1:6">
      <c r="A538" t="str">
        <f>IFERROR(_xlfn.SINGLE(INDEX('ROMANEIO POR ITEM'!#REF!, SMALL(IF(_xlfn.SINGLE('ROMANEIO POR ITEM'!#REF!)&lt;&gt;0,_xlfn.SINGLE( ROW('ROMANEIO POR ITEM'!#REF!))-ROW('ROMANEIO POR ITEM'!#REF!)+1), ROW(A537)))), "")</f>
        <v/>
      </c>
      <c r="B538" t="str">
        <f>IF(A538="", "", VLOOKUP(A538, 'ROMANEIO POR ITEM'!#REF!, 2, FALSE))</f>
        <v/>
      </c>
      <c r="C538" t="str">
        <f>IF(A538="", "", VLOOKUP(A538, 'ROMANEIO POR ITEM'!#REF!, 3, FALSE))</f>
        <v/>
      </c>
      <c r="D538" t="str">
        <f>IF(A538="", "", VLOOKUP(A538, 'ROMANEIO POR ITEM'!#REF!, 4, FALSE))</f>
        <v/>
      </c>
      <c r="E538" t="str">
        <f>IF(A538="", "", VLOOKUP(A538, 'ROMANEIO POR ITEM'!#REF!, 5, FALSE))</f>
        <v/>
      </c>
      <c r="F538" t="str">
        <f>IF(A538="", "", VLOOKUP(A538, 'ROMANEIO POR ITEM'!#REF!, 6, FALSE))</f>
        <v/>
      </c>
    </row>
    <row r="539" spans="1:6">
      <c r="A539" t="str">
        <f>IFERROR(_xlfn.SINGLE(INDEX('ROMANEIO POR ITEM'!#REF!, SMALL(IF(_xlfn.SINGLE('ROMANEIO POR ITEM'!#REF!)&lt;&gt;0,_xlfn.SINGLE( ROW('ROMANEIO POR ITEM'!#REF!))-ROW('ROMANEIO POR ITEM'!#REF!)+1), ROW(A538)))), "")</f>
        <v/>
      </c>
      <c r="B539" t="str">
        <f>IF(A539="", "", VLOOKUP(A539, 'ROMANEIO POR ITEM'!#REF!, 2, FALSE))</f>
        <v/>
      </c>
      <c r="C539" t="str">
        <f>IF(A539="", "", VLOOKUP(A539, 'ROMANEIO POR ITEM'!#REF!, 3, FALSE))</f>
        <v/>
      </c>
      <c r="D539" t="str">
        <f>IF(A539="", "", VLOOKUP(A539, 'ROMANEIO POR ITEM'!#REF!, 4, FALSE))</f>
        <v/>
      </c>
      <c r="E539" t="str">
        <f>IF(A539="", "", VLOOKUP(A539, 'ROMANEIO POR ITEM'!#REF!, 5, FALSE))</f>
        <v/>
      </c>
      <c r="F539" t="str">
        <f>IF(A539="", "", VLOOKUP(A539, 'ROMANEIO POR ITEM'!#REF!, 6, FALSE))</f>
        <v/>
      </c>
    </row>
    <row r="540" spans="1:6">
      <c r="A540" t="str">
        <f>IFERROR(_xlfn.SINGLE(INDEX('ROMANEIO POR ITEM'!#REF!, SMALL(IF(_xlfn.SINGLE('ROMANEIO POR ITEM'!#REF!)&lt;&gt;0,_xlfn.SINGLE( ROW('ROMANEIO POR ITEM'!#REF!))-ROW('ROMANEIO POR ITEM'!#REF!)+1), ROW(A539)))), "")</f>
        <v/>
      </c>
      <c r="B540" t="str">
        <f>IF(A540="", "", VLOOKUP(A540, 'ROMANEIO POR ITEM'!#REF!, 2, FALSE))</f>
        <v/>
      </c>
      <c r="C540" t="str">
        <f>IF(A540="", "", VLOOKUP(A540, 'ROMANEIO POR ITEM'!#REF!, 3, FALSE))</f>
        <v/>
      </c>
      <c r="D540" t="str">
        <f>IF(A540="", "", VLOOKUP(A540, 'ROMANEIO POR ITEM'!#REF!, 4, FALSE))</f>
        <v/>
      </c>
      <c r="E540" t="str">
        <f>IF(A540="", "", VLOOKUP(A540, 'ROMANEIO POR ITEM'!#REF!, 5, FALSE))</f>
        <v/>
      </c>
      <c r="F540" t="str">
        <f>IF(A540="", "", VLOOKUP(A540, 'ROMANEIO POR ITEM'!#REF!, 6, FALSE))</f>
        <v/>
      </c>
    </row>
    <row r="541" spans="1:6">
      <c r="A541" t="str">
        <f>IFERROR(_xlfn.SINGLE(INDEX('ROMANEIO POR ITEM'!#REF!, SMALL(IF(_xlfn.SINGLE('ROMANEIO POR ITEM'!#REF!)&lt;&gt;0,_xlfn.SINGLE( ROW('ROMANEIO POR ITEM'!#REF!))-ROW('ROMANEIO POR ITEM'!#REF!)+1), ROW(A540)))), "")</f>
        <v/>
      </c>
      <c r="B541" t="str">
        <f>IF(A541="", "", VLOOKUP(A541, 'ROMANEIO POR ITEM'!#REF!, 2, FALSE))</f>
        <v/>
      </c>
      <c r="C541" t="str">
        <f>IF(A541="", "", VLOOKUP(A541, 'ROMANEIO POR ITEM'!#REF!, 3, FALSE))</f>
        <v/>
      </c>
      <c r="D541" t="str">
        <f>IF(A541="", "", VLOOKUP(A541, 'ROMANEIO POR ITEM'!#REF!, 4, FALSE))</f>
        <v/>
      </c>
      <c r="E541" t="str">
        <f>IF(A541="", "", VLOOKUP(A541, 'ROMANEIO POR ITEM'!#REF!, 5, FALSE))</f>
        <v/>
      </c>
      <c r="F541" t="str">
        <f>IF(A541="", "", VLOOKUP(A541, 'ROMANEIO POR ITEM'!#REF!, 6, FALSE))</f>
        <v/>
      </c>
    </row>
    <row r="542" spans="1:6">
      <c r="A542" t="str">
        <f>IFERROR(_xlfn.SINGLE(INDEX('ROMANEIO POR ITEM'!#REF!, SMALL(IF(_xlfn.SINGLE('ROMANEIO POR ITEM'!#REF!)&lt;&gt;0,_xlfn.SINGLE( ROW('ROMANEIO POR ITEM'!#REF!))-ROW('ROMANEIO POR ITEM'!#REF!)+1), ROW(A541)))), "")</f>
        <v/>
      </c>
      <c r="B542" t="str">
        <f>IF(A542="", "", VLOOKUP(A542, 'ROMANEIO POR ITEM'!#REF!, 2, FALSE))</f>
        <v/>
      </c>
      <c r="C542" t="str">
        <f>IF(A542="", "", VLOOKUP(A542, 'ROMANEIO POR ITEM'!#REF!, 3, FALSE))</f>
        <v/>
      </c>
      <c r="D542" t="str">
        <f>IF(A542="", "", VLOOKUP(A542, 'ROMANEIO POR ITEM'!#REF!, 4, FALSE))</f>
        <v/>
      </c>
      <c r="E542" t="str">
        <f>IF(A542="", "", VLOOKUP(A542, 'ROMANEIO POR ITEM'!#REF!, 5, FALSE))</f>
        <v/>
      </c>
      <c r="F542" t="str">
        <f>IF(A542="", "", VLOOKUP(A542, 'ROMANEIO POR ITEM'!#REF!, 6, FALSE))</f>
        <v/>
      </c>
    </row>
    <row r="543" spans="1:6">
      <c r="A543" t="str">
        <f>IFERROR(_xlfn.SINGLE(INDEX('ROMANEIO POR ITEM'!#REF!, SMALL(IF(_xlfn.SINGLE('ROMANEIO POR ITEM'!#REF!)&lt;&gt;0,_xlfn.SINGLE( ROW('ROMANEIO POR ITEM'!#REF!))-ROW('ROMANEIO POR ITEM'!#REF!)+1), ROW(A542)))), "")</f>
        <v/>
      </c>
      <c r="B543" t="str">
        <f>IF(A543="", "", VLOOKUP(A543, 'ROMANEIO POR ITEM'!#REF!, 2, FALSE))</f>
        <v/>
      </c>
      <c r="C543" t="str">
        <f>IF(A543="", "", VLOOKUP(A543, 'ROMANEIO POR ITEM'!#REF!, 3, FALSE))</f>
        <v/>
      </c>
      <c r="D543" t="str">
        <f>IF(A543="", "", VLOOKUP(A543, 'ROMANEIO POR ITEM'!#REF!, 4, FALSE))</f>
        <v/>
      </c>
      <c r="E543" t="str">
        <f>IF(A543="", "", VLOOKUP(A543, 'ROMANEIO POR ITEM'!#REF!, 5, FALSE))</f>
        <v/>
      </c>
      <c r="F543" t="str">
        <f>IF(A543="", "", VLOOKUP(A543, 'ROMANEIO POR ITEM'!#REF!, 6, FALSE))</f>
        <v/>
      </c>
    </row>
    <row r="544" spans="1:6">
      <c r="A544" t="str">
        <f>IFERROR(_xlfn.SINGLE(INDEX('ROMANEIO POR ITEM'!#REF!, SMALL(IF(_xlfn.SINGLE('ROMANEIO POR ITEM'!#REF!)&lt;&gt;0,_xlfn.SINGLE( ROW('ROMANEIO POR ITEM'!#REF!))-ROW('ROMANEIO POR ITEM'!#REF!)+1), ROW(A543)))), "")</f>
        <v/>
      </c>
      <c r="B544" t="str">
        <f>IF(A544="", "", VLOOKUP(A544, 'ROMANEIO POR ITEM'!#REF!, 2, FALSE))</f>
        <v/>
      </c>
      <c r="C544" t="str">
        <f>IF(A544="", "", VLOOKUP(A544, 'ROMANEIO POR ITEM'!#REF!, 3, FALSE))</f>
        <v/>
      </c>
      <c r="D544" t="str">
        <f>IF(A544="", "", VLOOKUP(A544, 'ROMANEIO POR ITEM'!#REF!, 4, FALSE))</f>
        <v/>
      </c>
      <c r="E544" t="str">
        <f>IF(A544="", "", VLOOKUP(A544, 'ROMANEIO POR ITEM'!#REF!, 5, FALSE))</f>
        <v/>
      </c>
      <c r="F544" t="str">
        <f>IF(A544="", "", VLOOKUP(A544, 'ROMANEIO POR ITEM'!#REF!, 6, FALSE))</f>
        <v/>
      </c>
    </row>
    <row r="545" spans="1:6">
      <c r="A545" t="str">
        <f>IFERROR(_xlfn.SINGLE(INDEX('ROMANEIO POR ITEM'!#REF!, SMALL(IF(_xlfn.SINGLE('ROMANEIO POR ITEM'!#REF!)&lt;&gt;0,_xlfn.SINGLE( ROW('ROMANEIO POR ITEM'!#REF!))-ROW('ROMANEIO POR ITEM'!#REF!)+1), ROW(A544)))), "")</f>
        <v/>
      </c>
      <c r="B545" t="str">
        <f>IF(A545="", "", VLOOKUP(A545, 'ROMANEIO POR ITEM'!#REF!, 2, FALSE))</f>
        <v/>
      </c>
      <c r="C545" t="str">
        <f>IF(A545="", "", VLOOKUP(A545, 'ROMANEIO POR ITEM'!#REF!, 3, FALSE))</f>
        <v/>
      </c>
      <c r="D545" t="str">
        <f>IF(A545="", "", VLOOKUP(A545, 'ROMANEIO POR ITEM'!#REF!, 4, FALSE))</f>
        <v/>
      </c>
      <c r="E545" t="str">
        <f>IF(A545="", "", VLOOKUP(A545, 'ROMANEIO POR ITEM'!#REF!, 5, FALSE))</f>
        <v/>
      </c>
      <c r="F545" t="str">
        <f>IF(A545="", "", VLOOKUP(A545, 'ROMANEIO POR ITEM'!#REF!, 6, FALSE))</f>
        <v/>
      </c>
    </row>
    <row r="546" spans="1:6">
      <c r="A546" t="str">
        <f>IFERROR(_xlfn.SINGLE(INDEX('ROMANEIO POR ITEM'!#REF!, SMALL(IF(_xlfn.SINGLE('ROMANEIO POR ITEM'!#REF!)&lt;&gt;0,_xlfn.SINGLE( ROW('ROMANEIO POR ITEM'!#REF!))-ROW('ROMANEIO POR ITEM'!#REF!)+1), ROW(A545)))), "")</f>
        <v/>
      </c>
      <c r="B546" t="str">
        <f>IF(A546="", "", VLOOKUP(A546, 'ROMANEIO POR ITEM'!#REF!, 2, FALSE))</f>
        <v/>
      </c>
      <c r="C546" t="str">
        <f>IF(A546="", "", VLOOKUP(A546, 'ROMANEIO POR ITEM'!#REF!, 3, FALSE))</f>
        <v/>
      </c>
      <c r="D546" t="str">
        <f>IF(A546="", "", VLOOKUP(A546, 'ROMANEIO POR ITEM'!#REF!, 4, FALSE))</f>
        <v/>
      </c>
      <c r="E546" t="str">
        <f>IF(A546="", "", VLOOKUP(A546, 'ROMANEIO POR ITEM'!#REF!, 5, FALSE))</f>
        <v/>
      </c>
      <c r="F546" t="str">
        <f>IF(A546="", "", VLOOKUP(A546, 'ROMANEIO POR ITEM'!#REF!, 6, FALSE))</f>
        <v/>
      </c>
    </row>
    <row r="547" spans="1:6">
      <c r="A547" t="str">
        <f>IFERROR(_xlfn.SINGLE(INDEX('ROMANEIO POR ITEM'!#REF!, SMALL(IF(_xlfn.SINGLE('ROMANEIO POR ITEM'!#REF!)&lt;&gt;0,_xlfn.SINGLE( ROW('ROMANEIO POR ITEM'!#REF!))-ROW('ROMANEIO POR ITEM'!#REF!)+1), ROW(A546)))), "")</f>
        <v/>
      </c>
      <c r="B547" t="str">
        <f>IF(A547="", "", VLOOKUP(A547, 'ROMANEIO POR ITEM'!#REF!, 2, FALSE))</f>
        <v/>
      </c>
      <c r="C547" t="str">
        <f>IF(A547="", "", VLOOKUP(A547, 'ROMANEIO POR ITEM'!#REF!, 3, FALSE))</f>
        <v/>
      </c>
      <c r="D547" t="str">
        <f>IF(A547="", "", VLOOKUP(A547, 'ROMANEIO POR ITEM'!#REF!, 4, FALSE))</f>
        <v/>
      </c>
      <c r="E547" t="str">
        <f>IF(A547="", "", VLOOKUP(A547, 'ROMANEIO POR ITEM'!#REF!, 5, FALSE))</f>
        <v/>
      </c>
      <c r="F547" t="str">
        <f>IF(A547="", "", VLOOKUP(A547, 'ROMANEIO POR ITEM'!#REF!, 6, FALSE))</f>
        <v/>
      </c>
    </row>
    <row r="548" spans="1:6">
      <c r="A548" t="str">
        <f>IFERROR(_xlfn.SINGLE(INDEX('ROMANEIO POR ITEM'!#REF!, SMALL(IF(_xlfn.SINGLE('ROMANEIO POR ITEM'!#REF!)&lt;&gt;0,_xlfn.SINGLE( ROW('ROMANEIO POR ITEM'!#REF!))-ROW('ROMANEIO POR ITEM'!#REF!)+1), ROW(A547)))), "")</f>
        <v/>
      </c>
      <c r="B548" t="str">
        <f>IF(A548="", "", VLOOKUP(A548, 'ROMANEIO POR ITEM'!#REF!, 2, FALSE))</f>
        <v/>
      </c>
      <c r="C548" t="str">
        <f>IF(A548="", "", VLOOKUP(A548, 'ROMANEIO POR ITEM'!#REF!, 3, FALSE))</f>
        <v/>
      </c>
      <c r="D548" t="str">
        <f>IF(A548="", "", VLOOKUP(A548, 'ROMANEIO POR ITEM'!#REF!, 4, FALSE))</f>
        <v/>
      </c>
      <c r="E548" t="str">
        <f>IF(A548="", "", VLOOKUP(A548, 'ROMANEIO POR ITEM'!#REF!, 5, FALSE))</f>
        <v/>
      </c>
      <c r="F548" t="str">
        <f>IF(A548="", "", VLOOKUP(A548, 'ROMANEIO POR ITEM'!#REF!, 6, FALSE))</f>
        <v/>
      </c>
    </row>
    <row r="549" spans="1:6">
      <c r="A549" t="str">
        <f>IFERROR(_xlfn.SINGLE(INDEX('ROMANEIO POR ITEM'!#REF!, SMALL(IF(_xlfn.SINGLE('ROMANEIO POR ITEM'!#REF!)&lt;&gt;0,_xlfn.SINGLE( ROW('ROMANEIO POR ITEM'!#REF!))-ROW('ROMANEIO POR ITEM'!#REF!)+1), ROW(A548)))), "")</f>
        <v/>
      </c>
      <c r="B549" t="str">
        <f>IF(A549="", "", VLOOKUP(A549, 'ROMANEIO POR ITEM'!#REF!, 2, FALSE))</f>
        <v/>
      </c>
      <c r="C549" t="str">
        <f>IF(A549="", "", VLOOKUP(A549, 'ROMANEIO POR ITEM'!#REF!, 3, FALSE))</f>
        <v/>
      </c>
      <c r="D549" t="str">
        <f>IF(A549="", "", VLOOKUP(A549, 'ROMANEIO POR ITEM'!#REF!, 4, FALSE))</f>
        <v/>
      </c>
      <c r="E549" t="str">
        <f>IF(A549="", "", VLOOKUP(A549, 'ROMANEIO POR ITEM'!#REF!, 5, FALSE))</f>
        <v/>
      </c>
      <c r="F549" t="str">
        <f>IF(A549="", "", VLOOKUP(A549, 'ROMANEIO POR ITEM'!#REF!, 6, FALSE))</f>
        <v/>
      </c>
    </row>
    <row r="550" spans="1:6">
      <c r="A550" t="str">
        <f>IFERROR(_xlfn.SINGLE(INDEX('ROMANEIO POR ITEM'!#REF!, SMALL(IF(_xlfn.SINGLE('ROMANEIO POR ITEM'!#REF!)&lt;&gt;0,_xlfn.SINGLE( ROW('ROMANEIO POR ITEM'!#REF!))-ROW('ROMANEIO POR ITEM'!#REF!)+1), ROW(A549)))), "")</f>
        <v/>
      </c>
      <c r="B550" t="str">
        <f>IF(A550="", "", VLOOKUP(A550, 'ROMANEIO POR ITEM'!#REF!, 2, FALSE))</f>
        <v/>
      </c>
      <c r="C550" t="str">
        <f>IF(A550="", "", VLOOKUP(A550, 'ROMANEIO POR ITEM'!#REF!, 3, FALSE))</f>
        <v/>
      </c>
      <c r="D550" t="str">
        <f>IF(A550="", "", VLOOKUP(A550, 'ROMANEIO POR ITEM'!#REF!, 4, FALSE))</f>
        <v/>
      </c>
      <c r="E550" t="str">
        <f>IF(A550="", "", VLOOKUP(A550, 'ROMANEIO POR ITEM'!#REF!, 5, FALSE))</f>
        <v/>
      </c>
      <c r="F550" t="str">
        <f>IF(A550="", "", VLOOKUP(A550, 'ROMANEIO POR ITEM'!#REF!, 6, FALSE))</f>
        <v/>
      </c>
    </row>
    <row r="551" spans="1:6">
      <c r="A551" t="str">
        <f>IFERROR(_xlfn.SINGLE(INDEX('ROMANEIO POR ITEM'!#REF!, SMALL(IF(_xlfn.SINGLE('ROMANEIO POR ITEM'!#REF!)&lt;&gt;0,_xlfn.SINGLE( ROW('ROMANEIO POR ITEM'!#REF!))-ROW('ROMANEIO POR ITEM'!#REF!)+1), ROW(A550)))), "")</f>
        <v/>
      </c>
      <c r="B551" t="str">
        <f>IF(A551="", "", VLOOKUP(A551, 'ROMANEIO POR ITEM'!#REF!, 2, FALSE))</f>
        <v/>
      </c>
      <c r="C551" t="str">
        <f>IF(A551="", "", VLOOKUP(A551, 'ROMANEIO POR ITEM'!#REF!, 3, FALSE))</f>
        <v/>
      </c>
      <c r="D551" t="str">
        <f>IF(A551="", "", VLOOKUP(A551, 'ROMANEIO POR ITEM'!#REF!, 4, FALSE))</f>
        <v/>
      </c>
      <c r="E551" t="str">
        <f>IF(A551="", "", VLOOKUP(A551, 'ROMANEIO POR ITEM'!#REF!, 5, FALSE))</f>
        <v/>
      </c>
      <c r="F551" t="str">
        <f>IF(A551="", "", VLOOKUP(A551, 'ROMANEIO POR ITEM'!#REF!, 6, FALSE))</f>
        <v/>
      </c>
    </row>
    <row r="552" spans="1:6">
      <c r="A552" t="str">
        <f>IFERROR(_xlfn.SINGLE(INDEX('ROMANEIO POR ITEM'!#REF!, SMALL(IF(_xlfn.SINGLE('ROMANEIO POR ITEM'!#REF!)&lt;&gt;0,_xlfn.SINGLE( ROW('ROMANEIO POR ITEM'!#REF!))-ROW('ROMANEIO POR ITEM'!#REF!)+1), ROW(A551)))), "")</f>
        <v/>
      </c>
      <c r="B552" t="str">
        <f>IF(A552="", "", VLOOKUP(A552, 'ROMANEIO POR ITEM'!#REF!, 2, FALSE))</f>
        <v/>
      </c>
      <c r="C552" t="str">
        <f>IF(A552="", "", VLOOKUP(A552, 'ROMANEIO POR ITEM'!#REF!, 3, FALSE))</f>
        <v/>
      </c>
      <c r="D552" t="str">
        <f>IF(A552="", "", VLOOKUP(A552, 'ROMANEIO POR ITEM'!#REF!, 4, FALSE))</f>
        <v/>
      </c>
      <c r="E552" t="str">
        <f>IF(A552="", "", VLOOKUP(A552, 'ROMANEIO POR ITEM'!#REF!, 5, FALSE))</f>
        <v/>
      </c>
      <c r="F552" t="str">
        <f>IF(A552="", "", VLOOKUP(A552, 'ROMANEIO POR ITEM'!#REF!, 6, FALSE))</f>
        <v/>
      </c>
    </row>
    <row r="553" spans="1:6">
      <c r="A553" t="str">
        <f>IFERROR(_xlfn.SINGLE(INDEX('ROMANEIO POR ITEM'!#REF!, SMALL(IF(_xlfn.SINGLE('ROMANEIO POR ITEM'!#REF!)&lt;&gt;0,_xlfn.SINGLE( ROW('ROMANEIO POR ITEM'!#REF!))-ROW('ROMANEIO POR ITEM'!#REF!)+1), ROW(A552)))), "")</f>
        <v/>
      </c>
      <c r="B553" t="str">
        <f>IF(A553="", "", VLOOKUP(A553, 'ROMANEIO POR ITEM'!#REF!, 2, FALSE))</f>
        <v/>
      </c>
      <c r="C553" t="str">
        <f>IF(A553="", "", VLOOKUP(A553, 'ROMANEIO POR ITEM'!#REF!, 3, FALSE))</f>
        <v/>
      </c>
      <c r="D553" t="str">
        <f>IF(A553="", "", VLOOKUP(A553, 'ROMANEIO POR ITEM'!#REF!, 4, FALSE))</f>
        <v/>
      </c>
      <c r="E553" t="str">
        <f>IF(A553="", "", VLOOKUP(A553, 'ROMANEIO POR ITEM'!#REF!, 5, FALSE))</f>
        <v/>
      </c>
      <c r="F553" t="str">
        <f>IF(A553="", "", VLOOKUP(A553, 'ROMANEIO POR ITEM'!#REF!, 6, FALSE))</f>
        <v/>
      </c>
    </row>
    <row r="554" spans="1:6">
      <c r="A554" t="str">
        <f>IFERROR(_xlfn.SINGLE(INDEX('ROMANEIO POR ITEM'!#REF!, SMALL(IF(_xlfn.SINGLE('ROMANEIO POR ITEM'!#REF!)&lt;&gt;0,_xlfn.SINGLE( ROW('ROMANEIO POR ITEM'!#REF!))-ROW('ROMANEIO POR ITEM'!#REF!)+1), ROW(A553)))), "")</f>
        <v/>
      </c>
      <c r="B554" t="str">
        <f>IF(A554="", "", VLOOKUP(A554, 'ROMANEIO POR ITEM'!#REF!, 2, FALSE))</f>
        <v/>
      </c>
      <c r="C554" t="str">
        <f>IF(A554="", "", VLOOKUP(A554, 'ROMANEIO POR ITEM'!#REF!, 3, FALSE))</f>
        <v/>
      </c>
      <c r="D554" t="str">
        <f>IF(A554="", "", VLOOKUP(A554, 'ROMANEIO POR ITEM'!#REF!, 4, FALSE))</f>
        <v/>
      </c>
      <c r="E554" t="str">
        <f>IF(A554="", "", VLOOKUP(A554, 'ROMANEIO POR ITEM'!#REF!, 5, FALSE))</f>
        <v/>
      </c>
      <c r="F554" t="str">
        <f>IF(A554="", "", VLOOKUP(A554, 'ROMANEIO POR ITEM'!#REF!, 6, FALSE))</f>
        <v/>
      </c>
    </row>
    <row r="555" spans="1:6">
      <c r="A555" t="str">
        <f>IFERROR(_xlfn.SINGLE(INDEX('ROMANEIO POR ITEM'!#REF!, SMALL(IF(_xlfn.SINGLE('ROMANEIO POR ITEM'!#REF!)&lt;&gt;0,_xlfn.SINGLE( ROW('ROMANEIO POR ITEM'!#REF!))-ROW('ROMANEIO POR ITEM'!#REF!)+1), ROW(A554)))), "")</f>
        <v/>
      </c>
      <c r="B555" t="str">
        <f>IF(A555="", "", VLOOKUP(A555, 'ROMANEIO POR ITEM'!#REF!, 2, FALSE))</f>
        <v/>
      </c>
      <c r="C555" t="str">
        <f>IF(A555="", "", VLOOKUP(A555, 'ROMANEIO POR ITEM'!#REF!, 3, FALSE))</f>
        <v/>
      </c>
      <c r="D555" t="str">
        <f>IF(A555="", "", VLOOKUP(A555, 'ROMANEIO POR ITEM'!#REF!, 4, FALSE))</f>
        <v/>
      </c>
      <c r="E555" t="str">
        <f>IF(A555="", "", VLOOKUP(A555, 'ROMANEIO POR ITEM'!#REF!, 5, FALSE))</f>
        <v/>
      </c>
      <c r="F555" t="str">
        <f>IF(A555="", "", VLOOKUP(A555, 'ROMANEIO POR ITEM'!#REF!, 6, FALSE))</f>
        <v/>
      </c>
    </row>
    <row r="556" spans="1:6">
      <c r="A556" t="str">
        <f>IFERROR(_xlfn.SINGLE(INDEX('ROMANEIO POR ITEM'!#REF!, SMALL(IF(_xlfn.SINGLE('ROMANEIO POR ITEM'!#REF!)&lt;&gt;0,_xlfn.SINGLE( ROW('ROMANEIO POR ITEM'!#REF!))-ROW('ROMANEIO POR ITEM'!#REF!)+1), ROW(A555)))), "")</f>
        <v/>
      </c>
      <c r="B556" t="str">
        <f>IF(A556="", "", VLOOKUP(A556, 'ROMANEIO POR ITEM'!#REF!, 2, FALSE))</f>
        <v/>
      </c>
      <c r="C556" t="str">
        <f>IF(A556="", "", VLOOKUP(A556, 'ROMANEIO POR ITEM'!#REF!, 3, FALSE))</f>
        <v/>
      </c>
      <c r="D556" t="str">
        <f>IF(A556="", "", VLOOKUP(A556, 'ROMANEIO POR ITEM'!#REF!, 4, FALSE))</f>
        <v/>
      </c>
      <c r="E556" t="str">
        <f>IF(A556="", "", VLOOKUP(A556, 'ROMANEIO POR ITEM'!#REF!, 5, FALSE))</f>
        <v/>
      </c>
      <c r="F556" t="str">
        <f>IF(A556="", "", VLOOKUP(A556, 'ROMANEIO POR ITEM'!#REF!, 6, FALSE))</f>
        <v/>
      </c>
    </row>
    <row r="557" spans="1:6">
      <c r="A557" t="str">
        <f>IFERROR(_xlfn.SINGLE(INDEX('ROMANEIO POR ITEM'!#REF!, SMALL(IF(_xlfn.SINGLE('ROMANEIO POR ITEM'!#REF!)&lt;&gt;0,_xlfn.SINGLE( ROW('ROMANEIO POR ITEM'!#REF!))-ROW('ROMANEIO POR ITEM'!#REF!)+1), ROW(A556)))), "")</f>
        <v/>
      </c>
      <c r="B557" t="str">
        <f>IF(A557="", "", VLOOKUP(A557, 'ROMANEIO POR ITEM'!#REF!, 2, FALSE))</f>
        <v/>
      </c>
      <c r="C557" t="str">
        <f>IF(A557="", "", VLOOKUP(A557, 'ROMANEIO POR ITEM'!#REF!, 3, FALSE))</f>
        <v/>
      </c>
      <c r="D557" t="str">
        <f>IF(A557="", "", VLOOKUP(A557, 'ROMANEIO POR ITEM'!#REF!, 4, FALSE))</f>
        <v/>
      </c>
      <c r="E557" t="str">
        <f>IF(A557="", "", VLOOKUP(A557, 'ROMANEIO POR ITEM'!#REF!, 5, FALSE))</f>
        <v/>
      </c>
      <c r="F557" t="str">
        <f>IF(A557="", "", VLOOKUP(A557, 'ROMANEIO POR ITEM'!#REF!, 6, FALSE))</f>
        <v/>
      </c>
    </row>
    <row r="558" spans="1:6">
      <c r="A558" t="str">
        <f>IFERROR(_xlfn.SINGLE(INDEX('ROMANEIO POR ITEM'!#REF!, SMALL(IF(_xlfn.SINGLE('ROMANEIO POR ITEM'!#REF!)&lt;&gt;0,_xlfn.SINGLE( ROW('ROMANEIO POR ITEM'!#REF!))-ROW('ROMANEIO POR ITEM'!#REF!)+1), ROW(A557)))), "")</f>
        <v/>
      </c>
      <c r="B558" t="str">
        <f>IF(A558="", "", VLOOKUP(A558, 'ROMANEIO POR ITEM'!#REF!, 2, FALSE))</f>
        <v/>
      </c>
      <c r="C558" t="str">
        <f>IF(A558="", "", VLOOKUP(A558, 'ROMANEIO POR ITEM'!#REF!, 3, FALSE))</f>
        <v/>
      </c>
      <c r="D558" t="str">
        <f>IF(A558="", "", VLOOKUP(A558, 'ROMANEIO POR ITEM'!#REF!, 4, FALSE))</f>
        <v/>
      </c>
      <c r="E558" t="str">
        <f>IF(A558="", "", VLOOKUP(A558, 'ROMANEIO POR ITEM'!#REF!, 5, FALSE))</f>
        <v/>
      </c>
      <c r="F558" t="str">
        <f>IF(A558="", "", VLOOKUP(A558, 'ROMANEIO POR ITEM'!#REF!, 6, FALSE))</f>
        <v/>
      </c>
    </row>
    <row r="559" spans="1:6">
      <c r="A559" t="str">
        <f>IFERROR(_xlfn.SINGLE(INDEX('ROMANEIO POR ITEM'!#REF!, SMALL(IF(_xlfn.SINGLE('ROMANEIO POR ITEM'!#REF!)&lt;&gt;0,_xlfn.SINGLE( ROW('ROMANEIO POR ITEM'!#REF!))-ROW('ROMANEIO POR ITEM'!#REF!)+1), ROW(A558)))), "")</f>
        <v/>
      </c>
      <c r="B559" t="str">
        <f>IF(A559="", "", VLOOKUP(A559, 'ROMANEIO POR ITEM'!#REF!, 2, FALSE))</f>
        <v/>
      </c>
      <c r="C559" t="str">
        <f>IF(A559="", "", VLOOKUP(A559, 'ROMANEIO POR ITEM'!#REF!, 3, FALSE))</f>
        <v/>
      </c>
      <c r="D559" t="str">
        <f>IF(A559="", "", VLOOKUP(A559, 'ROMANEIO POR ITEM'!#REF!, 4, FALSE))</f>
        <v/>
      </c>
      <c r="E559" t="str">
        <f>IF(A559="", "", VLOOKUP(A559, 'ROMANEIO POR ITEM'!#REF!, 5, FALSE))</f>
        <v/>
      </c>
      <c r="F559" t="str">
        <f>IF(A559="", "", VLOOKUP(A559, 'ROMANEIO POR ITEM'!#REF!, 6, FALSE))</f>
        <v/>
      </c>
    </row>
    <row r="560" spans="1:6">
      <c r="A560" t="str">
        <f>IFERROR(_xlfn.SINGLE(INDEX('ROMANEIO POR ITEM'!#REF!, SMALL(IF(_xlfn.SINGLE('ROMANEIO POR ITEM'!#REF!)&lt;&gt;0,_xlfn.SINGLE( ROW('ROMANEIO POR ITEM'!#REF!))-ROW('ROMANEIO POR ITEM'!#REF!)+1), ROW(A559)))), "")</f>
        <v/>
      </c>
      <c r="B560" t="str">
        <f>IF(A560="", "", VLOOKUP(A560, 'ROMANEIO POR ITEM'!#REF!, 2, FALSE))</f>
        <v/>
      </c>
      <c r="C560" t="str">
        <f>IF(A560="", "", VLOOKUP(A560, 'ROMANEIO POR ITEM'!#REF!, 3, FALSE))</f>
        <v/>
      </c>
      <c r="D560" t="str">
        <f>IF(A560="", "", VLOOKUP(A560, 'ROMANEIO POR ITEM'!#REF!, 4, FALSE))</f>
        <v/>
      </c>
      <c r="E560" t="str">
        <f>IF(A560="", "", VLOOKUP(A560, 'ROMANEIO POR ITEM'!#REF!, 5, FALSE))</f>
        <v/>
      </c>
      <c r="F560" t="str">
        <f>IF(A560="", "", VLOOKUP(A560, 'ROMANEIO POR ITEM'!#REF!, 6, FALSE))</f>
        <v/>
      </c>
    </row>
    <row r="561" spans="1:6">
      <c r="A561" t="str">
        <f>IFERROR(_xlfn.SINGLE(INDEX('ROMANEIO POR ITEM'!#REF!, SMALL(IF(_xlfn.SINGLE('ROMANEIO POR ITEM'!#REF!)&lt;&gt;0,_xlfn.SINGLE( ROW('ROMANEIO POR ITEM'!#REF!))-ROW('ROMANEIO POR ITEM'!#REF!)+1), ROW(A560)))), "")</f>
        <v/>
      </c>
      <c r="B561" t="str">
        <f>IF(A561="", "", VLOOKUP(A561, 'ROMANEIO POR ITEM'!#REF!, 2, FALSE))</f>
        <v/>
      </c>
      <c r="C561" t="str">
        <f>IF(A561="", "", VLOOKUP(A561, 'ROMANEIO POR ITEM'!#REF!, 3, FALSE))</f>
        <v/>
      </c>
      <c r="D561" t="str">
        <f>IF(A561="", "", VLOOKUP(A561, 'ROMANEIO POR ITEM'!#REF!, 4, FALSE))</f>
        <v/>
      </c>
      <c r="E561" t="str">
        <f>IF(A561="", "", VLOOKUP(A561, 'ROMANEIO POR ITEM'!#REF!, 5, FALSE))</f>
        <v/>
      </c>
      <c r="F561" t="str">
        <f>IF(A561="", "", VLOOKUP(A561, 'ROMANEIO POR ITEM'!#REF!, 6, FALSE))</f>
        <v/>
      </c>
    </row>
    <row r="562" spans="1:6">
      <c r="A562" t="str">
        <f>IFERROR(_xlfn.SINGLE(INDEX('ROMANEIO POR ITEM'!#REF!, SMALL(IF(_xlfn.SINGLE('ROMANEIO POR ITEM'!#REF!)&lt;&gt;0,_xlfn.SINGLE( ROW('ROMANEIO POR ITEM'!#REF!))-ROW('ROMANEIO POR ITEM'!#REF!)+1), ROW(A561)))), "")</f>
        <v/>
      </c>
      <c r="B562" t="str">
        <f>IF(A562="", "", VLOOKUP(A562, 'ROMANEIO POR ITEM'!#REF!, 2, FALSE))</f>
        <v/>
      </c>
      <c r="C562" t="str">
        <f>IF(A562="", "", VLOOKUP(A562, 'ROMANEIO POR ITEM'!#REF!, 3, FALSE))</f>
        <v/>
      </c>
      <c r="D562" t="str">
        <f>IF(A562="", "", VLOOKUP(A562, 'ROMANEIO POR ITEM'!#REF!, 4, FALSE))</f>
        <v/>
      </c>
      <c r="E562" t="str">
        <f>IF(A562="", "", VLOOKUP(A562, 'ROMANEIO POR ITEM'!#REF!, 5, FALSE))</f>
        <v/>
      </c>
      <c r="F562" t="str">
        <f>IF(A562="", "", VLOOKUP(A562, 'ROMANEIO POR ITEM'!#REF!, 6, FALSE))</f>
        <v/>
      </c>
    </row>
    <row r="563" spans="1:6">
      <c r="A563" t="str">
        <f>IFERROR(_xlfn.SINGLE(INDEX('ROMANEIO POR ITEM'!#REF!, SMALL(IF(_xlfn.SINGLE('ROMANEIO POR ITEM'!#REF!)&lt;&gt;0,_xlfn.SINGLE( ROW('ROMANEIO POR ITEM'!#REF!))-ROW('ROMANEIO POR ITEM'!#REF!)+1), ROW(A562)))), "")</f>
        <v/>
      </c>
      <c r="B563" t="str">
        <f>IF(A563="", "", VLOOKUP(A563, 'ROMANEIO POR ITEM'!#REF!, 2, FALSE))</f>
        <v/>
      </c>
      <c r="C563" t="str">
        <f>IF(A563="", "", VLOOKUP(A563, 'ROMANEIO POR ITEM'!#REF!, 3, FALSE))</f>
        <v/>
      </c>
      <c r="D563" t="str">
        <f>IF(A563="", "", VLOOKUP(A563, 'ROMANEIO POR ITEM'!#REF!, 4, FALSE))</f>
        <v/>
      </c>
      <c r="E563" t="str">
        <f>IF(A563="", "", VLOOKUP(A563, 'ROMANEIO POR ITEM'!#REF!, 5, FALSE))</f>
        <v/>
      </c>
      <c r="F563" t="str">
        <f>IF(A563="", "", VLOOKUP(A563, 'ROMANEIO POR ITEM'!#REF!, 6, FALSE))</f>
        <v/>
      </c>
    </row>
    <row r="564" spans="1:6">
      <c r="A564" t="str">
        <f>IFERROR(_xlfn.SINGLE(INDEX('ROMANEIO POR ITEM'!#REF!, SMALL(IF(_xlfn.SINGLE('ROMANEIO POR ITEM'!#REF!)&lt;&gt;0,_xlfn.SINGLE( ROW('ROMANEIO POR ITEM'!#REF!))-ROW('ROMANEIO POR ITEM'!#REF!)+1), ROW(A563)))), "")</f>
        <v/>
      </c>
      <c r="B564" t="str">
        <f>IF(A564="", "", VLOOKUP(A564, 'ROMANEIO POR ITEM'!#REF!, 2, FALSE))</f>
        <v/>
      </c>
      <c r="C564" t="str">
        <f>IF(A564="", "", VLOOKUP(A564, 'ROMANEIO POR ITEM'!#REF!, 3, FALSE))</f>
        <v/>
      </c>
      <c r="D564" t="str">
        <f>IF(A564="", "", VLOOKUP(A564, 'ROMANEIO POR ITEM'!#REF!, 4, FALSE))</f>
        <v/>
      </c>
      <c r="E564" t="str">
        <f>IF(A564="", "", VLOOKUP(A564, 'ROMANEIO POR ITEM'!#REF!, 5, FALSE))</f>
        <v/>
      </c>
      <c r="F564" t="str">
        <f>IF(A564="", "", VLOOKUP(A564, 'ROMANEIO POR ITEM'!#REF!, 6, FALSE))</f>
        <v/>
      </c>
    </row>
    <row r="565" spans="1:6">
      <c r="A565" t="str">
        <f>IFERROR(_xlfn.SINGLE(INDEX('ROMANEIO POR ITEM'!#REF!, SMALL(IF(_xlfn.SINGLE('ROMANEIO POR ITEM'!#REF!)&lt;&gt;0,_xlfn.SINGLE( ROW('ROMANEIO POR ITEM'!#REF!))-ROW('ROMANEIO POR ITEM'!#REF!)+1), ROW(A564)))), "")</f>
        <v/>
      </c>
      <c r="B565" t="str">
        <f>IF(A565="", "", VLOOKUP(A565, 'ROMANEIO POR ITEM'!#REF!, 2, FALSE))</f>
        <v/>
      </c>
      <c r="C565" t="str">
        <f>IF(A565="", "", VLOOKUP(A565, 'ROMANEIO POR ITEM'!#REF!, 3, FALSE))</f>
        <v/>
      </c>
      <c r="D565" t="str">
        <f>IF(A565="", "", VLOOKUP(A565, 'ROMANEIO POR ITEM'!#REF!, 4, FALSE))</f>
        <v/>
      </c>
      <c r="E565" t="str">
        <f>IF(A565="", "", VLOOKUP(A565, 'ROMANEIO POR ITEM'!#REF!, 5, FALSE))</f>
        <v/>
      </c>
      <c r="F565" t="str">
        <f>IF(A565="", "", VLOOKUP(A565, 'ROMANEIO POR ITEM'!#REF!, 6, FALSE))</f>
        <v/>
      </c>
    </row>
    <row r="566" spans="1:6">
      <c r="A566" t="str">
        <f>IFERROR(_xlfn.SINGLE(INDEX('ROMANEIO POR ITEM'!#REF!, SMALL(IF(_xlfn.SINGLE('ROMANEIO POR ITEM'!#REF!)&lt;&gt;0,_xlfn.SINGLE( ROW('ROMANEIO POR ITEM'!#REF!))-ROW('ROMANEIO POR ITEM'!#REF!)+1), ROW(A565)))), "")</f>
        <v/>
      </c>
      <c r="B566" t="str">
        <f>IF(A566="", "", VLOOKUP(A566, 'ROMANEIO POR ITEM'!#REF!, 2, FALSE))</f>
        <v/>
      </c>
      <c r="C566" t="str">
        <f>IF(A566="", "", VLOOKUP(A566, 'ROMANEIO POR ITEM'!#REF!, 3, FALSE))</f>
        <v/>
      </c>
      <c r="D566" t="str">
        <f>IF(A566="", "", VLOOKUP(A566, 'ROMANEIO POR ITEM'!#REF!, 4, FALSE))</f>
        <v/>
      </c>
      <c r="E566" t="str">
        <f>IF(A566="", "", VLOOKUP(A566, 'ROMANEIO POR ITEM'!#REF!, 5, FALSE))</f>
        <v/>
      </c>
      <c r="F566" t="str">
        <f>IF(A566="", "", VLOOKUP(A566, 'ROMANEIO POR ITEM'!#REF!, 6, FALSE))</f>
        <v/>
      </c>
    </row>
    <row r="567" spans="1:6">
      <c r="A567" t="str">
        <f>IFERROR(_xlfn.SINGLE(INDEX('ROMANEIO POR ITEM'!#REF!, SMALL(IF(_xlfn.SINGLE('ROMANEIO POR ITEM'!#REF!)&lt;&gt;0,_xlfn.SINGLE( ROW('ROMANEIO POR ITEM'!#REF!))-ROW('ROMANEIO POR ITEM'!#REF!)+1), ROW(A566)))), "")</f>
        <v/>
      </c>
      <c r="B567" t="str">
        <f>IF(A567="", "", VLOOKUP(A567, 'ROMANEIO POR ITEM'!#REF!, 2, FALSE))</f>
        <v/>
      </c>
      <c r="C567" t="str">
        <f>IF(A567="", "", VLOOKUP(A567, 'ROMANEIO POR ITEM'!#REF!, 3, FALSE))</f>
        <v/>
      </c>
      <c r="D567" t="str">
        <f>IF(A567="", "", VLOOKUP(A567, 'ROMANEIO POR ITEM'!#REF!, 4, FALSE))</f>
        <v/>
      </c>
      <c r="E567" t="str">
        <f>IF(A567="", "", VLOOKUP(A567, 'ROMANEIO POR ITEM'!#REF!, 5, FALSE))</f>
        <v/>
      </c>
      <c r="F567" t="str">
        <f>IF(A567="", "", VLOOKUP(A567, 'ROMANEIO POR ITEM'!#REF!, 6, FALSE))</f>
        <v/>
      </c>
    </row>
    <row r="568" spans="1:6">
      <c r="A568" t="str">
        <f>IFERROR(_xlfn.SINGLE(INDEX('ROMANEIO POR ITEM'!#REF!, SMALL(IF(_xlfn.SINGLE('ROMANEIO POR ITEM'!#REF!)&lt;&gt;0,_xlfn.SINGLE( ROW('ROMANEIO POR ITEM'!#REF!))-ROW('ROMANEIO POR ITEM'!#REF!)+1), ROW(A567)))), "")</f>
        <v/>
      </c>
      <c r="B568" t="str">
        <f>IF(A568="", "", VLOOKUP(A568, 'ROMANEIO POR ITEM'!#REF!, 2, FALSE))</f>
        <v/>
      </c>
      <c r="C568" t="str">
        <f>IF(A568="", "", VLOOKUP(A568, 'ROMANEIO POR ITEM'!#REF!, 3, FALSE))</f>
        <v/>
      </c>
      <c r="D568" t="str">
        <f>IF(A568="", "", VLOOKUP(A568, 'ROMANEIO POR ITEM'!#REF!, 4, FALSE))</f>
        <v/>
      </c>
      <c r="E568" t="str">
        <f>IF(A568="", "", VLOOKUP(A568, 'ROMANEIO POR ITEM'!#REF!, 5, FALSE))</f>
        <v/>
      </c>
      <c r="F568" t="str">
        <f>IF(A568="", "", VLOOKUP(A568, 'ROMANEIO POR ITEM'!#REF!, 6, FALSE))</f>
        <v/>
      </c>
    </row>
    <row r="569" spans="1:6">
      <c r="A569" t="str">
        <f>IFERROR(_xlfn.SINGLE(INDEX('ROMANEIO POR ITEM'!#REF!, SMALL(IF(_xlfn.SINGLE('ROMANEIO POR ITEM'!#REF!)&lt;&gt;0,_xlfn.SINGLE( ROW('ROMANEIO POR ITEM'!#REF!))-ROW('ROMANEIO POR ITEM'!#REF!)+1), ROW(A568)))), "")</f>
        <v/>
      </c>
      <c r="B569" t="str">
        <f>IF(A569="", "", VLOOKUP(A569, 'ROMANEIO POR ITEM'!#REF!, 2, FALSE))</f>
        <v/>
      </c>
      <c r="C569" t="str">
        <f>IF(A569="", "", VLOOKUP(A569, 'ROMANEIO POR ITEM'!#REF!, 3, FALSE))</f>
        <v/>
      </c>
      <c r="D569" t="str">
        <f>IF(A569="", "", VLOOKUP(A569, 'ROMANEIO POR ITEM'!#REF!, 4, FALSE))</f>
        <v/>
      </c>
      <c r="E569" t="str">
        <f>IF(A569="", "", VLOOKUP(A569, 'ROMANEIO POR ITEM'!#REF!, 5, FALSE))</f>
        <v/>
      </c>
      <c r="F569" t="str">
        <f>IF(A569="", "", VLOOKUP(A569, 'ROMANEIO POR ITEM'!#REF!, 6, FALSE))</f>
        <v/>
      </c>
    </row>
    <row r="570" spans="1:6">
      <c r="A570" t="str">
        <f>IFERROR(_xlfn.SINGLE(INDEX('ROMANEIO POR ITEM'!#REF!, SMALL(IF(_xlfn.SINGLE('ROMANEIO POR ITEM'!#REF!)&lt;&gt;0,_xlfn.SINGLE( ROW('ROMANEIO POR ITEM'!#REF!))-ROW('ROMANEIO POR ITEM'!#REF!)+1), ROW(A569)))), "")</f>
        <v/>
      </c>
      <c r="B570" t="str">
        <f>IF(A570="", "", VLOOKUP(A570, 'ROMANEIO POR ITEM'!#REF!, 2, FALSE))</f>
        <v/>
      </c>
      <c r="C570" t="str">
        <f>IF(A570="", "", VLOOKUP(A570, 'ROMANEIO POR ITEM'!#REF!, 3, FALSE))</f>
        <v/>
      </c>
      <c r="D570" t="str">
        <f>IF(A570="", "", VLOOKUP(A570, 'ROMANEIO POR ITEM'!#REF!, 4, FALSE))</f>
        <v/>
      </c>
      <c r="E570" t="str">
        <f>IF(A570="", "", VLOOKUP(A570, 'ROMANEIO POR ITEM'!#REF!, 5, FALSE))</f>
        <v/>
      </c>
      <c r="F570" t="str">
        <f>IF(A570="", "", VLOOKUP(A570, 'ROMANEIO POR ITEM'!#REF!, 6, FALSE))</f>
        <v/>
      </c>
    </row>
    <row r="571" spans="1:6">
      <c r="A571" t="str">
        <f>IFERROR(_xlfn.SINGLE(INDEX('ROMANEIO POR ITEM'!#REF!, SMALL(IF(_xlfn.SINGLE('ROMANEIO POR ITEM'!#REF!)&lt;&gt;0,_xlfn.SINGLE( ROW('ROMANEIO POR ITEM'!#REF!))-ROW('ROMANEIO POR ITEM'!#REF!)+1), ROW(A570)))), "")</f>
        <v/>
      </c>
      <c r="B571" t="str">
        <f>IF(A571="", "", VLOOKUP(A571, 'ROMANEIO POR ITEM'!#REF!, 2, FALSE))</f>
        <v/>
      </c>
      <c r="C571" t="str">
        <f>IF(A571="", "", VLOOKUP(A571, 'ROMANEIO POR ITEM'!#REF!, 3, FALSE))</f>
        <v/>
      </c>
      <c r="D571" t="str">
        <f>IF(A571="", "", VLOOKUP(A571, 'ROMANEIO POR ITEM'!#REF!, 4, FALSE))</f>
        <v/>
      </c>
      <c r="E571" t="str">
        <f>IF(A571="", "", VLOOKUP(A571, 'ROMANEIO POR ITEM'!#REF!, 5, FALSE))</f>
        <v/>
      </c>
      <c r="F571" t="str">
        <f>IF(A571="", "", VLOOKUP(A571, 'ROMANEIO POR ITEM'!#REF!, 6, FALSE))</f>
        <v/>
      </c>
    </row>
    <row r="572" spans="1:6">
      <c r="A572" t="str">
        <f>IFERROR(_xlfn.SINGLE(INDEX('ROMANEIO POR ITEM'!#REF!, SMALL(IF(_xlfn.SINGLE('ROMANEIO POR ITEM'!#REF!)&lt;&gt;0,_xlfn.SINGLE( ROW('ROMANEIO POR ITEM'!#REF!))-ROW('ROMANEIO POR ITEM'!#REF!)+1), ROW(A571)))), "")</f>
        <v/>
      </c>
      <c r="B572" t="str">
        <f>IF(A572="", "", VLOOKUP(A572, 'ROMANEIO POR ITEM'!#REF!, 2, FALSE))</f>
        <v/>
      </c>
      <c r="C572" t="str">
        <f>IF(A572="", "", VLOOKUP(A572, 'ROMANEIO POR ITEM'!#REF!, 3, FALSE))</f>
        <v/>
      </c>
      <c r="D572" t="str">
        <f>IF(A572="", "", VLOOKUP(A572, 'ROMANEIO POR ITEM'!#REF!, 4, FALSE))</f>
        <v/>
      </c>
      <c r="E572" t="str">
        <f>IF(A572="", "", VLOOKUP(A572, 'ROMANEIO POR ITEM'!#REF!, 5, FALSE))</f>
        <v/>
      </c>
      <c r="F572" t="str">
        <f>IF(A572="", "", VLOOKUP(A572, 'ROMANEIO POR ITEM'!#REF!, 6, FALSE))</f>
        <v/>
      </c>
    </row>
    <row r="573" spans="1:6">
      <c r="A573" t="str">
        <f>IFERROR(_xlfn.SINGLE(INDEX('ROMANEIO POR ITEM'!#REF!, SMALL(IF(_xlfn.SINGLE('ROMANEIO POR ITEM'!#REF!)&lt;&gt;0,_xlfn.SINGLE( ROW('ROMANEIO POR ITEM'!#REF!))-ROW('ROMANEIO POR ITEM'!#REF!)+1), ROW(A572)))), "")</f>
        <v/>
      </c>
      <c r="B573" t="str">
        <f>IF(A573="", "", VLOOKUP(A573, 'ROMANEIO POR ITEM'!#REF!, 2, FALSE))</f>
        <v/>
      </c>
      <c r="C573" t="str">
        <f>IF(A573="", "", VLOOKUP(A573, 'ROMANEIO POR ITEM'!#REF!, 3, FALSE))</f>
        <v/>
      </c>
      <c r="D573" t="str">
        <f>IF(A573="", "", VLOOKUP(A573, 'ROMANEIO POR ITEM'!#REF!, 4, FALSE))</f>
        <v/>
      </c>
      <c r="E573" t="str">
        <f>IF(A573="", "", VLOOKUP(A573, 'ROMANEIO POR ITEM'!#REF!, 5, FALSE))</f>
        <v/>
      </c>
      <c r="F573" t="str">
        <f>IF(A573="", "", VLOOKUP(A573, 'ROMANEIO POR ITEM'!#REF!, 6, FALSE))</f>
        <v/>
      </c>
    </row>
    <row r="574" spans="1:6">
      <c r="A574" t="str">
        <f>IFERROR(_xlfn.SINGLE(INDEX('ROMANEIO POR ITEM'!#REF!, SMALL(IF(_xlfn.SINGLE('ROMANEIO POR ITEM'!#REF!)&lt;&gt;0,_xlfn.SINGLE( ROW('ROMANEIO POR ITEM'!#REF!))-ROW('ROMANEIO POR ITEM'!#REF!)+1), ROW(A573)))), "")</f>
        <v/>
      </c>
      <c r="B574" t="str">
        <f>IF(A574="", "", VLOOKUP(A574, 'ROMANEIO POR ITEM'!#REF!, 2, FALSE))</f>
        <v/>
      </c>
      <c r="C574" t="str">
        <f>IF(A574="", "", VLOOKUP(A574, 'ROMANEIO POR ITEM'!#REF!, 3, FALSE))</f>
        <v/>
      </c>
      <c r="D574" t="str">
        <f>IF(A574="", "", VLOOKUP(A574, 'ROMANEIO POR ITEM'!#REF!, 4, FALSE))</f>
        <v/>
      </c>
      <c r="E574" t="str">
        <f>IF(A574="", "", VLOOKUP(A574, 'ROMANEIO POR ITEM'!#REF!, 5, FALSE))</f>
        <v/>
      </c>
      <c r="F574" t="str">
        <f>IF(A574="", "", VLOOKUP(A574, 'ROMANEIO POR ITEM'!#REF!, 6, FALSE))</f>
        <v/>
      </c>
    </row>
    <row r="575" spans="1:6">
      <c r="A575" t="str">
        <f>IFERROR(_xlfn.SINGLE(INDEX('ROMANEIO POR ITEM'!#REF!, SMALL(IF(_xlfn.SINGLE('ROMANEIO POR ITEM'!#REF!)&lt;&gt;0,_xlfn.SINGLE( ROW('ROMANEIO POR ITEM'!#REF!))-ROW('ROMANEIO POR ITEM'!#REF!)+1), ROW(A574)))), "")</f>
        <v/>
      </c>
      <c r="B575" t="str">
        <f>IF(A575="", "", VLOOKUP(A575, 'ROMANEIO POR ITEM'!#REF!, 2, FALSE))</f>
        <v/>
      </c>
      <c r="C575" t="str">
        <f>IF(A575="", "", VLOOKUP(A575, 'ROMANEIO POR ITEM'!#REF!, 3, FALSE))</f>
        <v/>
      </c>
      <c r="D575" t="str">
        <f>IF(A575="", "", VLOOKUP(A575, 'ROMANEIO POR ITEM'!#REF!, 4, FALSE))</f>
        <v/>
      </c>
      <c r="E575" t="str">
        <f>IF(A575="", "", VLOOKUP(A575, 'ROMANEIO POR ITEM'!#REF!, 5, FALSE))</f>
        <v/>
      </c>
      <c r="F575" t="str">
        <f>IF(A575="", "", VLOOKUP(A575, 'ROMANEIO POR ITEM'!#REF!, 6, FALSE))</f>
        <v/>
      </c>
    </row>
    <row r="576" spans="1:6">
      <c r="A576" t="str">
        <f>IFERROR(_xlfn.SINGLE(INDEX('ROMANEIO POR ITEM'!#REF!, SMALL(IF(_xlfn.SINGLE('ROMANEIO POR ITEM'!#REF!)&lt;&gt;0,_xlfn.SINGLE( ROW('ROMANEIO POR ITEM'!#REF!))-ROW('ROMANEIO POR ITEM'!#REF!)+1), ROW(A575)))), "")</f>
        <v/>
      </c>
      <c r="B576" t="str">
        <f>IF(A576="", "", VLOOKUP(A576, 'ROMANEIO POR ITEM'!#REF!, 2, FALSE))</f>
        <v/>
      </c>
      <c r="C576" t="str">
        <f>IF(A576="", "", VLOOKUP(A576, 'ROMANEIO POR ITEM'!#REF!, 3, FALSE))</f>
        <v/>
      </c>
      <c r="D576" t="str">
        <f>IF(A576="", "", VLOOKUP(A576, 'ROMANEIO POR ITEM'!#REF!, 4, FALSE))</f>
        <v/>
      </c>
      <c r="E576" t="str">
        <f>IF(A576="", "", VLOOKUP(A576, 'ROMANEIO POR ITEM'!#REF!, 5, FALSE))</f>
        <v/>
      </c>
      <c r="F576" t="str">
        <f>IF(A576="", "", VLOOKUP(A576, 'ROMANEIO POR ITEM'!#REF!, 6, FALSE))</f>
        <v/>
      </c>
    </row>
    <row r="577" spans="1:6">
      <c r="A577" t="str">
        <f>IFERROR(_xlfn.SINGLE(INDEX('ROMANEIO POR ITEM'!#REF!, SMALL(IF(_xlfn.SINGLE('ROMANEIO POR ITEM'!#REF!)&lt;&gt;0,_xlfn.SINGLE( ROW('ROMANEIO POR ITEM'!#REF!))-ROW('ROMANEIO POR ITEM'!#REF!)+1), ROW(A576)))), "")</f>
        <v/>
      </c>
      <c r="B577" t="str">
        <f>IF(A577="", "", VLOOKUP(A577, 'ROMANEIO POR ITEM'!#REF!, 2, FALSE))</f>
        <v/>
      </c>
      <c r="C577" t="str">
        <f>IF(A577="", "", VLOOKUP(A577, 'ROMANEIO POR ITEM'!#REF!, 3, FALSE))</f>
        <v/>
      </c>
      <c r="D577" t="str">
        <f>IF(A577="", "", VLOOKUP(A577, 'ROMANEIO POR ITEM'!#REF!, 4, FALSE))</f>
        <v/>
      </c>
      <c r="E577" t="str">
        <f>IF(A577="", "", VLOOKUP(A577, 'ROMANEIO POR ITEM'!#REF!, 5, FALSE))</f>
        <v/>
      </c>
      <c r="F577" t="str">
        <f>IF(A577="", "", VLOOKUP(A577, 'ROMANEIO POR ITEM'!#REF!, 6, FALSE))</f>
        <v/>
      </c>
    </row>
    <row r="578" spans="1:6">
      <c r="A578" t="str">
        <f>IFERROR(_xlfn.SINGLE(INDEX('ROMANEIO POR ITEM'!#REF!, SMALL(IF(_xlfn.SINGLE('ROMANEIO POR ITEM'!#REF!)&lt;&gt;0,_xlfn.SINGLE( ROW('ROMANEIO POR ITEM'!#REF!))-ROW('ROMANEIO POR ITEM'!#REF!)+1), ROW(A577)))), "")</f>
        <v/>
      </c>
      <c r="B578" t="str">
        <f>IF(A578="", "", VLOOKUP(A578, 'ROMANEIO POR ITEM'!#REF!, 2, FALSE))</f>
        <v/>
      </c>
      <c r="C578" t="str">
        <f>IF(A578="", "", VLOOKUP(A578, 'ROMANEIO POR ITEM'!#REF!, 3, FALSE))</f>
        <v/>
      </c>
      <c r="D578" t="str">
        <f>IF(A578="", "", VLOOKUP(A578, 'ROMANEIO POR ITEM'!#REF!, 4, FALSE))</f>
        <v/>
      </c>
      <c r="E578" t="str">
        <f>IF(A578="", "", VLOOKUP(A578, 'ROMANEIO POR ITEM'!#REF!, 5, FALSE))</f>
        <v/>
      </c>
      <c r="F578" t="str">
        <f>IF(A578="", "", VLOOKUP(A578, 'ROMANEIO POR ITEM'!#REF!, 6, FALSE))</f>
        <v/>
      </c>
    </row>
    <row r="579" spans="1:6">
      <c r="A579" t="str">
        <f>IFERROR(_xlfn.SINGLE(INDEX('ROMANEIO POR ITEM'!#REF!, SMALL(IF(_xlfn.SINGLE('ROMANEIO POR ITEM'!#REF!)&lt;&gt;0,_xlfn.SINGLE( ROW('ROMANEIO POR ITEM'!#REF!))-ROW('ROMANEIO POR ITEM'!#REF!)+1), ROW(A578)))), "")</f>
        <v/>
      </c>
      <c r="B579" t="str">
        <f>IF(A579="", "", VLOOKUP(A579, 'ROMANEIO POR ITEM'!#REF!, 2, FALSE))</f>
        <v/>
      </c>
      <c r="C579" t="str">
        <f>IF(A579="", "", VLOOKUP(A579, 'ROMANEIO POR ITEM'!#REF!, 3, FALSE))</f>
        <v/>
      </c>
      <c r="D579" t="str">
        <f>IF(A579="", "", VLOOKUP(A579, 'ROMANEIO POR ITEM'!#REF!, 4, FALSE))</f>
        <v/>
      </c>
      <c r="E579" t="str">
        <f>IF(A579="", "", VLOOKUP(A579, 'ROMANEIO POR ITEM'!#REF!, 5, FALSE))</f>
        <v/>
      </c>
      <c r="F579" t="str">
        <f>IF(A579="", "", VLOOKUP(A579, 'ROMANEIO POR ITEM'!#REF!, 6, FALSE))</f>
        <v/>
      </c>
    </row>
    <row r="580" spans="1:6">
      <c r="A580" t="str">
        <f>IFERROR(_xlfn.SINGLE(INDEX('ROMANEIO POR ITEM'!#REF!, SMALL(IF(_xlfn.SINGLE('ROMANEIO POR ITEM'!#REF!)&lt;&gt;0,_xlfn.SINGLE( ROW('ROMANEIO POR ITEM'!#REF!))-ROW('ROMANEIO POR ITEM'!#REF!)+1), ROW(A579)))), "")</f>
        <v/>
      </c>
      <c r="B580" t="str">
        <f>IF(A580="", "", VLOOKUP(A580, 'ROMANEIO POR ITEM'!#REF!, 2, FALSE))</f>
        <v/>
      </c>
      <c r="C580" t="str">
        <f>IF(A580="", "", VLOOKUP(A580, 'ROMANEIO POR ITEM'!#REF!, 3, FALSE))</f>
        <v/>
      </c>
      <c r="D580" t="str">
        <f>IF(A580="", "", VLOOKUP(A580, 'ROMANEIO POR ITEM'!#REF!, 4, FALSE))</f>
        <v/>
      </c>
      <c r="E580" t="str">
        <f>IF(A580="", "", VLOOKUP(A580, 'ROMANEIO POR ITEM'!#REF!, 5, FALSE))</f>
        <v/>
      </c>
      <c r="F580" t="str">
        <f>IF(A580="", "", VLOOKUP(A580, 'ROMANEIO POR ITEM'!#REF!, 6, FALSE))</f>
        <v/>
      </c>
    </row>
    <row r="581" spans="1:6">
      <c r="A581" t="str">
        <f>IFERROR(_xlfn.SINGLE(INDEX('ROMANEIO POR ITEM'!#REF!, SMALL(IF(_xlfn.SINGLE('ROMANEIO POR ITEM'!#REF!)&lt;&gt;0,_xlfn.SINGLE( ROW('ROMANEIO POR ITEM'!#REF!))-ROW('ROMANEIO POR ITEM'!#REF!)+1), ROW(A580)))), "")</f>
        <v/>
      </c>
      <c r="B581" t="str">
        <f>IF(A581="", "", VLOOKUP(A581, 'ROMANEIO POR ITEM'!#REF!, 2, FALSE))</f>
        <v/>
      </c>
      <c r="C581" t="str">
        <f>IF(A581="", "", VLOOKUP(A581, 'ROMANEIO POR ITEM'!#REF!, 3, FALSE))</f>
        <v/>
      </c>
      <c r="D581" t="str">
        <f>IF(A581="", "", VLOOKUP(A581, 'ROMANEIO POR ITEM'!#REF!, 4, FALSE))</f>
        <v/>
      </c>
      <c r="E581" t="str">
        <f>IF(A581="", "", VLOOKUP(A581, 'ROMANEIO POR ITEM'!#REF!, 5, FALSE))</f>
        <v/>
      </c>
      <c r="F581" t="str">
        <f>IF(A581="", "", VLOOKUP(A581, 'ROMANEIO POR ITEM'!#REF!, 6, FALSE))</f>
        <v/>
      </c>
    </row>
    <row r="582" spans="1:6">
      <c r="A582" t="str">
        <f>IFERROR(_xlfn.SINGLE(INDEX('ROMANEIO POR ITEM'!#REF!, SMALL(IF(_xlfn.SINGLE('ROMANEIO POR ITEM'!#REF!)&lt;&gt;0,_xlfn.SINGLE( ROW('ROMANEIO POR ITEM'!#REF!))-ROW('ROMANEIO POR ITEM'!#REF!)+1), ROW(A581)))), "")</f>
        <v/>
      </c>
      <c r="B582" t="str">
        <f>IF(A582="", "", VLOOKUP(A582, 'ROMANEIO POR ITEM'!#REF!, 2, FALSE))</f>
        <v/>
      </c>
      <c r="C582" t="str">
        <f>IF(A582="", "", VLOOKUP(A582, 'ROMANEIO POR ITEM'!#REF!, 3, FALSE))</f>
        <v/>
      </c>
      <c r="D582" t="str">
        <f>IF(A582="", "", VLOOKUP(A582, 'ROMANEIO POR ITEM'!#REF!, 4, FALSE))</f>
        <v/>
      </c>
      <c r="E582" t="str">
        <f>IF(A582="", "", VLOOKUP(A582, 'ROMANEIO POR ITEM'!#REF!, 5, FALSE))</f>
        <v/>
      </c>
      <c r="F582" t="str">
        <f>IF(A582="", "", VLOOKUP(A582, 'ROMANEIO POR ITEM'!#REF!, 6, FALSE))</f>
        <v/>
      </c>
    </row>
    <row r="583" spans="1:6">
      <c r="A583" t="str">
        <f>IFERROR(_xlfn.SINGLE(INDEX('ROMANEIO POR ITEM'!#REF!, SMALL(IF(_xlfn.SINGLE('ROMANEIO POR ITEM'!#REF!)&lt;&gt;0,_xlfn.SINGLE( ROW('ROMANEIO POR ITEM'!#REF!))-ROW('ROMANEIO POR ITEM'!#REF!)+1), ROW(A582)))), "")</f>
        <v/>
      </c>
      <c r="B583" t="str">
        <f>IF(A583="", "", VLOOKUP(A583, 'ROMANEIO POR ITEM'!#REF!, 2, FALSE))</f>
        <v/>
      </c>
      <c r="C583" t="str">
        <f>IF(A583="", "", VLOOKUP(A583, 'ROMANEIO POR ITEM'!#REF!, 3, FALSE))</f>
        <v/>
      </c>
      <c r="D583" t="str">
        <f>IF(A583="", "", VLOOKUP(A583, 'ROMANEIO POR ITEM'!#REF!, 4, FALSE))</f>
        <v/>
      </c>
      <c r="E583" t="str">
        <f>IF(A583="", "", VLOOKUP(A583, 'ROMANEIO POR ITEM'!#REF!, 5, FALSE))</f>
        <v/>
      </c>
      <c r="F583" t="str">
        <f>IF(A583="", "", VLOOKUP(A583, 'ROMANEIO POR ITEM'!#REF!, 6, FALSE))</f>
        <v/>
      </c>
    </row>
    <row r="584" spans="1:6">
      <c r="A584" t="str">
        <f>IFERROR(_xlfn.SINGLE(INDEX('ROMANEIO POR ITEM'!#REF!, SMALL(IF(_xlfn.SINGLE('ROMANEIO POR ITEM'!#REF!)&lt;&gt;0,_xlfn.SINGLE( ROW('ROMANEIO POR ITEM'!#REF!))-ROW('ROMANEIO POR ITEM'!#REF!)+1), ROW(A583)))), "")</f>
        <v/>
      </c>
      <c r="B584" t="str">
        <f>IF(A584="", "", VLOOKUP(A584, 'ROMANEIO POR ITEM'!#REF!, 2, FALSE))</f>
        <v/>
      </c>
      <c r="C584" t="str">
        <f>IF(A584="", "", VLOOKUP(A584, 'ROMANEIO POR ITEM'!#REF!, 3, FALSE))</f>
        <v/>
      </c>
      <c r="D584" t="str">
        <f>IF(A584="", "", VLOOKUP(A584, 'ROMANEIO POR ITEM'!#REF!, 4, FALSE))</f>
        <v/>
      </c>
      <c r="E584" t="str">
        <f>IF(A584="", "", VLOOKUP(A584, 'ROMANEIO POR ITEM'!#REF!, 5, FALSE))</f>
        <v/>
      </c>
      <c r="F584" t="str">
        <f>IF(A584="", "", VLOOKUP(A584, 'ROMANEIO POR ITEM'!#REF!, 6, FALSE))</f>
        <v/>
      </c>
    </row>
    <row r="585" spans="1:6">
      <c r="A585" t="str">
        <f>IFERROR(_xlfn.SINGLE(INDEX('ROMANEIO POR ITEM'!#REF!, SMALL(IF(_xlfn.SINGLE('ROMANEIO POR ITEM'!#REF!)&lt;&gt;0,_xlfn.SINGLE( ROW('ROMANEIO POR ITEM'!#REF!))-ROW('ROMANEIO POR ITEM'!#REF!)+1), ROW(A584)))), "")</f>
        <v/>
      </c>
      <c r="B585" t="str">
        <f>IF(A585="", "", VLOOKUP(A585, 'ROMANEIO POR ITEM'!#REF!, 2, FALSE))</f>
        <v/>
      </c>
      <c r="C585" t="str">
        <f>IF(A585="", "", VLOOKUP(A585, 'ROMANEIO POR ITEM'!#REF!, 3, FALSE))</f>
        <v/>
      </c>
      <c r="D585" t="str">
        <f>IF(A585="", "", VLOOKUP(A585, 'ROMANEIO POR ITEM'!#REF!, 4, FALSE))</f>
        <v/>
      </c>
      <c r="E585" t="str">
        <f>IF(A585="", "", VLOOKUP(A585, 'ROMANEIO POR ITEM'!#REF!, 5, FALSE))</f>
        <v/>
      </c>
      <c r="F585" t="str">
        <f>IF(A585="", "", VLOOKUP(A585, 'ROMANEIO POR ITEM'!#REF!, 6, FALSE))</f>
        <v/>
      </c>
    </row>
    <row r="586" spans="1:6">
      <c r="A586" t="str">
        <f>IFERROR(_xlfn.SINGLE(INDEX('ROMANEIO POR ITEM'!#REF!, SMALL(IF(_xlfn.SINGLE('ROMANEIO POR ITEM'!#REF!)&lt;&gt;0,_xlfn.SINGLE( ROW('ROMANEIO POR ITEM'!#REF!))-ROW('ROMANEIO POR ITEM'!#REF!)+1), ROW(A585)))), "")</f>
        <v/>
      </c>
      <c r="B586" t="str">
        <f>IF(A586="", "", VLOOKUP(A586, 'ROMANEIO POR ITEM'!#REF!, 2, FALSE))</f>
        <v/>
      </c>
      <c r="C586" t="str">
        <f>IF(A586="", "", VLOOKUP(A586, 'ROMANEIO POR ITEM'!#REF!, 3, FALSE))</f>
        <v/>
      </c>
      <c r="D586" t="str">
        <f>IF(A586="", "", VLOOKUP(A586, 'ROMANEIO POR ITEM'!#REF!, 4, FALSE))</f>
        <v/>
      </c>
      <c r="E586" t="str">
        <f>IF(A586="", "", VLOOKUP(A586, 'ROMANEIO POR ITEM'!#REF!, 5, FALSE))</f>
        <v/>
      </c>
      <c r="F586" t="str">
        <f>IF(A586="", "", VLOOKUP(A586, 'ROMANEIO POR ITEM'!#REF!, 6, FALSE))</f>
        <v/>
      </c>
    </row>
    <row r="587" spans="1:6">
      <c r="A587" t="str">
        <f>IFERROR(_xlfn.SINGLE(INDEX('ROMANEIO POR ITEM'!#REF!, SMALL(IF(_xlfn.SINGLE('ROMANEIO POR ITEM'!#REF!)&lt;&gt;0,_xlfn.SINGLE( ROW('ROMANEIO POR ITEM'!#REF!))-ROW('ROMANEIO POR ITEM'!#REF!)+1), ROW(A586)))), "")</f>
        <v/>
      </c>
      <c r="B587" t="str">
        <f>IF(A587="", "", VLOOKUP(A587, 'ROMANEIO POR ITEM'!#REF!, 2, FALSE))</f>
        <v/>
      </c>
      <c r="C587" t="str">
        <f>IF(A587="", "", VLOOKUP(A587, 'ROMANEIO POR ITEM'!#REF!, 3, FALSE))</f>
        <v/>
      </c>
      <c r="D587" t="str">
        <f>IF(A587="", "", VLOOKUP(A587, 'ROMANEIO POR ITEM'!#REF!, 4, FALSE))</f>
        <v/>
      </c>
      <c r="E587" t="str">
        <f>IF(A587="", "", VLOOKUP(A587, 'ROMANEIO POR ITEM'!#REF!, 5, FALSE))</f>
        <v/>
      </c>
      <c r="F587" t="str">
        <f>IF(A587="", "", VLOOKUP(A587, 'ROMANEIO POR ITEM'!#REF!, 6, FALSE))</f>
        <v/>
      </c>
    </row>
    <row r="588" spans="1:6">
      <c r="A588" t="str">
        <f>IFERROR(_xlfn.SINGLE(INDEX('ROMANEIO POR ITEM'!#REF!, SMALL(IF(_xlfn.SINGLE('ROMANEIO POR ITEM'!#REF!)&lt;&gt;0,_xlfn.SINGLE( ROW('ROMANEIO POR ITEM'!#REF!))-ROW('ROMANEIO POR ITEM'!#REF!)+1), ROW(A587)))), "")</f>
        <v/>
      </c>
      <c r="B588" t="str">
        <f>IF(A588="", "", VLOOKUP(A588, 'ROMANEIO POR ITEM'!#REF!, 2, FALSE))</f>
        <v/>
      </c>
      <c r="C588" t="str">
        <f>IF(A588="", "", VLOOKUP(A588, 'ROMANEIO POR ITEM'!#REF!, 3, FALSE))</f>
        <v/>
      </c>
      <c r="D588" t="str">
        <f>IF(A588="", "", VLOOKUP(A588, 'ROMANEIO POR ITEM'!#REF!, 4, FALSE))</f>
        <v/>
      </c>
      <c r="E588" t="str">
        <f>IF(A588="", "", VLOOKUP(A588, 'ROMANEIO POR ITEM'!#REF!, 5, FALSE))</f>
        <v/>
      </c>
      <c r="F588" t="str">
        <f>IF(A588="", "", VLOOKUP(A588, 'ROMANEIO POR ITEM'!#REF!, 6, FALSE))</f>
        <v/>
      </c>
    </row>
    <row r="589" spans="1:6">
      <c r="A589" t="str">
        <f>IFERROR(_xlfn.SINGLE(INDEX('ROMANEIO POR ITEM'!#REF!, SMALL(IF(_xlfn.SINGLE('ROMANEIO POR ITEM'!#REF!)&lt;&gt;0,_xlfn.SINGLE( ROW('ROMANEIO POR ITEM'!#REF!))-ROW('ROMANEIO POR ITEM'!#REF!)+1), ROW(A588)))), "")</f>
        <v/>
      </c>
      <c r="B589" t="str">
        <f>IF(A589="", "", VLOOKUP(A589, 'ROMANEIO POR ITEM'!#REF!, 2, FALSE))</f>
        <v/>
      </c>
      <c r="C589" t="str">
        <f>IF(A589="", "", VLOOKUP(A589, 'ROMANEIO POR ITEM'!#REF!, 3, FALSE))</f>
        <v/>
      </c>
      <c r="D589" t="str">
        <f>IF(A589="", "", VLOOKUP(A589, 'ROMANEIO POR ITEM'!#REF!, 4, FALSE))</f>
        <v/>
      </c>
      <c r="E589" t="str">
        <f>IF(A589="", "", VLOOKUP(A589, 'ROMANEIO POR ITEM'!#REF!, 5, FALSE))</f>
        <v/>
      </c>
      <c r="F589" t="str">
        <f>IF(A589="", "", VLOOKUP(A589, 'ROMANEIO POR ITEM'!#REF!, 6, FALSE))</f>
        <v/>
      </c>
    </row>
    <row r="590" spans="1:6">
      <c r="A590" t="str">
        <f>IFERROR(_xlfn.SINGLE(INDEX('ROMANEIO POR ITEM'!#REF!, SMALL(IF(_xlfn.SINGLE('ROMANEIO POR ITEM'!#REF!)&lt;&gt;0,_xlfn.SINGLE( ROW('ROMANEIO POR ITEM'!#REF!))-ROW('ROMANEIO POR ITEM'!#REF!)+1), ROW(A589)))), "")</f>
        <v/>
      </c>
      <c r="B590" t="str">
        <f>IF(A590="", "", VLOOKUP(A590, 'ROMANEIO POR ITEM'!#REF!, 2, FALSE))</f>
        <v/>
      </c>
      <c r="C590" t="str">
        <f>IF(A590="", "", VLOOKUP(A590, 'ROMANEIO POR ITEM'!#REF!, 3, FALSE))</f>
        <v/>
      </c>
      <c r="D590" t="str">
        <f>IF(A590="", "", VLOOKUP(A590, 'ROMANEIO POR ITEM'!#REF!, 4, FALSE))</f>
        <v/>
      </c>
      <c r="E590" t="str">
        <f>IF(A590="", "", VLOOKUP(A590, 'ROMANEIO POR ITEM'!#REF!, 5, FALSE))</f>
        <v/>
      </c>
      <c r="F590" t="str">
        <f>IF(A590="", "", VLOOKUP(A590, 'ROMANEIO POR ITEM'!#REF!, 6, FALSE))</f>
        <v/>
      </c>
    </row>
    <row r="591" spans="1:6">
      <c r="A591" t="str">
        <f>IFERROR(_xlfn.SINGLE(INDEX('ROMANEIO POR ITEM'!#REF!, SMALL(IF(_xlfn.SINGLE('ROMANEIO POR ITEM'!#REF!)&lt;&gt;0,_xlfn.SINGLE( ROW('ROMANEIO POR ITEM'!#REF!))-ROW('ROMANEIO POR ITEM'!#REF!)+1), ROW(A590)))), "")</f>
        <v/>
      </c>
      <c r="B591" t="str">
        <f>IF(A591="", "", VLOOKUP(A591, 'ROMANEIO POR ITEM'!#REF!, 2, FALSE))</f>
        <v/>
      </c>
      <c r="C591" t="str">
        <f>IF(A591="", "", VLOOKUP(A591, 'ROMANEIO POR ITEM'!#REF!, 3, FALSE))</f>
        <v/>
      </c>
      <c r="D591" t="str">
        <f>IF(A591="", "", VLOOKUP(A591, 'ROMANEIO POR ITEM'!#REF!, 4, FALSE))</f>
        <v/>
      </c>
      <c r="E591" t="str">
        <f>IF(A591="", "", VLOOKUP(A591, 'ROMANEIO POR ITEM'!#REF!, 5, FALSE))</f>
        <v/>
      </c>
      <c r="F591" t="str">
        <f>IF(A591="", "", VLOOKUP(A591, 'ROMANEIO POR ITEM'!#REF!, 6, FALSE))</f>
        <v/>
      </c>
    </row>
    <row r="592" spans="1:6">
      <c r="A592" t="str">
        <f>IFERROR(_xlfn.SINGLE(INDEX('ROMANEIO POR ITEM'!#REF!, SMALL(IF(_xlfn.SINGLE('ROMANEIO POR ITEM'!#REF!)&lt;&gt;0,_xlfn.SINGLE( ROW('ROMANEIO POR ITEM'!#REF!))-ROW('ROMANEIO POR ITEM'!#REF!)+1), ROW(A591)))), "")</f>
        <v/>
      </c>
      <c r="B592" t="str">
        <f>IF(A592="", "", VLOOKUP(A592, 'ROMANEIO POR ITEM'!#REF!, 2, FALSE))</f>
        <v/>
      </c>
      <c r="C592" t="str">
        <f>IF(A592="", "", VLOOKUP(A592, 'ROMANEIO POR ITEM'!#REF!, 3, FALSE))</f>
        <v/>
      </c>
      <c r="D592" t="str">
        <f>IF(A592="", "", VLOOKUP(A592, 'ROMANEIO POR ITEM'!#REF!, 4, FALSE))</f>
        <v/>
      </c>
      <c r="E592" t="str">
        <f>IF(A592="", "", VLOOKUP(A592, 'ROMANEIO POR ITEM'!#REF!, 5, FALSE))</f>
        <v/>
      </c>
      <c r="F592" t="str">
        <f>IF(A592="", "", VLOOKUP(A592, 'ROMANEIO POR ITEM'!#REF!, 6, FALSE))</f>
        <v/>
      </c>
    </row>
    <row r="593" spans="1:6">
      <c r="A593" t="str">
        <f>IFERROR(_xlfn.SINGLE(INDEX('ROMANEIO POR ITEM'!#REF!, SMALL(IF(_xlfn.SINGLE('ROMANEIO POR ITEM'!#REF!)&lt;&gt;0,_xlfn.SINGLE( ROW('ROMANEIO POR ITEM'!#REF!))-ROW('ROMANEIO POR ITEM'!#REF!)+1), ROW(A592)))), "")</f>
        <v/>
      </c>
      <c r="B593" t="str">
        <f>IF(A593="", "", VLOOKUP(A593, 'ROMANEIO POR ITEM'!#REF!, 2, FALSE))</f>
        <v/>
      </c>
      <c r="C593" t="str">
        <f>IF(A593="", "", VLOOKUP(A593, 'ROMANEIO POR ITEM'!#REF!, 3, FALSE))</f>
        <v/>
      </c>
      <c r="D593" t="str">
        <f>IF(A593="", "", VLOOKUP(A593, 'ROMANEIO POR ITEM'!#REF!, 4, FALSE))</f>
        <v/>
      </c>
      <c r="E593" t="str">
        <f>IF(A593="", "", VLOOKUP(A593, 'ROMANEIO POR ITEM'!#REF!, 5, FALSE))</f>
        <v/>
      </c>
      <c r="F593" t="str">
        <f>IF(A593="", "", VLOOKUP(A593, 'ROMANEIO POR ITEM'!#REF!, 6, FALSE))</f>
        <v/>
      </c>
    </row>
    <row r="594" spans="1:6">
      <c r="A594" t="str">
        <f>IFERROR(_xlfn.SINGLE(INDEX('ROMANEIO POR ITEM'!#REF!, SMALL(IF(_xlfn.SINGLE('ROMANEIO POR ITEM'!#REF!)&lt;&gt;0,_xlfn.SINGLE( ROW('ROMANEIO POR ITEM'!#REF!))-ROW('ROMANEIO POR ITEM'!#REF!)+1), ROW(A593)))), "")</f>
        <v/>
      </c>
      <c r="B594" t="str">
        <f>IF(A594="", "", VLOOKUP(A594, 'ROMANEIO POR ITEM'!#REF!, 2, FALSE))</f>
        <v/>
      </c>
      <c r="C594" t="str">
        <f>IF(A594="", "", VLOOKUP(A594, 'ROMANEIO POR ITEM'!#REF!, 3, FALSE))</f>
        <v/>
      </c>
      <c r="D594" t="str">
        <f>IF(A594="", "", VLOOKUP(A594, 'ROMANEIO POR ITEM'!#REF!, 4, FALSE))</f>
        <v/>
      </c>
      <c r="E594" t="str">
        <f>IF(A594="", "", VLOOKUP(A594, 'ROMANEIO POR ITEM'!#REF!, 5, FALSE))</f>
        <v/>
      </c>
      <c r="F594" t="str">
        <f>IF(A594="", "", VLOOKUP(A594, 'ROMANEIO POR ITEM'!#REF!, 6, FALSE))</f>
        <v/>
      </c>
    </row>
    <row r="595" spans="1:6">
      <c r="A595" t="str">
        <f>IFERROR(_xlfn.SINGLE(INDEX('ROMANEIO POR ITEM'!#REF!, SMALL(IF(_xlfn.SINGLE('ROMANEIO POR ITEM'!#REF!)&lt;&gt;0,_xlfn.SINGLE( ROW('ROMANEIO POR ITEM'!#REF!))-ROW('ROMANEIO POR ITEM'!#REF!)+1), ROW(A594)))), "")</f>
        <v/>
      </c>
      <c r="B595" t="str">
        <f>IF(A595="", "", VLOOKUP(A595, 'ROMANEIO POR ITEM'!#REF!, 2, FALSE))</f>
        <v/>
      </c>
      <c r="C595" t="str">
        <f>IF(A595="", "", VLOOKUP(A595, 'ROMANEIO POR ITEM'!#REF!, 3, FALSE))</f>
        <v/>
      </c>
      <c r="D595" t="str">
        <f>IF(A595="", "", VLOOKUP(A595, 'ROMANEIO POR ITEM'!#REF!, 4, FALSE))</f>
        <v/>
      </c>
      <c r="E595" t="str">
        <f>IF(A595="", "", VLOOKUP(A595, 'ROMANEIO POR ITEM'!#REF!, 5, FALSE))</f>
        <v/>
      </c>
      <c r="F595" t="str">
        <f>IF(A595="", "", VLOOKUP(A595, 'ROMANEIO POR ITEM'!#REF!, 6, FALSE))</f>
        <v/>
      </c>
    </row>
    <row r="596" spans="1:6">
      <c r="A596" t="str">
        <f>IFERROR(_xlfn.SINGLE(INDEX('ROMANEIO POR ITEM'!#REF!, SMALL(IF(_xlfn.SINGLE('ROMANEIO POR ITEM'!#REF!)&lt;&gt;0,_xlfn.SINGLE( ROW('ROMANEIO POR ITEM'!#REF!))-ROW('ROMANEIO POR ITEM'!#REF!)+1), ROW(A595)))), "")</f>
        <v/>
      </c>
      <c r="B596" t="str">
        <f>IF(A596="", "", VLOOKUP(A596, 'ROMANEIO POR ITEM'!#REF!, 2, FALSE))</f>
        <v/>
      </c>
      <c r="C596" t="str">
        <f>IF(A596="", "", VLOOKUP(A596, 'ROMANEIO POR ITEM'!#REF!, 3, FALSE))</f>
        <v/>
      </c>
      <c r="D596" t="str">
        <f>IF(A596="", "", VLOOKUP(A596, 'ROMANEIO POR ITEM'!#REF!, 4, FALSE))</f>
        <v/>
      </c>
      <c r="E596" t="str">
        <f>IF(A596="", "", VLOOKUP(A596, 'ROMANEIO POR ITEM'!#REF!, 5, FALSE))</f>
        <v/>
      </c>
      <c r="F596" t="str">
        <f>IF(A596="", "", VLOOKUP(A596, 'ROMANEIO POR ITEM'!#REF!, 6, FALSE))</f>
        <v/>
      </c>
    </row>
    <row r="597" spans="1:6">
      <c r="A597" t="str">
        <f>IFERROR(_xlfn.SINGLE(INDEX('ROMANEIO POR ITEM'!#REF!, SMALL(IF(_xlfn.SINGLE('ROMANEIO POR ITEM'!#REF!)&lt;&gt;0,_xlfn.SINGLE( ROW('ROMANEIO POR ITEM'!#REF!))-ROW('ROMANEIO POR ITEM'!#REF!)+1), ROW(A596)))), "")</f>
        <v/>
      </c>
      <c r="B597" t="str">
        <f>IF(A597="", "", VLOOKUP(A597, 'ROMANEIO POR ITEM'!#REF!, 2, FALSE))</f>
        <v/>
      </c>
      <c r="C597" t="str">
        <f>IF(A597="", "", VLOOKUP(A597, 'ROMANEIO POR ITEM'!#REF!, 3, FALSE))</f>
        <v/>
      </c>
      <c r="D597" t="str">
        <f>IF(A597="", "", VLOOKUP(A597, 'ROMANEIO POR ITEM'!#REF!, 4, FALSE))</f>
        <v/>
      </c>
      <c r="E597" t="str">
        <f>IF(A597="", "", VLOOKUP(A597, 'ROMANEIO POR ITEM'!#REF!, 5, FALSE))</f>
        <v/>
      </c>
      <c r="F597" t="str">
        <f>IF(A597="", "", VLOOKUP(A597, 'ROMANEIO POR ITEM'!#REF!, 6, FALSE))</f>
        <v/>
      </c>
    </row>
    <row r="598" spans="1:6">
      <c r="A598" t="str">
        <f>IFERROR(_xlfn.SINGLE(INDEX('ROMANEIO POR ITEM'!#REF!, SMALL(IF(_xlfn.SINGLE('ROMANEIO POR ITEM'!#REF!)&lt;&gt;0,_xlfn.SINGLE( ROW('ROMANEIO POR ITEM'!#REF!))-ROW('ROMANEIO POR ITEM'!#REF!)+1), ROW(A597)))), "")</f>
        <v/>
      </c>
      <c r="B598" t="str">
        <f>IF(A598="", "", VLOOKUP(A598, 'ROMANEIO POR ITEM'!#REF!, 2, FALSE))</f>
        <v/>
      </c>
      <c r="C598" t="str">
        <f>IF(A598="", "", VLOOKUP(A598, 'ROMANEIO POR ITEM'!#REF!, 3, FALSE))</f>
        <v/>
      </c>
      <c r="D598" t="str">
        <f>IF(A598="", "", VLOOKUP(A598, 'ROMANEIO POR ITEM'!#REF!, 4, FALSE))</f>
        <v/>
      </c>
      <c r="E598" t="str">
        <f>IF(A598="", "", VLOOKUP(A598, 'ROMANEIO POR ITEM'!#REF!, 5, FALSE))</f>
        <v/>
      </c>
      <c r="F598" t="str">
        <f>IF(A598="", "", VLOOKUP(A598, 'ROMANEIO POR ITEM'!#REF!, 6, FALSE))</f>
        <v/>
      </c>
    </row>
    <row r="599" spans="1:6">
      <c r="A599" t="str">
        <f>IFERROR(_xlfn.SINGLE(INDEX('ROMANEIO POR ITEM'!#REF!, SMALL(IF(_xlfn.SINGLE('ROMANEIO POR ITEM'!#REF!)&lt;&gt;0,_xlfn.SINGLE( ROW('ROMANEIO POR ITEM'!#REF!))-ROW('ROMANEIO POR ITEM'!#REF!)+1), ROW(A598)))), "")</f>
        <v/>
      </c>
      <c r="B599" t="str">
        <f>IF(A599="", "", VLOOKUP(A599, 'ROMANEIO POR ITEM'!#REF!, 2, FALSE))</f>
        <v/>
      </c>
      <c r="C599" t="str">
        <f>IF(A599="", "", VLOOKUP(A599, 'ROMANEIO POR ITEM'!#REF!, 3, FALSE))</f>
        <v/>
      </c>
      <c r="D599" t="str">
        <f>IF(A599="", "", VLOOKUP(A599, 'ROMANEIO POR ITEM'!#REF!, 4, FALSE))</f>
        <v/>
      </c>
      <c r="E599" t="str">
        <f>IF(A599="", "", VLOOKUP(A599, 'ROMANEIO POR ITEM'!#REF!, 5, FALSE))</f>
        <v/>
      </c>
      <c r="F599" t="str">
        <f>IF(A599="", "", VLOOKUP(A599, 'ROMANEIO POR ITEM'!#REF!, 6, FALSE))</f>
        <v/>
      </c>
    </row>
    <row r="600" spans="1:6">
      <c r="A600" t="str">
        <f>IFERROR(_xlfn.SINGLE(INDEX('ROMANEIO POR ITEM'!#REF!, SMALL(IF(_xlfn.SINGLE('ROMANEIO POR ITEM'!#REF!)&lt;&gt;0,_xlfn.SINGLE( ROW('ROMANEIO POR ITEM'!#REF!))-ROW('ROMANEIO POR ITEM'!#REF!)+1), ROW(A599)))), "")</f>
        <v/>
      </c>
      <c r="B600" t="str">
        <f>IF(A600="", "", VLOOKUP(A600, 'ROMANEIO POR ITEM'!#REF!, 2, FALSE))</f>
        <v/>
      </c>
      <c r="C600" t="str">
        <f>IF(A600="", "", VLOOKUP(A600, 'ROMANEIO POR ITEM'!#REF!, 3, FALSE))</f>
        <v/>
      </c>
      <c r="D600" t="str">
        <f>IF(A600="", "", VLOOKUP(A600, 'ROMANEIO POR ITEM'!#REF!, 4, FALSE))</f>
        <v/>
      </c>
      <c r="E600" t="str">
        <f>IF(A600="", "", VLOOKUP(A600, 'ROMANEIO POR ITEM'!#REF!, 5, FALSE))</f>
        <v/>
      </c>
      <c r="F600" t="str">
        <f>IF(A600="", "", VLOOKUP(A600, 'ROMANEIO POR ITEM'!#REF!, 6, FALSE))</f>
        <v/>
      </c>
    </row>
    <row r="601" spans="1:6">
      <c r="A601" t="str">
        <f>IFERROR(_xlfn.SINGLE(INDEX('ROMANEIO POR ITEM'!#REF!, SMALL(IF(_xlfn.SINGLE('ROMANEIO POR ITEM'!#REF!)&lt;&gt;0,_xlfn.SINGLE( ROW('ROMANEIO POR ITEM'!#REF!))-ROW('ROMANEIO POR ITEM'!#REF!)+1), ROW(A600)))), "")</f>
        <v/>
      </c>
      <c r="B601" t="str">
        <f>IF(A601="", "", VLOOKUP(A601, 'ROMANEIO POR ITEM'!#REF!, 2, FALSE))</f>
        <v/>
      </c>
      <c r="C601" t="str">
        <f>IF(A601="", "", VLOOKUP(A601, 'ROMANEIO POR ITEM'!#REF!, 3, FALSE))</f>
        <v/>
      </c>
      <c r="D601" t="str">
        <f>IF(A601="", "", VLOOKUP(A601, 'ROMANEIO POR ITEM'!#REF!, 4, FALSE))</f>
        <v/>
      </c>
      <c r="E601" t="str">
        <f>IF(A601="", "", VLOOKUP(A601, 'ROMANEIO POR ITEM'!#REF!, 5, FALSE))</f>
        <v/>
      </c>
      <c r="F601" t="str">
        <f>IF(A601="", "", VLOOKUP(A601, 'ROMANEIO POR ITEM'!#REF!, 6, FALSE))</f>
        <v/>
      </c>
    </row>
    <row r="602" spans="1:6">
      <c r="A602" t="str">
        <f>IFERROR(_xlfn.SINGLE(INDEX('ROMANEIO POR ITEM'!#REF!, SMALL(IF(_xlfn.SINGLE('ROMANEIO POR ITEM'!#REF!)&lt;&gt;0,_xlfn.SINGLE( ROW('ROMANEIO POR ITEM'!#REF!))-ROW('ROMANEIO POR ITEM'!#REF!)+1), ROW(A601)))), "")</f>
        <v/>
      </c>
      <c r="B602" t="str">
        <f>IF(A602="", "", VLOOKUP(A602, 'ROMANEIO POR ITEM'!#REF!, 2, FALSE))</f>
        <v/>
      </c>
      <c r="C602" t="str">
        <f>IF(A602="", "", VLOOKUP(A602, 'ROMANEIO POR ITEM'!#REF!, 3, FALSE))</f>
        <v/>
      </c>
      <c r="D602" t="str">
        <f>IF(A602="", "", VLOOKUP(A602, 'ROMANEIO POR ITEM'!#REF!, 4, FALSE))</f>
        <v/>
      </c>
      <c r="E602" t="str">
        <f>IF(A602="", "", VLOOKUP(A602, 'ROMANEIO POR ITEM'!#REF!, 5, FALSE))</f>
        <v/>
      </c>
      <c r="F602" t="str">
        <f>IF(A602="", "", VLOOKUP(A602, 'ROMANEIO POR ITEM'!#REF!, 6, FALSE))</f>
        <v/>
      </c>
    </row>
    <row r="603" spans="1:6">
      <c r="A603" t="str">
        <f>IFERROR(_xlfn.SINGLE(INDEX('ROMANEIO POR ITEM'!#REF!, SMALL(IF(_xlfn.SINGLE('ROMANEIO POR ITEM'!#REF!)&lt;&gt;0,_xlfn.SINGLE( ROW('ROMANEIO POR ITEM'!#REF!))-ROW('ROMANEIO POR ITEM'!#REF!)+1), ROW(A602)))), "")</f>
        <v/>
      </c>
      <c r="B603" t="str">
        <f>IF(A603="", "", VLOOKUP(A603, 'ROMANEIO POR ITEM'!#REF!, 2, FALSE))</f>
        <v/>
      </c>
      <c r="C603" t="str">
        <f>IF(A603="", "", VLOOKUP(A603, 'ROMANEIO POR ITEM'!#REF!, 3, FALSE))</f>
        <v/>
      </c>
      <c r="D603" t="str">
        <f>IF(A603="", "", VLOOKUP(A603, 'ROMANEIO POR ITEM'!#REF!, 4, FALSE))</f>
        <v/>
      </c>
      <c r="E603" t="str">
        <f>IF(A603="", "", VLOOKUP(A603, 'ROMANEIO POR ITEM'!#REF!, 5, FALSE))</f>
        <v/>
      </c>
      <c r="F603" t="str">
        <f>IF(A603="", "", VLOOKUP(A603, 'ROMANEIO POR ITEM'!#REF!, 6, FALSE))</f>
        <v/>
      </c>
    </row>
    <row r="604" spans="1:6">
      <c r="A604" t="str">
        <f>IFERROR(_xlfn.SINGLE(INDEX('ROMANEIO POR ITEM'!#REF!, SMALL(IF(_xlfn.SINGLE('ROMANEIO POR ITEM'!#REF!)&lt;&gt;0,_xlfn.SINGLE( ROW('ROMANEIO POR ITEM'!#REF!))-ROW('ROMANEIO POR ITEM'!#REF!)+1), ROW(A603)))), "")</f>
        <v/>
      </c>
      <c r="B604" t="str">
        <f>IF(A604="", "", VLOOKUP(A604, 'ROMANEIO POR ITEM'!#REF!, 2, FALSE))</f>
        <v/>
      </c>
      <c r="C604" t="str">
        <f>IF(A604="", "", VLOOKUP(A604, 'ROMANEIO POR ITEM'!#REF!, 3, FALSE))</f>
        <v/>
      </c>
      <c r="D604" t="str">
        <f>IF(A604="", "", VLOOKUP(A604, 'ROMANEIO POR ITEM'!#REF!, 4, FALSE))</f>
        <v/>
      </c>
      <c r="E604" t="str">
        <f>IF(A604="", "", VLOOKUP(A604, 'ROMANEIO POR ITEM'!#REF!, 5, FALSE))</f>
        <v/>
      </c>
      <c r="F604" t="str">
        <f>IF(A604="", "", VLOOKUP(A604, 'ROMANEIO POR ITEM'!#REF!, 6, FALSE))</f>
        <v/>
      </c>
    </row>
    <row r="605" spans="1:6">
      <c r="A605" t="str">
        <f>IFERROR(_xlfn.SINGLE(INDEX('ROMANEIO POR ITEM'!#REF!, SMALL(IF(_xlfn.SINGLE('ROMANEIO POR ITEM'!#REF!)&lt;&gt;0,_xlfn.SINGLE( ROW('ROMANEIO POR ITEM'!#REF!))-ROW('ROMANEIO POR ITEM'!#REF!)+1), ROW(A604)))), "")</f>
        <v/>
      </c>
      <c r="B605" t="str">
        <f>IF(A605="", "", VLOOKUP(A605, 'ROMANEIO POR ITEM'!#REF!, 2, FALSE))</f>
        <v/>
      </c>
      <c r="C605" t="str">
        <f>IF(A605="", "", VLOOKUP(A605, 'ROMANEIO POR ITEM'!#REF!, 3, FALSE))</f>
        <v/>
      </c>
      <c r="D605" t="str">
        <f>IF(A605="", "", VLOOKUP(A605, 'ROMANEIO POR ITEM'!#REF!, 4, FALSE))</f>
        <v/>
      </c>
      <c r="E605" t="str">
        <f>IF(A605="", "", VLOOKUP(A605, 'ROMANEIO POR ITEM'!#REF!, 5, FALSE))</f>
        <v/>
      </c>
      <c r="F605" t="str">
        <f>IF(A605="", "", VLOOKUP(A605, 'ROMANEIO POR ITEM'!#REF!, 6, FALSE))</f>
        <v/>
      </c>
    </row>
    <row r="606" spans="1:6">
      <c r="A606" t="str">
        <f>IFERROR(_xlfn.SINGLE(INDEX('ROMANEIO POR ITEM'!#REF!, SMALL(IF(_xlfn.SINGLE('ROMANEIO POR ITEM'!#REF!)&lt;&gt;0,_xlfn.SINGLE( ROW('ROMANEIO POR ITEM'!#REF!))-ROW('ROMANEIO POR ITEM'!#REF!)+1), ROW(A605)))), "")</f>
        <v/>
      </c>
      <c r="B606" t="str">
        <f>IF(A606="", "", VLOOKUP(A606, 'ROMANEIO POR ITEM'!#REF!, 2, FALSE))</f>
        <v/>
      </c>
      <c r="C606" t="str">
        <f>IF(A606="", "", VLOOKUP(A606, 'ROMANEIO POR ITEM'!#REF!, 3, FALSE))</f>
        <v/>
      </c>
      <c r="D606" t="str">
        <f>IF(A606="", "", VLOOKUP(A606, 'ROMANEIO POR ITEM'!#REF!, 4, FALSE))</f>
        <v/>
      </c>
      <c r="E606" t="str">
        <f>IF(A606="", "", VLOOKUP(A606, 'ROMANEIO POR ITEM'!#REF!, 5, FALSE))</f>
        <v/>
      </c>
      <c r="F606" t="str">
        <f>IF(A606="", "", VLOOKUP(A606, 'ROMANEIO POR ITEM'!#REF!, 6, FALSE))</f>
        <v/>
      </c>
    </row>
    <row r="607" spans="1:6">
      <c r="A607" t="str">
        <f>IFERROR(_xlfn.SINGLE(INDEX('ROMANEIO POR ITEM'!#REF!, SMALL(IF(_xlfn.SINGLE('ROMANEIO POR ITEM'!#REF!)&lt;&gt;0,_xlfn.SINGLE( ROW('ROMANEIO POR ITEM'!#REF!))-ROW('ROMANEIO POR ITEM'!#REF!)+1), ROW(A606)))), "")</f>
        <v/>
      </c>
      <c r="B607" t="str">
        <f>IF(A607="", "", VLOOKUP(A607, 'ROMANEIO POR ITEM'!#REF!, 2, FALSE))</f>
        <v/>
      </c>
      <c r="C607" t="str">
        <f>IF(A607="", "", VLOOKUP(A607, 'ROMANEIO POR ITEM'!#REF!, 3, FALSE))</f>
        <v/>
      </c>
      <c r="D607" t="str">
        <f>IF(A607="", "", VLOOKUP(A607, 'ROMANEIO POR ITEM'!#REF!, 4, FALSE))</f>
        <v/>
      </c>
      <c r="E607" t="str">
        <f>IF(A607="", "", VLOOKUP(A607, 'ROMANEIO POR ITEM'!#REF!, 5, FALSE))</f>
        <v/>
      </c>
      <c r="F607" t="str">
        <f>IF(A607="", "", VLOOKUP(A607, 'ROMANEIO POR ITEM'!#REF!, 6, FALSE))</f>
        <v/>
      </c>
    </row>
    <row r="608" spans="1:6">
      <c r="A608" t="str">
        <f>IFERROR(_xlfn.SINGLE(INDEX('ROMANEIO POR ITEM'!#REF!, SMALL(IF(_xlfn.SINGLE('ROMANEIO POR ITEM'!#REF!)&lt;&gt;0,_xlfn.SINGLE( ROW('ROMANEIO POR ITEM'!#REF!))-ROW('ROMANEIO POR ITEM'!#REF!)+1), ROW(A607)))), "")</f>
        <v/>
      </c>
      <c r="B608" t="str">
        <f>IF(A608="", "", VLOOKUP(A608, 'ROMANEIO POR ITEM'!#REF!, 2, FALSE))</f>
        <v/>
      </c>
      <c r="C608" t="str">
        <f>IF(A608="", "", VLOOKUP(A608, 'ROMANEIO POR ITEM'!#REF!, 3, FALSE))</f>
        <v/>
      </c>
      <c r="D608" t="str">
        <f>IF(A608="", "", VLOOKUP(A608, 'ROMANEIO POR ITEM'!#REF!, 4, FALSE))</f>
        <v/>
      </c>
      <c r="E608" t="str">
        <f>IF(A608="", "", VLOOKUP(A608, 'ROMANEIO POR ITEM'!#REF!, 5, FALSE))</f>
        <v/>
      </c>
      <c r="F608" t="str">
        <f>IF(A608="", "", VLOOKUP(A608, 'ROMANEIO POR ITEM'!#REF!, 6, FALSE))</f>
        <v/>
      </c>
    </row>
    <row r="609" spans="1:6">
      <c r="A609" t="str">
        <f>IFERROR(_xlfn.SINGLE(INDEX('ROMANEIO POR ITEM'!#REF!, SMALL(IF(_xlfn.SINGLE('ROMANEIO POR ITEM'!#REF!)&lt;&gt;0,_xlfn.SINGLE( ROW('ROMANEIO POR ITEM'!#REF!))-ROW('ROMANEIO POR ITEM'!#REF!)+1), ROW(A608)))), "")</f>
        <v/>
      </c>
      <c r="B609" t="str">
        <f>IF(A609="", "", VLOOKUP(A609, 'ROMANEIO POR ITEM'!#REF!, 2, FALSE))</f>
        <v/>
      </c>
      <c r="C609" t="str">
        <f>IF(A609="", "", VLOOKUP(A609, 'ROMANEIO POR ITEM'!#REF!, 3, FALSE))</f>
        <v/>
      </c>
      <c r="D609" t="str">
        <f>IF(A609="", "", VLOOKUP(A609, 'ROMANEIO POR ITEM'!#REF!, 4, FALSE))</f>
        <v/>
      </c>
      <c r="E609" t="str">
        <f>IF(A609="", "", VLOOKUP(A609, 'ROMANEIO POR ITEM'!#REF!, 5, FALSE))</f>
        <v/>
      </c>
      <c r="F609" t="str">
        <f>IF(A609="", "", VLOOKUP(A609, 'ROMANEIO POR ITEM'!#REF!, 6, FALSE))</f>
        <v/>
      </c>
    </row>
    <row r="610" spans="1:6">
      <c r="A610" t="str">
        <f>IFERROR(_xlfn.SINGLE(INDEX('ROMANEIO POR ITEM'!#REF!, SMALL(IF(_xlfn.SINGLE('ROMANEIO POR ITEM'!#REF!)&lt;&gt;0,_xlfn.SINGLE( ROW('ROMANEIO POR ITEM'!#REF!))-ROW('ROMANEIO POR ITEM'!#REF!)+1), ROW(A609)))), "")</f>
        <v/>
      </c>
      <c r="B610" t="str">
        <f>IF(A610="", "", VLOOKUP(A610, 'ROMANEIO POR ITEM'!#REF!, 2, FALSE))</f>
        <v/>
      </c>
      <c r="C610" t="str">
        <f>IF(A610="", "", VLOOKUP(A610, 'ROMANEIO POR ITEM'!#REF!, 3, FALSE))</f>
        <v/>
      </c>
      <c r="D610" t="str">
        <f>IF(A610="", "", VLOOKUP(A610, 'ROMANEIO POR ITEM'!#REF!, 4, FALSE))</f>
        <v/>
      </c>
      <c r="E610" t="str">
        <f>IF(A610="", "", VLOOKUP(A610, 'ROMANEIO POR ITEM'!#REF!, 5, FALSE))</f>
        <v/>
      </c>
      <c r="F610" t="str">
        <f>IF(A610="", "", VLOOKUP(A610, 'ROMANEIO POR ITEM'!#REF!, 6, FALSE))</f>
        <v/>
      </c>
    </row>
    <row r="611" spans="1:6">
      <c r="A611" t="str">
        <f>IFERROR(_xlfn.SINGLE(INDEX('ROMANEIO POR ITEM'!#REF!, SMALL(IF(_xlfn.SINGLE('ROMANEIO POR ITEM'!#REF!)&lt;&gt;0,_xlfn.SINGLE( ROW('ROMANEIO POR ITEM'!#REF!))-ROW('ROMANEIO POR ITEM'!#REF!)+1), ROW(A610)))), "")</f>
        <v/>
      </c>
      <c r="B611" t="str">
        <f>IF(A611="", "", VLOOKUP(A611, 'ROMANEIO POR ITEM'!#REF!, 2, FALSE))</f>
        <v/>
      </c>
      <c r="C611" t="str">
        <f>IF(A611="", "", VLOOKUP(A611, 'ROMANEIO POR ITEM'!#REF!, 3, FALSE))</f>
        <v/>
      </c>
      <c r="D611" t="str">
        <f>IF(A611="", "", VLOOKUP(A611, 'ROMANEIO POR ITEM'!#REF!, 4, FALSE))</f>
        <v/>
      </c>
      <c r="E611" t="str">
        <f>IF(A611="", "", VLOOKUP(A611, 'ROMANEIO POR ITEM'!#REF!, 5, FALSE))</f>
        <v/>
      </c>
      <c r="F611" t="str">
        <f>IF(A611="", "", VLOOKUP(A611, 'ROMANEIO POR ITEM'!#REF!, 6, FALSE))</f>
        <v/>
      </c>
    </row>
    <row r="612" spans="1:6">
      <c r="A612" t="str">
        <f>IFERROR(_xlfn.SINGLE(INDEX('ROMANEIO POR ITEM'!#REF!, SMALL(IF(_xlfn.SINGLE('ROMANEIO POR ITEM'!#REF!)&lt;&gt;0,_xlfn.SINGLE( ROW('ROMANEIO POR ITEM'!#REF!))-ROW('ROMANEIO POR ITEM'!#REF!)+1), ROW(A611)))), "")</f>
        <v/>
      </c>
      <c r="B612" t="str">
        <f>IF(A612="", "", VLOOKUP(A612, 'ROMANEIO POR ITEM'!#REF!, 2, FALSE))</f>
        <v/>
      </c>
      <c r="C612" t="str">
        <f>IF(A612="", "", VLOOKUP(A612, 'ROMANEIO POR ITEM'!#REF!, 3, FALSE))</f>
        <v/>
      </c>
      <c r="D612" t="str">
        <f>IF(A612="", "", VLOOKUP(A612, 'ROMANEIO POR ITEM'!#REF!, 4, FALSE))</f>
        <v/>
      </c>
      <c r="E612" t="str">
        <f>IF(A612="", "", VLOOKUP(A612, 'ROMANEIO POR ITEM'!#REF!, 5, FALSE))</f>
        <v/>
      </c>
      <c r="F612" t="str">
        <f>IF(A612="", "", VLOOKUP(A612, 'ROMANEIO POR ITEM'!#REF!, 6, FALSE))</f>
        <v/>
      </c>
    </row>
    <row r="613" spans="1:6">
      <c r="A613" t="str">
        <f>IFERROR(_xlfn.SINGLE(INDEX('ROMANEIO POR ITEM'!#REF!, SMALL(IF(_xlfn.SINGLE('ROMANEIO POR ITEM'!#REF!)&lt;&gt;0,_xlfn.SINGLE( ROW('ROMANEIO POR ITEM'!#REF!))-ROW('ROMANEIO POR ITEM'!#REF!)+1), ROW(A612)))), "")</f>
        <v/>
      </c>
      <c r="B613" t="str">
        <f>IF(A613="", "", VLOOKUP(A613, 'ROMANEIO POR ITEM'!#REF!, 2, FALSE))</f>
        <v/>
      </c>
      <c r="C613" t="str">
        <f>IF(A613="", "", VLOOKUP(A613, 'ROMANEIO POR ITEM'!#REF!, 3, FALSE))</f>
        <v/>
      </c>
      <c r="D613" t="str">
        <f>IF(A613="", "", VLOOKUP(A613, 'ROMANEIO POR ITEM'!#REF!, 4, FALSE))</f>
        <v/>
      </c>
      <c r="E613" t="str">
        <f>IF(A613="", "", VLOOKUP(A613, 'ROMANEIO POR ITEM'!#REF!, 5, FALSE))</f>
        <v/>
      </c>
      <c r="F613" t="str">
        <f>IF(A613="", "", VLOOKUP(A613, 'ROMANEIO POR ITEM'!#REF!, 6, FALSE))</f>
        <v/>
      </c>
    </row>
    <row r="614" spans="1:6">
      <c r="A614" t="str">
        <f>IFERROR(_xlfn.SINGLE(INDEX('ROMANEIO POR ITEM'!#REF!, SMALL(IF(_xlfn.SINGLE('ROMANEIO POR ITEM'!#REF!)&lt;&gt;0,_xlfn.SINGLE( ROW('ROMANEIO POR ITEM'!#REF!))-ROW('ROMANEIO POR ITEM'!#REF!)+1), ROW(A613)))), "")</f>
        <v/>
      </c>
      <c r="B614" t="str">
        <f>IF(A614="", "", VLOOKUP(A614, 'ROMANEIO POR ITEM'!#REF!, 2, FALSE))</f>
        <v/>
      </c>
      <c r="C614" t="str">
        <f>IF(A614="", "", VLOOKUP(A614, 'ROMANEIO POR ITEM'!#REF!, 3, FALSE))</f>
        <v/>
      </c>
      <c r="D614" t="str">
        <f>IF(A614="", "", VLOOKUP(A614, 'ROMANEIO POR ITEM'!#REF!, 4, FALSE))</f>
        <v/>
      </c>
      <c r="E614" t="str">
        <f>IF(A614="", "", VLOOKUP(A614, 'ROMANEIO POR ITEM'!#REF!, 5, FALSE))</f>
        <v/>
      </c>
      <c r="F614" t="str">
        <f>IF(A614="", "", VLOOKUP(A614, 'ROMANEIO POR ITEM'!#REF!, 6, FALSE))</f>
        <v/>
      </c>
    </row>
    <row r="615" spans="1:6">
      <c r="A615" t="str">
        <f>IFERROR(_xlfn.SINGLE(INDEX('ROMANEIO POR ITEM'!#REF!, SMALL(IF(_xlfn.SINGLE('ROMANEIO POR ITEM'!#REF!)&lt;&gt;0,_xlfn.SINGLE( ROW('ROMANEIO POR ITEM'!#REF!))-ROW('ROMANEIO POR ITEM'!#REF!)+1), ROW(A614)))), "")</f>
        <v/>
      </c>
      <c r="B615" t="str">
        <f>IF(A615="", "", VLOOKUP(A615, 'ROMANEIO POR ITEM'!#REF!, 2, FALSE))</f>
        <v/>
      </c>
      <c r="C615" t="str">
        <f>IF(A615="", "", VLOOKUP(A615, 'ROMANEIO POR ITEM'!#REF!, 3, FALSE))</f>
        <v/>
      </c>
      <c r="D615" t="str">
        <f>IF(A615="", "", VLOOKUP(A615, 'ROMANEIO POR ITEM'!#REF!, 4, FALSE))</f>
        <v/>
      </c>
      <c r="E615" t="str">
        <f>IF(A615="", "", VLOOKUP(A615, 'ROMANEIO POR ITEM'!#REF!, 5, FALSE))</f>
        <v/>
      </c>
      <c r="F615" t="str">
        <f>IF(A615="", "", VLOOKUP(A615, 'ROMANEIO POR ITEM'!#REF!, 6, FALSE))</f>
        <v/>
      </c>
    </row>
    <row r="616" spans="1:6">
      <c r="A616" t="str">
        <f>IFERROR(_xlfn.SINGLE(INDEX('ROMANEIO POR ITEM'!#REF!, SMALL(IF(_xlfn.SINGLE('ROMANEIO POR ITEM'!#REF!)&lt;&gt;0,_xlfn.SINGLE( ROW('ROMANEIO POR ITEM'!#REF!))-ROW('ROMANEIO POR ITEM'!#REF!)+1), ROW(A615)))), "")</f>
        <v/>
      </c>
      <c r="B616" t="str">
        <f>IF(A616="", "", VLOOKUP(A616, 'ROMANEIO POR ITEM'!#REF!, 2, FALSE))</f>
        <v/>
      </c>
      <c r="C616" t="str">
        <f>IF(A616="", "", VLOOKUP(A616, 'ROMANEIO POR ITEM'!#REF!, 3, FALSE))</f>
        <v/>
      </c>
      <c r="D616" t="str">
        <f>IF(A616="", "", VLOOKUP(A616, 'ROMANEIO POR ITEM'!#REF!, 4, FALSE))</f>
        <v/>
      </c>
      <c r="E616" t="str">
        <f>IF(A616="", "", VLOOKUP(A616, 'ROMANEIO POR ITEM'!#REF!, 5, FALSE))</f>
        <v/>
      </c>
      <c r="F616" t="str">
        <f>IF(A616="", "", VLOOKUP(A616, 'ROMANEIO POR ITEM'!#REF!, 6, FALSE))</f>
        <v/>
      </c>
    </row>
    <row r="617" spans="1:6">
      <c r="A617" t="str">
        <f>IFERROR(_xlfn.SINGLE(INDEX('ROMANEIO POR ITEM'!#REF!, SMALL(IF(_xlfn.SINGLE('ROMANEIO POR ITEM'!#REF!)&lt;&gt;0,_xlfn.SINGLE( ROW('ROMANEIO POR ITEM'!#REF!))-ROW('ROMANEIO POR ITEM'!#REF!)+1), ROW(A616)))), "")</f>
        <v/>
      </c>
      <c r="B617" t="str">
        <f>IF(A617="", "", VLOOKUP(A617, 'ROMANEIO POR ITEM'!#REF!, 2, FALSE))</f>
        <v/>
      </c>
      <c r="C617" t="str">
        <f>IF(A617="", "", VLOOKUP(A617, 'ROMANEIO POR ITEM'!#REF!, 3, FALSE))</f>
        <v/>
      </c>
      <c r="D617" t="str">
        <f>IF(A617="", "", VLOOKUP(A617, 'ROMANEIO POR ITEM'!#REF!, 4, FALSE))</f>
        <v/>
      </c>
      <c r="E617" t="str">
        <f>IF(A617="", "", VLOOKUP(A617, 'ROMANEIO POR ITEM'!#REF!, 5, FALSE))</f>
        <v/>
      </c>
      <c r="F617" t="str">
        <f>IF(A617="", "", VLOOKUP(A617, 'ROMANEIO POR ITEM'!#REF!, 6, FALSE))</f>
        <v/>
      </c>
    </row>
    <row r="618" spans="1:6">
      <c r="A618" t="str">
        <f>IFERROR(_xlfn.SINGLE(INDEX('ROMANEIO POR ITEM'!#REF!, SMALL(IF(_xlfn.SINGLE('ROMANEIO POR ITEM'!#REF!)&lt;&gt;0,_xlfn.SINGLE( ROW('ROMANEIO POR ITEM'!#REF!))-ROW('ROMANEIO POR ITEM'!#REF!)+1), ROW(A617)))), "")</f>
        <v/>
      </c>
      <c r="B618" t="str">
        <f>IF(A618="", "", VLOOKUP(A618, 'ROMANEIO POR ITEM'!#REF!, 2, FALSE))</f>
        <v/>
      </c>
      <c r="C618" t="str">
        <f>IF(A618="", "", VLOOKUP(A618, 'ROMANEIO POR ITEM'!#REF!, 3, FALSE))</f>
        <v/>
      </c>
      <c r="D618" t="str">
        <f>IF(A618="", "", VLOOKUP(A618, 'ROMANEIO POR ITEM'!#REF!, 4, FALSE))</f>
        <v/>
      </c>
      <c r="E618" t="str">
        <f>IF(A618="", "", VLOOKUP(A618, 'ROMANEIO POR ITEM'!#REF!, 5, FALSE))</f>
        <v/>
      </c>
      <c r="F618" t="str">
        <f>IF(A618="", "", VLOOKUP(A618, 'ROMANEIO POR ITEM'!#REF!, 6, FALSE))</f>
        <v/>
      </c>
    </row>
    <row r="619" spans="1:6">
      <c r="A619" t="str">
        <f>IFERROR(_xlfn.SINGLE(INDEX('ROMANEIO POR ITEM'!#REF!, SMALL(IF(_xlfn.SINGLE('ROMANEIO POR ITEM'!#REF!)&lt;&gt;0,_xlfn.SINGLE( ROW('ROMANEIO POR ITEM'!#REF!))-ROW('ROMANEIO POR ITEM'!#REF!)+1), ROW(A618)))), "")</f>
        <v/>
      </c>
      <c r="B619" t="str">
        <f>IF(A619="", "", VLOOKUP(A619, 'ROMANEIO POR ITEM'!#REF!, 2, FALSE))</f>
        <v/>
      </c>
      <c r="C619" t="str">
        <f>IF(A619="", "", VLOOKUP(A619, 'ROMANEIO POR ITEM'!#REF!, 3, FALSE))</f>
        <v/>
      </c>
      <c r="D619" t="str">
        <f>IF(A619="", "", VLOOKUP(A619, 'ROMANEIO POR ITEM'!#REF!, 4, FALSE))</f>
        <v/>
      </c>
      <c r="E619" t="str">
        <f>IF(A619="", "", VLOOKUP(A619, 'ROMANEIO POR ITEM'!#REF!, 5, FALSE))</f>
        <v/>
      </c>
      <c r="F619" t="str">
        <f>IF(A619="", "", VLOOKUP(A619, 'ROMANEIO POR ITEM'!#REF!, 6, FALSE))</f>
        <v/>
      </c>
    </row>
    <row r="620" spans="1:6">
      <c r="A620" t="str">
        <f>IFERROR(_xlfn.SINGLE(INDEX('ROMANEIO POR ITEM'!#REF!, SMALL(IF(_xlfn.SINGLE('ROMANEIO POR ITEM'!#REF!)&lt;&gt;0,_xlfn.SINGLE( ROW('ROMANEIO POR ITEM'!#REF!))-ROW('ROMANEIO POR ITEM'!#REF!)+1), ROW(A619)))), "")</f>
        <v/>
      </c>
      <c r="B620" t="str">
        <f>IF(A620="", "", VLOOKUP(A620, 'ROMANEIO POR ITEM'!#REF!, 2, FALSE))</f>
        <v/>
      </c>
      <c r="C620" t="str">
        <f>IF(A620="", "", VLOOKUP(A620, 'ROMANEIO POR ITEM'!#REF!, 3, FALSE))</f>
        <v/>
      </c>
      <c r="D620" t="str">
        <f>IF(A620="", "", VLOOKUP(A620, 'ROMANEIO POR ITEM'!#REF!, 4, FALSE))</f>
        <v/>
      </c>
      <c r="E620" t="str">
        <f>IF(A620="", "", VLOOKUP(A620, 'ROMANEIO POR ITEM'!#REF!, 5, FALSE))</f>
        <v/>
      </c>
      <c r="F620" t="str">
        <f>IF(A620="", "", VLOOKUP(A620, 'ROMANEIO POR ITEM'!#REF!, 6, FALSE))</f>
        <v/>
      </c>
    </row>
    <row r="621" spans="1:6">
      <c r="A621" t="str">
        <f>IFERROR(_xlfn.SINGLE(INDEX('ROMANEIO POR ITEM'!#REF!, SMALL(IF(_xlfn.SINGLE('ROMANEIO POR ITEM'!#REF!)&lt;&gt;0,_xlfn.SINGLE( ROW('ROMANEIO POR ITEM'!#REF!))-ROW('ROMANEIO POR ITEM'!#REF!)+1), ROW(A620)))), "")</f>
        <v/>
      </c>
      <c r="B621" t="str">
        <f>IF(A621="", "", VLOOKUP(A621, 'ROMANEIO POR ITEM'!#REF!, 2, FALSE))</f>
        <v/>
      </c>
      <c r="C621" t="str">
        <f>IF(A621="", "", VLOOKUP(A621, 'ROMANEIO POR ITEM'!#REF!, 3, FALSE))</f>
        <v/>
      </c>
      <c r="D621" t="str">
        <f>IF(A621="", "", VLOOKUP(A621, 'ROMANEIO POR ITEM'!#REF!, 4, FALSE))</f>
        <v/>
      </c>
      <c r="E621" t="str">
        <f>IF(A621="", "", VLOOKUP(A621, 'ROMANEIO POR ITEM'!#REF!, 5, FALSE))</f>
        <v/>
      </c>
      <c r="F621" t="str">
        <f>IF(A621="", "", VLOOKUP(A621, 'ROMANEIO POR ITEM'!#REF!, 6, FALSE))</f>
        <v/>
      </c>
    </row>
    <row r="622" spans="1:6">
      <c r="A622" t="str">
        <f>IFERROR(_xlfn.SINGLE(INDEX('ROMANEIO POR ITEM'!#REF!, SMALL(IF(_xlfn.SINGLE('ROMANEIO POR ITEM'!#REF!)&lt;&gt;0,_xlfn.SINGLE( ROW('ROMANEIO POR ITEM'!#REF!))-ROW('ROMANEIO POR ITEM'!#REF!)+1), ROW(A621)))), "")</f>
        <v/>
      </c>
      <c r="B622" t="str">
        <f>IF(A622="", "", VLOOKUP(A622, 'ROMANEIO POR ITEM'!#REF!, 2, FALSE))</f>
        <v/>
      </c>
      <c r="C622" t="str">
        <f>IF(A622="", "", VLOOKUP(A622, 'ROMANEIO POR ITEM'!#REF!, 3, FALSE))</f>
        <v/>
      </c>
      <c r="D622" t="str">
        <f>IF(A622="", "", VLOOKUP(A622, 'ROMANEIO POR ITEM'!#REF!, 4, FALSE))</f>
        <v/>
      </c>
      <c r="E622" t="str">
        <f>IF(A622="", "", VLOOKUP(A622, 'ROMANEIO POR ITEM'!#REF!, 5, FALSE))</f>
        <v/>
      </c>
      <c r="F622" t="str">
        <f>IF(A622="", "", VLOOKUP(A622, 'ROMANEIO POR ITEM'!#REF!, 6, FALSE))</f>
        <v/>
      </c>
    </row>
    <row r="623" spans="1:6">
      <c r="A623" t="str">
        <f>IFERROR(_xlfn.SINGLE(INDEX('ROMANEIO POR ITEM'!#REF!, SMALL(IF(_xlfn.SINGLE('ROMANEIO POR ITEM'!#REF!)&lt;&gt;0,_xlfn.SINGLE( ROW('ROMANEIO POR ITEM'!#REF!))-ROW('ROMANEIO POR ITEM'!#REF!)+1), ROW(A622)))), "")</f>
        <v/>
      </c>
      <c r="B623" t="str">
        <f>IF(A623="", "", VLOOKUP(A623, 'ROMANEIO POR ITEM'!#REF!, 2, FALSE))</f>
        <v/>
      </c>
      <c r="C623" t="str">
        <f>IF(A623="", "", VLOOKUP(A623, 'ROMANEIO POR ITEM'!#REF!, 3, FALSE))</f>
        <v/>
      </c>
      <c r="D623" t="str">
        <f>IF(A623="", "", VLOOKUP(A623, 'ROMANEIO POR ITEM'!#REF!, 4, FALSE))</f>
        <v/>
      </c>
      <c r="E623" t="str">
        <f>IF(A623="", "", VLOOKUP(A623, 'ROMANEIO POR ITEM'!#REF!, 5, FALSE))</f>
        <v/>
      </c>
      <c r="F623" t="str">
        <f>IF(A623="", "", VLOOKUP(A623, 'ROMANEIO POR ITEM'!#REF!, 6, FALSE))</f>
        <v/>
      </c>
    </row>
    <row r="624" spans="1:6">
      <c r="A624" t="str">
        <f>IFERROR(_xlfn.SINGLE(INDEX('ROMANEIO POR ITEM'!#REF!, SMALL(IF(_xlfn.SINGLE('ROMANEIO POR ITEM'!#REF!)&lt;&gt;0,_xlfn.SINGLE( ROW('ROMANEIO POR ITEM'!#REF!))-ROW('ROMANEIO POR ITEM'!#REF!)+1), ROW(A623)))), "")</f>
        <v/>
      </c>
      <c r="B624" t="str">
        <f>IF(A624="", "", VLOOKUP(A624, 'ROMANEIO POR ITEM'!#REF!, 2, FALSE))</f>
        <v/>
      </c>
      <c r="C624" t="str">
        <f>IF(A624="", "", VLOOKUP(A624, 'ROMANEIO POR ITEM'!#REF!, 3, FALSE))</f>
        <v/>
      </c>
      <c r="D624" t="str">
        <f>IF(A624="", "", VLOOKUP(A624, 'ROMANEIO POR ITEM'!#REF!, 4, FALSE))</f>
        <v/>
      </c>
      <c r="E624" t="str">
        <f>IF(A624="", "", VLOOKUP(A624, 'ROMANEIO POR ITEM'!#REF!, 5, FALSE))</f>
        <v/>
      </c>
      <c r="F624" t="str">
        <f>IF(A624="", "", VLOOKUP(A624, 'ROMANEIO POR ITEM'!#REF!, 6, FALSE))</f>
        <v/>
      </c>
    </row>
    <row r="625" spans="1:6">
      <c r="A625" t="str">
        <f>IFERROR(_xlfn.SINGLE(INDEX('ROMANEIO POR ITEM'!#REF!, SMALL(IF(_xlfn.SINGLE('ROMANEIO POR ITEM'!#REF!)&lt;&gt;0,_xlfn.SINGLE( ROW('ROMANEIO POR ITEM'!#REF!))-ROW('ROMANEIO POR ITEM'!#REF!)+1), ROW(A624)))), "")</f>
        <v/>
      </c>
      <c r="B625" t="str">
        <f>IF(A625="", "", VLOOKUP(A625, 'ROMANEIO POR ITEM'!#REF!, 2, FALSE))</f>
        <v/>
      </c>
      <c r="C625" t="str">
        <f>IF(A625="", "", VLOOKUP(A625, 'ROMANEIO POR ITEM'!#REF!, 3, FALSE))</f>
        <v/>
      </c>
      <c r="D625" t="str">
        <f>IF(A625="", "", VLOOKUP(A625, 'ROMANEIO POR ITEM'!#REF!, 4, FALSE))</f>
        <v/>
      </c>
      <c r="E625" t="str">
        <f>IF(A625="", "", VLOOKUP(A625, 'ROMANEIO POR ITEM'!#REF!, 5, FALSE))</f>
        <v/>
      </c>
      <c r="F625" t="str">
        <f>IF(A625="", "", VLOOKUP(A625, 'ROMANEIO POR ITEM'!#REF!, 6, FALSE))</f>
        <v/>
      </c>
    </row>
    <row r="626" spans="1:6">
      <c r="A626" t="str">
        <f>IFERROR(_xlfn.SINGLE(INDEX('ROMANEIO POR ITEM'!#REF!, SMALL(IF(_xlfn.SINGLE('ROMANEIO POR ITEM'!#REF!)&lt;&gt;0,_xlfn.SINGLE( ROW('ROMANEIO POR ITEM'!#REF!))-ROW('ROMANEIO POR ITEM'!#REF!)+1), ROW(A625)))), "")</f>
        <v/>
      </c>
      <c r="B626" t="str">
        <f>IF(A626="", "", VLOOKUP(A626, 'ROMANEIO POR ITEM'!#REF!, 2, FALSE))</f>
        <v/>
      </c>
      <c r="C626" t="str">
        <f>IF(A626="", "", VLOOKUP(A626, 'ROMANEIO POR ITEM'!#REF!, 3, FALSE))</f>
        <v/>
      </c>
      <c r="D626" t="str">
        <f>IF(A626="", "", VLOOKUP(A626, 'ROMANEIO POR ITEM'!#REF!, 4, FALSE))</f>
        <v/>
      </c>
      <c r="E626" t="str">
        <f>IF(A626="", "", VLOOKUP(A626, 'ROMANEIO POR ITEM'!#REF!, 5, FALSE))</f>
        <v/>
      </c>
      <c r="F626" t="str">
        <f>IF(A626="", "", VLOOKUP(A626, 'ROMANEIO POR ITEM'!#REF!, 6, FALSE))</f>
        <v/>
      </c>
    </row>
    <row r="627" spans="1:6">
      <c r="A627" t="str">
        <f>IFERROR(_xlfn.SINGLE(INDEX('ROMANEIO POR ITEM'!#REF!, SMALL(IF(_xlfn.SINGLE('ROMANEIO POR ITEM'!#REF!)&lt;&gt;0,_xlfn.SINGLE( ROW('ROMANEIO POR ITEM'!#REF!))-ROW('ROMANEIO POR ITEM'!#REF!)+1), ROW(A626)))), "")</f>
        <v/>
      </c>
      <c r="B627" t="str">
        <f>IF(A627="", "", VLOOKUP(A627, 'ROMANEIO POR ITEM'!#REF!, 2, FALSE))</f>
        <v/>
      </c>
      <c r="C627" t="str">
        <f>IF(A627="", "", VLOOKUP(A627, 'ROMANEIO POR ITEM'!#REF!, 3, FALSE))</f>
        <v/>
      </c>
      <c r="D627" t="str">
        <f>IF(A627="", "", VLOOKUP(A627, 'ROMANEIO POR ITEM'!#REF!, 4, FALSE))</f>
        <v/>
      </c>
      <c r="E627" t="str">
        <f>IF(A627="", "", VLOOKUP(A627, 'ROMANEIO POR ITEM'!#REF!, 5, FALSE))</f>
        <v/>
      </c>
      <c r="F627" t="str">
        <f>IF(A627="", "", VLOOKUP(A627, 'ROMANEIO POR ITEM'!#REF!, 6, FALSE))</f>
        <v/>
      </c>
    </row>
    <row r="628" spans="1:6">
      <c r="A628" t="str">
        <f>IFERROR(_xlfn.SINGLE(INDEX('ROMANEIO POR ITEM'!#REF!, SMALL(IF(_xlfn.SINGLE('ROMANEIO POR ITEM'!#REF!)&lt;&gt;0,_xlfn.SINGLE( ROW('ROMANEIO POR ITEM'!#REF!))-ROW('ROMANEIO POR ITEM'!#REF!)+1), ROW(A627)))), "")</f>
        <v/>
      </c>
      <c r="B628" t="str">
        <f>IF(A628="", "", VLOOKUP(A628, 'ROMANEIO POR ITEM'!#REF!, 2, FALSE))</f>
        <v/>
      </c>
      <c r="C628" t="str">
        <f>IF(A628="", "", VLOOKUP(A628, 'ROMANEIO POR ITEM'!#REF!, 3, FALSE))</f>
        <v/>
      </c>
      <c r="D628" t="str">
        <f>IF(A628="", "", VLOOKUP(A628, 'ROMANEIO POR ITEM'!#REF!, 4, FALSE))</f>
        <v/>
      </c>
      <c r="E628" t="str">
        <f>IF(A628="", "", VLOOKUP(A628, 'ROMANEIO POR ITEM'!#REF!, 5, FALSE))</f>
        <v/>
      </c>
      <c r="F628" t="str">
        <f>IF(A628="", "", VLOOKUP(A628, 'ROMANEIO POR ITEM'!#REF!, 6, FALSE))</f>
        <v/>
      </c>
    </row>
    <row r="629" spans="1:6">
      <c r="A629" t="str">
        <f>IFERROR(_xlfn.SINGLE(INDEX('ROMANEIO POR ITEM'!#REF!, SMALL(IF(_xlfn.SINGLE('ROMANEIO POR ITEM'!#REF!)&lt;&gt;0,_xlfn.SINGLE( ROW('ROMANEIO POR ITEM'!#REF!))-ROW('ROMANEIO POR ITEM'!#REF!)+1), ROW(A628)))), "")</f>
        <v/>
      </c>
      <c r="B629" t="str">
        <f>IF(A629="", "", VLOOKUP(A629, 'ROMANEIO POR ITEM'!#REF!, 2, FALSE))</f>
        <v/>
      </c>
      <c r="C629" t="str">
        <f>IF(A629="", "", VLOOKUP(A629, 'ROMANEIO POR ITEM'!#REF!, 3, FALSE))</f>
        <v/>
      </c>
      <c r="D629" t="str">
        <f>IF(A629="", "", VLOOKUP(A629, 'ROMANEIO POR ITEM'!#REF!, 4, FALSE))</f>
        <v/>
      </c>
      <c r="E629" t="str">
        <f>IF(A629="", "", VLOOKUP(A629, 'ROMANEIO POR ITEM'!#REF!, 5, FALSE))</f>
        <v/>
      </c>
      <c r="F629" t="str">
        <f>IF(A629="", "", VLOOKUP(A629, 'ROMANEIO POR ITEM'!#REF!, 6, FALSE))</f>
        <v/>
      </c>
    </row>
    <row r="630" spans="1:6">
      <c r="A630" t="str">
        <f>IFERROR(_xlfn.SINGLE(INDEX('ROMANEIO POR ITEM'!#REF!, SMALL(IF(_xlfn.SINGLE('ROMANEIO POR ITEM'!#REF!)&lt;&gt;0,_xlfn.SINGLE( ROW('ROMANEIO POR ITEM'!#REF!))-ROW('ROMANEIO POR ITEM'!#REF!)+1), ROW(A629)))), "")</f>
        <v/>
      </c>
      <c r="B630" t="str">
        <f>IF(A630="", "", VLOOKUP(A630, 'ROMANEIO POR ITEM'!#REF!, 2, FALSE))</f>
        <v/>
      </c>
      <c r="C630" t="str">
        <f>IF(A630="", "", VLOOKUP(A630, 'ROMANEIO POR ITEM'!#REF!, 3, FALSE))</f>
        <v/>
      </c>
      <c r="D630" t="str">
        <f>IF(A630="", "", VLOOKUP(A630, 'ROMANEIO POR ITEM'!#REF!, 4, FALSE))</f>
        <v/>
      </c>
      <c r="E630" t="str">
        <f>IF(A630="", "", VLOOKUP(A630, 'ROMANEIO POR ITEM'!#REF!, 5, FALSE))</f>
        <v/>
      </c>
      <c r="F630" t="str">
        <f>IF(A630="", "", VLOOKUP(A630, 'ROMANEIO POR ITEM'!#REF!, 6, FALSE))</f>
        <v/>
      </c>
    </row>
    <row r="631" spans="1:6">
      <c r="A631" t="str">
        <f>IFERROR(_xlfn.SINGLE(INDEX('ROMANEIO POR ITEM'!#REF!, SMALL(IF(_xlfn.SINGLE('ROMANEIO POR ITEM'!#REF!)&lt;&gt;0,_xlfn.SINGLE( ROW('ROMANEIO POR ITEM'!#REF!))-ROW('ROMANEIO POR ITEM'!#REF!)+1), ROW(A630)))), "")</f>
        <v/>
      </c>
      <c r="B631" t="str">
        <f>IF(A631="", "", VLOOKUP(A631, 'ROMANEIO POR ITEM'!#REF!, 2, FALSE))</f>
        <v/>
      </c>
      <c r="C631" t="str">
        <f>IF(A631="", "", VLOOKUP(A631, 'ROMANEIO POR ITEM'!#REF!, 3, FALSE))</f>
        <v/>
      </c>
      <c r="D631" t="str">
        <f>IF(A631="", "", VLOOKUP(A631, 'ROMANEIO POR ITEM'!#REF!, 4, FALSE))</f>
        <v/>
      </c>
      <c r="E631" t="str">
        <f>IF(A631="", "", VLOOKUP(A631, 'ROMANEIO POR ITEM'!#REF!, 5, FALSE))</f>
        <v/>
      </c>
      <c r="F631" t="str">
        <f>IF(A631="", "", VLOOKUP(A631, 'ROMANEIO POR ITEM'!#REF!, 6, FALSE))</f>
        <v/>
      </c>
    </row>
    <row r="632" spans="1:6">
      <c r="A632" t="str">
        <f>IFERROR(_xlfn.SINGLE(INDEX('ROMANEIO POR ITEM'!#REF!, SMALL(IF(_xlfn.SINGLE('ROMANEIO POR ITEM'!#REF!)&lt;&gt;0,_xlfn.SINGLE( ROW('ROMANEIO POR ITEM'!#REF!))-ROW('ROMANEIO POR ITEM'!#REF!)+1), ROW(A631)))), "")</f>
        <v/>
      </c>
      <c r="B632" t="str">
        <f>IF(A632="", "", VLOOKUP(A632, 'ROMANEIO POR ITEM'!#REF!, 2, FALSE))</f>
        <v/>
      </c>
      <c r="C632" t="str">
        <f>IF(A632="", "", VLOOKUP(A632, 'ROMANEIO POR ITEM'!#REF!, 3, FALSE))</f>
        <v/>
      </c>
      <c r="D632" t="str">
        <f>IF(A632="", "", VLOOKUP(A632, 'ROMANEIO POR ITEM'!#REF!, 4, FALSE))</f>
        <v/>
      </c>
      <c r="E632" t="str">
        <f>IF(A632="", "", VLOOKUP(A632, 'ROMANEIO POR ITEM'!#REF!, 5, FALSE))</f>
        <v/>
      </c>
      <c r="F632" t="str">
        <f>IF(A632="", "", VLOOKUP(A632, 'ROMANEIO POR ITEM'!#REF!, 6, FALSE))</f>
        <v/>
      </c>
    </row>
    <row r="633" spans="1:6">
      <c r="A633" t="str">
        <f>IFERROR(_xlfn.SINGLE(INDEX('ROMANEIO POR ITEM'!#REF!, SMALL(IF(_xlfn.SINGLE('ROMANEIO POR ITEM'!#REF!)&lt;&gt;0,_xlfn.SINGLE( ROW('ROMANEIO POR ITEM'!#REF!))-ROW('ROMANEIO POR ITEM'!#REF!)+1), ROW(A632)))), "")</f>
        <v/>
      </c>
      <c r="B633" t="str">
        <f>IF(A633="", "", VLOOKUP(A633, 'ROMANEIO POR ITEM'!#REF!, 2, FALSE))</f>
        <v/>
      </c>
      <c r="C633" t="str">
        <f>IF(A633="", "", VLOOKUP(A633, 'ROMANEIO POR ITEM'!#REF!, 3, FALSE))</f>
        <v/>
      </c>
      <c r="D633" t="str">
        <f>IF(A633="", "", VLOOKUP(A633, 'ROMANEIO POR ITEM'!#REF!, 4, FALSE))</f>
        <v/>
      </c>
      <c r="E633" t="str">
        <f>IF(A633="", "", VLOOKUP(A633, 'ROMANEIO POR ITEM'!#REF!, 5, FALSE))</f>
        <v/>
      </c>
      <c r="F633" t="str">
        <f>IF(A633="", "", VLOOKUP(A633, 'ROMANEIO POR ITEM'!#REF!, 6, FALSE))</f>
        <v/>
      </c>
    </row>
    <row r="634" spans="1:6">
      <c r="A634" t="str">
        <f>IFERROR(_xlfn.SINGLE(INDEX('ROMANEIO POR ITEM'!#REF!, SMALL(IF(_xlfn.SINGLE('ROMANEIO POR ITEM'!#REF!)&lt;&gt;0,_xlfn.SINGLE( ROW('ROMANEIO POR ITEM'!#REF!))-ROW('ROMANEIO POR ITEM'!#REF!)+1), ROW(A633)))), "")</f>
        <v/>
      </c>
      <c r="B634" t="str">
        <f>IF(A634="", "", VLOOKUP(A634, 'ROMANEIO POR ITEM'!#REF!, 2, FALSE))</f>
        <v/>
      </c>
      <c r="C634" t="str">
        <f>IF(A634="", "", VLOOKUP(A634, 'ROMANEIO POR ITEM'!#REF!, 3, FALSE))</f>
        <v/>
      </c>
      <c r="D634" t="str">
        <f>IF(A634="", "", VLOOKUP(A634, 'ROMANEIO POR ITEM'!#REF!, 4, FALSE))</f>
        <v/>
      </c>
      <c r="E634" t="str">
        <f>IF(A634="", "", VLOOKUP(A634, 'ROMANEIO POR ITEM'!#REF!, 5, FALSE))</f>
        <v/>
      </c>
      <c r="F634" t="str">
        <f>IF(A634="", "", VLOOKUP(A634, 'ROMANEIO POR ITEM'!#REF!, 6, FALSE))</f>
        <v/>
      </c>
    </row>
    <row r="635" spans="1:6">
      <c r="A635" t="str">
        <f>IFERROR(_xlfn.SINGLE(INDEX('ROMANEIO POR ITEM'!#REF!, SMALL(IF(_xlfn.SINGLE('ROMANEIO POR ITEM'!#REF!)&lt;&gt;0,_xlfn.SINGLE( ROW('ROMANEIO POR ITEM'!#REF!))-ROW('ROMANEIO POR ITEM'!#REF!)+1), ROW(A634)))), "")</f>
        <v/>
      </c>
      <c r="B635" t="str">
        <f>IF(A635="", "", VLOOKUP(A635, 'ROMANEIO POR ITEM'!#REF!, 2, FALSE))</f>
        <v/>
      </c>
      <c r="C635" t="str">
        <f>IF(A635="", "", VLOOKUP(A635, 'ROMANEIO POR ITEM'!#REF!, 3, FALSE))</f>
        <v/>
      </c>
      <c r="D635" t="str">
        <f>IF(A635="", "", VLOOKUP(A635, 'ROMANEIO POR ITEM'!#REF!, 4, FALSE))</f>
        <v/>
      </c>
      <c r="E635" t="str">
        <f>IF(A635="", "", VLOOKUP(A635, 'ROMANEIO POR ITEM'!#REF!, 5, FALSE))</f>
        <v/>
      </c>
      <c r="F635" t="str">
        <f>IF(A635="", "", VLOOKUP(A635, 'ROMANEIO POR ITEM'!#REF!, 6, FALSE))</f>
        <v/>
      </c>
    </row>
    <row r="636" spans="1:6">
      <c r="A636" t="str">
        <f>IFERROR(_xlfn.SINGLE(INDEX('ROMANEIO POR ITEM'!#REF!, SMALL(IF(_xlfn.SINGLE('ROMANEIO POR ITEM'!#REF!)&lt;&gt;0,_xlfn.SINGLE( ROW('ROMANEIO POR ITEM'!#REF!))-ROW('ROMANEIO POR ITEM'!#REF!)+1), ROW(A635)))), "")</f>
        <v/>
      </c>
      <c r="B636" t="str">
        <f>IF(A636="", "", VLOOKUP(A636, 'ROMANEIO POR ITEM'!#REF!, 2, FALSE))</f>
        <v/>
      </c>
      <c r="C636" t="str">
        <f>IF(A636="", "", VLOOKUP(A636, 'ROMANEIO POR ITEM'!#REF!, 3, FALSE))</f>
        <v/>
      </c>
      <c r="D636" t="str">
        <f>IF(A636="", "", VLOOKUP(A636, 'ROMANEIO POR ITEM'!#REF!, 4, FALSE))</f>
        <v/>
      </c>
      <c r="E636" t="str">
        <f>IF(A636="", "", VLOOKUP(A636, 'ROMANEIO POR ITEM'!#REF!, 5, FALSE))</f>
        <v/>
      </c>
      <c r="F636" t="str">
        <f>IF(A636="", "", VLOOKUP(A636, 'ROMANEIO POR ITEM'!#REF!, 6, FALSE))</f>
        <v/>
      </c>
    </row>
    <row r="637" spans="1:6">
      <c r="A637" t="str">
        <f>IFERROR(_xlfn.SINGLE(INDEX('ROMANEIO POR ITEM'!#REF!, SMALL(IF(_xlfn.SINGLE('ROMANEIO POR ITEM'!#REF!)&lt;&gt;0,_xlfn.SINGLE( ROW('ROMANEIO POR ITEM'!#REF!))-ROW('ROMANEIO POR ITEM'!#REF!)+1), ROW(A636)))), "")</f>
        <v/>
      </c>
      <c r="B637" t="str">
        <f>IF(A637="", "", VLOOKUP(A637, 'ROMANEIO POR ITEM'!#REF!, 2, FALSE))</f>
        <v/>
      </c>
      <c r="C637" t="str">
        <f>IF(A637="", "", VLOOKUP(A637, 'ROMANEIO POR ITEM'!#REF!, 3, FALSE))</f>
        <v/>
      </c>
      <c r="D637" t="str">
        <f>IF(A637="", "", VLOOKUP(A637, 'ROMANEIO POR ITEM'!#REF!, 4, FALSE))</f>
        <v/>
      </c>
      <c r="E637" t="str">
        <f>IF(A637="", "", VLOOKUP(A637, 'ROMANEIO POR ITEM'!#REF!, 5, FALSE))</f>
        <v/>
      </c>
      <c r="F637" t="str">
        <f>IF(A637="", "", VLOOKUP(A637, 'ROMANEIO POR ITEM'!#REF!, 6, FALSE))</f>
        <v/>
      </c>
    </row>
    <row r="638" spans="1:6">
      <c r="A638" t="str">
        <f>IFERROR(_xlfn.SINGLE(INDEX('ROMANEIO POR ITEM'!#REF!, SMALL(IF(_xlfn.SINGLE('ROMANEIO POR ITEM'!#REF!)&lt;&gt;0,_xlfn.SINGLE( ROW('ROMANEIO POR ITEM'!#REF!))-ROW('ROMANEIO POR ITEM'!#REF!)+1), ROW(A637)))), "")</f>
        <v/>
      </c>
      <c r="B638" t="str">
        <f>IF(A638="", "", VLOOKUP(A638, 'ROMANEIO POR ITEM'!#REF!, 2, FALSE))</f>
        <v/>
      </c>
      <c r="C638" t="str">
        <f>IF(A638="", "", VLOOKUP(A638, 'ROMANEIO POR ITEM'!#REF!, 3, FALSE))</f>
        <v/>
      </c>
      <c r="D638" t="str">
        <f>IF(A638="", "", VLOOKUP(A638, 'ROMANEIO POR ITEM'!#REF!, 4, FALSE))</f>
        <v/>
      </c>
      <c r="E638" t="str">
        <f>IF(A638="", "", VLOOKUP(A638, 'ROMANEIO POR ITEM'!#REF!, 5, FALSE))</f>
        <v/>
      </c>
      <c r="F638" t="str">
        <f>IF(A638="", "", VLOOKUP(A638, 'ROMANEIO POR ITEM'!#REF!, 6, FALSE))</f>
        <v/>
      </c>
    </row>
    <row r="639" spans="1:6">
      <c r="A639" t="str">
        <f>IFERROR(_xlfn.SINGLE(INDEX('ROMANEIO POR ITEM'!#REF!, SMALL(IF(_xlfn.SINGLE('ROMANEIO POR ITEM'!#REF!)&lt;&gt;0,_xlfn.SINGLE( ROW('ROMANEIO POR ITEM'!#REF!))-ROW('ROMANEIO POR ITEM'!#REF!)+1), ROW(A638)))), "")</f>
        <v/>
      </c>
      <c r="B639" t="str">
        <f>IF(A639="", "", VLOOKUP(A639, 'ROMANEIO POR ITEM'!#REF!, 2, FALSE))</f>
        <v/>
      </c>
      <c r="C639" t="str">
        <f>IF(A639="", "", VLOOKUP(A639, 'ROMANEIO POR ITEM'!#REF!, 3, FALSE))</f>
        <v/>
      </c>
      <c r="D639" t="str">
        <f>IF(A639="", "", VLOOKUP(A639, 'ROMANEIO POR ITEM'!#REF!, 4, FALSE))</f>
        <v/>
      </c>
      <c r="E639" t="str">
        <f>IF(A639="", "", VLOOKUP(A639, 'ROMANEIO POR ITEM'!#REF!, 5, FALSE))</f>
        <v/>
      </c>
      <c r="F639" t="str">
        <f>IF(A639="", "", VLOOKUP(A639, 'ROMANEIO POR ITEM'!#REF!, 6, FALSE))</f>
        <v/>
      </c>
    </row>
    <row r="640" spans="1:6">
      <c r="A640" t="str">
        <f>IFERROR(_xlfn.SINGLE(INDEX('ROMANEIO POR ITEM'!#REF!, SMALL(IF(_xlfn.SINGLE('ROMANEIO POR ITEM'!#REF!)&lt;&gt;0,_xlfn.SINGLE( ROW('ROMANEIO POR ITEM'!#REF!))-ROW('ROMANEIO POR ITEM'!#REF!)+1), ROW(A639)))), "")</f>
        <v/>
      </c>
      <c r="B640" t="str">
        <f>IF(A640="", "", VLOOKUP(A640, 'ROMANEIO POR ITEM'!#REF!, 2, FALSE))</f>
        <v/>
      </c>
      <c r="C640" t="str">
        <f>IF(A640="", "", VLOOKUP(A640, 'ROMANEIO POR ITEM'!#REF!, 3, FALSE))</f>
        <v/>
      </c>
      <c r="D640" t="str">
        <f>IF(A640="", "", VLOOKUP(A640, 'ROMANEIO POR ITEM'!#REF!, 4, FALSE))</f>
        <v/>
      </c>
      <c r="E640" t="str">
        <f>IF(A640="", "", VLOOKUP(A640, 'ROMANEIO POR ITEM'!#REF!, 5, FALSE))</f>
        <v/>
      </c>
      <c r="F640" t="str">
        <f>IF(A640="", "", VLOOKUP(A640, 'ROMANEIO POR ITEM'!#REF!, 6, FALSE))</f>
        <v/>
      </c>
    </row>
    <row r="641" spans="1:6">
      <c r="A641" t="str">
        <f>IFERROR(_xlfn.SINGLE(INDEX('ROMANEIO POR ITEM'!#REF!, SMALL(IF(_xlfn.SINGLE('ROMANEIO POR ITEM'!#REF!)&lt;&gt;0,_xlfn.SINGLE( ROW('ROMANEIO POR ITEM'!#REF!))-ROW('ROMANEIO POR ITEM'!#REF!)+1), ROW(A640)))), "")</f>
        <v/>
      </c>
      <c r="B641" t="str">
        <f>IF(A641="", "", VLOOKUP(A641, 'ROMANEIO POR ITEM'!#REF!, 2, FALSE))</f>
        <v/>
      </c>
      <c r="C641" t="str">
        <f>IF(A641="", "", VLOOKUP(A641, 'ROMANEIO POR ITEM'!#REF!, 3, FALSE))</f>
        <v/>
      </c>
      <c r="D641" t="str">
        <f>IF(A641="", "", VLOOKUP(A641, 'ROMANEIO POR ITEM'!#REF!, 4, FALSE))</f>
        <v/>
      </c>
      <c r="E641" t="str">
        <f>IF(A641="", "", VLOOKUP(A641, 'ROMANEIO POR ITEM'!#REF!, 5, FALSE))</f>
        <v/>
      </c>
      <c r="F641" t="str">
        <f>IF(A641="", "", VLOOKUP(A641, 'ROMANEIO POR ITEM'!#REF!, 6, FALSE))</f>
        <v/>
      </c>
    </row>
    <row r="642" spans="1:6">
      <c r="A642" t="str">
        <f>IFERROR(_xlfn.SINGLE(INDEX('ROMANEIO POR ITEM'!#REF!, SMALL(IF(_xlfn.SINGLE('ROMANEIO POR ITEM'!#REF!)&lt;&gt;0,_xlfn.SINGLE( ROW('ROMANEIO POR ITEM'!#REF!))-ROW('ROMANEIO POR ITEM'!#REF!)+1), ROW(A641)))), "")</f>
        <v/>
      </c>
      <c r="B642" t="str">
        <f>IF(A642="", "", VLOOKUP(A642, 'ROMANEIO POR ITEM'!#REF!, 2, FALSE))</f>
        <v/>
      </c>
      <c r="C642" t="str">
        <f>IF(A642="", "", VLOOKUP(A642, 'ROMANEIO POR ITEM'!#REF!, 3, FALSE))</f>
        <v/>
      </c>
      <c r="D642" t="str">
        <f>IF(A642="", "", VLOOKUP(A642, 'ROMANEIO POR ITEM'!#REF!, 4, FALSE))</f>
        <v/>
      </c>
      <c r="E642" t="str">
        <f>IF(A642="", "", VLOOKUP(A642, 'ROMANEIO POR ITEM'!#REF!, 5, FALSE))</f>
        <v/>
      </c>
      <c r="F642" t="str">
        <f>IF(A642="", "", VLOOKUP(A642, 'ROMANEIO POR ITEM'!#REF!, 6, FALSE))</f>
        <v/>
      </c>
    </row>
    <row r="643" spans="1:6">
      <c r="A643" t="str">
        <f>IFERROR(_xlfn.SINGLE(INDEX('ROMANEIO POR ITEM'!#REF!, SMALL(IF(_xlfn.SINGLE('ROMANEIO POR ITEM'!#REF!)&lt;&gt;0,_xlfn.SINGLE( ROW('ROMANEIO POR ITEM'!#REF!))-ROW('ROMANEIO POR ITEM'!#REF!)+1), ROW(A642)))), "")</f>
        <v/>
      </c>
      <c r="B643" t="str">
        <f>IF(A643="", "", VLOOKUP(A643, 'ROMANEIO POR ITEM'!#REF!, 2, FALSE))</f>
        <v/>
      </c>
      <c r="C643" t="str">
        <f>IF(A643="", "", VLOOKUP(A643, 'ROMANEIO POR ITEM'!#REF!, 3, FALSE))</f>
        <v/>
      </c>
      <c r="D643" t="str">
        <f>IF(A643="", "", VLOOKUP(A643, 'ROMANEIO POR ITEM'!#REF!, 4, FALSE))</f>
        <v/>
      </c>
      <c r="E643" t="str">
        <f>IF(A643="", "", VLOOKUP(A643, 'ROMANEIO POR ITEM'!#REF!, 5, FALSE))</f>
        <v/>
      </c>
      <c r="F643" t="str">
        <f>IF(A643="", "", VLOOKUP(A643, 'ROMANEIO POR ITEM'!#REF!, 6, FALSE))</f>
        <v/>
      </c>
    </row>
    <row r="644" spans="1:6">
      <c r="A644" t="str">
        <f>IFERROR(_xlfn.SINGLE(INDEX('ROMANEIO POR ITEM'!#REF!, SMALL(IF(_xlfn.SINGLE('ROMANEIO POR ITEM'!#REF!)&lt;&gt;0,_xlfn.SINGLE( ROW('ROMANEIO POR ITEM'!#REF!))-ROW('ROMANEIO POR ITEM'!#REF!)+1), ROW(A643)))), "")</f>
        <v/>
      </c>
      <c r="B644" t="str">
        <f>IF(A644="", "", VLOOKUP(A644, 'ROMANEIO POR ITEM'!#REF!, 2, FALSE))</f>
        <v/>
      </c>
      <c r="C644" t="str">
        <f>IF(A644="", "", VLOOKUP(A644, 'ROMANEIO POR ITEM'!#REF!, 3, FALSE))</f>
        <v/>
      </c>
      <c r="D644" t="str">
        <f>IF(A644="", "", VLOOKUP(A644, 'ROMANEIO POR ITEM'!#REF!, 4, FALSE))</f>
        <v/>
      </c>
      <c r="E644" t="str">
        <f>IF(A644="", "", VLOOKUP(A644, 'ROMANEIO POR ITEM'!#REF!, 5, FALSE))</f>
        <v/>
      </c>
      <c r="F644" t="str">
        <f>IF(A644="", "", VLOOKUP(A644, 'ROMANEIO POR ITEM'!#REF!, 6, FALSE))</f>
        <v/>
      </c>
    </row>
    <row r="645" spans="1:6">
      <c r="A645" t="str">
        <f>IFERROR(_xlfn.SINGLE(INDEX('ROMANEIO POR ITEM'!#REF!, SMALL(IF(_xlfn.SINGLE('ROMANEIO POR ITEM'!#REF!)&lt;&gt;0,_xlfn.SINGLE( ROW('ROMANEIO POR ITEM'!#REF!))-ROW('ROMANEIO POR ITEM'!#REF!)+1), ROW(A644)))), "")</f>
        <v/>
      </c>
      <c r="B645" t="str">
        <f>IF(A645="", "", VLOOKUP(A645, 'ROMANEIO POR ITEM'!#REF!, 2, FALSE))</f>
        <v/>
      </c>
      <c r="C645" t="str">
        <f>IF(A645="", "", VLOOKUP(A645, 'ROMANEIO POR ITEM'!#REF!, 3, FALSE))</f>
        <v/>
      </c>
      <c r="D645" t="str">
        <f>IF(A645="", "", VLOOKUP(A645, 'ROMANEIO POR ITEM'!#REF!, 4, FALSE))</f>
        <v/>
      </c>
      <c r="E645" t="str">
        <f>IF(A645="", "", VLOOKUP(A645, 'ROMANEIO POR ITEM'!#REF!, 5, FALSE))</f>
        <v/>
      </c>
      <c r="F645" t="str">
        <f>IF(A645="", "", VLOOKUP(A645, 'ROMANEIO POR ITEM'!#REF!, 6, FALSE))</f>
        <v/>
      </c>
    </row>
    <row r="646" spans="1:6">
      <c r="A646" t="str">
        <f>IFERROR(_xlfn.SINGLE(INDEX('ROMANEIO POR ITEM'!#REF!, SMALL(IF(_xlfn.SINGLE('ROMANEIO POR ITEM'!#REF!)&lt;&gt;0,_xlfn.SINGLE( ROW('ROMANEIO POR ITEM'!#REF!))-ROW('ROMANEIO POR ITEM'!#REF!)+1), ROW(A645)))), "")</f>
        <v/>
      </c>
      <c r="B646" t="str">
        <f>IF(A646="", "", VLOOKUP(A646, 'ROMANEIO POR ITEM'!#REF!, 2, FALSE))</f>
        <v/>
      </c>
      <c r="C646" t="str">
        <f>IF(A646="", "", VLOOKUP(A646, 'ROMANEIO POR ITEM'!#REF!, 3, FALSE))</f>
        <v/>
      </c>
      <c r="D646" t="str">
        <f>IF(A646="", "", VLOOKUP(A646, 'ROMANEIO POR ITEM'!#REF!, 4, FALSE))</f>
        <v/>
      </c>
      <c r="E646" t="str">
        <f>IF(A646="", "", VLOOKUP(A646, 'ROMANEIO POR ITEM'!#REF!, 5, FALSE))</f>
        <v/>
      </c>
      <c r="F646" t="str">
        <f>IF(A646="", "", VLOOKUP(A646, 'ROMANEIO POR ITEM'!#REF!, 6, FALSE))</f>
        <v/>
      </c>
    </row>
    <row r="647" spans="1:6">
      <c r="A647" t="str">
        <f>IFERROR(_xlfn.SINGLE(INDEX('ROMANEIO POR ITEM'!#REF!, SMALL(IF(_xlfn.SINGLE('ROMANEIO POR ITEM'!#REF!)&lt;&gt;0,_xlfn.SINGLE( ROW('ROMANEIO POR ITEM'!#REF!))-ROW('ROMANEIO POR ITEM'!#REF!)+1), ROW(A646)))), "")</f>
        <v/>
      </c>
      <c r="B647" t="str">
        <f>IF(A647="", "", VLOOKUP(A647, 'ROMANEIO POR ITEM'!#REF!, 2, FALSE))</f>
        <v/>
      </c>
      <c r="C647" t="str">
        <f>IF(A647="", "", VLOOKUP(A647, 'ROMANEIO POR ITEM'!#REF!, 3, FALSE))</f>
        <v/>
      </c>
      <c r="D647" t="str">
        <f>IF(A647="", "", VLOOKUP(A647, 'ROMANEIO POR ITEM'!#REF!, 4, FALSE))</f>
        <v/>
      </c>
      <c r="E647" t="str">
        <f>IF(A647="", "", VLOOKUP(A647, 'ROMANEIO POR ITEM'!#REF!, 5, FALSE))</f>
        <v/>
      </c>
      <c r="F647" t="str">
        <f>IF(A647="", "", VLOOKUP(A647, 'ROMANEIO POR ITEM'!#REF!, 6, FALSE))</f>
        <v/>
      </c>
    </row>
    <row r="648" spans="1:6">
      <c r="A648" t="str">
        <f>IFERROR(_xlfn.SINGLE(INDEX('ROMANEIO POR ITEM'!#REF!, SMALL(IF(_xlfn.SINGLE('ROMANEIO POR ITEM'!#REF!)&lt;&gt;0,_xlfn.SINGLE( ROW('ROMANEIO POR ITEM'!#REF!))-ROW('ROMANEIO POR ITEM'!#REF!)+1), ROW(A647)))), "")</f>
        <v/>
      </c>
      <c r="B648" t="str">
        <f>IF(A648="", "", VLOOKUP(A648, 'ROMANEIO POR ITEM'!#REF!, 2, FALSE))</f>
        <v/>
      </c>
      <c r="C648" t="str">
        <f>IF(A648="", "", VLOOKUP(A648, 'ROMANEIO POR ITEM'!#REF!, 3, FALSE))</f>
        <v/>
      </c>
      <c r="D648" t="str">
        <f>IF(A648="", "", VLOOKUP(A648, 'ROMANEIO POR ITEM'!#REF!, 4, FALSE))</f>
        <v/>
      </c>
      <c r="E648" t="str">
        <f>IF(A648="", "", VLOOKUP(A648, 'ROMANEIO POR ITEM'!#REF!, 5, FALSE))</f>
        <v/>
      </c>
      <c r="F648" t="str">
        <f>IF(A648="", "", VLOOKUP(A648, 'ROMANEIO POR ITEM'!#REF!, 6, FALSE))</f>
        <v/>
      </c>
    </row>
    <row r="649" spans="1:6">
      <c r="A649" t="str">
        <f>IFERROR(_xlfn.SINGLE(INDEX('ROMANEIO POR ITEM'!#REF!, SMALL(IF(_xlfn.SINGLE('ROMANEIO POR ITEM'!#REF!)&lt;&gt;0,_xlfn.SINGLE( ROW('ROMANEIO POR ITEM'!#REF!))-ROW('ROMANEIO POR ITEM'!#REF!)+1), ROW(A648)))), "")</f>
        <v/>
      </c>
      <c r="B649" t="str">
        <f>IF(A649="", "", VLOOKUP(A649, 'ROMANEIO POR ITEM'!#REF!, 2, FALSE))</f>
        <v/>
      </c>
      <c r="C649" t="str">
        <f>IF(A649="", "", VLOOKUP(A649, 'ROMANEIO POR ITEM'!#REF!, 3, FALSE))</f>
        <v/>
      </c>
      <c r="D649" t="str">
        <f>IF(A649="", "", VLOOKUP(A649, 'ROMANEIO POR ITEM'!#REF!, 4, FALSE))</f>
        <v/>
      </c>
      <c r="E649" t="str">
        <f>IF(A649="", "", VLOOKUP(A649, 'ROMANEIO POR ITEM'!#REF!, 5, FALSE))</f>
        <v/>
      </c>
      <c r="F649" t="str">
        <f>IF(A649="", "", VLOOKUP(A649, 'ROMANEIO POR ITEM'!#REF!, 6, FALSE))</f>
        <v/>
      </c>
    </row>
    <row r="650" spans="1:6">
      <c r="A650" t="str">
        <f>IFERROR(_xlfn.SINGLE(INDEX('ROMANEIO POR ITEM'!#REF!, SMALL(IF(_xlfn.SINGLE('ROMANEIO POR ITEM'!#REF!)&lt;&gt;0,_xlfn.SINGLE( ROW('ROMANEIO POR ITEM'!#REF!))-ROW('ROMANEIO POR ITEM'!#REF!)+1), ROW(A649)))), "")</f>
        <v/>
      </c>
      <c r="B650" t="str">
        <f>IF(A650="", "", VLOOKUP(A650, 'ROMANEIO POR ITEM'!#REF!, 2, FALSE))</f>
        <v/>
      </c>
      <c r="C650" t="str">
        <f>IF(A650="", "", VLOOKUP(A650, 'ROMANEIO POR ITEM'!#REF!, 3, FALSE))</f>
        <v/>
      </c>
      <c r="D650" t="str">
        <f>IF(A650="", "", VLOOKUP(A650, 'ROMANEIO POR ITEM'!#REF!, 4, FALSE))</f>
        <v/>
      </c>
      <c r="E650" t="str">
        <f>IF(A650="", "", VLOOKUP(A650, 'ROMANEIO POR ITEM'!#REF!, 5, FALSE))</f>
        <v/>
      </c>
      <c r="F650" t="str">
        <f>IF(A650="", "", VLOOKUP(A650, 'ROMANEIO POR ITEM'!#REF!, 6, FALSE))</f>
        <v/>
      </c>
    </row>
    <row r="651" spans="1:6">
      <c r="A651" t="str">
        <f>IFERROR(_xlfn.SINGLE(INDEX('ROMANEIO POR ITEM'!#REF!, SMALL(IF(_xlfn.SINGLE('ROMANEIO POR ITEM'!#REF!)&lt;&gt;0,_xlfn.SINGLE( ROW('ROMANEIO POR ITEM'!#REF!))-ROW('ROMANEIO POR ITEM'!#REF!)+1), ROW(A650)))), "")</f>
        <v/>
      </c>
      <c r="B651" t="str">
        <f>IF(A651="", "", VLOOKUP(A651, 'ROMANEIO POR ITEM'!#REF!, 2, FALSE))</f>
        <v/>
      </c>
      <c r="C651" t="str">
        <f>IF(A651="", "", VLOOKUP(A651, 'ROMANEIO POR ITEM'!#REF!, 3, FALSE))</f>
        <v/>
      </c>
      <c r="D651" t="str">
        <f>IF(A651="", "", VLOOKUP(A651, 'ROMANEIO POR ITEM'!#REF!, 4, FALSE))</f>
        <v/>
      </c>
      <c r="E651" t="str">
        <f>IF(A651="", "", VLOOKUP(A651, 'ROMANEIO POR ITEM'!#REF!, 5, FALSE))</f>
        <v/>
      </c>
      <c r="F651" t="str">
        <f>IF(A651="", "", VLOOKUP(A651, 'ROMANEIO POR ITEM'!#REF!, 6, FALSE))</f>
        <v/>
      </c>
    </row>
    <row r="652" spans="1:6">
      <c r="A652" t="str">
        <f>IFERROR(_xlfn.SINGLE(INDEX('ROMANEIO POR ITEM'!#REF!, SMALL(IF(_xlfn.SINGLE('ROMANEIO POR ITEM'!#REF!)&lt;&gt;0,_xlfn.SINGLE( ROW('ROMANEIO POR ITEM'!#REF!))-ROW('ROMANEIO POR ITEM'!#REF!)+1), ROW(A651)))), "")</f>
        <v/>
      </c>
      <c r="B652" t="str">
        <f>IF(A652="", "", VLOOKUP(A652, 'ROMANEIO POR ITEM'!#REF!, 2, FALSE))</f>
        <v/>
      </c>
      <c r="C652" t="str">
        <f>IF(A652="", "", VLOOKUP(A652, 'ROMANEIO POR ITEM'!#REF!, 3, FALSE))</f>
        <v/>
      </c>
      <c r="D652" t="str">
        <f>IF(A652="", "", VLOOKUP(A652, 'ROMANEIO POR ITEM'!#REF!, 4, FALSE))</f>
        <v/>
      </c>
      <c r="E652" t="str">
        <f>IF(A652="", "", VLOOKUP(A652, 'ROMANEIO POR ITEM'!#REF!, 5, FALSE))</f>
        <v/>
      </c>
      <c r="F652" t="str">
        <f>IF(A652="", "", VLOOKUP(A652, 'ROMANEIO POR ITEM'!#REF!, 6, FALSE))</f>
        <v/>
      </c>
    </row>
    <row r="653" spans="1:6">
      <c r="A653" t="str">
        <f>IFERROR(_xlfn.SINGLE(INDEX('ROMANEIO POR ITEM'!#REF!, SMALL(IF(_xlfn.SINGLE('ROMANEIO POR ITEM'!#REF!)&lt;&gt;0,_xlfn.SINGLE( ROW('ROMANEIO POR ITEM'!#REF!))-ROW('ROMANEIO POR ITEM'!#REF!)+1), ROW(A652)))), "")</f>
        <v/>
      </c>
      <c r="B653" t="str">
        <f>IF(A653="", "", VLOOKUP(A653, 'ROMANEIO POR ITEM'!#REF!, 2, FALSE))</f>
        <v/>
      </c>
      <c r="C653" t="str">
        <f>IF(A653="", "", VLOOKUP(A653, 'ROMANEIO POR ITEM'!#REF!, 3, FALSE))</f>
        <v/>
      </c>
      <c r="D653" t="str">
        <f>IF(A653="", "", VLOOKUP(A653, 'ROMANEIO POR ITEM'!#REF!, 4, FALSE))</f>
        <v/>
      </c>
      <c r="E653" t="str">
        <f>IF(A653="", "", VLOOKUP(A653, 'ROMANEIO POR ITEM'!#REF!, 5, FALSE))</f>
        <v/>
      </c>
      <c r="F653" t="str">
        <f>IF(A653="", "", VLOOKUP(A653, 'ROMANEIO POR ITEM'!#REF!, 6, FALSE))</f>
        <v/>
      </c>
    </row>
    <row r="654" spans="1:6">
      <c r="A654" t="str">
        <f>IFERROR(_xlfn.SINGLE(INDEX('ROMANEIO POR ITEM'!#REF!, SMALL(IF(_xlfn.SINGLE('ROMANEIO POR ITEM'!#REF!)&lt;&gt;0,_xlfn.SINGLE( ROW('ROMANEIO POR ITEM'!#REF!))-ROW('ROMANEIO POR ITEM'!#REF!)+1), ROW(A653)))), "")</f>
        <v/>
      </c>
      <c r="B654" t="str">
        <f>IF(A654="", "", VLOOKUP(A654, 'ROMANEIO POR ITEM'!#REF!, 2, FALSE))</f>
        <v/>
      </c>
      <c r="C654" t="str">
        <f>IF(A654="", "", VLOOKUP(A654, 'ROMANEIO POR ITEM'!#REF!, 3, FALSE))</f>
        <v/>
      </c>
      <c r="D654" t="str">
        <f>IF(A654="", "", VLOOKUP(A654, 'ROMANEIO POR ITEM'!#REF!, 4, FALSE))</f>
        <v/>
      </c>
      <c r="E654" t="str">
        <f>IF(A654="", "", VLOOKUP(A654, 'ROMANEIO POR ITEM'!#REF!, 5, FALSE))</f>
        <v/>
      </c>
      <c r="F654" t="str">
        <f>IF(A654="", "", VLOOKUP(A654, 'ROMANEIO POR ITEM'!#REF!, 6, FALSE))</f>
        <v/>
      </c>
    </row>
    <row r="655" spans="1:6">
      <c r="A655" t="str">
        <f>IFERROR(_xlfn.SINGLE(INDEX('ROMANEIO POR ITEM'!#REF!, SMALL(IF(_xlfn.SINGLE('ROMANEIO POR ITEM'!#REF!)&lt;&gt;0,_xlfn.SINGLE( ROW('ROMANEIO POR ITEM'!#REF!))-ROW('ROMANEIO POR ITEM'!#REF!)+1), ROW(A654)))), "")</f>
        <v/>
      </c>
      <c r="B655" t="str">
        <f>IF(A655="", "", VLOOKUP(A655, 'ROMANEIO POR ITEM'!#REF!, 2, FALSE))</f>
        <v/>
      </c>
      <c r="C655" t="str">
        <f>IF(A655="", "", VLOOKUP(A655, 'ROMANEIO POR ITEM'!#REF!, 3, FALSE))</f>
        <v/>
      </c>
      <c r="D655" t="str">
        <f>IF(A655="", "", VLOOKUP(A655, 'ROMANEIO POR ITEM'!#REF!, 4, FALSE))</f>
        <v/>
      </c>
      <c r="E655" t="str">
        <f>IF(A655="", "", VLOOKUP(A655, 'ROMANEIO POR ITEM'!#REF!, 5, FALSE))</f>
        <v/>
      </c>
      <c r="F655" t="str">
        <f>IF(A655="", "", VLOOKUP(A655, 'ROMANEIO POR ITEM'!#REF!, 6, FALSE))</f>
        <v/>
      </c>
    </row>
    <row r="656" spans="1:6">
      <c r="A656" t="str">
        <f>IFERROR(_xlfn.SINGLE(INDEX('ROMANEIO POR ITEM'!#REF!, SMALL(IF(_xlfn.SINGLE('ROMANEIO POR ITEM'!#REF!)&lt;&gt;0,_xlfn.SINGLE( ROW('ROMANEIO POR ITEM'!#REF!))-ROW('ROMANEIO POR ITEM'!#REF!)+1), ROW(A655)))), "")</f>
        <v/>
      </c>
      <c r="B656" t="str">
        <f>IF(A656="", "", VLOOKUP(A656, 'ROMANEIO POR ITEM'!#REF!, 2, FALSE))</f>
        <v/>
      </c>
      <c r="C656" t="str">
        <f>IF(A656="", "", VLOOKUP(A656, 'ROMANEIO POR ITEM'!#REF!, 3, FALSE))</f>
        <v/>
      </c>
      <c r="D656" t="str">
        <f>IF(A656="", "", VLOOKUP(A656, 'ROMANEIO POR ITEM'!#REF!, 4, FALSE))</f>
        <v/>
      </c>
      <c r="E656" t="str">
        <f>IF(A656="", "", VLOOKUP(A656, 'ROMANEIO POR ITEM'!#REF!, 5, FALSE))</f>
        <v/>
      </c>
      <c r="F656" t="str">
        <f>IF(A656="", "", VLOOKUP(A656, 'ROMANEIO POR ITEM'!#REF!, 6, FALSE))</f>
        <v/>
      </c>
    </row>
    <row r="657" spans="1:6">
      <c r="A657" t="str">
        <f>IFERROR(_xlfn.SINGLE(INDEX('ROMANEIO POR ITEM'!#REF!, SMALL(IF(_xlfn.SINGLE('ROMANEIO POR ITEM'!#REF!)&lt;&gt;0,_xlfn.SINGLE( ROW('ROMANEIO POR ITEM'!#REF!))-ROW('ROMANEIO POR ITEM'!#REF!)+1), ROW(A656)))), "")</f>
        <v/>
      </c>
      <c r="B657" t="str">
        <f>IF(A657="", "", VLOOKUP(A657, 'ROMANEIO POR ITEM'!#REF!, 2, FALSE))</f>
        <v/>
      </c>
      <c r="C657" t="str">
        <f>IF(A657="", "", VLOOKUP(A657, 'ROMANEIO POR ITEM'!#REF!, 3, FALSE))</f>
        <v/>
      </c>
      <c r="D657" t="str">
        <f>IF(A657="", "", VLOOKUP(A657, 'ROMANEIO POR ITEM'!#REF!, 4, FALSE))</f>
        <v/>
      </c>
      <c r="E657" t="str">
        <f>IF(A657="", "", VLOOKUP(A657, 'ROMANEIO POR ITEM'!#REF!, 5, FALSE))</f>
        <v/>
      </c>
      <c r="F657" t="str">
        <f>IF(A657="", "", VLOOKUP(A657, 'ROMANEIO POR ITEM'!#REF!, 6, FALSE))</f>
        <v/>
      </c>
    </row>
    <row r="658" spans="1:6">
      <c r="A658" t="str">
        <f>IFERROR(_xlfn.SINGLE(INDEX('ROMANEIO POR ITEM'!#REF!, SMALL(IF(_xlfn.SINGLE('ROMANEIO POR ITEM'!#REF!)&lt;&gt;0,_xlfn.SINGLE( ROW('ROMANEIO POR ITEM'!#REF!))-ROW('ROMANEIO POR ITEM'!#REF!)+1), ROW(A657)))), "")</f>
        <v/>
      </c>
      <c r="B658" t="str">
        <f>IF(A658="", "", VLOOKUP(A658, 'ROMANEIO POR ITEM'!#REF!, 2, FALSE))</f>
        <v/>
      </c>
      <c r="C658" t="str">
        <f>IF(A658="", "", VLOOKUP(A658, 'ROMANEIO POR ITEM'!#REF!, 3, FALSE))</f>
        <v/>
      </c>
      <c r="D658" t="str">
        <f>IF(A658="", "", VLOOKUP(A658, 'ROMANEIO POR ITEM'!#REF!, 4, FALSE))</f>
        <v/>
      </c>
      <c r="E658" t="str">
        <f>IF(A658="", "", VLOOKUP(A658, 'ROMANEIO POR ITEM'!#REF!, 5, FALSE))</f>
        <v/>
      </c>
      <c r="F658" t="str">
        <f>IF(A658="", "", VLOOKUP(A658, 'ROMANEIO POR ITEM'!#REF!, 6, FALSE))</f>
        <v/>
      </c>
    </row>
    <row r="659" spans="1:6">
      <c r="A659" t="str">
        <f>IFERROR(_xlfn.SINGLE(INDEX('ROMANEIO POR ITEM'!#REF!, SMALL(IF(_xlfn.SINGLE('ROMANEIO POR ITEM'!#REF!)&lt;&gt;0,_xlfn.SINGLE( ROW('ROMANEIO POR ITEM'!#REF!))-ROW('ROMANEIO POR ITEM'!#REF!)+1), ROW(A658)))), "")</f>
        <v/>
      </c>
      <c r="B659" t="str">
        <f>IF(A659="", "", VLOOKUP(A659, 'ROMANEIO POR ITEM'!#REF!, 2, FALSE))</f>
        <v/>
      </c>
      <c r="C659" t="str">
        <f>IF(A659="", "", VLOOKUP(A659, 'ROMANEIO POR ITEM'!#REF!, 3, FALSE))</f>
        <v/>
      </c>
      <c r="D659" t="str">
        <f>IF(A659="", "", VLOOKUP(A659, 'ROMANEIO POR ITEM'!#REF!, 4, FALSE))</f>
        <v/>
      </c>
      <c r="E659" t="str">
        <f>IF(A659="", "", VLOOKUP(A659, 'ROMANEIO POR ITEM'!#REF!, 5, FALSE))</f>
        <v/>
      </c>
      <c r="F659" t="str">
        <f>IF(A659="", "", VLOOKUP(A659, 'ROMANEIO POR ITEM'!#REF!, 6, FALSE))</f>
        <v/>
      </c>
    </row>
    <row r="660" spans="1:6">
      <c r="A660" t="str">
        <f>IFERROR(_xlfn.SINGLE(INDEX('ROMANEIO POR ITEM'!#REF!, SMALL(IF(_xlfn.SINGLE('ROMANEIO POR ITEM'!#REF!)&lt;&gt;0,_xlfn.SINGLE( ROW('ROMANEIO POR ITEM'!#REF!))-ROW('ROMANEIO POR ITEM'!#REF!)+1), ROW(A659)))), "")</f>
        <v/>
      </c>
      <c r="B660" t="str">
        <f>IF(A660="", "", VLOOKUP(A660, 'ROMANEIO POR ITEM'!#REF!, 2, FALSE))</f>
        <v/>
      </c>
      <c r="C660" t="str">
        <f>IF(A660="", "", VLOOKUP(A660, 'ROMANEIO POR ITEM'!#REF!, 3, FALSE))</f>
        <v/>
      </c>
      <c r="D660" t="str">
        <f>IF(A660="", "", VLOOKUP(A660, 'ROMANEIO POR ITEM'!#REF!, 4, FALSE))</f>
        <v/>
      </c>
      <c r="E660" t="str">
        <f>IF(A660="", "", VLOOKUP(A660, 'ROMANEIO POR ITEM'!#REF!, 5, FALSE))</f>
        <v/>
      </c>
      <c r="F660" t="str">
        <f>IF(A660="", "", VLOOKUP(A660, 'ROMANEIO POR ITEM'!#REF!, 6, FALSE))</f>
        <v/>
      </c>
    </row>
    <row r="661" spans="1:6">
      <c r="A661" t="str">
        <f>IFERROR(_xlfn.SINGLE(INDEX('ROMANEIO POR ITEM'!#REF!, SMALL(IF(_xlfn.SINGLE('ROMANEIO POR ITEM'!#REF!)&lt;&gt;0,_xlfn.SINGLE( ROW('ROMANEIO POR ITEM'!#REF!))-ROW('ROMANEIO POR ITEM'!#REF!)+1), ROW(A660)))), "")</f>
        <v/>
      </c>
      <c r="B661" t="str">
        <f>IF(A661="", "", VLOOKUP(A661, 'ROMANEIO POR ITEM'!#REF!, 2, FALSE))</f>
        <v/>
      </c>
      <c r="C661" t="str">
        <f>IF(A661="", "", VLOOKUP(A661, 'ROMANEIO POR ITEM'!#REF!, 3, FALSE))</f>
        <v/>
      </c>
      <c r="D661" t="str">
        <f>IF(A661="", "", VLOOKUP(A661, 'ROMANEIO POR ITEM'!#REF!, 4, FALSE))</f>
        <v/>
      </c>
      <c r="E661" t="str">
        <f>IF(A661="", "", VLOOKUP(A661, 'ROMANEIO POR ITEM'!#REF!, 5, FALSE))</f>
        <v/>
      </c>
      <c r="F661" t="str">
        <f>IF(A661="", "", VLOOKUP(A661, 'ROMANEIO POR ITEM'!#REF!, 6, FALSE))</f>
        <v/>
      </c>
    </row>
    <row r="662" spans="1:6">
      <c r="A662" t="str">
        <f>IFERROR(_xlfn.SINGLE(INDEX('ROMANEIO POR ITEM'!#REF!, SMALL(IF(_xlfn.SINGLE('ROMANEIO POR ITEM'!#REF!)&lt;&gt;0,_xlfn.SINGLE( ROW('ROMANEIO POR ITEM'!#REF!))-ROW('ROMANEIO POR ITEM'!#REF!)+1), ROW(A661)))), "")</f>
        <v/>
      </c>
      <c r="B662" t="str">
        <f>IF(A662="", "", VLOOKUP(A662, 'ROMANEIO POR ITEM'!#REF!, 2, FALSE))</f>
        <v/>
      </c>
      <c r="C662" t="str">
        <f>IF(A662="", "", VLOOKUP(A662, 'ROMANEIO POR ITEM'!#REF!, 3, FALSE))</f>
        <v/>
      </c>
      <c r="D662" t="str">
        <f>IF(A662="", "", VLOOKUP(A662, 'ROMANEIO POR ITEM'!#REF!, 4, FALSE))</f>
        <v/>
      </c>
      <c r="E662" t="str">
        <f>IF(A662="", "", VLOOKUP(A662, 'ROMANEIO POR ITEM'!#REF!, 5, FALSE))</f>
        <v/>
      </c>
      <c r="F662" t="str">
        <f>IF(A662="", "", VLOOKUP(A662, 'ROMANEIO POR ITEM'!#REF!, 6, FALSE))</f>
        <v/>
      </c>
    </row>
    <row r="663" spans="1:6">
      <c r="A663" t="str">
        <f>IFERROR(_xlfn.SINGLE(INDEX('ROMANEIO POR ITEM'!#REF!, SMALL(IF(_xlfn.SINGLE('ROMANEIO POR ITEM'!#REF!)&lt;&gt;0,_xlfn.SINGLE( ROW('ROMANEIO POR ITEM'!#REF!))-ROW('ROMANEIO POR ITEM'!#REF!)+1), ROW(A662)))), "")</f>
        <v/>
      </c>
      <c r="B663" t="str">
        <f>IF(A663="", "", VLOOKUP(A663, 'ROMANEIO POR ITEM'!#REF!, 2, FALSE))</f>
        <v/>
      </c>
      <c r="C663" t="str">
        <f>IF(A663="", "", VLOOKUP(A663, 'ROMANEIO POR ITEM'!#REF!, 3, FALSE))</f>
        <v/>
      </c>
      <c r="D663" t="str">
        <f>IF(A663="", "", VLOOKUP(A663, 'ROMANEIO POR ITEM'!#REF!, 4, FALSE))</f>
        <v/>
      </c>
      <c r="E663" t="str">
        <f>IF(A663="", "", VLOOKUP(A663, 'ROMANEIO POR ITEM'!#REF!, 5, FALSE))</f>
        <v/>
      </c>
      <c r="F663" t="str">
        <f>IF(A663="", "", VLOOKUP(A663, 'ROMANEIO POR ITEM'!#REF!, 6, FALSE))</f>
        <v/>
      </c>
    </row>
    <row r="664" spans="1:6">
      <c r="A664" t="str">
        <f>IFERROR(_xlfn.SINGLE(INDEX('ROMANEIO POR ITEM'!#REF!, SMALL(IF(_xlfn.SINGLE('ROMANEIO POR ITEM'!#REF!)&lt;&gt;0,_xlfn.SINGLE( ROW('ROMANEIO POR ITEM'!#REF!))-ROW('ROMANEIO POR ITEM'!#REF!)+1), ROW(A663)))), "")</f>
        <v/>
      </c>
      <c r="B664" t="str">
        <f>IF(A664="", "", VLOOKUP(A664, 'ROMANEIO POR ITEM'!#REF!, 2, FALSE))</f>
        <v/>
      </c>
      <c r="C664" t="str">
        <f>IF(A664="", "", VLOOKUP(A664, 'ROMANEIO POR ITEM'!#REF!, 3, FALSE))</f>
        <v/>
      </c>
      <c r="D664" t="str">
        <f>IF(A664="", "", VLOOKUP(A664, 'ROMANEIO POR ITEM'!#REF!, 4, FALSE))</f>
        <v/>
      </c>
      <c r="E664" t="str">
        <f>IF(A664="", "", VLOOKUP(A664, 'ROMANEIO POR ITEM'!#REF!, 5, FALSE))</f>
        <v/>
      </c>
      <c r="F664" t="str">
        <f>IF(A664="", "", VLOOKUP(A664, 'ROMANEIO POR ITEM'!#REF!, 6, FALSE))</f>
        <v/>
      </c>
    </row>
    <row r="665" spans="1:6">
      <c r="A665" t="str">
        <f>IFERROR(_xlfn.SINGLE(INDEX('ROMANEIO POR ITEM'!#REF!, SMALL(IF(_xlfn.SINGLE('ROMANEIO POR ITEM'!#REF!)&lt;&gt;0,_xlfn.SINGLE( ROW('ROMANEIO POR ITEM'!#REF!))-ROW('ROMANEIO POR ITEM'!#REF!)+1), ROW(A664)))), "")</f>
        <v/>
      </c>
      <c r="B665" t="str">
        <f>IF(A665="", "", VLOOKUP(A665, 'ROMANEIO POR ITEM'!#REF!, 2, FALSE))</f>
        <v/>
      </c>
      <c r="C665" t="str">
        <f>IF(A665="", "", VLOOKUP(A665, 'ROMANEIO POR ITEM'!#REF!, 3, FALSE))</f>
        <v/>
      </c>
      <c r="D665" t="str">
        <f>IF(A665="", "", VLOOKUP(A665, 'ROMANEIO POR ITEM'!#REF!, 4, FALSE))</f>
        <v/>
      </c>
      <c r="E665" t="str">
        <f>IF(A665="", "", VLOOKUP(A665, 'ROMANEIO POR ITEM'!#REF!, 5, FALSE))</f>
        <v/>
      </c>
      <c r="F665" t="str">
        <f>IF(A665="", "", VLOOKUP(A665, 'ROMANEIO POR ITEM'!#REF!, 6, FALSE))</f>
        <v/>
      </c>
    </row>
    <row r="666" spans="1:6">
      <c r="A666" t="str">
        <f>IFERROR(_xlfn.SINGLE(INDEX('ROMANEIO POR ITEM'!#REF!, SMALL(IF(_xlfn.SINGLE('ROMANEIO POR ITEM'!#REF!)&lt;&gt;0,_xlfn.SINGLE( ROW('ROMANEIO POR ITEM'!#REF!))-ROW('ROMANEIO POR ITEM'!#REF!)+1), ROW(A665)))), "")</f>
        <v/>
      </c>
      <c r="B666" t="str">
        <f>IF(A666="", "", VLOOKUP(A666, 'ROMANEIO POR ITEM'!#REF!, 2, FALSE))</f>
        <v/>
      </c>
      <c r="C666" t="str">
        <f>IF(A666="", "", VLOOKUP(A666, 'ROMANEIO POR ITEM'!#REF!, 3, FALSE))</f>
        <v/>
      </c>
      <c r="D666" t="str">
        <f>IF(A666="", "", VLOOKUP(A666, 'ROMANEIO POR ITEM'!#REF!, 4, FALSE))</f>
        <v/>
      </c>
      <c r="E666" t="str">
        <f>IF(A666="", "", VLOOKUP(A666, 'ROMANEIO POR ITEM'!#REF!, 5, FALSE))</f>
        <v/>
      </c>
      <c r="F666" t="str">
        <f>IF(A666="", "", VLOOKUP(A666, 'ROMANEIO POR ITEM'!#REF!, 6, FALSE))</f>
        <v/>
      </c>
    </row>
    <row r="667" spans="1:6">
      <c r="A667" t="str">
        <f>IFERROR(_xlfn.SINGLE(INDEX('ROMANEIO POR ITEM'!#REF!, SMALL(IF(_xlfn.SINGLE('ROMANEIO POR ITEM'!#REF!)&lt;&gt;0,_xlfn.SINGLE( ROW('ROMANEIO POR ITEM'!#REF!))-ROW('ROMANEIO POR ITEM'!#REF!)+1), ROW(A666)))), "")</f>
        <v/>
      </c>
      <c r="B667" t="str">
        <f>IF(A667="", "", VLOOKUP(A667, 'ROMANEIO POR ITEM'!#REF!, 2, FALSE))</f>
        <v/>
      </c>
      <c r="C667" t="str">
        <f>IF(A667="", "", VLOOKUP(A667, 'ROMANEIO POR ITEM'!#REF!, 3, FALSE))</f>
        <v/>
      </c>
      <c r="D667" t="str">
        <f>IF(A667="", "", VLOOKUP(A667, 'ROMANEIO POR ITEM'!#REF!, 4, FALSE))</f>
        <v/>
      </c>
      <c r="E667" t="str">
        <f>IF(A667="", "", VLOOKUP(A667, 'ROMANEIO POR ITEM'!#REF!, 5, FALSE))</f>
        <v/>
      </c>
      <c r="F667" t="str">
        <f>IF(A667="", "", VLOOKUP(A667, 'ROMANEIO POR ITEM'!#REF!, 6, FALSE))</f>
        <v/>
      </c>
    </row>
    <row r="668" spans="1:6">
      <c r="A668" t="str">
        <f>IFERROR(_xlfn.SINGLE(INDEX('ROMANEIO POR ITEM'!#REF!, SMALL(IF(_xlfn.SINGLE('ROMANEIO POR ITEM'!#REF!)&lt;&gt;0,_xlfn.SINGLE( ROW('ROMANEIO POR ITEM'!#REF!))-ROW('ROMANEIO POR ITEM'!#REF!)+1), ROW(A667)))), "")</f>
        <v/>
      </c>
      <c r="B668" t="str">
        <f>IF(A668="", "", VLOOKUP(A668, 'ROMANEIO POR ITEM'!#REF!, 2, FALSE))</f>
        <v/>
      </c>
      <c r="C668" t="str">
        <f>IF(A668="", "", VLOOKUP(A668, 'ROMANEIO POR ITEM'!#REF!, 3, FALSE))</f>
        <v/>
      </c>
      <c r="D668" t="str">
        <f>IF(A668="", "", VLOOKUP(A668, 'ROMANEIO POR ITEM'!#REF!, 4, FALSE))</f>
        <v/>
      </c>
      <c r="E668" t="str">
        <f>IF(A668="", "", VLOOKUP(A668, 'ROMANEIO POR ITEM'!#REF!, 5, FALSE))</f>
        <v/>
      </c>
      <c r="F668" t="str">
        <f>IF(A668="", "", VLOOKUP(A668, 'ROMANEIO POR ITEM'!#REF!, 6, FALSE))</f>
        <v/>
      </c>
    </row>
    <row r="669" spans="1:6">
      <c r="A669" t="str">
        <f>IFERROR(_xlfn.SINGLE(INDEX('ROMANEIO POR ITEM'!#REF!, SMALL(IF(_xlfn.SINGLE('ROMANEIO POR ITEM'!#REF!)&lt;&gt;0,_xlfn.SINGLE( ROW('ROMANEIO POR ITEM'!#REF!))-ROW('ROMANEIO POR ITEM'!#REF!)+1), ROW(A668)))), "")</f>
        <v/>
      </c>
      <c r="B669" t="str">
        <f>IF(A669="", "", VLOOKUP(A669, 'ROMANEIO POR ITEM'!#REF!, 2, FALSE))</f>
        <v/>
      </c>
      <c r="C669" t="str">
        <f>IF(A669="", "", VLOOKUP(A669, 'ROMANEIO POR ITEM'!#REF!, 3, FALSE))</f>
        <v/>
      </c>
      <c r="D669" t="str">
        <f>IF(A669="", "", VLOOKUP(A669, 'ROMANEIO POR ITEM'!#REF!, 4, FALSE))</f>
        <v/>
      </c>
      <c r="E669" t="str">
        <f>IF(A669="", "", VLOOKUP(A669, 'ROMANEIO POR ITEM'!#REF!, 5, FALSE))</f>
        <v/>
      </c>
      <c r="F669" t="str">
        <f>IF(A669="", "", VLOOKUP(A669, 'ROMANEIO POR ITEM'!#REF!, 6, FALSE))</f>
        <v/>
      </c>
    </row>
    <row r="670" spans="1:6">
      <c r="A670" t="str">
        <f>IFERROR(_xlfn.SINGLE(INDEX('ROMANEIO POR ITEM'!#REF!, SMALL(IF(_xlfn.SINGLE('ROMANEIO POR ITEM'!#REF!)&lt;&gt;0,_xlfn.SINGLE( ROW('ROMANEIO POR ITEM'!#REF!))-ROW('ROMANEIO POR ITEM'!#REF!)+1), ROW(A669)))), "")</f>
        <v/>
      </c>
      <c r="B670" t="str">
        <f>IF(A670="", "", VLOOKUP(A670, 'ROMANEIO POR ITEM'!#REF!, 2, FALSE))</f>
        <v/>
      </c>
      <c r="C670" t="str">
        <f>IF(A670="", "", VLOOKUP(A670, 'ROMANEIO POR ITEM'!#REF!, 3, FALSE))</f>
        <v/>
      </c>
      <c r="D670" t="str">
        <f>IF(A670="", "", VLOOKUP(A670, 'ROMANEIO POR ITEM'!#REF!, 4, FALSE))</f>
        <v/>
      </c>
      <c r="E670" t="str">
        <f>IF(A670="", "", VLOOKUP(A670, 'ROMANEIO POR ITEM'!#REF!, 5, FALSE))</f>
        <v/>
      </c>
      <c r="F670" t="str">
        <f>IF(A670="", "", VLOOKUP(A670, 'ROMANEIO POR ITEM'!#REF!, 6, FALSE))</f>
        <v/>
      </c>
    </row>
    <row r="671" spans="1:6">
      <c r="A671" t="str">
        <f>IFERROR(_xlfn.SINGLE(INDEX('ROMANEIO POR ITEM'!#REF!, SMALL(IF(_xlfn.SINGLE('ROMANEIO POR ITEM'!#REF!)&lt;&gt;0,_xlfn.SINGLE( ROW('ROMANEIO POR ITEM'!#REF!))-ROW('ROMANEIO POR ITEM'!#REF!)+1), ROW(A670)))), "")</f>
        <v/>
      </c>
      <c r="B671" t="str">
        <f>IF(A671="", "", VLOOKUP(A671, 'ROMANEIO POR ITEM'!#REF!, 2, FALSE))</f>
        <v/>
      </c>
      <c r="C671" t="str">
        <f>IF(A671="", "", VLOOKUP(A671, 'ROMANEIO POR ITEM'!#REF!, 3, FALSE))</f>
        <v/>
      </c>
      <c r="D671" t="str">
        <f>IF(A671="", "", VLOOKUP(A671, 'ROMANEIO POR ITEM'!#REF!, 4, FALSE))</f>
        <v/>
      </c>
      <c r="E671" t="str">
        <f>IF(A671="", "", VLOOKUP(A671, 'ROMANEIO POR ITEM'!#REF!, 5, FALSE))</f>
        <v/>
      </c>
      <c r="F671" t="str">
        <f>IF(A671="", "", VLOOKUP(A671, 'ROMANEIO POR ITEM'!#REF!, 6, FALSE))</f>
        <v/>
      </c>
    </row>
    <row r="672" spans="1:6">
      <c r="A672" t="str">
        <f>IFERROR(_xlfn.SINGLE(INDEX('ROMANEIO POR ITEM'!#REF!, SMALL(IF(_xlfn.SINGLE('ROMANEIO POR ITEM'!#REF!)&lt;&gt;0,_xlfn.SINGLE( ROW('ROMANEIO POR ITEM'!#REF!))-ROW('ROMANEIO POR ITEM'!#REF!)+1), ROW(A671)))), "")</f>
        <v/>
      </c>
      <c r="B672" t="str">
        <f>IF(A672="", "", VLOOKUP(A672, 'ROMANEIO POR ITEM'!#REF!, 2, FALSE))</f>
        <v/>
      </c>
      <c r="C672" t="str">
        <f>IF(A672="", "", VLOOKUP(A672, 'ROMANEIO POR ITEM'!#REF!, 3, FALSE))</f>
        <v/>
      </c>
      <c r="D672" t="str">
        <f>IF(A672="", "", VLOOKUP(A672, 'ROMANEIO POR ITEM'!#REF!, 4, FALSE))</f>
        <v/>
      </c>
      <c r="E672" t="str">
        <f>IF(A672="", "", VLOOKUP(A672, 'ROMANEIO POR ITEM'!#REF!, 5, FALSE))</f>
        <v/>
      </c>
      <c r="F672" t="str">
        <f>IF(A672="", "", VLOOKUP(A672, 'ROMANEIO POR ITEM'!#REF!, 6, FALSE))</f>
        <v/>
      </c>
    </row>
    <row r="673" spans="1:6">
      <c r="A673" t="str">
        <f>IFERROR(_xlfn.SINGLE(INDEX('ROMANEIO POR ITEM'!#REF!, SMALL(IF(_xlfn.SINGLE('ROMANEIO POR ITEM'!#REF!)&lt;&gt;0,_xlfn.SINGLE( ROW('ROMANEIO POR ITEM'!#REF!))-ROW('ROMANEIO POR ITEM'!#REF!)+1), ROW(A672)))), "")</f>
        <v/>
      </c>
      <c r="B673" t="str">
        <f>IF(A673="", "", VLOOKUP(A673, 'ROMANEIO POR ITEM'!#REF!, 2, FALSE))</f>
        <v/>
      </c>
      <c r="C673" t="str">
        <f>IF(A673="", "", VLOOKUP(A673, 'ROMANEIO POR ITEM'!#REF!, 3, FALSE))</f>
        <v/>
      </c>
      <c r="D673" t="str">
        <f>IF(A673="", "", VLOOKUP(A673, 'ROMANEIO POR ITEM'!#REF!, 4, FALSE))</f>
        <v/>
      </c>
      <c r="E673" t="str">
        <f>IF(A673="", "", VLOOKUP(A673, 'ROMANEIO POR ITEM'!#REF!, 5, FALSE))</f>
        <v/>
      </c>
      <c r="F673" t="str">
        <f>IF(A673="", "", VLOOKUP(A673, 'ROMANEIO POR ITEM'!#REF!, 6, FALSE))</f>
        <v/>
      </c>
    </row>
    <row r="674" spans="1:6">
      <c r="A674" t="str">
        <f>IFERROR(_xlfn.SINGLE(INDEX('ROMANEIO POR ITEM'!#REF!, SMALL(IF(_xlfn.SINGLE('ROMANEIO POR ITEM'!#REF!)&lt;&gt;0,_xlfn.SINGLE( ROW('ROMANEIO POR ITEM'!#REF!))-ROW('ROMANEIO POR ITEM'!#REF!)+1), ROW(A673)))), "")</f>
        <v/>
      </c>
      <c r="B674" t="str">
        <f>IF(A674="", "", VLOOKUP(A674, 'ROMANEIO POR ITEM'!#REF!, 2, FALSE))</f>
        <v/>
      </c>
      <c r="C674" t="str">
        <f>IF(A674="", "", VLOOKUP(A674, 'ROMANEIO POR ITEM'!#REF!, 3, FALSE))</f>
        <v/>
      </c>
      <c r="D674" t="str">
        <f>IF(A674="", "", VLOOKUP(A674, 'ROMANEIO POR ITEM'!#REF!, 4, FALSE))</f>
        <v/>
      </c>
      <c r="E674" t="str">
        <f>IF(A674="", "", VLOOKUP(A674, 'ROMANEIO POR ITEM'!#REF!, 5, FALSE))</f>
        <v/>
      </c>
      <c r="F674" t="str">
        <f>IF(A674="", "", VLOOKUP(A674, 'ROMANEIO POR ITEM'!#REF!, 6, FALSE))</f>
        <v/>
      </c>
    </row>
    <row r="675" spans="1:6">
      <c r="A675" t="str">
        <f>IFERROR(_xlfn.SINGLE(INDEX('ROMANEIO POR ITEM'!#REF!, SMALL(IF(_xlfn.SINGLE('ROMANEIO POR ITEM'!#REF!)&lt;&gt;0,_xlfn.SINGLE( ROW('ROMANEIO POR ITEM'!#REF!))-ROW('ROMANEIO POR ITEM'!#REF!)+1), ROW(A674)))), "")</f>
        <v/>
      </c>
      <c r="B675" t="str">
        <f>IF(A675="", "", VLOOKUP(A675, 'ROMANEIO POR ITEM'!#REF!, 2, FALSE))</f>
        <v/>
      </c>
      <c r="C675" t="str">
        <f>IF(A675="", "", VLOOKUP(A675, 'ROMANEIO POR ITEM'!#REF!, 3, FALSE))</f>
        <v/>
      </c>
      <c r="D675" t="str">
        <f>IF(A675="", "", VLOOKUP(A675, 'ROMANEIO POR ITEM'!#REF!, 4, FALSE))</f>
        <v/>
      </c>
      <c r="E675" t="str">
        <f>IF(A675="", "", VLOOKUP(A675, 'ROMANEIO POR ITEM'!#REF!, 5, FALSE))</f>
        <v/>
      </c>
      <c r="F675" t="str">
        <f>IF(A675="", "", VLOOKUP(A675, 'ROMANEIO POR ITEM'!#REF!, 6, FALSE))</f>
        <v/>
      </c>
    </row>
    <row r="676" spans="1:6">
      <c r="A676" t="str">
        <f>IFERROR(_xlfn.SINGLE(INDEX('ROMANEIO POR ITEM'!#REF!, SMALL(IF(_xlfn.SINGLE('ROMANEIO POR ITEM'!#REF!)&lt;&gt;0,_xlfn.SINGLE( ROW('ROMANEIO POR ITEM'!#REF!))-ROW('ROMANEIO POR ITEM'!#REF!)+1), ROW(A675)))), "")</f>
        <v/>
      </c>
      <c r="B676" t="str">
        <f>IF(A676="", "", VLOOKUP(A676, 'ROMANEIO POR ITEM'!#REF!, 2, FALSE))</f>
        <v/>
      </c>
      <c r="C676" t="str">
        <f>IF(A676="", "", VLOOKUP(A676, 'ROMANEIO POR ITEM'!#REF!, 3, FALSE))</f>
        <v/>
      </c>
      <c r="D676" t="str">
        <f>IF(A676="", "", VLOOKUP(A676, 'ROMANEIO POR ITEM'!#REF!, 4, FALSE))</f>
        <v/>
      </c>
      <c r="E676" t="str">
        <f>IF(A676="", "", VLOOKUP(A676, 'ROMANEIO POR ITEM'!#REF!, 5, FALSE))</f>
        <v/>
      </c>
      <c r="F676" t="str">
        <f>IF(A676="", "", VLOOKUP(A676, 'ROMANEIO POR ITEM'!#REF!, 6, FALSE))</f>
        <v/>
      </c>
    </row>
    <row r="677" spans="1:6">
      <c r="A677" t="str">
        <f>IFERROR(_xlfn.SINGLE(INDEX('ROMANEIO POR ITEM'!#REF!, SMALL(IF(_xlfn.SINGLE('ROMANEIO POR ITEM'!#REF!)&lt;&gt;0,_xlfn.SINGLE( ROW('ROMANEIO POR ITEM'!#REF!))-ROW('ROMANEIO POR ITEM'!#REF!)+1), ROW(A676)))), "")</f>
        <v/>
      </c>
      <c r="B677" t="str">
        <f>IF(A677="", "", VLOOKUP(A677, 'ROMANEIO POR ITEM'!#REF!, 2, FALSE))</f>
        <v/>
      </c>
      <c r="C677" t="str">
        <f>IF(A677="", "", VLOOKUP(A677, 'ROMANEIO POR ITEM'!#REF!, 3, FALSE))</f>
        <v/>
      </c>
      <c r="D677" t="str">
        <f>IF(A677="", "", VLOOKUP(A677, 'ROMANEIO POR ITEM'!#REF!, 4, FALSE))</f>
        <v/>
      </c>
      <c r="E677" t="str">
        <f>IF(A677="", "", VLOOKUP(A677, 'ROMANEIO POR ITEM'!#REF!, 5, FALSE))</f>
        <v/>
      </c>
      <c r="F677" t="str">
        <f>IF(A677="", "", VLOOKUP(A677, 'ROMANEIO POR ITEM'!#REF!, 6, FALSE))</f>
        <v/>
      </c>
    </row>
    <row r="678" spans="1:6">
      <c r="A678" t="str">
        <f>IFERROR(_xlfn.SINGLE(INDEX('ROMANEIO POR ITEM'!#REF!, SMALL(IF(_xlfn.SINGLE('ROMANEIO POR ITEM'!#REF!)&lt;&gt;0,_xlfn.SINGLE( ROW('ROMANEIO POR ITEM'!#REF!))-ROW('ROMANEIO POR ITEM'!#REF!)+1), ROW(A677)))), "")</f>
        <v/>
      </c>
      <c r="B678" t="str">
        <f>IF(A678="", "", VLOOKUP(A678, 'ROMANEIO POR ITEM'!#REF!, 2, FALSE))</f>
        <v/>
      </c>
      <c r="C678" t="str">
        <f>IF(A678="", "", VLOOKUP(A678, 'ROMANEIO POR ITEM'!#REF!, 3, FALSE))</f>
        <v/>
      </c>
      <c r="D678" t="str">
        <f>IF(A678="", "", VLOOKUP(A678, 'ROMANEIO POR ITEM'!#REF!, 4, FALSE))</f>
        <v/>
      </c>
      <c r="E678" t="str">
        <f>IF(A678="", "", VLOOKUP(A678, 'ROMANEIO POR ITEM'!#REF!, 5, FALSE))</f>
        <v/>
      </c>
      <c r="F678" t="str">
        <f>IF(A678="", "", VLOOKUP(A678, 'ROMANEIO POR ITEM'!#REF!, 6, FALSE))</f>
        <v/>
      </c>
    </row>
    <row r="679" spans="1:6">
      <c r="A679" t="str">
        <f>IFERROR(_xlfn.SINGLE(INDEX('ROMANEIO POR ITEM'!#REF!, SMALL(IF(_xlfn.SINGLE('ROMANEIO POR ITEM'!#REF!)&lt;&gt;0,_xlfn.SINGLE( ROW('ROMANEIO POR ITEM'!#REF!))-ROW('ROMANEIO POR ITEM'!#REF!)+1), ROW(A678)))), "")</f>
        <v/>
      </c>
      <c r="B679" t="str">
        <f>IF(A679="", "", VLOOKUP(A679, 'ROMANEIO POR ITEM'!#REF!, 2, FALSE))</f>
        <v/>
      </c>
      <c r="C679" t="str">
        <f>IF(A679="", "", VLOOKUP(A679, 'ROMANEIO POR ITEM'!#REF!, 3, FALSE))</f>
        <v/>
      </c>
      <c r="D679" t="str">
        <f>IF(A679="", "", VLOOKUP(A679, 'ROMANEIO POR ITEM'!#REF!, 4, FALSE))</f>
        <v/>
      </c>
      <c r="E679" t="str">
        <f>IF(A679="", "", VLOOKUP(A679, 'ROMANEIO POR ITEM'!#REF!, 5, FALSE))</f>
        <v/>
      </c>
      <c r="F679" t="str">
        <f>IF(A679="", "", VLOOKUP(A679, 'ROMANEIO POR ITEM'!#REF!, 6, FALSE))</f>
        <v/>
      </c>
    </row>
    <row r="680" spans="1:6">
      <c r="A680" t="str">
        <f>IFERROR(_xlfn.SINGLE(INDEX('ROMANEIO POR ITEM'!#REF!, SMALL(IF(_xlfn.SINGLE('ROMANEIO POR ITEM'!#REF!)&lt;&gt;0,_xlfn.SINGLE( ROW('ROMANEIO POR ITEM'!#REF!))-ROW('ROMANEIO POR ITEM'!#REF!)+1), ROW(A679)))), "")</f>
        <v/>
      </c>
      <c r="B680" t="str">
        <f>IF(A680="", "", VLOOKUP(A680, 'ROMANEIO POR ITEM'!#REF!, 2, FALSE))</f>
        <v/>
      </c>
      <c r="C680" t="str">
        <f>IF(A680="", "", VLOOKUP(A680, 'ROMANEIO POR ITEM'!#REF!, 3, FALSE))</f>
        <v/>
      </c>
      <c r="D680" t="str">
        <f>IF(A680="", "", VLOOKUP(A680, 'ROMANEIO POR ITEM'!#REF!, 4, FALSE))</f>
        <v/>
      </c>
      <c r="E680" t="str">
        <f>IF(A680="", "", VLOOKUP(A680, 'ROMANEIO POR ITEM'!#REF!, 5, FALSE))</f>
        <v/>
      </c>
      <c r="F680" t="str">
        <f>IF(A680="", "", VLOOKUP(A680, 'ROMANEIO POR ITEM'!#REF!, 6, FALSE))</f>
        <v/>
      </c>
    </row>
    <row r="681" spans="1:6">
      <c r="A681" t="str">
        <f>IFERROR(_xlfn.SINGLE(INDEX('ROMANEIO POR ITEM'!#REF!, SMALL(IF(_xlfn.SINGLE('ROMANEIO POR ITEM'!#REF!)&lt;&gt;0,_xlfn.SINGLE( ROW('ROMANEIO POR ITEM'!#REF!))-ROW('ROMANEIO POR ITEM'!#REF!)+1), ROW(A680)))), "")</f>
        <v/>
      </c>
      <c r="B681" t="str">
        <f>IF(A681="", "", VLOOKUP(A681, 'ROMANEIO POR ITEM'!#REF!, 2, FALSE))</f>
        <v/>
      </c>
      <c r="C681" t="str">
        <f>IF(A681="", "", VLOOKUP(A681, 'ROMANEIO POR ITEM'!#REF!, 3, FALSE))</f>
        <v/>
      </c>
      <c r="D681" t="str">
        <f>IF(A681="", "", VLOOKUP(A681, 'ROMANEIO POR ITEM'!#REF!, 4, FALSE))</f>
        <v/>
      </c>
      <c r="E681" t="str">
        <f>IF(A681="", "", VLOOKUP(A681, 'ROMANEIO POR ITEM'!#REF!, 5, FALSE))</f>
        <v/>
      </c>
      <c r="F681" t="str">
        <f>IF(A681="", "", VLOOKUP(A681, 'ROMANEIO POR ITEM'!#REF!, 6, FALSE))</f>
        <v/>
      </c>
    </row>
    <row r="682" spans="1:6">
      <c r="A682" t="str">
        <f>IFERROR(_xlfn.SINGLE(INDEX('ROMANEIO POR ITEM'!#REF!, SMALL(IF(_xlfn.SINGLE('ROMANEIO POR ITEM'!#REF!)&lt;&gt;0,_xlfn.SINGLE( ROW('ROMANEIO POR ITEM'!#REF!))-ROW('ROMANEIO POR ITEM'!#REF!)+1), ROW(A681)))), "")</f>
        <v/>
      </c>
      <c r="B682" t="str">
        <f>IF(A682="", "", VLOOKUP(A682, 'ROMANEIO POR ITEM'!#REF!, 2, FALSE))</f>
        <v/>
      </c>
      <c r="C682" t="str">
        <f>IF(A682="", "", VLOOKUP(A682, 'ROMANEIO POR ITEM'!#REF!, 3, FALSE))</f>
        <v/>
      </c>
      <c r="D682" t="str">
        <f>IF(A682="", "", VLOOKUP(A682, 'ROMANEIO POR ITEM'!#REF!, 4, FALSE))</f>
        <v/>
      </c>
      <c r="E682" t="str">
        <f>IF(A682="", "", VLOOKUP(A682, 'ROMANEIO POR ITEM'!#REF!, 5, FALSE))</f>
        <v/>
      </c>
      <c r="F682" t="str">
        <f>IF(A682="", "", VLOOKUP(A682, 'ROMANEIO POR ITEM'!#REF!, 6, FALSE))</f>
        <v/>
      </c>
    </row>
    <row r="683" spans="1:6">
      <c r="A683" t="str">
        <f>IFERROR(_xlfn.SINGLE(INDEX('ROMANEIO POR ITEM'!#REF!, SMALL(IF(_xlfn.SINGLE('ROMANEIO POR ITEM'!#REF!)&lt;&gt;0,_xlfn.SINGLE( ROW('ROMANEIO POR ITEM'!#REF!))-ROW('ROMANEIO POR ITEM'!#REF!)+1), ROW(A682)))), "")</f>
        <v/>
      </c>
      <c r="B683" t="str">
        <f>IF(A683="", "", VLOOKUP(A683, 'ROMANEIO POR ITEM'!#REF!, 2, FALSE))</f>
        <v/>
      </c>
      <c r="C683" t="str">
        <f>IF(A683="", "", VLOOKUP(A683, 'ROMANEIO POR ITEM'!#REF!, 3, FALSE))</f>
        <v/>
      </c>
      <c r="D683" t="str">
        <f>IF(A683="", "", VLOOKUP(A683, 'ROMANEIO POR ITEM'!#REF!, 4, FALSE))</f>
        <v/>
      </c>
      <c r="E683" t="str">
        <f>IF(A683="", "", VLOOKUP(A683, 'ROMANEIO POR ITEM'!#REF!, 5, FALSE))</f>
        <v/>
      </c>
      <c r="F683" t="str">
        <f>IF(A683="", "", VLOOKUP(A683, 'ROMANEIO POR ITEM'!#REF!, 6, FALSE))</f>
        <v/>
      </c>
    </row>
    <row r="684" spans="1:6">
      <c r="A684" t="str">
        <f>IFERROR(_xlfn.SINGLE(INDEX('ROMANEIO POR ITEM'!#REF!, SMALL(IF(_xlfn.SINGLE('ROMANEIO POR ITEM'!#REF!)&lt;&gt;0,_xlfn.SINGLE( ROW('ROMANEIO POR ITEM'!#REF!))-ROW('ROMANEIO POR ITEM'!#REF!)+1), ROW(A683)))), "")</f>
        <v/>
      </c>
      <c r="B684" t="str">
        <f>IF(A684="", "", VLOOKUP(A684, 'ROMANEIO POR ITEM'!#REF!, 2, FALSE))</f>
        <v/>
      </c>
      <c r="C684" t="str">
        <f>IF(A684="", "", VLOOKUP(A684, 'ROMANEIO POR ITEM'!#REF!, 3, FALSE))</f>
        <v/>
      </c>
      <c r="D684" t="str">
        <f>IF(A684="", "", VLOOKUP(A684, 'ROMANEIO POR ITEM'!#REF!, 4, FALSE))</f>
        <v/>
      </c>
      <c r="E684" t="str">
        <f>IF(A684="", "", VLOOKUP(A684, 'ROMANEIO POR ITEM'!#REF!, 5, FALSE))</f>
        <v/>
      </c>
      <c r="F684" t="str">
        <f>IF(A684="", "", VLOOKUP(A684, 'ROMANEIO POR ITEM'!#REF!, 6, FALSE))</f>
        <v/>
      </c>
    </row>
    <row r="685" spans="1:6">
      <c r="A685" t="str">
        <f>IFERROR(_xlfn.SINGLE(INDEX('ROMANEIO POR ITEM'!#REF!, SMALL(IF(_xlfn.SINGLE('ROMANEIO POR ITEM'!#REF!)&lt;&gt;0,_xlfn.SINGLE( ROW('ROMANEIO POR ITEM'!#REF!))-ROW('ROMANEIO POR ITEM'!#REF!)+1), ROW(A684)))), "")</f>
        <v/>
      </c>
      <c r="B685" t="str">
        <f>IF(A685="", "", VLOOKUP(A685, 'ROMANEIO POR ITEM'!#REF!, 2, FALSE))</f>
        <v/>
      </c>
      <c r="C685" t="str">
        <f>IF(A685="", "", VLOOKUP(A685, 'ROMANEIO POR ITEM'!#REF!, 3, FALSE))</f>
        <v/>
      </c>
      <c r="D685" t="str">
        <f>IF(A685="", "", VLOOKUP(A685, 'ROMANEIO POR ITEM'!#REF!, 4, FALSE))</f>
        <v/>
      </c>
      <c r="E685" t="str">
        <f>IF(A685="", "", VLOOKUP(A685, 'ROMANEIO POR ITEM'!#REF!, 5, FALSE))</f>
        <v/>
      </c>
      <c r="F685" t="str">
        <f>IF(A685="", "", VLOOKUP(A685, 'ROMANEIO POR ITEM'!#REF!, 6, FALSE))</f>
        <v/>
      </c>
    </row>
    <row r="686" spans="1:6">
      <c r="A686" t="str">
        <f>IFERROR(_xlfn.SINGLE(INDEX('ROMANEIO POR ITEM'!#REF!, SMALL(IF(_xlfn.SINGLE('ROMANEIO POR ITEM'!#REF!)&lt;&gt;0,_xlfn.SINGLE( ROW('ROMANEIO POR ITEM'!#REF!))-ROW('ROMANEIO POR ITEM'!#REF!)+1), ROW(A685)))), "")</f>
        <v/>
      </c>
      <c r="B686" t="str">
        <f>IF(A686="", "", VLOOKUP(A686, 'ROMANEIO POR ITEM'!#REF!, 2, FALSE))</f>
        <v/>
      </c>
      <c r="C686" t="str">
        <f>IF(A686="", "", VLOOKUP(A686, 'ROMANEIO POR ITEM'!#REF!, 3, FALSE))</f>
        <v/>
      </c>
      <c r="D686" t="str">
        <f>IF(A686="", "", VLOOKUP(A686, 'ROMANEIO POR ITEM'!#REF!, 4, FALSE))</f>
        <v/>
      </c>
      <c r="E686" t="str">
        <f>IF(A686="", "", VLOOKUP(A686, 'ROMANEIO POR ITEM'!#REF!, 5, FALSE))</f>
        <v/>
      </c>
      <c r="F686" t="str">
        <f>IF(A686="", "", VLOOKUP(A686, 'ROMANEIO POR ITEM'!#REF!, 6, FALSE))</f>
        <v/>
      </c>
    </row>
    <row r="687" spans="1:6">
      <c r="A687" t="str">
        <f>IFERROR(_xlfn.SINGLE(INDEX('ROMANEIO POR ITEM'!#REF!, SMALL(IF(_xlfn.SINGLE('ROMANEIO POR ITEM'!#REF!)&lt;&gt;0,_xlfn.SINGLE( ROW('ROMANEIO POR ITEM'!#REF!))-ROW('ROMANEIO POR ITEM'!#REF!)+1), ROW(A686)))), "")</f>
        <v/>
      </c>
      <c r="B687" t="str">
        <f>IF(A687="", "", VLOOKUP(A687, 'ROMANEIO POR ITEM'!#REF!, 2, FALSE))</f>
        <v/>
      </c>
      <c r="C687" t="str">
        <f>IF(A687="", "", VLOOKUP(A687, 'ROMANEIO POR ITEM'!#REF!, 3, FALSE))</f>
        <v/>
      </c>
      <c r="D687" t="str">
        <f>IF(A687="", "", VLOOKUP(A687, 'ROMANEIO POR ITEM'!#REF!, 4, FALSE))</f>
        <v/>
      </c>
      <c r="E687" t="str">
        <f>IF(A687="", "", VLOOKUP(A687, 'ROMANEIO POR ITEM'!#REF!, 5, FALSE))</f>
        <v/>
      </c>
      <c r="F687" t="str">
        <f>IF(A687="", "", VLOOKUP(A687, 'ROMANEIO POR ITEM'!#REF!, 6, FALSE))</f>
        <v/>
      </c>
    </row>
    <row r="688" spans="1:6">
      <c r="A688" t="str">
        <f>IFERROR(_xlfn.SINGLE(INDEX('ROMANEIO POR ITEM'!#REF!, SMALL(IF(_xlfn.SINGLE('ROMANEIO POR ITEM'!#REF!)&lt;&gt;0,_xlfn.SINGLE( ROW('ROMANEIO POR ITEM'!#REF!))-ROW('ROMANEIO POR ITEM'!#REF!)+1), ROW(A687)))), "")</f>
        <v/>
      </c>
      <c r="B688" t="str">
        <f>IF(A688="", "", VLOOKUP(A688, 'ROMANEIO POR ITEM'!#REF!, 2, FALSE))</f>
        <v/>
      </c>
      <c r="C688" t="str">
        <f>IF(A688="", "", VLOOKUP(A688, 'ROMANEIO POR ITEM'!#REF!, 3, FALSE))</f>
        <v/>
      </c>
      <c r="D688" t="str">
        <f>IF(A688="", "", VLOOKUP(A688, 'ROMANEIO POR ITEM'!#REF!, 4, FALSE))</f>
        <v/>
      </c>
      <c r="E688" t="str">
        <f>IF(A688="", "", VLOOKUP(A688, 'ROMANEIO POR ITEM'!#REF!, 5, FALSE))</f>
        <v/>
      </c>
      <c r="F688" t="str">
        <f>IF(A688="", "", VLOOKUP(A688, 'ROMANEIO POR ITEM'!#REF!, 6, FALSE))</f>
        <v/>
      </c>
    </row>
    <row r="689" spans="1:6">
      <c r="A689" t="str">
        <f>IFERROR(_xlfn.SINGLE(INDEX('ROMANEIO POR ITEM'!#REF!, SMALL(IF(_xlfn.SINGLE('ROMANEIO POR ITEM'!#REF!)&lt;&gt;0,_xlfn.SINGLE( ROW('ROMANEIO POR ITEM'!#REF!))-ROW('ROMANEIO POR ITEM'!#REF!)+1), ROW(A688)))), "")</f>
        <v/>
      </c>
      <c r="B689" t="str">
        <f>IF(A689="", "", VLOOKUP(A689, 'ROMANEIO POR ITEM'!#REF!, 2, FALSE))</f>
        <v/>
      </c>
      <c r="C689" t="str">
        <f>IF(A689="", "", VLOOKUP(A689, 'ROMANEIO POR ITEM'!#REF!, 3, FALSE))</f>
        <v/>
      </c>
      <c r="D689" t="str">
        <f>IF(A689="", "", VLOOKUP(A689, 'ROMANEIO POR ITEM'!#REF!, 4, FALSE))</f>
        <v/>
      </c>
      <c r="E689" t="str">
        <f>IF(A689="", "", VLOOKUP(A689, 'ROMANEIO POR ITEM'!#REF!, 5, FALSE))</f>
        <v/>
      </c>
      <c r="F689" t="str">
        <f>IF(A689="", "", VLOOKUP(A689, 'ROMANEIO POR ITEM'!#REF!, 6, FALSE))</f>
        <v/>
      </c>
    </row>
    <row r="690" spans="1:6">
      <c r="A690" t="str">
        <f>IFERROR(_xlfn.SINGLE(INDEX('ROMANEIO POR ITEM'!#REF!, SMALL(IF(_xlfn.SINGLE('ROMANEIO POR ITEM'!#REF!)&lt;&gt;0,_xlfn.SINGLE( ROW('ROMANEIO POR ITEM'!#REF!))-ROW('ROMANEIO POR ITEM'!#REF!)+1), ROW(A689)))), "")</f>
        <v/>
      </c>
      <c r="B690" t="str">
        <f>IF(A690="", "", VLOOKUP(A690, 'ROMANEIO POR ITEM'!#REF!, 2, FALSE))</f>
        <v/>
      </c>
      <c r="C690" t="str">
        <f>IF(A690="", "", VLOOKUP(A690, 'ROMANEIO POR ITEM'!#REF!, 3, FALSE))</f>
        <v/>
      </c>
      <c r="D690" t="str">
        <f>IF(A690="", "", VLOOKUP(A690, 'ROMANEIO POR ITEM'!#REF!, 4, FALSE))</f>
        <v/>
      </c>
      <c r="E690" t="str">
        <f>IF(A690="", "", VLOOKUP(A690, 'ROMANEIO POR ITEM'!#REF!, 5, FALSE))</f>
        <v/>
      </c>
      <c r="F690" t="str">
        <f>IF(A690="", "", VLOOKUP(A690, 'ROMANEIO POR ITEM'!#REF!, 6, FALSE))</f>
        <v/>
      </c>
    </row>
    <row r="691" spans="1:6">
      <c r="A691" t="str">
        <f>IFERROR(_xlfn.SINGLE(INDEX('ROMANEIO POR ITEM'!#REF!, SMALL(IF(_xlfn.SINGLE('ROMANEIO POR ITEM'!#REF!)&lt;&gt;0,_xlfn.SINGLE( ROW('ROMANEIO POR ITEM'!#REF!))-ROW('ROMANEIO POR ITEM'!#REF!)+1), ROW(A690)))), "")</f>
        <v/>
      </c>
      <c r="B691" t="str">
        <f>IF(A691="", "", VLOOKUP(A691, 'ROMANEIO POR ITEM'!#REF!, 2, FALSE))</f>
        <v/>
      </c>
      <c r="C691" t="str">
        <f>IF(A691="", "", VLOOKUP(A691, 'ROMANEIO POR ITEM'!#REF!, 3, FALSE))</f>
        <v/>
      </c>
      <c r="D691" t="str">
        <f>IF(A691="", "", VLOOKUP(A691, 'ROMANEIO POR ITEM'!#REF!, 4, FALSE))</f>
        <v/>
      </c>
      <c r="E691" t="str">
        <f>IF(A691="", "", VLOOKUP(A691, 'ROMANEIO POR ITEM'!#REF!, 5, FALSE))</f>
        <v/>
      </c>
      <c r="F691" t="str">
        <f>IF(A691="", "", VLOOKUP(A691, 'ROMANEIO POR ITEM'!#REF!, 6, FALSE))</f>
        <v/>
      </c>
    </row>
    <row r="692" spans="1:6">
      <c r="A692" t="str">
        <f>IFERROR(_xlfn.SINGLE(INDEX('ROMANEIO POR ITEM'!#REF!, SMALL(IF(_xlfn.SINGLE('ROMANEIO POR ITEM'!#REF!)&lt;&gt;0,_xlfn.SINGLE( ROW('ROMANEIO POR ITEM'!#REF!))-ROW('ROMANEIO POR ITEM'!#REF!)+1), ROW(A691)))), "")</f>
        <v/>
      </c>
      <c r="B692" t="str">
        <f>IF(A692="", "", VLOOKUP(A692, 'ROMANEIO POR ITEM'!#REF!, 2, FALSE))</f>
        <v/>
      </c>
      <c r="C692" t="str">
        <f>IF(A692="", "", VLOOKUP(A692, 'ROMANEIO POR ITEM'!#REF!, 3, FALSE))</f>
        <v/>
      </c>
      <c r="D692" t="str">
        <f>IF(A692="", "", VLOOKUP(A692, 'ROMANEIO POR ITEM'!#REF!, 4, FALSE))</f>
        <v/>
      </c>
      <c r="E692" t="str">
        <f>IF(A692="", "", VLOOKUP(A692, 'ROMANEIO POR ITEM'!#REF!, 5, FALSE))</f>
        <v/>
      </c>
      <c r="F692" t="str">
        <f>IF(A692="", "", VLOOKUP(A692, 'ROMANEIO POR ITEM'!#REF!, 6, FALSE))</f>
        <v/>
      </c>
    </row>
    <row r="693" spans="1:6">
      <c r="A693" t="str">
        <f>IFERROR(_xlfn.SINGLE(INDEX('ROMANEIO POR ITEM'!#REF!, SMALL(IF(_xlfn.SINGLE('ROMANEIO POR ITEM'!#REF!)&lt;&gt;0,_xlfn.SINGLE( ROW('ROMANEIO POR ITEM'!#REF!))-ROW('ROMANEIO POR ITEM'!#REF!)+1), ROW(A692)))), "")</f>
        <v/>
      </c>
      <c r="B693" t="str">
        <f>IF(A693="", "", VLOOKUP(A693, 'ROMANEIO POR ITEM'!#REF!, 2, FALSE))</f>
        <v/>
      </c>
      <c r="C693" t="str">
        <f>IF(A693="", "", VLOOKUP(A693, 'ROMANEIO POR ITEM'!#REF!, 3, FALSE))</f>
        <v/>
      </c>
      <c r="D693" t="str">
        <f>IF(A693="", "", VLOOKUP(A693, 'ROMANEIO POR ITEM'!#REF!, 4, FALSE))</f>
        <v/>
      </c>
      <c r="E693" t="str">
        <f>IF(A693="", "", VLOOKUP(A693, 'ROMANEIO POR ITEM'!#REF!, 5, FALSE))</f>
        <v/>
      </c>
      <c r="F693" t="str">
        <f>IF(A693="", "", VLOOKUP(A693, 'ROMANEIO POR ITEM'!#REF!, 6, FALSE))</f>
        <v/>
      </c>
    </row>
    <row r="694" spans="1:6">
      <c r="A694" t="str">
        <f>IFERROR(_xlfn.SINGLE(INDEX('ROMANEIO POR ITEM'!#REF!, SMALL(IF(_xlfn.SINGLE('ROMANEIO POR ITEM'!#REF!)&lt;&gt;0,_xlfn.SINGLE( ROW('ROMANEIO POR ITEM'!#REF!))-ROW('ROMANEIO POR ITEM'!#REF!)+1), ROW(A693)))), "")</f>
        <v/>
      </c>
      <c r="B694" t="str">
        <f>IF(A694="", "", VLOOKUP(A694, 'ROMANEIO POR ITEM'!#REF!, 2, FALSE))</f>
        <v/>
      </c>
      <c r="C694" t="str">
        <f>IF(A694="", "", VLOOKUP(A694, 'ROMANEIO POR ITEM'!#REF!, 3, FALSE))</f>
        <v/>
      </c>
      <c r="D694" t="str">
        <f>IF(A694="", "", VLOOKUP(A694, 'ROMANEIO POR ITEM'!#REF!, 4, FALSE))</f>
        <v/>
      </c>
      <c r="E694" t="str">
        <f>IF(A694="", "", VLOOKUP(A694, 'ROMANEIO POR ITEM'!#REF!, 5, FALSE))</f>
        <v/>
      </c>
      <c r="F694" t="str">
        <f>IF(A694="", "", VLOOKUP(A694, 'ROMANEIO POR ITEM'!#REF!, 6, FALSE))</f>
        <v/>
      </c>
    </row>
    <row r="695" spans="1:6">
      <c r="A695" t="str">
        <f>IFERROR(_xlfn.SINGLE(INDEX('ROMANEIO POR ITEM'!#REF!, SMALL(IF(_xlfn.SINGLE('ROMANEIO POR ITEM'!#REF!)&lt;&gt;0,_xlfn.SINGLE( ROW('ROMANEIO POR ITEM'!#REF!))-ROW('ROMANEIO POR ITEM'!#REF!)+1), ROW(A694)))), "")</f>
        <v/>
      </c>
      <c r="B695" t="str">
        <f>IF(A695="", "", VLOOKUP(A695, 'ROMANEIO POR ITEM'!#REF!, 2, FALSE))</f>
        <v/>
      </c>
      <c r="C695" t="str">
        <f>IF(A695="", "", VLOOKUP(A695, 'ROMANEIO POR ITEM'!#REF!, 3, FALSE))</f>
        <v/>
      </c>
      <c r="D695" t="str">
        <f>IF(A695="", "", VLOOKUP(A695, 'ROMANEIO POR ITEM'!#REF!, 4, FALSE))</f>
        <v/>
      </c>
      <c r="E695" t="str">
        <f>IF(A695="", "", VLOOKUP(A695, 'ROMANEIO POR ITEM'!#REF!, 5, FALSE))</f>
        <v/>
      </c>
      <c r="F695" t="str">
        <f>IF(A695="", "", VLOOKUP(A695, 'ROMANEIO POR ITEM'!#REF!, 6, FALSE))</f>
        <v/>
      </c>
    </row>
    <row r="696" spans="1:6">
      <c r="A696" t="str">
        <f>IFERROR(_xlfn.SINGLE(INDEX('ROMANEIO POR ITEM'!#REF!, SMALL(IF(_xlfn.SINGLE('ROMANEIO POR ITEM'!#REF!)&lt;&gt;0,_xlfn.SINGLE( ROW('ROMANEIO POR ITEM'!#REF!))-ROW('ROMANEIO POR ITEM'!#REF!)+1), ROW(A695)))), "")</f>
        <v/>
      </c>
      <c r="B696" t="str">
        <f>IF(A696="", "", VLOOKUP(A696, 'ROMANEIO POR ITEM'!#REF!, 2, FALSE))</f>
        <v/>
      </c>
      <c r="C696" t="str">
        <f>IF(A696="", "", VLOOKUP(A696, 'ROMANEIO POR ITEM'!#REF!, 3, FALSE))</f>
        <v/>
      </c>
      <c r="D696" t="str">
        <f>IF(A696="", "", VLOOKUP(A696, 'ROMANEIO POR ITEM'!#REF!, 4, FALSE))</f>
        <v/>
      </c>
      <c r="E696" t="str">
        <f>IF(A696="", "", VLOOKUP(A696, 'ROMANEIO POR ITEM'!#REF!, 5, FALSE))</f>
        <v/>
      </c>
      <c r="F696" t="str">
        <f>IF(A696="", "", VLOOKUP(A696, 'ROMANEIO POR ITEM'!#REF!, 6, FALSE))</f>
        <v/>
      </c>
    </row>
    <row r="697" spans="1:6">
      <c r="A697" t="str">
        <f>IFERROR(_xlfn.SINGLE(INDEX('ROMANEIO POR ITEM'!#REF!, SMALL(IF(_xlfn.SINGLE('ROMANEIO POR ITEM'!#REF!)&lt;&gt;0,_xlfn.SINGLE( ROW('ROMANEIO POR ITEM'!#REF!))-ROW('ROMANEIO POR ITEM'!#REF!)+1), ROW(A696)))), "")</f>
        <v/>
      </c>
      <c r="B697" t="str">
        <f>IF(A697="", "", VLOOKUP(A697, 'ROMANEIO POR ITEM'!#REF!, 2, FALSE))</f>
        <v/>
      </c>
      <c r="C697" t="str">
        <f>IF(A697="", "", VLOOKUP(A697, 'ROMANEIO POR ITEM'!#REF!, 3, FALSE))</f>
        <v/>
      </c>
      <c r="D697" t="str">
        <f>IF(A697="", "", VLOOKUP(A697, 'ROMANEIO POR ITEM'!#REF!, 4, FALSE))</f>
        <v/>
      </c>
      <c r="E697" t="str">
        <f>IF(A697="", "", VLOOKUP(A697, 'ROMANEIO POR ITEM'!#REF!, 5, FALSE))</f>
        <v/>
      </c>
      <c r="F697" t="str">
        <f>IF(A697="", "", VLOOKUP(A697, 'ROMANEIO POR ITEM'!#REF!, 6, FALSE))</f>
        <v/>
      </c>
    </row>
    <row r="698" spans="1:6">
      <c r="A698" t="str">
        <f>IFERROR(_xlfn.SINGLE(INDEX('ROMANEIO POR ITEM'!#REF!, SMALL(IF(_xlfn.SINGLE('ROMANEIO POR ITEM'!#REF!)&lt;&gt;0,_xlfn.SINGLE( ROW('ROMANEIO POR ITEM'!#REF!))-ROW('ROMANEIO POR ITEM'!#REF!)+1), ROW(A697)))), "")</f>
        <v/>
      </c>
      <c r="B698" t="str">
        <f>IF(A698="", "", VLOOKUP(A698, 'ROMANEIO POR ITEM'!#REF!, 2, FALSE))</f>
        <v/>
      </c>
      <c r="C698" t="str">
        <f>IF(A698="", "", VLOOKUP(A698, 'ROMANEIO POR ITEM'!#REF!, 3, FALSE))</f>
        <v/>
      </c>
      <c r="D698" t="str">
        <f>IF(A698="", "", VLOOKUP(A698, 'ROMANEIO POR ITEM'!#REF!, 4, FALSE))</f>
        <v/>
      </c>
      <c r="E698" t="str">
        <f>IF(A698="", "", VLOOKUP(A698, 'ROMANEIO POR ITEM'!#REF!, 5, FALSE))</f>
        <v/>
      </c>
      <c r="F698" t="str">
        <f>IF(A698="", "", VLOOKUP(A698, 'ROMANEIO POR ITEM'!#REF!, 6, FALSE))</f>
        <v/>
      </c>
    </row>
    <row r="699" spans="1:6">
      <c r="A699" t="str">
        <f>IFERROR(_xlfn.SINGLE(INDEX('ROMANEIO POR ITEM'!#REF!, SMALL(IF(_xlfn.SINGLE('ROMANEIO POR ITEM'!#REF!)&lt;&gt;0,_xlfn.SINGLE( ROW('ROMANEIO POR ITEM'!#REF!))-ROW('ROMANEIO POR ITEM'!#REF!)+1), ROW(A698)))), "")</f>
        <v/>
      </c>
      <c r="B699" t="str">
        <f>IF(A699="", "", VLOOKUP(A699, 'ROMANEIO POR ITEM'!#REF!, 2, FALSE))</f>
        <v/>
      </c>
      <c r="C699" t="str">
        <f>IF(A699="", "", VLOOKUP(A699, 'ROMANEIO POR ITEM'!#REF!, 3, FALSE))</f>
        <v/>
      </c>
      <c r="D699" t="str">
        <f>IF(A699="", "", VLOOKUP(A699, 'ROMANEIO POR ITEM'!#REF!, 4, FALSE))</f>
        <v/>
      </c>
      <c r="E699" t="str">
        <f>IF(A699="", "", VLOOKUP(A699, 'ROMANEIO POR ITEM'!#REF!, 5, FALSE))</f>
        <v/>
      </c>
      <c r="F699" t="str">
        <f>IF(A699="", "", VLOOKUP(A699, 'ROMANEIO POR ITEM'!#REF!, 6, FALSE))</f>
        <v/>
      </c>
    </row>
    <row r="700" spans="1:6">
      <c r="A700" t="str">
        <f>IFERROR(_xlfn.SINGLE(INDEX('ROMANEIO POR ITEM'!#REF!, SMALL(IF(_xlfn.SINGLE('ROMANEIO POR ITEM'!#REF!)&lt;&gt;0,_xlfn.SINGLE( ROW('ROMANEIO POR ITEM'!#REF!))-ROW('ROMANEIO POR ITEM'!#REF!)+1), ROW(A699)))), "")</f>
        <v/>
      </c>
      <c r="B700" t="str">
        <f>IF(A700="", "", VLOOKUP(A700, 'ROMANEIO POR ITEM'!#REF!, 2, FALSE))</f>
        <v/>
      </c>
      <c r="C700" t="str">
        <f>IF(A700="", "", VLOOKUP(A700, 'ROMANEIO POR ITEM'!#REF!, 3, FALSE))</f>
        <v/>
      </c>
      <c r="D700" t="str">
        <f>IF(A700="", "", VLOOKUP(A700, 'ROMANEIO POR ITEM'!#REF!, 4, FALSE))</f>
        <v/>
      </c>
      <c r="E700" t="str">
        <f>IF(A700="", "", VLOOKUP(A700, 'ROMANEIO POR ITEM'!#REF!, 5, FALSE))</f>
        <v/>
      </c>
      <c r="F700" t="str">
        <f>IF(A700="", "", VLOOKUP(A700, 'ROMANEIO POR ITEM'!#REF!, 6, FALSE))</f>
        <v/>
      </c>
    </row>
    <row r="701" spans="1:6">
      <c r="A701" t="str">
        <f>IFERROR(_xlfn.SINGLE(INDEX('ROMANEIO POR ITEM'!#REF!, SMALL(IF(_xlfn.SINGLE('ROMANEIO POR ITEM'!#REF!)&lt;&gt;0,_xlfn.SINGLE( ROW('ROMANEIO POR ITEM'!#REF!))-ROW('ROMANEIO POR ITEM'!#REF!)+1), ROW(A700)))), "")</f>
        <v/>
      </c>
      <c r="B701" t="str">
        <f>IF(A701="", "", VLOOKUP(A701, 'ROMANEIO POR ITEM'!#REF!, 2, FALSE))</f>
        <v/>
      </c>
      <c r="C701" t="str">
        <f>IF(A701="", "", VLOOKUP(A701, 'ROMANEIO POR ITEM'!#REF!, 3, FALSE))</f>
        <v/>
      </c>
      <c r="D701" t="str">
        <f>IF(A701="", "", VLOOKUP(A701, 'ROMANEIO POR ITEM'!#REF!, 4, FALSE))</f>
        <v/>
      </c>
      <c r="E701" t="str">
        <f>IF(A701="", "", VLOOKUP(A701, 'ROMANEIO POR ITEM'!#REF!, 5, FALSE))</f>
        <v/>
      </c>
      <c r="F701" t="str">
        <f>IF(A701="", "", VLOOKUP(A701, 'ROMANEIO POR ITEM'!#REF!, 6, FALSE))</f>
        <v/>
      </c>
    </row>
    <row r="702" spans="1:6">
      <c r="A702" t="str">
        <f>IFERROR(_xlfn.SINGLE(INDEX('ROMANEIO POR ITEM'!#REF!, SMALL(IF(_xlfn.SINGLE('ROMANEIO POR ITEM'!#REF!)&lt;&gt;0,_xlfn.SINGLE( ROW('ROMANEIO POR ITEM'!#REF!))-ROW('ROMANEIO POR ITEM'!#REF!)+1), ROW(A701)))), "")</f>
        <v/>
      </c>
      <c r="B702" t="str">
        <f>IF(A702="", "", VLOOKUP(A702, 'ROMANEIO POR ITEM'!#REF!, 2, FALSE))</f>
        <v/>
      </c>
      <c r="C702" t="str">
        <f>IF(A702="", "", VLOOKUP(A702, 'ROMANEIO POR ITEM'!#REF!, 3, FALSE))</f>
        <v/>
      </c>
      <c r="D702" t="str">
        <f>IF(A702="", "", VLOOKUP(A702, 'ROMANEIO POR ITEM'!#REF!, 4, FALSE))</f>
        <v/>
      </c>
      <c r="E702" t="str">
        <f>IF(A702="", "", VLOOKUP(A702, 'ROMANEIO POR ITEM'!#REF!, 5, FALSE))</f>
        <v/>
      </c>
      <c r="F702" t="str">
        <f>IF(A702="", "", VLOOKUP(A702, 'ROMANEIO POR ITEM'!#REF!, 6, FALSE))</f>
        <v/>
      </c>
    </row>
    <row r="703" spans="1:6">
      <c r="A703" t="str">
        <f>IFERROR(_xlfn.SINGLE(INDEX('ROMANEIO POR ITEM'!#REF!, SMALL(IF(_xlfn.SINGLE('ROMANEIO POR ITEM'!#REF!)&lt;&gt;0,_xlfn.SINGLE( ROW('ROMANEIO POR ITEM'!#REF!))-ROW('ROMANEIO POR ITEM'!#REF!)+1), ROW(A702)))), "")</f>
        <v/>
      </c>
      <c r="B703" t="str">
        <f>IF(A703="", "", VLOOKUP(A703, 'ROMANEIO POR ITEM'!#REF!, 2, FALSE))</f>
        <v/>
      </c>
      <c r="C703" t="str">
        <f>IF(A703="", "", VLOOKUP(A703, 'ROMANEIO POR ITEM'!#REF!, 3, FALSE))</f>
        <v/>
      </c>
      <c r="D703" t="str">
        <f>IF(A703="", "", VLOOKUP(A703, 'ROMANEIO POR ITEM'!#REF!, 4, FALSE))</f>
        <v/>
      </c>
      <c r="E703" t="str">
        <f>IF(A703="", "", VLOOKUP(A703, 'ROMANEIO POR ITEM'!#REF!, 5, FALSE))</f>
        <v/>
      </c>
      <c r="F703" t="str">
        <f>IF(A703="", "", VLOOKUP(A703, 'ROMANEIO POR ITEM'!#REF!, 6, FALSE))</f>
        <v/>
      </c>
    </row>
    <row r="704" spans="1:6">
      <c r="A704" t="str">
        <f>IFERROR(_xlfn.SINGLE(INDEX('ROMANEIO POR ITEM'!#REF!, SMALL(IF(_xlfn.SINGLE('ROMANEIO POR ITEM'!#REF!)&lt;&gt;0,_xlfn.SINGLE( ROW('ROMANEIO POR ITEM'!#REF!))-ROW('ROMANEIO POR ITEM'!#REF!)+1), ROW(A703)))), "")</f>
        <v/>
      </c>
      <c r="B704" t="str">
        <f>IF(A704="", "", VLOOKUP(A704, 'ROMANEIO POR ITEM'!#REF!, 2, FALSE))</f>
        <v/>
      </c>
      <c r="C704" t="str">
        <f>IF(A704="", "", VLOOKUP(A704, 'ROMANEIO POR ITEM'!#REF!, 3, FALSE))</f>
        <v/>
      </c>
      <c r="D704" t="str">
        <f>IF(A704="", "", VLOOKUP(A704, 'ROMANEIO POR ITEM'!#REF!, 4, FALSE))</f>
        <v/>
      </c>
      <c r="E704" t="str">
        <f>IF(A704="", "", VLOOKUP(A704, 'ROMANEIO POR ITEM'!#REF!, 5, FALSE))</f>
        <v/>
      </c>
      <c r="F704" t="str">
        <f>IF(A704="", "", VLOOKUP(A704, 'ROMANEIO POR ITEM'!#REF!, 6, FALSE))</f>
        <v/>
      </c>
    </row>
    <row r="705" spans="1:6">
      <c r="A705" t="str">
        <f>IFERROR(_xlfn.SINGLE(INDEX('ROMANEIO POR ITEM'!#REF!, SMALL(IF(_xlfn.SINGLE('ROMANEIO POR ITEM'!#REF!)&lt;&gt;0,_xlfn.SINGLE( ROW('ROMANEIO POR ITEM'!#REF!))-ROW('ROMANEIO POR ITEM'!#REF!)+1), ROW(A704)))), "")</f>
        <v/>
      </c>
      <c r="B705" t="str">
        <f>IF(A705="", "", VLOOKUP(A705, 'ROMANEIO POR ITEM'!#REF!, 2, FALSE))</f>
        <v/>
      </c>
      <c r="C705" t="str">
        <f>IF(A705="", "", VLOOKUP(A705, 'ROMANEIO POR ITEM'!#REF!, 3, FALSE))</f>
        <v/>
      </c>
      <c r="D705" t="str">
        <f>IF(A705="", "", VLOOKUP(A705, 'ROMANEIO POR ITEM'!#REF!, 4, FALSE))</f>
        <v/>
      </c>
      <c r="E705" t="str">
        <f>IF(A705="", "", VLOOKUP(A705, 'ROMANEIO POR ITEM'!#REF!, 5, FALSE))</f>
        <v/>
      </c>
      <c r="F705" t="str">
        <f>IF(A705="", "", VLOOKUP(A705, 'ROMANEIO POR ITEM'!#REF!, 6, FALSE))</f>
        <v/>
      </c>
    </row>
    <row r="706" spans="1:6">
      <c r="A706" t="str">
        <f>IFERROR(_xlfn.SINGLE(INDEX('ROMANEIO POR ITEM'!#REF!, SMALL(IF(_xlfn.SINGLE('ROMANEIO POR ITEM'!#REF!)&lt;&gt;0,_xlfn.SINGLE( ROW('ROMANEIO POR ITEM'!#REF!))-ROW('ROMANEIO POR ITEM'!#REF!)+1), ROW(A705)))), "")</f>
        <v/>
      </c>
      <c r="B706" t="str">
        <f>IF(A706="", "", VLOOKUP(A706, 'ROMANEIO POR ITEM'!#REF!, 2, FALSE))</f>
        <v/>
      </c>
      <c r="C706" t="str">
        <f>IF(A706="", "", VLOOKUP(A706, 'ROMANEIO POR ITEM'!#REF!, 3, FALSE))</f>
        <v/>
      </c>
      <c r="D706" t="str">
        <f>IF(A706="", "", VLOOKUP(A706, 'ROMANEIO POR ITEM'!#REF!, 4, FALSE))</f>
        <v/>
      </c>
      <c r="E706" t="str">
        <f>IF(A706="", "", VLOOKUP(A706, 'ROMANEIO POR ITEM'!#REF!, 5, FALSE))</f>
        <v/>
      </c>
      <c r="F706" t="str">
        <f>IF(A706="", "", VLOOKUP(A706, 'ROMANEIO POR ITEM'!#REF!, 6, FALSE))</f>
        <v/>
      </c>
    </row>
    <row r="707" spans="1:6">
      <c r="A707" t="str">
        <f>IFERROR(_xlfn.SINGLE(INDEX('ROMANEIO POR ITEM'!#REF!, SMALL(IF(_xlfn.SINGLE('ROMANEIO POR ITEM'!#REF!)&lt;&gt;0,_xlfn.SINGLE( ROW('ROMANEIO POR ITEM'!#REF!))-ROW('ROMANEIO POR ITEM'!#REF!)+1), ROW(A706)))), "")</f>
        <v/>
      </c>
      <c r="B707" t="str">
        <f>IF(A707="", "", VLOOKUP(A707, 'ROMANEIO POR ITEM'!#REF!, 2, FALSE))</f>
        <v/>
      </c>
      <c r="C707" t="str">
        <f>IF(A707="", "", VLOOKUP(A707, 'ROMANEIO POR ITEM'!#REF!, 3, FALSE))</f>
        <v/>
      </c>
      <c r="D707" t="str">
        <f>IF(A707="", "", VLOOKUP(A707, 'ROMANEIO POR ITEM'!#REF!, 4, FALSE))</f>
        <v/>
      </c>
      <c r="E707" t="str">
        <f>IF(A707="", "", VLOOKUP(A707, 'ROMANEIO POR ITEM'!#REF!, 5, FALSE))</f>
        <v/>
      </c>
      <c r="F707" t="str">
        <f>IF(A707="", "", VLOOKUP(A707, 'ROMANEIO POR ITEM'!#REF!, 6, FALSE))</f>
        <v/>
      </c>
    </row>
    <row r="708" spans="1:6">
      <c r="A708" t="str">
        <f>IFERROR(_xlfn.SINGLE(INDEX('ROMANEIO POR ITEM'!#REF!, SMALL(IF(_xlfn.SINGLE('ROMANEIO POR ITEM'!#REF!)&lt;&gt;0,_xlfn.SINGLE( ROW('ROMANEIO POR ITEM'!#REF!))-ROW('ROMANEIO POR ITEM'!#REF!)+1), ROW(A707)))), "")</f>
        <v/>
      </c>
      <c r="B708" t="str">
        <f>IF(A708="", "", VLOOKUP(A708, 'ROMANEIO POR ITEM'!#REF!, 2, FALSE))</f>
        <v/>
      </c>
      <c r="C708" t="str">
        <f>IF(A708="", "", VLOOKUP(A708, 'ROMANEIO POR ITEM'!#REF!, 3, FALSE))</f>
        <v/>
      </c>
      <c r="D708" t="str">
        <f>IF(A708="", "", VLOOKUP(A708, 'ROMANEIO POR ITEM'!#REF!, 4, FALSE))</f>
        <v/>
      </c>
      <c r="E708" t="str">
        <f>IF(A708="", "", VLOOKUP(A708, 'ROMANEIO POR ITEM'!#REF!, 5, FALSE))</f>
        <v/>
      </c>
      <c r="F708" t="str">
        <f>IF(A708="", "", VLOOKUP(A708, 'ROMANEIO POR ITEM'!#REF!, 6, FALSE))</f>
        <v/>
      </c>
    </row>
    <row r="709" spans="1:6">
      <c r="A709" t="str">
        <f>IFERROR(_xlfn.SINGLE(INDEX('ROMANEIO POR ITEM'!#REF!, SMALL(IF(_xlfn.SINGLE('ROMANEIO POR ITEM'!#REF!)&lt;&gt;0,_xlfn.SINGLE( ROW('ROMANEIO POR ITEM'!#REF!))-ROW('ROMANEIO POR ITEM'!#REF!)+1), ROW(A708)))), "")</f>
        <v/>
      </c>
      <c r="B709" t="str">
        <f>IF(A709="", "", VLOOKUP(A709, 'ROMANEIO POR ITEM'!#REF!, 2, FALSE))</f>
        <v/>
      </c>
      <c r="C709" t="str">
        <f>IF(A709="", "", VLOOKUP(A709, 'ROMANEIO POR ITEM'!#REF!, 3, FALSE))</f>
        <v/>
      </c>
      <c r="D709" t="str">
        <f>IF(A709="", "", VLOOKUP(A709, 'ROMANEIO POR ITEM'!#REF!, 4, FALSE))</f>
        <v/>
      </c>
      <c r="E709" t="str">
        <f>IF(A709="", "", VLOOKUP(A709, 'ROMANEIO POR ITEM'!#REF!, 5, FALSE))</f>
        <v/>
      </c>
      <c r="F709" t="str">
        <f>IF(A709="", "", VLOOKUP(A709, 'ROMANEIO POR ITEM'!#REF!, 6, FALSE))</f>
        <v/>
      </c>
    </row>
    <row r="710" spans="1:6">
      <c r="A710" t="str">
        <f>IFERROR(_xlfn.SINGLE(INDEX('ROMANEIO POR ITEM'!#REF!, SMALL(IF(_xlfn.SINGLE('ROMANEIO POR ITEM'!#REF!)&lt;&gt;0,_xlfn.SINGLE( ROW('ROMANEIO POR ITEM'!#REF!))-ROW('ROMANEIO POR ITEM'!#REF!)+1), ROW(A709)))), "")</f>
        <v/>
      </c>
      <c r="B710" t="str">
        <f>IF(A710="", "", VLOOKUP(A710, 'ROMANEIO POR ITEM'!#REF!, 2, FALSE))</f>
        <v/>
      </c>
      <c r="C710" t="str">
        <f>IF(A710="", "", VLOOKUP(A710, 'ROMANEIO POR ITEM'!#REF!, 3, FALSE))</f>
        <v/>
      </c>
      <c r="D710" t="str">
        <f>IF(A710="", "", VLOOKUP(A710, 'ROMANEIO POR ITEM'!#REF!, 4, FALSE))</f>
        <v/>
      </c>
      <c r="E710" t="str">
        <f>IF(A710="", "", VLOOKUP(A710, 'ROMANEIO POR ITEM'!#REF!, 5, FALSE))</f>
        <v/>
      </c>
      <c r="F710" t="str">
        <f>IF(A710="", "", VLOOKUP(A710, 'ROMANEIO POR ITEM'!#REF!, 6, FALSE))</f>
        <v/>
      </c>
    </row>
    <row r="711" spans="1:6">
      <c r="A711" t="str">
        <f>IFERROR(_xlfn.SINGLE(INDEX('ROMANEIO POR ITEM'!#REF!, SMALL(IF(_xlfn.SINGLE('ROMANEIO POR ITEM'!#REF!)&lt;&gt;0,_xlfn.SINGLE( ROW('ROMANEIO POR ITEM'!#REF!))-ROW('ROMANEIO POR ITEM'!#REF!)+1), ROW(A710)))), "")</f>
        <v/>
      </c>
      <c r="B711" t="str">
        <f>IF(A711="", "", VLOOKUP(A711, 'ROMANEIO POR ITEM'!#REF!, 2, FALSE))</f>
        <v/>
      </c>
      <c r="C711" t="str">
        <f>IF(A711="", "", VLOOKUP(A711, 'ROMANEIO POR ITEM'!#REF!, 3, FALSE))</f>
        <v/>
      </c>
      <c r="D711" t="str">
        <f>IF(A711="", "", VLOOKUP(A711, 'ROMANEIO POR ITEM'!#REF!, 4, FALSE))</f>
        <v/>
      </c>
      <c r="E711" t="str">
        <f>IF(A711="", "", VLOOKUP(A711, 'ROMANEIO POR ITEM'!#REF!, 5, FALSE))</f>
        <v/>
      </c>
      <c r="F711" t="str">
        <f>IF(A711="", "", VLOOKUP(A711, 'ROMANEIO POR ITEM'!#REF!, 6, FALSE))</f>
        <v/>
      </c>
    </row>
    <row r="712" spans="1:6">
      <c r="A712" t="str">
        <f>IFERROR(_xlfn.SINGLE(INDEX('ROMANEIO POR ITEM'!#REF!, SMALL(IF(_xlfn.SINGLE('ROMANEIO POR ITEM'!#REF!)&lt;&gt;0,_xlfn.SINGLE( ROW('ROMANEIO POR ITEM'!#REF!))-ROW('ROMANEIO POR ITEM'!#REF!)+1), ROW(A711)))), "")</f>
        <v/>
      </c>
      <c r="B712" t="str">
        <f>IF(A712="", "", VLOOKUP(A712, 'ROMANEIO POR ITEM'!#REF!, 2, FALSE))</f>
        <v/>
      </c>
      <c r="C712" t="str">
        <f>IF(A712="", "", VLOOKUP(A712, 'ROMANEIO POR ITEM'!#REF!, 3, FALSE))</f>
        <v/>
      </c>
      <c r="D712" t="str">
        <f>IF(A712="", "", VLOOKUP(A712, 'ROMANEIO POR ITEM'!#REF!, 4, FALSE))</f>
        <v/>
      </c>
      <c r="E712" t="str">
        <f>IF(A712="", "", VLOOKUP(A712, 'ROMANEIO POR ITEM'!#REF!, 5, FALSE))</f>
        <v/>
      </c>
      <c r="F712" t="str">
        <f>IF(A712="", "", VLOOKUP(A712, 'ROMANEIO POR ITEM'!#REF!, 6, FALSE))</f>
        <v/>
      </c>
    </row>
    <row r="713" spans="1:6">
      <c r="A713" t="str">
        <f>IFERROR(_xlfn.SINGLE(INDEX('ROMANEIO POR ITEM'!#REF!, SMALL(IF(_xlfn.SINGLE('ROMANEIO POR ITEM'!#REF!)&lt;&gt;0,_xlfn.SINGLE( ROW('ROMANEIO POR ITEM'!#REF!))-ROW('ROMANEIO POR ITEM'!#REF!)+1), ROW(A712)))), "")</f>
        <v/>
      </c>
      <c r="B713" t="str">
        <f>IF(A713="", "", VLOOKUP(A713, 'ROMANEIO POR ITEM'!#REF!, 2, FALSE))</f>
        <v/>
      </c>
      <c r="C713" t="str">
        <f>IF(A713="", "", VLOOKUP(A713, 'ROMANEIO POR ITEM'!#REF!, 3, FALSE))</f>
        <v/>
      </c>
      <c r="D713" t="str">
        <f>IF(A713="", "", VLOOKUP(A713, 'ROMANEIO POR ITEM'!#REF!, 4, FALSE))</f>
        <v/>
      </c>
      <c r="E713" t="str">
        <f>IF(A713="", "", VLOOKUP(A713, 'ROMANEIO POR ITEM'!#REF!, 5, FALSE))</f>
        <v/>
      </c>
      <c r="F713" t="str">
        <f>IF(A713="", "", VLOOKUP(A713, 'ROMANEIO POR ITEM'!#REF!, 6, FALSE))</f>
        <v/>
      </c>
    </row>
    <row r="714" spans="1:6">
      <c r="A714" t="str">
        <f>IFERROR(_xlfn.SINGLE(INDEX('ROMANEIO POR ITEM'!#REF!, SMALL(IF(_xlfn.SINGLE('ROMANEIO POR ITEM'!#REF!)&lt;&gt;0,_xlfn.SINGLE( ROW('ROMANEIO POR ITEM'!#REF!))-ROW('ROMANEIO POR ITEM'!#REF!)+1), ROW(A713)))), "")</f>
        <v/>
      </c>
      <c r="B714" t="str">
        <f>IF(A714="", "", VLOOKUP(A714, 'ROMANEIO POR ITEM'!#REF!, 2, FALSE))</f>
        <v/>
      </c>
      <c r="C714" t="str">
        <f>IF(A714="", "", VLOOKUP(A714, 'ROMANEIO POR ITEM'!#REF!, 3, FALSE))</f>
        <v/>
      </c>
      <c r="D714" t="str">
        <f>IF(A714="", "", VLOOKUP(A714, 'ROMANEIO POR ITEM'!#REF!, 4, FALSE))</f>
        <v/>
      </c>
      <c r="E714" t="str">
        <f>IF(A714="", "", VLOOKUP(A714, 'ROMANEIO POR ITEM'!#REF!, 5, FALSE))</f>
        <v/>
      </c>
      <c r="F714" t="str">
        <f>IF(A714="", "", VLOOKUP(A714, 'ROMANEIO POR ITEM'!#REF!, 6, FALSE))</f>
        <v/>
      </c>
    </row>
    <row r="715" spans="1:6">
      <c r="A715" t="str">
        <f>IFERROR(_xlfn.SINGLE(INDEX('ROMANEIO POR ITEM'!#REF!, SMALL(IF(_xlfn.SINGLE('ROMANEIO POR ITEM'!#REF!)&lt;&gt;0,_xlfn.SINGLE( ROW('ROMANEIO POR ITEM'!#REF!))-ROW('ROMANEIO POR ITEM'!#REF!)+1), ROW(A714)))), "")</f>
        <v/>
      </c>
      <c r="B715" t="str">
        <f>IF(A715="", "", VLOOKUP(A715, 'ROMANEIO POR ITEM'!#REF!, 2, FALSE))</f>
        <v/>
      </c>
      <c r="C715" t="str">
        <f>IF(A715="", "", VLOOKUP(A715, 'ROMANEIO POR ITEM'!#REF!, 3, FALSE))</f>
        <v/>
      </c>
      <c r="D715" t="str">
        <f>IF(A715="", "", VLOOKUP(A715, 'ROMANEIO POR ITEM'!#REF!, 4, FALSE))</f>
        <v/>
      </c>
      <c r="E715" t="str">
        <f>IF(A715="", "", VLOOKUP(A715, 'ROMANEIO POR ITEM'!#REF!, 5, FALSE))</f>
        <v/>
      </c>
      <c r="F715" t="str">
        <f>IF(A715="", "", VLOOKUP(A715, 'ROMANEIO POR ITEM'!#REF!, 6, FALSE))</f>
        <v/>
      </c>
    </row>
    <row r="716" spans="1:6">
      <c r="A716" t="str">
        <f>IFERROR(_xlfn.SINGLE(INDEX('ROMANEIO POR ITEM'!#REF!, SMALL(IF(_xlfn.SINGLE('ROMANEIO POR ITEM'!#REF!)&lt;&gt;0,_xlfn.SINGLE( ROW('ROMANEIO POR ITEM'!#REF!))-ROW('ROMANEIO POR ITEM'!#REF!)+1), ROW(A715)))), "")</f>
        <v/>
      </c>
      <c r="B716" t="str">
        <f>IF(A716="", "", VLOOKUP(A716, 'ROMANEIO POR ITEM'!#REF!, 2, FALSE))</f>
        <v/>
      </c>
      <c r="C716" t="str">
        <f>IF(A716="", "", VLOOKUP(A716, 'ROMANEIO POR ITEM'!#REF!, 3, FALSE))</f>
        <v/>
      </c>
      <c r="D716" t="str">
        <f>IF(A716="", "", VLOOKUP(A716, 'ROMANEIO POR ITEM'!#REF!, 4, FALSE))</f>
        <v/>
      </c>
      <c r="E716" t="str">
        <f>IF(A716="", "", VLOOKUP(A716, 'ROMANEIO POR ITEM'!#REF!, 5, FALSE))</f>
        <v/>
      </c>
      <c r="F716" t="str">
        <f>IF(A716="", "", VLOOKUP(A716, 'ROMANEIO POR ITEM'!#REF!, 6, FALSE))</f>
        <v/>
      </c>
    </row>
    <row r="717" spans="1:6">
      <c r="A717" t="str">
        <f>IFERROR(_xlfn.SINGLE(INDEX('ROMANEIO POR ITEM'!#REF!, SMALL(IF(_xlfn.SINGLE('ROMANEIO POR ITEM'!#REF!)&lt;&gt;0,_xlfn.SINGLE( ROW('ROMANEIO POR ITEM'!#REF!))-ROW('ROMANEIO POR ITEM'!#REF!)+1), ROW(A716)))), "")</f>
        <v/>
      </c>
      <c r="B717" t="str">
        <f>IF(A717="", "", VLOOKUP(A717, 'ROMANEIO POR ITEM'!#REF!, 2, FALSE))</f>
        <v/>
      </c>
      <c r="C717" t="str">
        <f>IF(A717="", "", VLOOKUP(A717, 'ROMANEIO POR ITEM'!#REF!, 3, FALSE))</f>
        <v/>
      </c>
      <c r="D717" t="str">
        <f>IF(A717="", "", VLOOKUP(A717, 'ROMANEIO POR ITEM'!#REF!, 4, FALSE))</f>
        <v/>
      </c>
      <c r="E717" t="str">
        <f>IF(A717="", "", VLOOKUP(A717, 'ROMANEIO POR ITEM'!#REF!, 5, FALSE))</f>
        <v/>
      </c>
      <c r="F717" t="str">
        <f>IF(A717="", "", VLOOKUP(A717, 'ROMANEIO POR ITEM'!#REF!, 6, FALSE))</f>
        <v/>
      </c>
    </row>
    <row r="718" spans="1:6">
      <c r="A718" t="str">
        <f>IFERROR(_xlfn.SINGLE(INDEX('ROMANEIO POR ITEM'!#REF!, SMALL(IF(_xlfn.SINGLE('ROMANEIO POR ITEM'!#REF!)&lt;&gt;0,_xlfn.SINGLE( ROW('ROMANEIO POR ITEM'!#REF!))-ROW('ROMANEIO POR ITEM'!#REF!)+1), ROW(A717)))), "")</f>
        <v/>
      </c>
      <c r="B718" t="str">
        <f>IF(A718="", "", VLOOKUP(A718, 'ROMANEIO POR ITEM'!#REF!, 2, FALSE))</f>
        <v/>
      </c>
      <c r="C718" t="str">
        <f>IF(A718="", "", VLOOKUP(A718, 'ROMANEIO POR ITEM'!#REF!, 3, FALSE))</f>
        <v/>
      </c>
      <c r="D718" t="str">
        <f>IF(A718="", "", VLOOKUP(A718, 'ROMANEIO POR ITEM'!#REF!, 4, FALSE))</f>
        <v/>
      </c>
      <c r="E718" t="str">
        <f>IF(A718="", "", VLOOKUP(A718, 'ROMANEIO POR ITEM'!#REF!, 5, FALSE))</f>
        <v/>
      </c>
      <c r="F718" t="str">
        <f>IF(A718="", "", VLOOKUP(A718, 'ROMANEIO POR ITEM'!#REF!, 6, FALSE))</f>
        <v/>
      </c>
    </row>
    <row r="719" spans="1:6">
      <c r="A719" t="str">
        <f>IFERROR(_xlfn.SINGLE(INDEX('ROMANEIO POR ITEM'!#REF!, SMALL(IF(_xlfn.SINGLE('ROMANEIO POR ITEM'!#REF!)&lt;&gt;0,_xlfn.SINGLE( ROW('ROMANEIO POR ITEM'!#REF!))-ROW('ROMANEIO POR ITEM'!#REF!)+1), ROW(A718)))), "")</f>
        <v/>
      </c>
      <c r="B719" t="str">
        <f>IF(A719="", "", VLOOKUP(A719, 'ROMANEIO POR ITEM'!#REF!, 2, FALSE))</f>
        <v/>
      </c>
      <c r="C719" t="str">
        <f>IF(A719="", "", VLOOKUP(A719, 'ROMANEIO POR ITEM'!#REF!, 3, FALSE))</f>
        <v/>
      </c>
      <c r="D719" t="str">
        <f>IF(A719="", "", VLOOKUP(A719, 'ROMANEIO POR ITEM'!#REF!, 4, FALSE))</f>
        <v/>
      </c>
      <c r="E719" t="str">
        <f>IF(A719="", "", VLOOKUP(A719, 'ROMANEIO POR ITEM'!#REF!, 5, FALSE))</f>
        <v/>
      </c>
      <c r="F719" t="str">
        <f>IF(A719="", "", VLOOKUP(A719, 'ROMANEIO POR ITEM'!#REF!, 6, FALSE))</f>
        <v/>
      </c>
    </row>
    <row r="720" spans="1:6">
      <c r="A720" t="str">
        <f>IFERROR(_xlfn.SINGLE(INDEX('ROMANEIO POR ITEM'!#REF!, SMALL(IF(_xlfn.SINGLE('ROMANEIO POR ITEM'!#REF!)&lt;&gt;0,_xlfn.SINGLE( ROW('ROMANEIO POR ITEM'!#REF!))-ROW('ROMANEIO POR ITEM'!#REF!)+1), ROW(A719)))), "")</f>
        <v/>
      </c>
      <c r="B720" t="str">
        <f>IF(A720="", "", VLOOKUP(A720, 'ROMANEIO POR ITEM'!#REF!, 2, FALSE))</f>
        <v/>
      </c>
      <c r="C720" t="str">
        <f>IF(A720="", "", VLOOKUP(A720, 'ROMANEIO POR ITEM'!#REF!, 3, FALSE))</f>
        <v/>
      </c>
      <c r="D720" t="str">
        <f>IF(A720="", "", VLOOKUP(A720, 'ROMANEIO POR ITEM'!#REF!, 4, FALSE))</f>
        <v/>
      </c>
      <c r="E720" t="str">
        <f>IF(A720="", "", VLOOKUP(A720, 'ROMANEIO POR ITEM'!#REF!, 5, FALSE))</f>
        <v/>
      </c>
      <c r="F720" t="str">
        <f>IF(A720="", "", VLOOKUP(A720, 'ROMANEIO POR ITEM'!#REF!, 6, FALSE))</f>
        <v/>
      </c>
    </row>
    <row r="721" spans="1:6">
      <c r="A721" t="str">
        <f>IFERROR(_xlfn.SINGLE(INDEX('ROMANEIO POR ITEM'!#REF!, SMALL(IF(_xlfn.SINGLE('ROMANEIO POR ITEM'!#REF!)&lt;&gt;0,_xlfn.SINGLE( ROW('ROMANEIO POR ITEM'!#REF!))-ROW('ROMANEIO POR ITEM'!#REF!)+1), ROW(A720)))), "")</f>
        <v/>
      </c>
      <c r="B721" t="str">
        <f>IF(A721="", "", VLOOKUP(A721, 'ROMANEIO POR ITEM'!#REF!, 2, FALSE))</f>
        <v/>
      </c>
      <c r="C721" t="str">
        <f>IF(A721="", "", VLOOKUP(A721, 'ROMANEIO POR ITEM'!#REF!, 3, FALSE))</f>
        <v/>
      </c>
      <c r="D721" t="str">
        <f>IF(A721="", "", VLOOKUP(A721, 'ROMANEIO POR ITEM'!#REF!, 4, FALSE))</f>
        <v/>
      </c>
      <c r="E721" t="str">
        <f>IF(A721="", "", VLOOKUP(A721, 'ROMANEIO POR ITEM'!#REF!, 5, FALSE))</f>
        <v/>
      </c>
      <c r="F721" t="str">
        <f>IF(A721="", "", VLOOKUP(A721, 'ROMANEIO POR ITEM'!#REF!, 6, FALSE))</f>
        <v/>
      </c>
    </row>
    <row r="722" spans="1:6">
      <c r="A722" t="str">
        <f>IFERROR(_xlfn.SINGLE(INDEX('ROMANEIO POR ITEM'!#REF!, SMALL(IF(_xlfn.SINGLE('ROMANEIO POR ITEM'!#REF!)&lt;&gt;0,_xlfn.SINGLE( ROW('ROMANEIO POR ITEM'!#REF!))-ROW('ROMANEIO POR ITEM'!#REF!)+1), ROW(A721)))), "")</f>
        <v/>
      </c>
      <c r="B722" t="str">
        <f>IF(A722="", "", VLOOKUP(A722, 'ROMANEIO POR ITEM'!#REF!, 2, FALSE))</f>
        <v/>
      </c>
      <c r="C722" t="str">
        <f>IF(A722="", "", VLOOKUP(A722, 'ROMANEIO POR ITEM'!#REF!, 3, FALSE))</f>
        <v/>
      </c>
      <c r="D722" t="str">
        <f>IF(A722="", "", VLOOKUP(A722, 'ROMANEIO POR ITEM'!#REF!, 4, FALSE))</f>
        <v/>
      </c>
      <c r="E722" t="str">
        <f>IF(A722="", "", VLOOKUP(A722, 'ROMANEIO POR ITEM'!#REF!, 5, FALSE))</f>
        <v/>
      </c>
      <c r="F722" t="str">
        <f>IF(A722="", "", VLOOKUP(A722, 'ROMANEIO POR ITEM'!#REF!, 6, FALSE))</f>
        <v/>
      </c>
    </row>
    <row r="723" spans="1:6">
      <c r="A723" t="str">
        <f>IFERROR(_xlfn.SINGLE(INDEX('ROMANEIO POR ITEM'!#REF!, SMALL(IF(_xlfn.SINGLE('ROMANEIO POR ITEM'!#REF!)&lt;&gt;0,_xlfn.SINGLE( ROW('ROMANEIO POR ITEM'!#REF!))-ROW('ROMANEIO POR ITEM'!#REF!)+1), ROW(A722)))), "")</f>
        <v/>
      </c>
      <c r="B723" t="str">
        <f>IF(A723="", "", VLOOKUP(A723, 'ROMANEIO POR ITEM'!#REF!, 2, FALSE))</f>
        <v/>
      </c>
      <c r="C723" t="str">
        <f>IF(A723="", "", VLOOKUP(A723, 'ROMANEIO POR ITEM'!#REF!, 3, FALSE))</f>
        <v/>
      </c>
      <c r="D723" t="str">
        <f>IF(A723="", "", VLOOKUP(A723, 'ROMANEIO POR ITEM'!#REF!, 4, FALSE))</f>
        <v/>
      </c>
      <c r="E723" t="str">
        <f>IF(A723="", "", VLOOKUP(A723, 'ROMANEIO POR ITEM'!#REF!, 5, FALSE))</f>
        <v/>
      </c>
      <c r="F723" t="str">
        <f>IF(A723="", "", VLOOKUP(A723, 'ROMANEIO POR ITEM'!#REF!, 6, FALSE))</f>
        <v/>
      </c>
    </row>
    <row r="724" spans="1:6">
      <c r="A724" t="str">
        <f>IFERROR(_xlfn.SINGLE(INDEX('ROMANEIO POR ITEM'!#REF!, SMALL(IF(_xlfn.SINGLE('ROMANEIO POR ITEM'!#REF!)&lt;&gt;0,_xlfn.SINGLE( ROW('ROMANEIO POR ITEM'!#REF!))-ROW('ROMANEIO POR ITEM'!#REF!)+1), ROW(A723)))), "")</f>
        <v/>
      </c>
      <c r="B724" t="str">
        <f>IF(A724="", "", VLOOKUP(A724, 'ROMANEIO POR ITEM'!#REF!, 2, FALSE))</f>
        <v/>
      </c>
      <c r="C724" t="str">
        <f>IF(A724="", "", VLOOKUP(A724, 'ROMANEIO POR ITEM'!#REF!, 3, FALSE))</f>
        <v/>
      </c>
      <c r="D724" t="str">
        <f>IF(A724="", "", VLOOKUP(A724, 'ROMANEIO POR ITEM'!#REF!, 4, FALSE))</f>
        <v/>
      </c>
      <c r="E724" t="str">
        <f>IF(A724="", "", VLOOKUP(A724, 'ROMANEIO POR ITEM'!#REF!, 5, FALSE))</f>
        <v/>
      </c>
      <c r="F724" t="str">
        <f>IF(A724="", "", VLOOKUP(A724, 'ROMANEIO POR ITEM'!#REF!, 6, FALSE))</f>
        <v/>
      </c>
    </row>
    <row r="725" spans="1:6">
      <c r="A725" t="str">
        <f>IFERROR(_xlfn.SINGLE(INDEX('ROMANEIO POR ITEM'!#REF!, SMALL(IF(_xlfn.SINGLE('ROMANEIO POR ITEM'!#REF!)&lt;&gt;0,_xlfn.SINGLE( ROW('ROMANEIO POR ITEM'!#REF!))-ROW('ROMANEIO POR ITEM'!#REF!)+1), ROW(A724)))), "")</f>
        <v/>
      </c>
      <c r="B725" t="str">
        <f>IF(A725="", "", VLOOKUP(A725, 'ROMANEIO POR ITEM'!#REF!, 2, FALSE))</f>
        <v/>
      </c>
      <c r="C725" t="str">
        <f>IF(A725="", "", VLOOKUP(A725, 'ROMANEIO POR ITEM'!#REF!, 3, FALSE))</f>
        <v/>
      </c>
      <c r="D725" t="str">
        <f>IF(A725="", "", VLOOKUP(A725, 'ROMANEIO POR ITEM'!#REF!, 4, FALSE))</f>
        <v/>
      </c>
      <c r="E725" t="str">
        <f>IF(A725="", "", VLOOKUP(A725, 'ROMANEIO POR ITEM'!#REF!, 5, FALSE))</f>
        <v/>
      </c>
      <c r="F725" t="str">
        <f>IF(A725="", "", VLOOKUP(A725, 'ROMANEIO POR ITEM'!#REF!, 6, FALSE))</f>
        <v/>
      </c>
    </row>
    <row r="726" spans="1:6">
      <c r="A726" t="str">
        <f>IFERROR(_xlfn.SINGLE(INDEX('ROMANEIO POR ITEM'!#REF!, SMALL(IF(_xlfn.SINGLE('ROMANEIO POR ITEM'!#REF!)&lt;&gt;0,_xlfn.SINGLE( ROW('ROMANEIO POR ITEM'!#REF!))-ROW('ROMANEIO POR ITEM'!#REF!)+1), ROW(A725)))), "")</f>
        <v/>
      </c>
      <c r="B726" t="str">
        <f>IF(A726="", "", VLOOKUP(A726, 'ROMANEIO POR ITEM'!#REF!, 2, FALSE))</f>
        <v/>
      </c>
      <c r="C726" t="str">
        <f>IF(A726="", "", VLOOKUP(A726, 'ROMANEIO POR ITEM'!#REF!, 3, FALSE))</f>
        <v/>
      </c>
      <c r="D726" t="str">
        <f>IF(A726="", "", VLOOKUP(A726, 'ROMANEIO POR ITEM'!#REF!, 4, FALSE))</f>
        <v/>
      </c>
      <c r="E726" t="str">
        <f>IF(A726="", "", VLOOKUP(A726, 'ROMANEIO POR ITEM'!#REF!, 5, FALSE))</f>
        <v/>
      </c>
      <c r="F726" t="str">
        <f>IF(A726="", "", VLOOKUP(A726, 'ROMANEIO POR ITEM'!#REF!, 6, FALSE))</f>
        <v/>
      </c>
    </row>
    <row r="727" spans="1:6">
      <c r="A727" t="str">
        <f>IFERROR(_xlfn.SINGLE(INDEX('ROMANEIO POR ITEM'!#REF!, SMALL(IF(_xlfn.SINGLE('ROMANEIO POR ITEM'!#REF!)&lt;&gt;0,_xlfn.SINGLE( ROW('ROMANEIO POR ITEM'!#REF!))-ROW('ROMANEIO POR ITEM'!#REF!)+1), ROW(A726)))), "")</f>
        <v/>
      </c>
      <c r="B727" t="str">
        <f>IF(A727="", "", VLOOKUP(A727, 'ROMANEIO POR ITEM'!#REF!, 2, FALSE))</f>
        <v/>
      </c>
      <c r="C727" t="str">
        <f>IF(A727="", "", VLOOKUP(A727, 'ROMANEIO POR ITEM'!#REF!, 3, FALSE))</f>
        <v/>
      </c>
      <c r="D727" t="str">
        <f>IF(A727="", "", VLOOKUP(A727, 'ROMANEIO POR ITEM'!#REF!, 4, FALSE))</f>
        <v/>
      </c>
      <c r="E727" t="str">
        <f>IF(A727="", "", VLOOKUP(A727, 'ROMANEIO POR ITEM'!#REF!, 5, FALSE))</f>
        <v/>
      </c>
      <c r="F727" t="str">
        <f>IF(A727="", "", VLOOKUP(A727, 'ROMANEIO POR ITEM'!#REF!, 6, FALSE))</f>
        <v/>
      </c>
    </row>
    <row r="728" spans="1:6">
      <c r="A728" t="str">
        <f>IFERROR(_xlfn.SINGLE(INDEX('ROMANEIO POR ITEM'!#REF!, SMALL(IF(_xlfn.SINGLE('ROMANEIO POR ITEM'!#REF!)&lt;&gt;0,_xlfn.SINGLE( ROW('ROMANEIO POR ITEM'!#REF!))-ROW('ROMANEIO POR ITEM'!#REF!)+1), ROW(A727)))), "")</f>
        <v/>
      </c>
      <c r="B728" t="str">
        <f>IF(A728="", "", VLOOKUP(A728, 'ROMANEIO POR ITEM'!#REF!, 2, FALSE))</f>
        <v/>
      </c>
      <c r="C728" t="str">
        <f>IF(A728="", "", VLOOKUP(A728, 'ROMANEIO POR ITEM'!#REF!, 3, FALSE))</f>
        <v/>
      </c>
      <c r="D728" t="str">
        <f>IF(A728="", "", VLOOKUP(A728, 'ROMANEIO POR ITEM'!#REF!, 4, FALSE))</f>
        <v/>
      </c>
      <c r="E728" t="str">
        <f>IF(A728="", "", VLOOKUP(A728, 'ROMANEIO POR ITEM'!#REF!, 5, FALSE))</f>
        <v/>
      </c>
      <c r="F728" t="str">
        <f>IF(A728="", "", VLOOKUP(A728, 'ROMANEIO POR ITEM'!#REF!, 6, FALSE))</f>
        <v/>
      </c>
    </row>
    <row r="729" spans="1:6">
      <c r="A729" t="str">
        <f>IFERROR(_xlfn.SINGLE(INDEX('ROMANEIO POR ITEM'!#REF!, SMALL(IF(_xlfn.SINGLE('ROMANEIO POR ITEM'!#REF!)&lt;&gt;0,_xlfn.SINGLE( ROW('ROMANEIO POR ITEM'!#REF!))-ROW('ROMANEIO POR ITEM'!#REF!)+1), ROW(A728)))), "")</f>
        <v/>
      </c>
      <c r="B729" t="str">
        <f>IF(A729="", "", VLOOKUP(A729, 'ROMANEIO POR ITEM'!#REF!, 2, FALSE))</f>
        <v/>
      </c>
      <c r="C729" t="str">
        <f>IF(A729="", "", VLOOKUP(A729, 'ROMANEIO POR ITEM'!#REF!, 3, FALSE))</f>
        <v/>
      </c>
      <c r="D729" t="str">
        <f>IF(A729="", "", VLOOKUP(A729, 'ROMANEIO POR ITEM'!#REF!, 4, FALSE))</f>
        <v/>
      </c>
      <c r="E729" t="str">
        <f>IF(A729="", "", VLOOKUP(A729, 'ROMANEIO POR ITEM'!#REF!, 5, FALSE))</f>
        <v/>
      </c>
      <c r="F729" t="str">
        <f>IF(A729="", "", VLOOKUP(A729, 'ROMANEIO POR ITEM'!#REF!, 6, FALSE))</f>
        <v/>
      </c>
    </row>
    <row r="730" spans="1:6">
      <c r="A730" t="str">
        <f>IFERROR(_xlfn.SINGLE(INDEX('ROMANEIO POR ITEM'!#REF!, SMALL(IF(_xlfn.SINGLE('ROMANEIO POR ITEM'!#REF!)&lt;&gt;0,_xlfn.SINGLE( ROW('ROMANEIO POR ITEM'!#REF!))-ROW('ROMANEIO POR ITEM'!#REF!)+1), ROW(A729)))), "")</f>
        <v/>
      </c>
      <c r="B730" t="str">
        <f>IF(A730="", "", VLOOKUP(A730, 'ROMANEIO POR ITEM'!#REF!, 2, FALSE))</f>
        <v/>
      </c>
      <c r="C730" t="str">
        <f>IF(A730="", "", VLOOKUP(A730, 'ROMANEIO POR ITEM'!#REF!, 3, FALSE))</f>
        <v/>
      </c>
      <c r="D730" t="str">
        <f>IF(A730="", "", VLOOKUP(A730, 'ROMANEIO POR ITEM'!#REF!, 4, FALSE))</f>
        <v/>
      </c>
      <c r="E730" t="str">
        <f>IF(A730="", "", VLOOKUP(A730, 'ROMANEIO POR ITEM'!#REF!, 5, FALSE))</f>
        <v/>
      </c>
      <c r="F730" t="str">
        <f>IF(A730="", "", VLOOKUP(A730, 'ROMANEIO POR ITEM'!#REF!, 6, FALSE))</f>
        <v/>
      </c>
    </row>
    <row r="731" spans="1:6">
      <c r="A731" t="str">
        <f>IFERROR(_xlfn.SINGLE(INDEX('ROMANEIO POR ITEM'!#REF!, SMALL(IF(_xlfn.SINGLE('ROMANEIO POR ITEM'!#REF!)&lt;&gt;0,_xlfn.SINGLE( ROW('ROMANEIO POR ITEM'!#REF!))-ROW('ROMANEIO POR ITEM'!#REF!)+1), ROW(A730)))), "")</f>
        <v/>
      </c>
      <c r="B731" t="str">
        <f>IF(A731="", "", VLOOKUP(A731, 'ROMANEIO POR ITEM'!#REF!, 2, FALSE))</f>
        <v/>
      </c>
      <c r="C731" t="str">
        <f>IF(A731="", "", VLOOKUP(A731, 'ROMANEIO POR ITEM'!#REF!, 3, FALSE))</f>
        <v/>
      </c>
      <c r="D731" t="str">
        <f>IF(A731="", "", VLOOKUP(A731, 'ROMANEIO POR ITEM'!#REF!, 4, FALSE))</f>
        <v/>
      </c>
      <c r="E731" t="str">
        <f>IF(A731="", "", VLOOKUP(A731, 'ROMANEIO POR ITEM'!#REF!, 5, FALSE))</f>
        <v/>
      </c>
      <c r="F731" t="str">
        <f>IF(A731="", "", VLOOKUP(A731, 'ROMANEIO POR ITEM'!#REF!, 6, FALSE))</f>
        <v/>
      </c>
    </row>
    <row r="732" spans="1:6">
      <c r="A732" t="str">
        <f>IFERROR(_xlfn.SINGLE(INDEX('ROMANEIO POR ITEM'!#REF!, SMALL(IF(_xlfn.SINGLE('ROMANEIO POR ITEM'!#REF!)&lt;&gt;0,_xlfn.SINGLE( ROW('ROMANEIO POR ITEM'!#REF!))-ROW('ROMANEIO POR ITEM'!#REF!)+1), ROW(A731)))), "")</f>
        <v/>
      </c>
      <c r="B732" t="str">
        <f>IF(A732="", "", VLOOKUP(A732, 'ROMANEIO POR ITEM'!#REF!, 2, FALSE))</f>
        <v/>
      </c>
      <c r="C732" t="str">
        <f>IF(A732="", "", VLOOKUP(A732, 'ROMANEIO POR ITEM'!#REF!, 3, FALSE))</f>
        <v/>
      </c>
      <c r="D732" t="str">
        <f>IF(A732="", "", VLOOKUP(A732, 'ROMANEIO POR ITEM'!#REF!, 4, FALSE))</f>
        <v/>
      </c>
      <c r="E732" t="str">
        <f>IF(A732="", "", VLOOKUP(A732, 'ROMANEIO POR ITEM'!#REF!, 5, FALSE))</f>
        <v/>
      </c>
      <c r="F732" t="str">
        <f>IF(A732="", "", VLOOKUP(A732, 'ROMANEIO POR ITEM'!#REF!, 6, FALSE))</f>
        <v/>
      </c>
    </row>
    <row r="733" spans="1:6">
      <c r="A733" t="str">
        <f>IFERROR(_xlfn.SINGLE(INDEX('ROMANEIO POR ITEM'!#REF!, SMALL(IF(_xlfn.SINGLE('ROMANEIO POR ITEM'!#REF!)&lt;&gt;0,_xlfn.SINGLE( ROW('ROMANEIO POR ITEM'!#REF!))-ROW('ROMANEIO POR ITEM'!#REF!)+1), ROW(A732)))), "")</f>
        <v/>
      </c>
      <c r="B733" t="str">
        <f>IF(A733="", "", VLOOKUP(A733, 'ROMANEIO POR ITEM'!#REF!, 2, FALSE))</f>
        <v/>
      </c>
      <c r="C733" t="str">
        <f>IF(A733="", "", VLOOKUP(A733, 'ROMANEIO POR ITEM'!#REF!, 3, FALSE))</f>
        <v/>
      </c>
      <c r="D733" t="str">
        <f>IF(A733="", "", VLOOKUP(A733, 'ROMANEIO POR ITEM'!#REF!, 4, FALSE))</f>
        <v/>
      </c>
      <c r="E733" t="str">
        <f>IF(A733="", "", VLOOKUP(A733, 'ROMANEIO POR ITEM'!#REF!, 5, FALSE))</f>
        <v/>
      </c>
      <c r="F733" t="str">
        <f>IF(A733="", "", VLOOKUP(A733, 'ROMANEIO POR ITEM'!#REF!, 6, FALSE))</f>
        <v/>
      </c>
    </row>
    <row r="734" spans="1:6">
      <c r="A734" t="str">
        <f>IFERROR(_xlfn.SINGLE(INDEX('ROMANEIO POR ITEM'!#REF!, SMALL(IF(_xlfn.SINGLE('ROMANEIO POR ITEM'!#REF!)&lt;&gt;0,_xlfn.SINGLE( ROW('ROMANEIO POR ITEM'!#REF!))-ROW('ROMANEIO POR ITEM'!#REF!)+1), ROW(A733)))), "")</f>
        <v/>
      </c>
      <c r="B734" t="str">
        <f>IF(A734="", "", VLOOKUP(A734, 'ROMANEIO POR ITEM'!#REF!, 2, FALSE))</f>
        <v/>
      </c>
      <c r="C734" t="str">
        <f>IF(A734="", "", VLOOKUP(A734, 'ROMANEIO POR ITEM'!#REF!, 3, FALSE))</f>
        <v/>
      </c>
      <c r="D734" t="str">
        <f>IF(A734="", "", VLOOKUP(A734, 'ROMANEIO POR ITEM'!#REF!, 4, FALSE))</f>
        <v/>
      </c>
      <c r="E734" t="str">
        <f>IF(A734="", "", VLOOKUP(A734, 'ROMANEIO POR ITEM'!#REF!, 5, FALSE))</f>
        <v/>
      </c>
      <c r="F734" t="str">
        <f>IF(A734="", "", VLOOKUP(A734, 'ROMANEIO POR ITEM'!#REF!, 6, FALSE))</f>
        <v/>
      </c>
    </row>
    <row r="735" spans="1:6">
      <c r="A735" t="str">
        <f>IFERROR(_xlfn.SINGLE(INDEX('ROMANEIO POR ITEM'!#REF!, SMALL(IF(_xlfn.SINGLE('ROMANEIO POR ITEM'!#REF!)&lt;&gt;0,_xlfn.SINGLE( ROW('ROMANEIO POR ITEM'!#REF!))-ROW('ROMANEIO POR ITEM'!#REF!)+1), ROW(A734)))), "")</f>
        <v/>
      </c>
      <c r="B735" t="str">
        <f>IF(A735="", "", VLOOKUP(A735, 'ROMANEIO POR ITEM'!#REF!, 2, FALSE))</f>
        <v/>
      </c>
      <c r="C735" t="str">
        <f>IF(A735="", "", VLOOKUP(A735, 'ROMANEIO POR ITEM'!#REF!, 3, FALSE))</f>
        <v/>
      </c>
      <c r="D735" t="str">
        <f>IF(A735="", "", VLOOKUP(A735, 'ROMANEIO POR ITEM'!#REF!, 4, FALSE))</f>
        <v/>
      </c>
      <c r="E735" t="str">
        <f>IF(A735="", "", VLOOKUP(A735, 'ROMANEIO POR ITEM'!#REF!, 5, FALSE))</f>
        <v/>
      </c>
      <c r="F735" t="str">
        <f>IF(A735="", "", VLOOKUP(A735, 'ROMANEIO POR ITEM'!#REF!, 6, FALSE))</f>
        <v/>
      </c>
    </row>
    <row r="736" spans="1:6">
      <c r="A736" t="str">
        <f>IFERROR(_xlfn.SINGLE(INDEX('ROMANEIO POR ITEM'!#REF!, SMALL(IF(_xlfn.SINGLE('ROMANEIO POR ITEM'!#REF!)&lt;&gt;0,_xlfn.SINGLE( ROW('ROMANEIO POR ITEM'!#REF!))-ROW('ROMANEIO POR ITEM'!#REF!)+1), ROW(A735)))), "")</f>
        <v/>
      </c>
      <c r="B736" t="str">
        <f>IF(A736="", "", VLOOKUP(A736, 'ROMANEIO POR ITEM'!#REF!, 2, FALSE))</f>
        <v/>
      </c>
      <c r="C736" t="str">
        <f>IF(A736="", "", VLOOKUP(A736, 'ROMANEIO POR ITEM'!#REF!, 3, FALSE))</f>
        <v/>
      </c>
      <c r="D736" t="str">
        <f>IF(A736="", "", VLOOKUP(A736, 'ROMANEIO POR ITEM'!#REF!, 4, FALSE))</f>
        <v/>
      </c>
      <c r="E736" t="str">
        <f>IF(A736="", "", VLOOKUP(A736, 'ROMANEIO POR ITEM'!#REF!, 5, FALSE))</f>
        <v/>
      </c>
      <c r="F736" t="str">
        <f>IF(A736="", "", VLOOKUP(A736, 'ROMANEIO POR ITEM'!#REF!, 6, FALSE))</f>
        <v/>
      </c>
    </row>
    <row r="737" spans="1:6">
      <c r="A737" t="str">
        <f>IFERROR(_xlfn.SINGLE(INDEX('ROMANEIO POR ITEM'!#REF!, SMALL(IF(_xlfn.SINGLE('ROMANEIO POR ITEM'!#REF!)&lt;&gt;0,_xlfn.SINGLE( ROW('ROMANEIO POR ITEM'!#REF!))-ROW('ROMANEIO POR ITEM'!#REF!)+1), ROW(A736)))), "")</f>
        <v/>
      </c>
      <c r="B737" t="str">
        <f>IF(A737="", "", VLOOKUP(A737, 'ROMANEIO POR ITEM'!#REF!, 2, FALSE))</f>
        <v/>
      </c>
      <c r="C737" t="str">
        <f>IF(A737="", "", VLOOKUP(A737, 'ROMANEIO POR ITEM'!#REF!, 3, FALSE))</f>
        <v/>
      </c>
      <c r="D737" t="str">
        <f>IF(A737="", "", VLOOKUP(A737, 'ROMANEIO POR ITEM'!#REF!, 4, FALSE))</f>
        <v/>
      </c>
      <c r="E737" t="str">
        <f>IF(A737="", "", VLOOKUP(A737, 'ROMANEIO POR ITEM'!#REF!, 5, FALSE))</f>
        <v/>
      </c>
      <c r="F737" t="str">
        <f>IF(A737="", "", VLOOKUP(A737, 'ROMANEIO POR ITEM'!#REF!, 6, FALSE))</f>
        <v/>
      </c>
    </row>
    <row r="738" spans="1:6">
      <c r="A738" t="str">
        <f>IFERROR(_xlfn.SINGLE(INDEX('ROMANEIO POR ITEM'!#REF!, SMALL(IF(_xlfn.SINGLE('ROMANEIO POR ITEM'!#REF!)&lt;&gt;0,_xlfn.SINGLE( ROW('ROMANEIO POR ITEM'!#REF!))-ROW('ROMANEIO POR ITEM'!#REF!)+1), ROW(A737)))), "")</f>
        <v/>
      </c>
      <c r="B738" t="str">
        <f>IF(A738="", "", VLOOKUP(A738, 'ROMANEIO POR ITEM'!#REF!, 2, FALSE))</f>
        <v/>
      </c>
      <c r="C738" t="str">
        <f>IF(A738="", "", VLOOKUP(A738, 'ROMANEIO POR ITEM'!#REF!, 3, FALSE))</f>
        <v/>
      </c>
      <c r="D738" t="str">
        <f>IF(A738="", "", VLOOKUP(A738, 'ROMANEIO POR ITEM'!#REF!, 4, FALSE))</f>
        <v/>
      </c>
      <c r="E738" t="str">
        <f>IF(A738="", "", VLOOKUP(A738, 'ROMANEIO POR ITEM'!#REF!, 5, FALSE))</f>
        <v/>
      </c>
      <c r="F738" t="str">
        <f>IF(A738="", "", VLOOKUP(A738, 'ROMANEIO POR ITEM'!#REF!, 6, FALSE))</f>
        <v/>
      </c>
    </row>
    <row r="739" spans="1:6">
      <c r="A739" t="str">
        <f>IFERROR(_xlfn.SINGLE(INDEX('ROMANEIO POR ITEM'!#REF!, SMALL(IF(_xlfn.SINGLE('ROMANEIO POR ITEM'!#REF!)&lt;&gt;0,_xlfn.SINGLE( ROW('ROMANEIO POR ITEM'!#REF!))-ROW('ROMANEIO POR ITEM'!#REF!)+1), ROW(A738)))), "")</f>
        <v/>
      </c>
      <c r="B739" t="str">
        <f>IF(A739="", "", VLOOKUP(A739, 'ROMANEIO POR ITEM'!#REF!, 2, FALSE))</f>
        <v/>
      </c>
      <c r="C739" t="str">
        <f>IF(A739="", "", VLOOKUP(A739, 'ROMANEIO POR ITEM'!#REF!, 3, FALSE))</f>
        <v/>
      </c>
      <c r="D739" t="str">
        <f>IF(A739="", "", VLOOKUP(A739, 'ROMANEIO POR ITEM'!#REF!, 4, FALSE))</f>
        <v/>
      </c>
      <c r="E739" t="str">
        <f>IF(A739="", "", VLOOKUP(A739, 'ROMANEIO POR ITEM'!#REF!, 5, FALSE))</f>
        <v/>
      </c>
      <c r="F739" t="str">
        <f>IF(A739="", "", VLOOKUP(A739, 'ROMANEIO POR ITEM'!#REF!, 6, FALSE))</f>
        <v/>
      </c>
    </row>
    <row r="740" spans="1:6">
      <c r="A740" t="str">
        <f>IFERROR(_xlfn.SINGLE(INDEX('ROMANEIO POR ITEM'!#REF!, SMALL(IF(_xlfn.SINGLE('ROMANEIO POR ITEM'!#REF!)&lt;&gt;0,_xlfn.SINGLE( ROW('ROMANEIO POR ITEM'!#REF!))-ROW('ROMANEIO POR ITEM'!#REF!)+1), ROW(A739)))), "")</f>
        <v/>
      </c>
      <c r="B740" t="str">
        <f>IF(A740="", "", VLOOKUP(A740, 'ROMANEIO POR ITEM'!#REF!, 2, FALSE))</f>
        <v/>
      </c>
      <c r="C740" t="str">
        <f>IF(A740="", "", VLOOKUP(A740, 'ROMANEIO POR ITEM'!#REF!, 3, FALSE))</f>
        <v/>
      </c>
      <c r="D740" t="str">
        <f>IF(A740="", "", VLOOKUP(A740, 'ROMANEIO POR ITEM'!#REF!, 4, FALSE))</f>
        <v/>
      </c>
      <c r="E740" t="str">
        <f>IF(A740="", "", VLOOKUP(A740, 'ROMANEIO POR ITEM'!#REF!, 5, FALSE))</f>
        <v/>
      </c>
      <c r="F740" t="str">
        <f>IF(A740="", "", VLOOKUP(A740, 'ROMANEIO POR ITEM'!#REF!, 6, FALSE))</f>
        <v/>
      </c>
    </row>
    <row r="741" spans="1:6">
      <c r="A741" t="str">
        <f>IFERROR(_xlfn.SINGLE(INDEX('ROMANEIO POR ITEM'!#REF!, SMALL(IF(_xlfn.SINGLE('ROMANEIO POR ITEM'!#REF!)&lt;&gt;0,_xlfn.SINGLE( ROW('ROMANEIO POR ITEM'!#REF!))-ROW('ROMANEIO POR ITEM'!#REF!)+1), ROW(A740)))), "")</f>
        <v/>
      </c>
      <c r="B741" t="str">
        <f>IF(A741="", "", VLOOKUP(A741, 'ROMANEIO POR ITEM'!#REF!, 2, FALSE))</f>
        <v/>
      </c>
      <c r="C741" t="str">
        <f>IF(A741="", "", VLOOKUP(A741, 'ROMANEIO POR ITEM'!#REF!, 3, FALSE))</f>
        <v/>
      </c>
      <c r="D741" t="str">
        <f>IF(A741="", "", VLOOKUP(A741, 'ROMANEIO POR ITEM'!#REF!, 4, FALSE))</f>
        <v/>
      </c>
      <c r="E741" t="str">
        <f>IF(A741="", "", VLOOKUP(A741, 'ROMANEIO POR ITEM'!#REF!, 5, FALSE))</f>
        <v/>
      </c>
      <c r="F741" t="str">
        <f>IF(A741="", "", VLOOKUP(A741, 'ROMANEIO POR ITEM'!#REF!, 6, FALSE))</f>
        <v/>
      </c>
    </row>
    <row r="742" spans="1:6">
      <c r="A742" t="str">
        <f>IFERROR(_xlfn.SINGLE(INDEX('ROMANEIO POR ITEM'!#REF!, SMALL(IF(_xlfn.SINGLE('ROMANEIO POR ITEM'!#REF!)&lt;&gt;0,_xlfn.SINGLE( ROW('ROMANEIO POR ITEM'!#REF!))-ROW('ROMANEIO POR ITEM'!#REF!)+1), ROW(A741)))), "")</f>
        <v/>
      </c>
      <c r="B742" t="str">
        <f>IF(A742="", "", VLOOKUP(A742, 'ROMANEIO POR ITEM'!#REF!, 2, FALSE))</f>
        <v/>
      </c>
      <c r="C742" t="str">
        <f>IF(A742="", "", VLOOKUP(A742, 'ROMANEIO POR ITEM'!#REF!, 3, FALSE))</f>
        <v/>
      </c>
      <c r="D742" t="str">
        <f>IF(A742="", "", VLOOKUP(A742, 'ROMANEIO POR ITEM'!#REF!, 4, FALSE))</f>
        <v/>
      </c>
      <c r="E742" t="str">
        <f>IF(A742="", "", VLOOKUP(A742, 'ROMANEIO POR ITEM'!#REF!, 5, FALSE))</f>
        <v/>
      </c>
      <c r="F742" t="str">
        <f>IF(A742="", "", VLOOKUP(A742, 'ROMANEIO POR ITEM'!#REF!, 6, FALSE))</f>
        <v/>
      </c>
    </row>
    <row r="743" spans="1:6">
      <c r="A743" t="str">
        <f>IFERROR(_xlfn.SINGLE(INDEX('ROMANEIO POR ITEM'!#REF!, SMALL(IF(_xlfn.SINGLE('ROMANEIO POR ITEM'!#REF!)&lt;&gt;0,_xlfn.SINGLE( ROW('ROMANEIO POR ITEM'!#REF!))-ROW('ROMANEIO POR ITEM'!#REF!)+1), ROW(A742)))), "")</f>
        <v/>
      </c>
      <c r="B743" t="str">
        <f>IF(A743="", "", VLOOKUP(A743, 'ROMANEIO POR ITEM'!#REF!, 2, FALSE))</f>
        <v/>
      </c>
      <c r="C743" t="str">
        <f>IF(A743="", "", VLOOKUP(A743, 'ROMANEIO POR ITEM'!#REF!, 3, FALSE))</f>
        <v/>
      </c>
      <c r="D743" t="str">
        <f>IF(A743="", "", VLOOKUP(A743, 'ROMANEIO POR ITEM'!#REF!, 4, FALSE))</f>
        <v/>
      </c>
      <c r="E743" t="str">
        <f>IF(A743="", "", VLOOKUP(A743, 'ROMANEIO POR ITEM'!#REF!, 5, FALSE))</f>
        <v/>
      </c>
      <c r="F743" t="str">
        <f>IF(A743="", "", VLOOKUP(A743, 'ROMANEIO POR ITEM'!#REF!, 6, FALSE))</f>
        <v/>
      </c>
    </row>
    <row r="744" spans="1:6">
      <c r="A744" t="str">
        <f>IFERROR(_xlfn.SINGLE(INDEX('ROMANEIO POR ITEM'!#REF!, SMALL(IF(_xlfn.SINGLE('ROMANEIO POR ITEM'!#REF!)&lt;&gt;0,_xlfn.SINGLE( ROW('ROMANEIO POR ITEM'!#REF!))-ROW('ROMANEIO POR ITEM'!#REF!)+1), ROW(A743)))), "")</f>
        <v/>
      </c>
      <c r="B744" t="str">
        <f>IF(A744="", "", VLOOKUP(A744, 'ROMANEIO POR ITEM'!#REF!, 2, FALSE))</f>
        <v/>
      </c>
      <c r="C744" t="str">
        <f>IF(A744="", "", VLOOKUP(A744, 'ROMANEIO POR ITEM'!#REF!, 3, FALSE))</f>
        <v/>
      </c>
      <c r="D744" t="str">
        <f>IF(A744="", "", VLOOKUP(A744, 'ROMANEIO POR ITEM'!#REF!, 4, FALSE))</f>
        <v/>
      </c>
      <c r="E744" t="str">
        <f>IF(A744="", "", VLOOKUP(A744, 'ROMANEIO POR ITEM'!#REF!, 5, FALSE))</f>
        <v/>
      </c>
      <c r="F744" t="str">
        <f>IF(A744="", "", VLOOKUP(A744, 'ROMANEIO POR ITEM'!#REF!, 6, FALSE))</f>
        <v/>
      </c>
    </row>
    <row r="745" spans="1:6">
      <c r="A745" t="str">
        <f>IFERROR(_xlfn.SINGLE(INDEX('ROMANEIO POR ITEM'!#REF!, SMALL(IF(_xlfn.SINGLE('ROMANEIO POR ITEM'!#REF!)&lt;&gt;0,_xlfn.SINGLE( ROW('ROMANEIO POR ITEM'!#REF!))-ROW('ROMANEIO POR ITEM'!#REF!)+1), ROW(A744)))), "")</f>
        <v/>
      </c>
      <c r="B745" t="str">
        <f>IF(A745="", "", VLOOKUP(A745, 'ROMANEIO POR ITEM'!#REF!, 2, FALSE))</f>
        <v/>
      </c>
      <c r="C745" t="str">
        <f>IF(A745="", "", VLOOKUP(A745, 'ROMANEIO POR ITEM'!#REF!, 3, FALSE))</f>
        <v/>
      </c>
      <c r="D745" t="str">
        <f>IF(A745="", "", VLOOKUP(A745, 'ROMANEIO POR ITEM'!#REF!, 4, FALSE))</f>
        <v/>
      </c>
      <c r="E745" t="str">
        <f>IF(A745="", "", VLOOKUP(A745, 'ROMANEIO POR ITEM'!#REF!, 5, FALSE))</f>
        <v/>
      </c>
      <c r="F745" t="str">
        <f>IF(A745="", "", VLOOKUP(A745, 'ROMANEIO POR ITEM'!#REF!, 6, FALSE))</f>
        <v/>
      </c>
    </row>
    <row r="746" spans="1:6">
      <c r="A746" t="str">
        <f>IFERROR(_xlfn.SINGLE(INDEX('ROMANEIO POR ITEM'!#REF!, SMALL(IF(_xlfn.SINGLE('ROMANEIO POR ITEM'!#REF!)&lt;&gt;0,_xlfn.SINGLE( ROW('ROMANEIO POR ITEM'!#REF!))-ROW('ROMANEIO POR ITEM'!#REF!)+1), ROW(A745)))), "")</f>
        <v/>
      </c>
      <c r="B746" t="str">
        <f>IF(A746="", "", VLOOKUP(A746, 'ROMANEIO POR ITEM'!#REF!, 2, FALSE))</f>
        <v/>
      </c>
      <c r="C746" t="str">
        <f>IF(A746="", "", VLOOKUP(A746, 'ROMANEIO POR ITEM'!#REF!, 3, FALSE))</f>
        <v/>
      </c>
      <c r="D746" t="str">
        <f>IF(A746="", "", VLOOKUP(A746, 'ROMANEIO POR ITEM'!#REF!, 4, FALSE))</f>
        <v/>
      </c>
      <c r="E746" t="str">
        <f>IF(A746="", "", VLOOKUP(A746, 'ROMANEIO POR ITEM'!#REF!, 5, FALSE))</f>
        <v/>
      </c>
      <c r="F746" t="str">
        <f>IF(A746="", "", VLOOKUP(A746, 'ROMANEIO POR ITEM'!#REF!, 6, FALSE))</f>
        <v/>
      </c>
    </row>
    <row r="747" spans="1:6">
      <c r="A747" t="str">
        <f>IFERROR(_xlfn.SINGLE(INDEX('ROMANEIO POR ITEM'!#REF!, SMALL(IF(_xlfn.SINGLE('ROMANEIO POR ITEM'!#REF!)&lt;&gt;0,_xlfn.SINGLE( ROW('ROMANEIO POR ITEM'!#REF!))-ROW('ROMANEIO POR ITEM'!#REF!)+1), ROW(A746)))), "")</f>
        <v/>
      </c>
      <c r="B747" t="str">
        <f>IF(A747="", "", VLOOKUP(A747, 'ROMANEIO POR ITEM'!#REF!, 2, FALSE))</f>
        <v/>
      </c>
      <c r="C747" t="str">
        <f>IF(A747="", "", VLOOKUP(A747, 'ROMANEIO POR ITEM'!#REF!, 3, FALSE))</f>
        <v/>
      </c>
      <c r="D747" t="str">
        <f>IF(A747="", "", VLOOKUP(A747, 'ROMANEIO POR ITEM'!#REF!, 4, FALSE))</f>
        <v/>
      </c>
      <c r="E747" t="str">
        <f>IF(A747="", "", VLOOKUP(A747, 'ROMANEIO POR ITEM'!#REF!, 5, FALSE))</f>
        <v/>
      </c>
      <c r="F747" t="str">
        <f>IF(A747="", "", VLOOKUP(A747, 'ROMANEIO POR ITEM'!#REF!, 6, FALSE))</f>
        <v/>
      </c>
    </row>
    <row r="748" spans="1:6">
      <c r="A748" t="str">
        <f>IFERROR(_xlfn.SINGLE(INDEX('ROMANEIO POR ITEM'!#REF!, SMALL(IF(_xlfn.SINGLE('ROMANEIO POR ITEM'!#REF!)&lt;&gt;0,_xlfn.SINGLE( ROW('ROMANEIO POR ITEM'!#REF!))-ROW('ROMANEIO POR ITEM'!#REF!)+1), ROW(A747)))), "")</f>
        <v/>
      </c>
      <c r="B748" t="str">
        <f>IF(A748="", "", VLOOKUP(A748, 'ROMANEIO POR ITEM'!#REF!, 2, FALSE))</f>
        <v/>
      </c>
      <c r="C748" t="str">
        <f>IF(A748="", "", VLOOKUP(A748, 'ROMANEIO POR ITEM'!#REF!, 3, FALSE))</f>
        <v/>
      </c>
      <c r="D748" t="str">
        <f>IF(A748="", "", VLOOKUP(A748, 'ROMANEIO POR ITEM'!#REF!, 4, FALSE))</f>
        <v/>
      </c>
      <c r="E748" t="str">
        <f>IF(A748="", "", VLOOKUP(A748, 'ROMANEIO POR ITEM'!#REF!, 5, FALSE))</f>
        <v/>
      </c>
      <c r="F748" t="str">
        <f>IF(A748="", "", VLOOKUP(A748, 'ROMANEIO POR ITEM'!#REF!, 6, FALSE))</f>
        <v/>
      </c>
    </row>
    <row r="749" spans="1:6">
      <c r="A749" t="str">
        <f>IFERROR(_xlfn.SINGLE(INDEX('ROMANEIO POR ITEM'!#REF!, SMALL(IF(_xlfn.SINGLE('ROMANEIO POR ITEM'!#REF!)&lt;&gt;0,_xlfn.SINGLE( ROW('ROMANEIO POR ITEM'!#REF!))-ROW('ROMANEIO POR ITEM'!#REF!)+1), ROW(A748)))), "")</f>
        <v/>
      </c>
      <c r="B749" t="str">
        <f>IF(A749="", "", VLOOKUP(A749, 'ROMANEIO POR ITEM'!#REF!, 2, FALSE))</f>
        <v/>
      </c>
      <c r="C749" t="str">
        <f>IF(A749="", "", VLOOKUP(A749, 'ROMANEIO POR ITEM'!#REF!, 3, FALSE))</f>
        <v/>
      </c>
      <c r="D749" t="str">
        <f>IF(A749="", "", VLOOKUP(A749, 'ROMANEIO POR ITEM'!#REF!, 4, FALSE))</f>
        <v/>
      </c>
      <c r="E749" t="str">
        <f>IF(A749="", "", VLOOKUP(A749, 'ROMANEIO POR ITEM'!#REF!, 5, FALSE))</f>
        <v/>
      </c>
      <c r="F749" t="str">
        <f>IF(A749="", "", VLOOKUP(A749, 'ROMANEIO POR ITEM'!#REF!, 6, FALSE))</f>
        <v/>
      </c>
    </row>
    <row r="750" spans="1:6">
      <c r="A750" t="str">
        <f>IFERROR(_xlfn.SINGLE(INDEX('ROMANEIO POR ITEM'!#REF!, SMALL(IF(_xlfn.SINGLE('ROMANEIO POR ITEM'!#REF!)&lt;&gt;0,_xlfn.SINGLE( ROW('ROMANEIO POR ITEM'!#REF!))-ROW('ROMANEIO POR ITEM'!#REF!)+1), ROW(A749)))), "")</f>
        <v/>
      </c>
      <c r="B750" t="str">
        <f>IF(A750="", "", VLOOKUP(A750, 'ROMANEIO POR ITEM'!#REF!, 2, FALSE))</f>
        <v/>
      </c>
      <c r="C750" t="str">
        <f>IF(A750="", "", VLOOKUP(A750, 'ROMANEIO POR ITEM'!#REF!, 3, FALSE))</f>
        <v/>
      </c>
      <c r="D750" t="str">
        <f>IF(A750="", "", VLOOKUP(A750, 'ROMANEIO POR ITEM'!#REF!, 4, FALSE))</f>
        <v/>
      </c>
      <c r="E750" t="str">
        <f>IF(A750="", "", VLOOKUP(A750, 'ROMANEIO POR ITEM'!#REF!, 5, FALSE))</f>
        <v/>
      </c>
      <c r="F750" t="str">
        <f>IF(A750="", "", VLOOKUP(A750, 'ROMANEIO POR ITEM'!#REF!, 6, FALSE))</f>
        <v/>
      </c>
    </row>
    <row r="751" spans="1:6">
      <c r="A751" t="str">
        <f>IFERROR(_xlfn.SINGLE(INDEX('ROMANEIO POR ITEM'!#REF!, SMALL(IF(_xlfn.SINGLE('ROMANEIO POR ITEM'!#REF!)&lt;&gt;0,_xlfn.SINGLE( ROW('ROMANEIO POR ITEM'!#REF!))-ROW('ROMANEIO POR ITEM'!#REF!)+1), ROW(A750)))), "")</f>
        <v/>
      </c>
      <c r="B751" t="str">
        <f>IF(A751="", "", VLOOKUP(A751, 'ROMANEIO POR ITEM'!#REF!, 2, FALSE))</f>
        <v/>
      </c>
      <c r="C751" t="str">
        <f>IF(A751="", "", VLOOKUP(A751, 'ROMANEIO POR ITEM'!#REF!, 3, FALSE))</f>
        <v/>
      </c>
      <c r="D751" t="str">
        <f>IF(A751="", "", VLOOKUP(A751, 'ROMANEIO POR ITEM'!#REF!, 4, FALSE))</f>
        <v/>
      </c>
      <c r="E751" t="str">
        <f>IF(A751="", "", VLOOKUP(A751, 'ROMANEIO POR ITEM'!#REF!, 5, FALSE))</f>
        <v/>
      </c>
      <c r="F751" t="str">
        <f>IF(A751="", "", VLOOKUP(A751, 'ROMANEIO POR ITEM'!#REF!, 6, FALSE))</f>
        <v/>
      </c>
    </row>
    <row r="752" spans="1:6">
      <c r="A752" t="str">
        <f>IFERROR(_xlfn.SINGLE(INDEX('ROMANEIO POR ITEM'!#REF!, SMALL(IF(_xlfn.SINGLE('ROMANEIO POR ITEM'!#REF!)&lt;&gt;0,_xlfn.SINGLE( ROW('ROMANEIO POR ITEM'!#REF!))-ROW('ROMANEIO POR ITEM'!#REF!)+1), ROW(A751)))), "")</f>
        <v/>
      </c>
      <c r="B752" t="str">
        <f>IF(A752="", "", VLOOKUP(A752, 'ROMANEIO POR ITEM'!#REF!, 2, FALSE))</f>
        <v/>
      </c>
      <c r="C752" t="str">
        <f>IF(A752="", "", VLOOKUP(A752, 'ROMANEIO POR ITEM'!#REF!, 3, FALSE))</f>
        <v/>
      </c>
      <c r="D752" t="str">
        <f>IF(A752="", "", VLOOKUP(A752, 'ROMANEIO POR ITEM'!#REF!, 4, FALSE))</f>
        <v/>
      </c>
      <c r="E752" t="str">
        <f>IF(A752="", "", VLOOKUP(A752, 'ROMANEIO POR ITEM'!#REF!, 5, FALSE))</f>
        <v/>
      </c>
      <c r="F752" t="str">
        <f>IF(A752="", "", VLOOKUP(A752, 'ROMANEIO POR ITEM'!#REF!, 6, FALSE))</f>
        <v/>
      </c>
    </row>
    <row r="753" spans="1:6">
      <c r="A753" t="str">
        <f>IFERROR(_xlfn.SINGLE(INDEX('ROMANEIO POR ITEM'!#REF!, SMALL(IF(_xlfn.SINGLE('ROMANEIO POR ITEM'!#REF!)&lt;&gt;0,_xlfn.SINGLE( ROW('ROMANEIO POR ITEM'!#REF!))-ROW('ROMANEIO POR ITEM'!#REF!)+1), ROW(A752)))), "")</f>
        <v/>
      </c>
      <c r="B753" t="str">
        <f>IF(A753="", "", VLOOKUP(A753, 'ROMANEIO POR ITEM'!#REF!, 2, FALSE))</f>
        <v/>
      </c>
      <c r="C753" t="str">
        <f>IF(A753="", "", VLOOKUP(A753, 'ROMANEIO POR ITEM'!#REF!, 3, FALSE))</f>
        <v/>
      </c>
      <c r="D753" t="str">
        <f>IF(A753="", "", VLOOKUP(A753, 'ROMANEIO POR ITEM'!#REF!, 4, FALSE))</f>
        <v/>
      </c>
      <c r="E753" t="str">
        <f>IF(A753="", "", VLOOKUP(A753, 'ROMANEIO POR ITEM'!#REF!, 5, FALSE))</f>
        <v/>
      </c>
      <c r="F753" t="str">
        <f>IF(A753="", "", VLOOKUP(A753, 'ROMANEIO POR ITEM'!#REF!, 6, FALSE))</f>
        <v/>
      </c>
    </row>
    <row r="754" spans="1:6">
      <c r="A754" t="str">
        <f>IFERROR(_xlfn.SINGLE(INDEX('ROMANEIO POR ITEM'!#REF!, SMALL(IF(_xlfn.SINGLE('ROMANEIO POR ITEM'!#REF!)&lt;&gt;0,_xlfn.SINGLE( ROW('ROMANEIO POR ITEM'!#REF!))-ROW('ROMANEIO POR ITEM'!#REF!)+1), ROW(A753)))), "")</f>
        <v/>
      </c>
      <c r="B754" t="str">
        <f>IF(A754="", "", VLOOKUP(A754, 'ROMANEIO POR ITEM'!#REF!, 2, FALSE))</f>
        <v/>
      </c>
      <c r="C754" t="str">
        <f>IF(A754="", "", VLOOKUP(A754, 'ROMANEIO POR ITEM'!#REF!, 3, FALSE))</f>
        <v/>
      </c>
      <c r="D754" t="str">
        <f>IF(A754="", "", VLOOKUP(A754, 'ROMANEIO POR ITEM'!#REF!, 4, FALSE))</f>
        <v/>
      </c>
      <c r="E754" t="str">
        <f>IF(A754="", "", VLOOKUP(A754, 'ROMANEIO POR ITEM'!#REF!, 5, FALSE))</f>
        <v/>
      </c>
      <c r="F754" t="str">
        <f>IF(A754="", "", VLOOKUP(A754, 'ROMANEIO POR ITEM'!#REF!, 6, FALSE))</f>
        <v/>
      </c>
    </row>
    <row r="755" spans="1:6">
      <c r="A755" t="str">
        <f>IFERROR(_xlfn.SINGLE(INDEX('ROMANEIO POR ITEM'!#REF!, SMALL(IF(_xlfn.SINGLE('ROMANEIO POR ITEM'!#REF!)&lt;&gt;0,_xlfn.SINGLE( ROW('ROMANEIO POR ITEM'!#REF!))-ROW('ROMANEIO POR ITEM'!#REF!)+1), ROW(A754)))), "")</f>
        <v/>
      </c>
      <c r="B755" t="str">
        <f>IF(A755="", "", VLOOKUP(A755, 'ROMANEIO POR ITEM'!#REF!, 2, FALSE))</f>
        <v/>
      </c>
      <c r="C755" t="str">
        <f>IF(A755="", "", VLOOKUP(A755, 'ROMANEIO POR ITEM'!#REF!, 3, FALSE))</f>
        <v/>
      </c>
      <c r="D755" t="str">
        <f>IF(A755="", "", VLOOKUP(A755, 'ROMANEIO POR ITEM'!#REF!, 4, FALSE))</f>
        <v/>
      </c>
      <c r="E755" t="str">
        <f>IF(A755="", "", VLOOKUP(A755, 'ROMANEIO POR ITEM'!#REF!, 5, FALSE))</f>
        <v/>
      </c>
      <c r="F755" t="str">
        <f>IF(A755="", "", VLOOKUP(A755, 'ROMANEIO POR ITEM'!#REF!, 6, FALSE))</f>
        <v/>
      </c>
    </row>
    <row r="756" spans="1:6">
      <c r="A756" t="str">
        <f>IFERROR(_xlfn.SINGLE(INDEX('ROMANEIO POR ITEM'!#REF!, SMALL(IF(_xlfn.SINGLE('ROMANEIO POR ITEM'!#REF!)&lt;&gt;0,_xlfn.SINGLE( ROW('ROMANEIO POR ITEM'!#REF!))-ROW('ROMANEIO POR ITEM'!#REF!)+1), ROW(A755)))), "")</f>
        <v/>
      </c>
      <c r="B756" t="str">
        <f>IF(A756="", "", VLOOKUP(A756, 'ROMANEIO POR ITEM'!#REF!, 2, FALSE))</f>
        <v/>
      </c>
      <c r="C756" t="str">
        <f>IF(A756="", "", VLOOKUP(A756, 'ROMANEIO POR ITEM'!#REF!, 3, FALSE))</f>
        <v/>
      </c>
      <c r="D756" t="str">
        <f>IF(A756="", "", VLOOKUP(A756, 'ROMANEIO POR ITEM'!#REF!, 4, FALSE))</f>
        <v/>
      </c>
      <c r="E756" t="str">
        <f>IF(A756="", "", VLOOKUP(A756, 'ROMANEIO POR ITEM'!#REF!, 5, FALSE))</f>
        <v/>
      </c>
      <c r="F756" t="str">
        <f>IF(A756="", "", VLOOKUP(A756, 'ROMANEIO POR ITEM'!#REF!, 6, FALSE))</f>
        <v/>
      </c>
    </row>
    <row r="757" spans="1:6">
      <c r="A757" t="str">
        <f>IFERROR(_xlfn.SINGLE(INDEX('ROMANEIO POR ITEM'!#REF!, SMALL(IF(_xlfn.SINGLE('ROMANEIO POR ITEM'!#REF!)&lt;&gt;0,_xlfn.SINGLE( ROW('ROMANEIO POR ITEM'!#REF!))-ROW('ROMANEIO POR ITEM'!#REF!)+1), ROW(A756)))), "")</f>
        <v/>
      </c>
      <c r="B757" t="str">
        <f>IF(A757="", "", VLOOKUP(A757, 'ROMANEIO POR ITEM'!#REF!, 2, FALSE))</f>
        <v/>
      </c>
      <c r="C757" t="str">
        <f>IF(A757="", "", VLOOKUP(A757, 'ROMANEIO POR ITEM'!#REF!, 3, FALSE))</f>
        <v/>
      </c>
      <c r="D757" t="str">
        <f>IF(A757="", "", VLOOKUP(A757, 'ROMANEIO POR ITEM'!#REF!, 4, FALSE))</f>
        <v/>
      </c>
      <c r="E757" t="str">
        <f>IF(A757="", "", VLOOKUP(A757, 'ROMANEIO POR ITEM'!#REF!, 5, FALSE))</f>
        <v/>
      </c>
      <c r="F757" t="str">
        <f>IF(A757="", "", VLOOKUP(A757, 'ROMANEIO POR ITEM'!#REF!, 6, FALSE))</f>
        <v/>
      </c>
    </row>
    <row r="758" spans="1:6">
      <c r="A758" t="str">
        <f>IFERROR(_xlfn.SINGLE(INDEX('ROMANEIO POR ITEM'!#REF!, SMALL(IF(_xlfn.SINGLE('ROMANEIO POR ITEM'!#REF!)&lt;&gt;0,_xlfn.SINGLE( ROW('ROMANEIO POR ITEM'!#REF!))-ROW('ROMANEIO POR ITEM'!#REF!)+1), ROW(A757)))), "")</f>
        <v/>
      </c>
      <c r="B758" t="str">
        <f>IF(A758="", "", VLOOKUP(A758, 'ROMANEIO POR ITEM'!#REF!, 2, FALSE))</f>
        <v/>
      </c>
      <c r="C758" t="str">
        <f>IF(A758="", "", VLOOKUP(A758, 'ROMANEIO POR ITEM'!#REF!, 3, FALSE))</f>
        <v/>
      </c>
      <c r="D758" t="str">
        <f>IF(A758="", "", VLOOKUP(A758, 'ROMANEIO POR ITEM'!#REF!, 4, FALSE))</f>
        <v/>
      </c>
      <c r="E758" t="str">
        <f>IF(A758="", "", VLOOKUP(A758, 'ROMANEIO POR ITEM'!#REF!, 5, FALSE))</f>
        <v/>
      </c>
      <c r="F758" t="str">
        <f>IF(A758="", "", VLOOKUP(A758, 'ROMANEIO POR ITEM'!#REF!, 6, FALSE))</f>
        <v/>
      </c>
    </row>
    <row r="759" spans="1:6">
      <c r="A759" t="str">
        <f>IFERROR(_xlfn.SINGLE(INDEX('ROMANEIO POR ITEM'!#REF!, SMALL(IF(_xlfn.SINGLE('ROMANEIO POR ITEM'!#REF!)&lt;&gt;0,_xlfn.SINGLE( ROW('ROMANEIO POR ITEM'!#REF!))-ROW('ROMANEIO POR ITEM'!#REF!)+1), ROW(A758)))), "")</f>
        <v/>
      </c>
      <c r="B759" t="str">
        <f>IF(A759="", "", VLOOKUP(A759, 'ROMANEIO POR ITEM'!#REF!, 2, FALSE))</f>
        <v/>
      </c>
      <c r="C759" t="str">
        <f>IF(A759="", "", VLOOKUP(A759, 'ROMANEIO POR ITEM'!#REF!, 3, FALSE))</f>
        <v/>
      </c>
      <c r="D759" t="str">
        <f>IF(A759="", "", VLOOKUP(A759, 'ROMANEIO POR ITEM'!#REF!, 4, FALSE))</f>
        <v/>
      </c>
      <c r="E759" t="str">
        <f>IF(A759="", "", VLOOKUP(A759, 'ROMANEIO POR ITEM'!#REF!, 5, FALSE))</f>
        <v/>
      </c>
      <c r="F759" t="str">
        <f>IF(A759="", "", VLOOKUP(A759, 'ROMANEIO POR ITEM'!#REF!, 6, FALSE))</f>
        <v/>
      </c>
    </row>
    <row r="760" spans="1:6">
      <c r="A760" t="str">
        <f>IFERROR(_xlfn.SINGLE(INDEX('ROMANEIO POR ITEM'!#REF!, SMALL(IF(_xlfn.SINGLE('ROMANEIO POR ITEM'!#REF!)&lt;&gt;0,_xlfn.SINGLE( ROW('ROMANEIO POR ITEM'!#REF!))-ROW('ROMANEIO POR ITEM'!#REF!)+1), ROW(A759)))), "")</f>
        <v/>
      </c>
      <c r="B760" t="str">
        <f>IF(A760="", "", VLOOKUP(A760, 'ROMANEIO POR ITEM'!#REF!, 2, FALSE))</f>
        <v/>
      </c>
      <c r="C760" t="str">
        <f>IF(A760="", "", VLOOKUP(A760, 'ROMANEIO POR ITEM'!#REF!, 3, FALSE))</f>
        <v/>
      </c>
      <c r="D760" t="str">
        <f>IF(A760="", "", VLOOKUP(A760, 'ROMANEIO POR ITEM'!#REF!, 4, FALSE))</f>
        <v/>
      </c>
      <c r="E760" t="str">
        <f>IF(A760="", "", VLOOKUP(A760, 'ROMANEIO POR ITEM'!#REF!, 5, FALSE))</f>
        <v/>
      </c>
      <c r="F760" t="str">
        <f>IF(A760="", "", VLOOKUP(A760, 'ROMANEIO POR ITEM'!#REF!, 6, FALSE))</f>
        <v/>
      </c>
    </row>
    <row r="761" spans="1:6">
      <c r="A761" t="str">
        <f>IFERROR(_xlfn.SINGLE(INDEX('ROMANEIO POR ITEM'!#REF!, SMALL(IF(_xlfn.SINGLE('ROMANEIO POR ITEM'!#REF!)&lt;&gt;0,_xlfn.SINGLE( ROW('ROMANEIO POR ITEM'!#REF!))-ROW('ROMANEIO POR ITEM'!#REF!)+1), ROW(A760)))), "")</f>
        <v/>
      </c>
      <c r="B761" t="str">
        <f>IF(A761="", "", VLOOKUP(A761, 'ROMANEIO POR ITEM'!#REF!, 2, FALSE))</f>
        <v/>
      </c>
      <c r="C761" t="str">
        <f>IF(A761="", "", VLOOKUP(A761, 'ROMANEIO POR ITEM'!#REF!, 3, FALSE))</f>
        <v/>
      </c>
      <c r="D761" t="str">
        <f>IF(A761="", "", VLOOKUP(A761, 'ROMANEIO POR ITEM'!#REF!, 4, FALSE))</f>
        <v/>
      </c>
      <c r="E761" t="str">
        <f>IF(A761="", "", VLOOKUP(A761, 'ROMANEIO POR ITEM'!#REF!, 5, FALSE))</f>
        <v/>
      </c>
      <c r="F761" t="str">
        <f>IF(A761="", "", VLOOKUP(A761, 'ROMANEIO POR ITEM'!#REF!, 6, FALSE))</f>
        <v/>
      </c>
    </row>
    <row r="762" spans="1:6">
      <c r="A762" t="str">
        <f>IFERROR(_xlfn.SINGLE(INDEX('ROMANEIO POR ITEM'!#REF!, SMALL(IF(_xlfn.SINGLE('ROMANEIO POR ITEM'!#REF!)&lt;&gt;0,_xlfn.SINGLE( ROW('ROMANEIO POR ITEM'!#REF!))-ROW('ROMANEIO POR ITEM'!#REF!)+1), ROW(A761)))), "")</f>
        <v/>
      </c>
      <c r="B762" t="str">
        <f>IF(A762="", "", VLOOKUP(A762, 'ROMANEIO POR ITEM'!#REF!, 2, FALSE))</f>
        <v/>
      </c>
      <c r="C762" t="str">
        <f>IF(A762="", "", VLOOKUP(A762, 'ROMANEIO POR ITEM'!#REF!, 3, FALSE))</f>
        <v/>
      </c>
      <c r="D762" t="str">
        <f>IF(A762="", "", VLOOKUP(A762, 'ROMANEIO POR ITEM'!#REF!, 4, FALSE))</f>
        <v/>
      </c>
      <c r="E762" t="str">
        <f>IF(A762="", "", VLOOKUP(A762, 'ROMANEIO POR ITEM'!#REF!, 5, FALSE))</f>
        <v/>
      </c>
      <c r="F762" t="str">
        <f>IF(A762="", "", VLOOKUP(A762, 'ROMANEIO POR ITEM'!#REF!, 6, FALSE))</f>
        <v/>
      </c>
    </row>
    <row r="763" spans="1:6">
      <c r="A763" t="str">
        <f>IFERROR(_xlfn.SINGLE(INDEX('ROMANEIO POR ITEM'!#REF!, SMALL(IF(_xlfn.SINGLE('ROMANEIO POR ITEM'!#REF!)&lt;&gt;0,_xlfn.SINGLE( ROW('ROMANEIO POR ITEM'!#REF!))-ROW('ROMANEIO POR ITEM'!#REF!)+1), ROW(A762)))), "")</f>
        <v/>
      </c>
      <c r="B763" t="str">
        <f>IF(A763="", "", VLOOKUP(A763, 'ROMANEIO POR ITEM'!#REF!, 2, FALSE))</f>
        <v/>
      </c>
      <c r="C763" t="str">
        <f>IF(A763="", "", VLOOKUP(A763, 'ROMANEIO POR ITEM'!#REF!, 3, FALSE))</f>
        <v/>
      </c>
      <c r="D763" t="str">
        <f>IF(A763="", "", VLOOKUP(A763, 'ROMANEIO POR ITEM'!#REF!, 4, FALSE))</f>
        <v/>
      </c>
      <c r="E763" t="str">
        <f>IF(A763="", "", VLOOKUP(A763, 'ROMANEIO POR ITEM'!#REF!, 5, FALSE))</f>
        <v/>
      </c>
      <c r="F763" t="str">
        <f>IF(A763="", "", VLOOKUP(A763, 'ROMANEIO POR ITEM'!#REF!, 6, FALSE))</f>
        <v/>
      </c>
    </row>
    <row r="764" spans="1:6">
      <c r="A764" t="str">
        <f>IFERROR(_xlfn.SINGLE(INDEX('ROMANEIO POR ITEM'!#REF!, SMALL(IF(_xlfn.SINGLE('ROMANEIO POR ITEM'!#REF!)&lt;&gt;0,_xlfn.SINGLE( ROW('ROMANEIO POR ITEM'!#REF!))-ROW('ROMANEIO POR ITEM'!#REF!)+1), ROW(A763)))), "")</f>
        <v/>
      </c>
      <c r="B764" t="str">
        <f>IF(A764="", "", VLOOKUP(A764, 'ROMANEIO POR ITEM'!#REF!, 2, FALSE))</f>
        <v/>
      </c>
      <c r="C764" t="str">
        <f>IF(A764="", "", VLOOKUP(A764, 'ROMANEIO POR ITEM'!#REF!, 3, FALSE))</f>
        <v/>
      </c>
      <c r="D764" t="str">
        <f>IF(A764="", "", VLOOKUP(A764, 'ROMANEIO POR ITEM'!#REF!, 4, FALSE))</f>
        <v/>
      </c>
      <c r="E764" t="str">
        <f>IF(A764="", "", VLOOKUP(A764, 'ROMANEIO POR ITEM'!#REF!, 5, FALSE))</f>
        <v/>
      </c>
      <c r="F764" t="str">
        <f>IF(A764="", "", VLOOKUP(A764, 'ROMANEIO POR ITEM'!#REF!, 6, FALSE))</f>
        <v/>
      </c>
    </row>
    <row r="765" spans="1:6">
      <c r="A765" t="str">
        <f>IFERROR(_xlfn.SINGLE(INDEX('ROMANEIO POR ITEM'!#REF!, SMALL(IF(_xlfn.SINGLE('ROMANEIO POR ITEM'!#REF!)&lt;&gt;0,_xlfn.SINGLE( ROW('ROMANEIO POR ITEM'!#REF!))-ROW('ROMANEIO POR ITEM'!#REF!)+1), ROW(A764)))), "")</f>
        <v/>
      </c>
      <c r="B765" t="str">
        <f>IF(A765="", "", VLOOKUP(A765, 'ROMANEIO POR ITEM'!#REF!, 2, FALSE))</f>
        <v/>
      </c>
      <c r="C765" t="str">
        <f>IF(A765="", "", VLOOKUP(A765, 'ROMANEIO POR ITEM'!#REF!, 3, FALSE))</f>
        <v/>
      </c>
      <c r="D765" t="str">
        <f>IF(A765="", "", VLOOKUP(A765, 'ROMANEIO POR ITEM'!#REF!, 4, FALSE))</f>
        <v/>
      </c>
      <c r="E765" t="str">
        <f>IF(A765="", "", VLOOKUP(A765, 'ROMANEIO POR ITEM'!#REF!, 5, FALSE))</f>
        <v/>
      </c>
      <c r="F765" t="str">
        <f>IF(A765="", "", VLOOKUP(A765, 'ROMANEIO POR ITEM'!#REF!, 6, FALSE))</f>
        <v/>
      </c>
    </row>
    <row r="766" spans="1:6">
      <c r="A766" t="str">
        <f>IFERROR(_xlfn.SINGLE(INDEX('ROMANEIO POR ITEM'!#REF!, SMALL(IF(_xlfn.SINGLE('ROMANEIO POR ITEM'!#REF!)&lt;&gt;0,_xlfn.SINGLE( ROW('ROMANEIO POR ITEM'!#REF!))-ROW('ROMANEIO POR ITEM'!#REF!)+1), ROW(A765)))), "")</f>
        <v/>
      </c>
      <c r="B766" t="str">
        <f>IF(A766="", "", VLOOKUP(A766, 'ROMANEIO POR ITEM'!#REF!, 2, FALSE))</f>
        <v/>
      </c>
      <c r="C766" t="str">
        <f>IF(A766="", "", VLOOKUP(A766, 'ROMANEIO POR ITEM'!#REF!, 3, FALSE))</f>
        <v/>
      </c>
      <c r="D766" t="str">
        <f>IF(A766="", "", VLOOKUP(A766, 'ROMANEIO POR ITEM'!#REF!, 4, FALSE))</f>
        <v/>
      </c>
      <c r="E766" t="str">
        <f>IF(A766="", "", VLOOKUP(A766, 'ROMANEIO POR ITEM'!#REF!, 5, FALSE))</f>
        <v/>
      </c>
      <c r="F766" t="str">
        <f>IF(A766="", "", VLOOKUP(A766, 'ROMANEIO POR ITEM'!#REF!, 6, FALSE))</f>
        <v/>
      </c>
    </row>
    <row r="767" spans="1:6">
      <c r="A767" t="str">
        <f>IFERROR(_xlfn.SINGLE(INDEX('ROMANEIO POR ITEM'!#REF!, SMALL(IF(_xlfn.SINGLE('ROMANEIO POR ITEM'!#REF!)&lt;&gt;0,_xlfn.SINGLE( ROW('ROMANEIO POR ITEM'!#REF!))-ROW('ROMANEIO POR ITEM'!#REF!)+1), ROW(A766)))), "")</f>
        <v/>
      </c>
      <c r="B767" t="str">
        <f>IF(A767="", "", VLOOKUP(A767, 'ROMANEIO POR ITEM'!#REF!, 2, FALSE))</f>
        <v/>
      </c>
      <c r="C767" t="str">
        <f>IF(A767="", "", VLOOKUP(A767, 'ROMANEIO POR ITEM'!#REF!, 3, FALSE))</f>
        <v/>
      </c>
      <c r="D767" t="str">
        <f>IF(A767="", "", VLOOKUP(A767, 'ROMANEIO POR ITEM'!#REF!, 4, FALSE))</f>
        <v/>
      </c>
      <c r="E767" t="str">
        <f>IF(A767="", "", VLOOKUP(A767, 'ROMANEIO POR ITEM'!#REF!, 5, FALSE))</f>
        <v/>
      </c>
      <c r="F767" t="str">
        <f>IF(A767="", "", VLOOKUP(A767, 'ROMANEIO POR ITEM'!#REF!, 6, FALSE))</f>
        <v/>
      </c>
    </row>
    <row r="768" spans="1:6">
      <c r="A768" t="str">
        <f>IFERROR(_xlfn.SINGLE(INDEX('ROMANEIO POR ITEM'!#REF!, SMALL(IF(_xlfn.SINGLE('ROMANEIO POR ITEM'!#REF!)&lt;&gt;0,_xlfn.SINGLE( ROW('ROMANEIO POR ITEM'!#REF!))-ROW('ROMANEIO POR ITEM'!#REF!)+1), ROW(A767)))), "")</f>
        <v/>
      </c>
      <c r="B768" t="str">
        <f>IF(A768="", "", VLOOKUP(A768, 'ROMANEIO POR ITEM'!#REF!, 2, FALSE))</f>
        <v/>
      </c>
      <c r="C768" t="str">
        <f>IF(A768="", "", VLOOKUP(A768, 'ROMANEIO POR ITEM'!#REF!, 3, FALSE))</f>
        <v/>
      </c>
      <c r="D768" t="str">
        <f>IF(A768="", "", VLOOKUP(A768, 'ROMANEIO POR ITEM'!#REF!, 4, FALSE))</f>
        <v/>
      </c>
      <c r="E768" t="str">
        <f>IF(A768="", "", VLOOKUP(A768, 'ROMANEIO POR ITEM'!#REF!, 5, FALSE))</f>
        <v/>
      </c>
      <c r="F768" t="str">
        <f>IF(A768="", "", VLOOKUP(A768, 'ROMANEIO POR ITEM'!#REF!, 6, FALSE))</f>
        <v/>
      </c>
    </row>
    <row r="769" spans="1:6">
      <c r="A769" t="str">
        <f>IFERROR(_xlfn.SINGLE(INDEX('ROMANEIO POR ITEM'!#REF!, SMALL(IF(_xlfn.SINGLE('ROMANEIO POR ITEM'!#REF!)&lt;&gt;0,_xlfn.SINGLE( ROW('ROMANEIO POR ITEM'!#REF!))-ROW('ROMANEIO POR ITEM'!#REF!)+1), ROW(A768)))), "")</f>
        <v/>
      </c>
      <c r="B769" t="str">
        <f>IF(A769="", "", VLOOKUP(A769, 'ROMANEIO POR ITEM'!#REF!, 2, FALSE))</f>
        <v/>
      </c>
      <c r="C769" t="str">
        <f>IF(A769="", "", VLOOKUP(A769, 'ROMANEIO POR ITEM'!#REF!, 3, FALSE))</f>
        <v/>
      </c>
      <c r="D769" t="str">
        <f>IF(A769="", "", VLOOKUP(A769, 'ROMANEIO POR ITEM'!#REF!, 4, FALSE))</f>
        <v/>
      </c>
      <c r="E769" t="str">
        <f>IF(A769="", "", VLOOKUP(A769, 'ROMANEIO POR ITEM'!#REF!, 5, FALSE))</f>
        <v/>
      </c>
      <c r="F769" t="str">
        <f>IF(A769="", "", VLOOKUP(A769, 'ROMANEIO POR ITEM'!#REF!, 6, FALSE))</f>
        <v/>
      </c>
    </row>
    <row r="770" spans="1:6">
      <c r="A770" t="str">
        <f>IFERROR(_xlfn.SINGLE(INDEX('ROMANEIO POR ITEM'!#REF!, SMALL(IF(_xlfn.SINGLE('ROMANEIO POR ITEM'!#REF!)&lt;&gt;0,_xlfn.SINGLE( ROW('ROMANEIO POR ITEM'!#REF!))-ROW('ROMANEIO POR ITEM'!#REF!)+1), ROW(A769)))), "")</f>
        <v/>
      </c>
      <c r="B770" t="str">
        <f>IF(A770="", "", VLOOKUP(A770, 'ROMANEIO POR ITEM'!#REF!, 2, FALSE))</f>
        <v/>
      </c>
      <c r="C770" t="str">
        <f>IF(A770="", "", VLOOKUP(A770, 'ROMANEIO POR ITEM'!#REF!, 3, FALSE))</f>
        <v/>
      </c>
      <c r="D770" t="str">
        <f>IF(A770="", "", VLOOKUP(A770, 'ROMANEIO POR ITEM'!#REF!, 4, FALSE))</f>
        <v/>
      </c>
      <c r="E770" t="str">
        <f>IF(A770="", "", VLOOKUP(A770, 'ROMANEIO POR ITEM'!#REF!, 5, FALSE))</f>
        <v/>
      </c>
      <c r="F770" t="str">
        <f>IF(A770="", "", VLOOKUP(A770, 'ROMANEIO POR ITEM'!#REF!, 6, FALSE))</f>
        <v/>
      </c>
    </row>
    <row r="771" spans="1:6">
      <c r="A771" t="str">
        <f>IFERROR(_xlfn.SINGLE(INDEX('ROMANEIO POR ITEM'!#REF!, SMALL(IF(_xlfn.SINGLE('ROMANEIO POR ITEM'!#REF!)&lt;&gt;0,_xlfn.SINGLE( ROW('ROMANEIO POR ITEM'!#REF!))-ROW('ROMANEIO POR ITEM'!#REF!)+1), ROW(A770)))), "")</f>
        <v/>
      </c>
      <c r="B771" t="str">
        <f>IF(A771="", "", VLOOKUP(A771, 'ROMANEIO POR ITEM'!#REF!, 2, FALSE))</f>
        <v/>
      </c>
      <c r="C771" t="str">
        <f>IF(A771="", "", VLOOKUP(A771, 'ROMANEIO POR ITEM'!#REF!, 3, FALSE))</f>
        <v/>
      </c>
      <c r="D771" t="str">
        <f>IF(A771="", "", VLOOKUP(A771, 'ROMANEIO POR ITEM'!#REF!, 4, FALSE))</f>
        <v/>
      </c>
      <c r="E771" t="str">
        <f>IF(A771="", "", VLOOKUP(A771, 'ROMANEIO POR ITEM'!#REF!, 5, FALSE))</f>
        <v/>
      </c>
      <c r="F771" t="str">
        <f>IF(A771="", "", VLOOKUP(A771, 'ROMANEIO POR ITEM'!#REF!, 6, FALSE))</f>
        <v/>
      </c>
    </row>
    <row r="772" spans="1:6">
      <c r="A772" t="str">
        <f>IFERROR(_xlfn.SINGLE(INDEX('ROMANEIO POR ITEM'!#REF!, SMALL(IF(_xlfn.SINGLE('ROMANEIO POR ITEM'!#REF!)&lt;&gt;0,_xlfn.SINGLE( ROW('ROMANEIO POR ITEM'!#REF!))-ROW('ROMANEIO POR ITEM'!#REF!)+1), ROW(A771)))), "")</f>
        <v/>
      </c>
      <c r="B772" t="str">
        <f>IF(A772="", "", VLOOKUP(A772, 'ROMANEIO POR ITEM'!#REF!, 2, FALSE))</f>
        <v/>
      </c>
      <c r="C772" t="str">
        <f>IF(A772="", "", VLOOKUP(A772, 'ROMANEIO POR ITEM'!#REF!, 3, FALSE))</f>
        <v/>
      </c>
      <c r="D772" t="str">
        <f>IF(A772="", "", VLOOKUP(A772, 'ROMANEIO POR ITEM'!#REF!, 4, FALSE))</f>
        <v/>
      </c>
      <c r="E772" t="str">
        <f>IF(A772="", "", VLOOKUP(A772, 'ROMANEIO POR ITEM'!#REF!, 5, FALSE))</f>
        <v/>
      </c>
      <c r="F772" t="str">
        <f>IF(A772="", "", VLOOKUP(A772, 'ROMANEIO POR ITEM'!#REF!, 6, FALSE))</f>
        <v/>
      </c>
    </row>
    <row r="773" spans="1:6">
      <c r="A773" t="str">
        <f>IFERROR(_xlfn.SINGLE(INDEX('ROMANEIO POR ITEM'!#REF!, SMALL(IF(_xlfn.SINGLE('ROMANEIO POR ITEM'!#REF!)&lt;&gt;0,_xlfn.SINGLE( ROW('ROMANEIO POR ITEM'!#REF!))-ROW('ROMANEIO POR ITEM'!#REF!)+1), ROW(A772)))), "")</f>
        <v/>
      </c>
      <c r="B773" t="str">
        <f>IF(A773="", "", VLOOKUP(A773, 'ROMANEIO POR ITEM'!#REF!, 2, FALSE))</f>
        <v/>
      </c>
      <c r="C773" t="str">
        <f>IF(A773="", "", VLOOKUP(A773, 'ROMANEIO POR ITEM'!#REF!, 3, FALSE))</f>
        <v/>
      </c>
      <c r="D773" t="str">
        <f>IF(A773="", "", VLOOKUP(A773, 'ROMANEIO POR ITEM'!#REF!, 4, FALSE))</f>
        <v/>
      </c>
      <c r="E773" t="str">
        <f>IF(A773="", "", VLOOKUP(A773, 'ROMANEIO POR ITEM'!#REF!, 5, FALSE))</f>
        <v/>
      </c>
      <c r="F773" t="str">
        <f>IF(A773="", "", VLOOKUP(A773, 'ROMANEIO POR ITEM'!#REF!, 6, FALSE))</f>
        <v/>
      </c>
    </row>
    <row r="774" spans="1:6">
      <c r="A774" t="str">
        <f>IFERROR(_xlfn.SINGLE(INDEX('ROMANEIO POR ITEM'!#REF!, SMALL(IF(_xlfn.SINGLE('ROMANEIO POR ITEM'!#REF!)&lt;&gt;0,_xlfn.SINGLE( ROW('ROMANEIO POR ITEM'!#REF!))-ROW('ROMANEIO POR ITEM'!#REF!)+1), ROW(A773)))), "")</f>
        <v/>
      </c>
      <c r="B774" t="str">
        <f>IF(A774="", "", VLOOKUP(A774, 'ROMANEIO POR ITEM'!#REF!, 2, FALSE))</f>
        <v/>
      </c>
      <c r="C774" t="str">
        <f>IF(A774="", "", VLOOKUP(A774, 'ROMANEIO POR ITEM'!#REF!, 3, FALSE))</f>
        <v/>
      </c>
      <c r="D774" t="str">
        <f>IF(A774="", "", VLOOKUP(A774, 'ROMANEIO POR ITEM'!#REF!, 4, FALSE))</f>
        <v/>
      </c>
      <c r="E774" t="str">
        <f>IF(A774="", "", VLOOKUP(A774, 'ROMANEIO POR ITEM'!#REF!, 5, FALSE))</f>
        <v/>
      </c>
      <c r="F774" t="str">
        <f>IF(A774="", "", VLOOKUP(A774, 'ROMANEIO POR ITEM'!#REF!, 6, FALSE))</f>
        <v/>
      </c>
    </row>
    <row r="775" spans="1:6">
      <c r="A775" t="str">
        <f>IFERROR(_xlfn.SINGLE(INDEX('ROMANEIO POR ITEM'!#REF!, SMALL(IF(_xlfn.SINGLE('ROMANEIO POR ITEM'!#REF!)&lt;&gt;0,_xlfn.SINGLE( ROW('ROMANEIO POR ITEM'!#REF!))-ROW('ROMANEIO POR ITEM'!#REF!)+1), ROW(A774)))), "")</f>
        <v/>
      </c>
      <c r="B775" t="str">
        <f>IF(A775="", "", VLOOKUP(A775, 'ROMANEIO POR ITEM'!#REF!, 2, FALSE))</f>
        <v/>
      </c>
      <c r="C775" t="str">
        <f>IF(A775="", "", VLOOKUP(A775, 'ROMANEIO POR ITEM'!#REF!, 3, FALSE))</f>
        <v/>
      </c>
      <c r="D775" t="str">
        <f>IF(A775="", "", VLOOKUP(A775, 'ROMANEIO POR ITEM'!#REF!, 4, FALSE))</f>
        <v/>
      </c>
      <c r="E775" t="str">
        <f>IF(A775="", "", VLOOKUP(A775, 'ROMANEIO POR ITEM'!#REF!, 5, FALSE))</f>
        <v/>
      </c>
      <c r="F775" t="str">
        <f>IF(A775="", "", VLOOKUP(A775, 'ROMANEIO POR ITEM'!#REF!, 6, FALSE))</f>
        <v/>
      </c>
    </row>
    <row r="776" spans="1:6">
      <c r="A776" t="str">
        <f>IFERROR(_xlfn.SINGLE(INDEX('ROMANEIO POR ITEM'!#REF!, SMALL(IF(_xlfn.SINGLE('ROMANEIO POR ITEM'!#REF!)&lt;&gt;0,_xlfn.SINGLE( ROW('ROMANEIO POR ITEM'!#REF!))-ROW('ROMANEIO POR ITEM'!#REF!)+1), ROW(A775)))), "")</f>
        <v/>
      </c>
      <c r="B776" t="str">
        <f>IF(A776="", "", VLOOKUP(A776, 'ROMANEIO POR ITEM'!#REF!, 2, FALSE))</f>
        <v/>
      </c>
      <c r="C776" t="str">
        <f>IF(A776="", "", VLOOKUP(A776, 'ROMANEIO POR ITEM'!#REF!, 3, FALSE))</f>
        <v/>
      </c>
      <c r="D776" t="str">
        <f>IF(A776="", "", VLOOKUP(A776, 'ROMANEIO POR ITEM'!#REF!, 4, FALSE))</f>
        <v/>
      </c>
      <c r="E776" t="str">
        <f>IF(A776="", "", VLOOKUP(A776, 'ROMANEIO POR ITEM'!#REF!, 5, FALSE))</f>
        <v/>
      </c>
      <c r="F776" t="str">
        <f>IF(A776="", "", VLOOKUP(A776, 'ROMANEIO POR ITEM'!#REF!, 6, FALSE))</f>
        <v/>
      </c>
    </row>
    <row r="777" spans="1:6">
      <c r="A777" t="str">
        <f>IFERROR(_xlfn.SINGLE(INDEX('ROMANEIO POR ITEM'!#REF!, SMALL(IF(_xlfn.SINGLE('ROMANEIO POR ITEM'!#REF!)&lt;&gt;0,_xlfn.SINGLE( ROW('ROMANEIO POR ITEM'!#REF!))-ROW('ROMANEIO POR ITEM'!#REF!)+1), ROW(A776)))), "")</f>
        <v/>
      </c>
      <c r="B777" t="str">
        <f>IF(A777="", "", VLOOKUP(A777, 'ROMANEIO POR ITEM'!#REF!, 2, FALSE))</f>
        <v/>
      </c>
      <c r="C777" t="str">
        <f>IF(A777="", "", VLOOKUP(A777, 'ROMANEIO POR ITEM'!#REF!, 3, FALSE))</f>
        <v/>
      </c>
      <c r="D777" t="str">
        <f>IF(A777="", "", VLOOKUP(A777, 'ROMANEIO POR ITEM'!#REF!, 4, FALSE))</f>
        <v/>
      </c>
      <c r="E777" t="str">
        <f>IF(A777="", "", VLOOKUP(A777, 'ROMANEIO POR ITEM'!#REF!, 5, FALSE))</f>
        <v/>
      </c>
      <c r="F777" t="str">
        <f>IF(A777="", "", VLOOKUP(A777, 'ROMANEIO POR ITEM'!#REF!, 6, FALSE))</f>
        <v/>
      </c>
    </row>
    <row r="778" spans="1:6">
      <c r="A778" t="str">
        <f>IFERROR(_xlfn.SINGLE(INDEX('ROMANEIO POR ITEM'!#REF!, SMALL(IF(_xlfn.SINGLE('ROMANEIO POR ITEM'!#REF!)&lt;&gt;0,_xlfn.SINGLE( ROW('ROMANEIO POR ITEM'!#REF!))-ROW('ROMANEIO POR ITEM'!#REF!)+1), ROW(A777)))), "")</f>
        <v/>
      </c>
      <c r="B778" t="str">
        <f>IF(A778="", "", VLOOKUP(A778, 'ROMANEIO POR ITEM'!#REF!, 2, FALSE))</f>
        <v/>
      </c>
      <c r="C778" t="str">
        <f>IF(A778="", "", VLOOKUP(A778, 'ROMANEIO POR ITEM'!#REF!, 3, FALSE))</f>
        <v/>
      </c>
      <c r="D778" t="str">
        <f>IF(A778="", "", VLOOKUP(A778, 'ROMANEIO POR ITEM'!#REF!, 4, FALSE))</f>
        <v/>
      </c>
      <c r="E778" t="str">
        <f>IF(A778="", "", VLOOKUP(A778, 'ROMANEIO POR ITEM'!#REF!, 5, FALSE))</f>
        <v/>
      </c>
      <c r="F778" t="str">
        <f>IF(A778="", "", VLOOKUP(A778, 'ROMANEIO POR ITEM'!#REF!, 6, FALSE))</f>
        <v/>
      </c>
    </row>
    <row r="779" spans="1:6">
      <c r="A779" t="str">
        <f>IFERROR(_xlfn.SINGLE(INDEX('ROMANEIO POR ITEM'!#REF!, SMALL(IF(_xlfn.SINGLE('ROMANEIO POR ITEM'!#REF!)&lt;&gt;0,_xlfn.SINGLE( ROW('ROMANEIO POR ITEM'!#REF!))-ROW('ROMANEIO POR ITEM'!#REF!)+1), ROW(A778)))), "")</f>
        <v/>
      </c>
      <c r="B779" t="str">
        <f>IF(A779="", "", VLOOKUP(A779, 'ROMANEIO POR ITEM'!#REF!, 2, FALSE))</f>
        <v/>
      </c>
      <c r="C779" t="str">
        <f>IF(A779="", "", VLOOKUP(A779, 'ROMANEIO POR ITEM'!#REF!, 3, FALSE))</f>
        <v/>
      </c>
      <c r="D779" t="str">
        <f>IF(A779="", "", VLOOKUP(A779, 'ROMANEIO POR ITEM'!#REF!, 4, FALSE))</f>
        <v/>
      </c>
      <c r="E779" t="str">
        <f>IF(A779="", "", VLOOKUP(A779, 'ROMANEIO POR ITEM'!#REF!, 5, FALSE))</f>
        <v/>
      </c>
      <c r="F779" t="str">
        <f>IF(A779="", "", VLOOKUP(A779, 'ROMANEIO POR ITEM'!#REF!, 6, FALSE))</f>
        <v/>
      </c>
    </row>
    <row r="780" spans="1:6">
      <c r="A780" t="str">
        <f>IFERROR(_xlfn.SINGLE(INDEX('ROMANEIO POR ITEM'!#REF!, SMALL(IF(_xlfn.SINGLE('ROMANEIO POR ITEM'!#REF!)&lt;&gt;0,_xlfn.SINGLE( ROW('ROMANEIO POR ITEM'!#REF!))-ROW('ROMANEIO POR ITEM'!#REF!)+1), ROW(A779)))), "")</f>
        <v/>
      </c>
      <c r="B780" t="str">
        <f>IF(A780="", "", VLOOKUP(A780, 'ROMANEIO POR ITEM'!#REF!, 2, FALSE))</f>
        <v/>
      </c>
      <c r="C780" t="str">
        <f>IF(A780="", "", VLOOKUP(A780, 'ROMANEIO POR ITEM'!#REF!, 3, FALSE))</f>
        <v/>
      </c>
      <c r="D780" t="str">
        <f>IF(A780="", "", VLOOKUP(A780, 'ROMANEIO POR ITEM'!#REF!, 4, FALSE))</f>
        <v/>
      </c>
      <c r="E780" t="str">
        <f>IF(A780="", "", VLOOKUP(A780, 'ROMANEIO POR ITEM'!#REF!, 5, FALSE))</f>
        <v/>
      </c>
      <c r="F780" t="str">
        <f>IF(A780="", "", VLOOKUP(A780, 'ROMANEIO POR ITEM'!#REF!, 6, FALSE))</f>
        <v/>
      </c>
    </row>
    <row r="781" spans="1:6">
      <c r="A781" t="str">
        <f>IFERROR(_xlfn.SINGLE(INDEX('ROMANEIO POR ITEM'!#REF!, SMALL(IF(_xlfn.SINGLE('ROMANEIO POR ITEM'!#REF!)&lt;&gt;0,_xlfn.SINGLE( ROW('ROMANEIO POR ITEM'!#REF!))-ROW('ROMANEIO POR ITEM'!#REF!)+1), ROW(A780)))), "")</f>
        <v/>
      </c>
      <c r="B781" t="str">
        <f>IF(A781="", "", VLOOKUP(A781, 'ROMANEIO POR ITEM'!#REF!, 2, FALSE))</f>
        <v/>
      </c>
      <c r="C781" t="str">
        <f>IF(A781="", "", VLOOKUP(A781, 'ROMANEIO POR ITEM'!#REF!, 3, FALSE))</f>
        <v/>
      </c>
      <c r="D781" t="str">
        <f>IF(A781="", "", VLOOKUP(A781, 'ROMANEIO POR ITEM'!#REF!, 4, FALSE))</f>
        <v/>
      </c>
      <c r="E781" t="str">
        <f>IF(A781="", "", VLOOKUP(A781, 'ROMANEIO POR ITEM'!#REF!, 5, FALSE))</f>
        <v/>
      </c>
      <c r="F781" t="str">
        <f>IF(A781="", "", VLOOKUP(A781, 'ROMANEIO POR ITEM'!#REF!, 6, FALSE))</f>
        <v/>
      </c>
    </row>
    <row r="782" spans="1:6">
      <c r="A782" t="str">
        <f>IFERROR(_xlfn.SINGLE(INDEX('ROMANEIO POR ITEM'!#REF!, SMALL(IF(_xlfn.SINGLE('ROMANEIO POR ITEM'!#REF!)&lt;&gt;0,_xlfn.SINGLE( ROW('ROMANEIO POR ITEM'!#REF!))-ROW('ROMANEIO POR ITEM'!#REF!)+1), ROW(A781)))), "")</f>
        <v/>
      </c>
      <c r="B782" t="str">
        <f>IF(A782="", "", VLOOKUP(A782, 'ROMANEIO POR ITEM'!#REF!, 2, FALSE))</f>
        <v/>
      </c>
      <c r="C782" t="str">
        <f>IF(A782="", "", VLOOKUP(A782, 'ROMANEIO POR ITEM'!#REF!, 3, FALSE))</f>
        <v/>
      </c>
      <c r="D782" t="str">
        <f>IF(A782="", "", VLOOKUP(A782, 'ROMANEIO POR ITEM'!#REF!, 4, FALSE))</f>
        <v/>
      </c>
      <c r="E782" t="str">
        <f>IF(A782="", "", VLOOKUP(A782, 'ROMANEIO POR ITEM'!#REF!, 5, FALSE))</f>
        <v/>
      </c>
      <c r="F782" t="str">
        <f>IF(A782="", "", VLOOKUP(A782, 'ROMANEIO POR ITEM'!#REF!, 6, FALSE))</f>
        <v/>
      </c>
    </row>
    <row r="783" spans="1:6">
      <c r="A783" t="str">
        <f>IFERROR(_xlfn.SINGLE(INDEX('ROMANEIO POR ITEM'!#REF!, SMALL(IF(_xlfn.SINGLE('ROMANEIO POR ITEM'!#REF!)&lt;&gt;0,_xlfn.SINGLE( ROW('ROMANEIO POR ITEM'!#REF!))-ROW('ROMANEIO POR ITEM'!#REF!)+1), ROW(A782)))), "")</f>
        <v/>
      </c>
      <c r="B783" t="str">
        <f>IF(A783="", "", VLOOKUP(A783, 'ROMANEIO POR ITEM'!#REF!, 2, FALSE))</f>
        <v/>
      </c>
      <c r="C783" t="str">
        <f>IF(A783="", "", VLOOKUP(A783, 'ROMANEIO POR ITEM'!#REF!, 3, FALSE))</f>
        <v/>
      </c>
      <c r="D783" t="str">
        <f>IF(A783="", "", VLOOKUP(A783, 'ROMANEIO POR ITEM'!#REF!, 4, FALSE))</f>
        <v/>
      </c>
      <c r="E783" t="str">
        <f>IF(A783="", "", VLOOKUP(A783, 'ROMANEIO POR ITEM'!#REF!, 5, FALSE))</f>
        <v/>
      </c>
      <c r="F783" t="str">
        <f>IF(A783="", "", VLOOKUP(A783, 'ROMANEIO POR ITEM'!#REF!, 6, FALSE))</f>
        <v/>
      </c>
    </row>
    <row r="784" spans="1:6">
      <c r="A784" t="str">
        <f>IFERROR(_xlfn.SINGLE(INDEX('ROMANEIO POR ITEM'!#REF!, SMALL(IF(_xlfn.SINGLE('ROMANEIO POR ITEM'!#REF!)&lt;&gt;0,_xlfn.SINGLE( ROW('ROMANEIO POR ITEM'!#REF!))-ROW('ROMANEIO POR ITEM'!#REF!)+1), ROW(A783)))), "")</f>
        <v/>
      </c>
      <c r="B784" t="str">
        <f>IF(A784="", "", VLOOKUP(A784, 'ROMANEIO POR ITEM'!#REF!, 2, FALSE))</f>
        <v/>
      </c>
      <c r="C784" t="str">
        <f>IF(A784="", "", VLOOKUP(A784, 'ROMANEIO POR ITEM'!#REF!, 3, FALSE))</f>
        <v/>
      </c>
      <c r="D784" t="str">
        <f>IF(A784="", "", VLOOKUP(A784, 'ROMANEIO POR ITEM'!#REF!, 4, FALSE))</f>
        <v/>
      </c>
      <c r="E784" t="str">
        <f>IF(A784="", "", VLOOKUP(A784, 'ROMANEIO POR ITEM'!#REF!, 5, FALSE))</f>
        <v/>
      </c>
      <c r="F784" t="str">
        <f>IF(A784="", "", VLOOKUP(A784, 'ROMANEIO POR ITEM'!#REF!, 6, FALSE))</f>
        <v/>
      </c>
    </row>
    <row r="785" spans="1:6">
      <c r="A785" t="str">
        <f>IFERROR(_xlfn.SINGLE(INDEX('ROMANEIO POR ITEM'!#REF!, SMALL(IF(_xlfn.SINGLE('ROMANEIO POR ITEM'!#REF!)&lt;&gt;0,_xlfn.SINGLE( ROW('ROMANEIO POR ITEM'!#REF!))-ROW('ROMANEIO POR ITEM'!#REF!)+1), ROW(A784)))), "")</f>
        <v/>
      </c>
      <c r="B785" t="str">
        <f>IF(A785="", "", VLOOKUP(A785, 'ROMANEIO POR ITEM'!#REF!, 2, FALSE))</f>
        <v/>
      </c>
      <c r="C785" t="str">
        <f>IF(A785="", "", VLOOKUP(A785, 'ROMANEIO POR ITEM'!#REF!, 3, FALSE))</f>
        <v/>
      </c>
      <c r="D785" t="str">
        <f>IF(A785="", "", VLOOKUP(A785, 'ROMANEIO POR ITEM'!#REF!, 4, FALSE))</f>
        <v/>
      </c>
      <c r="E785" t="str">
        <f>IF(A785="", "", VLOOKUP(A785, 'ROMANEIO POR ITEM'!#REF!, 5, FALSE))</f>
        <v/>
      </c>
      <c r="F785" t="str">
        <f>IF(A785="", "", VLOOKUP(A785, 'ROMANEIO POR ITEM'!#REF!, 6, FALSE))</f>
        <v/>
      </c>
    </row>
    <row r="786" spans="1:6">
      <c r="A786" t="str">
        <f>IFERROR(_xlfn.SINGLE(INDEX('ROMANEIO POR ITEM'!#REF!, SMALL(IF(_xlfn.SINGLE('ROMANEIO POR ITEM'!#REF!)&lt;&gt;0,_xlfn.SINGLE( ROW('ROMANEIO POR ITEM'!#REF!))-ROW('ROMANEIO POR ITEM'!#REF!)+1), ROW(A785)))), "")</f>
        <v/>
      </c>
      <c r="B786" t="str">
        <f>IF(A786="", "", VLOOKUP(A786, 'ROMANEIO POR ITEM'!#REF!, 2, FALSE))</f>
        <v/>
      </c>
      <c r="C786" t="str">
        <f>IF(A786="", "", VLOOKUP(A786, 'ROMANEIO POR ITEM'!#REF!, 3, FALSE))</f>
        <v/>
      </c>
      <c r="D786" t="str">
        <f>IF(A786="", "", VLOOKUP(A786, 'ROMANEIO POR ITEM'!#REF!, 4, FALSE))</f>
        <v/>
      </c>
      <c r="E786" t="str">
        <f>IF(A786="", "", VLOOKUP(A786, 'ROMANEIO POR ITEM'!#REF!, 5, FALSE))</f>
        <v/>
      </c>
      <c r="F786" t="str">
        <f>IF(A786="", "", VLOOKUP(A786, 'ROMANEIO POR ITEM'!#REF!, 6, FALSE))</f>
        <v/>
      </c>
    </row>
    <row r="787" spans="1:6">
      <c r="A787" t="str">
        <f>IFERROR(_xlfn.SINGLE(INDEX('ROMANEIO POR ITEM'!#REF!, SMALL(IF(_xlfn.SINGLE('ROMANEIO POR ITEM'!#REF!)&lt;&gt;0,_xlfn.SINGLE( ROW('ROMANEIO POR ITEM'!#REF!))-ROW('ROMANEIO POR ITEM'!#REF!)+1), ROW(A786)))), "")</f>
        <v/>
      </c>
      <c r="B787" t="str">
        <f>IF(A787="", "", VLOOKUP(A787, 'ROMANEIO POR ITEM'!#REF!, 2, FALSE))</f>
        <v/>
      </c>
      <c r="C787" t="str">
        <f>IF(A787="", "", VLOOKUP(A787, 'ROMANEIO POR ITEM'!#REF!, 3, FALSE))</f>
        <v/>
      </c>
      <c r="D787" t="str">
        <f>IF(A787="", "", VLOOKUP(A787, 'ROMANEIO POR ITEM'!#REF!, 4, FALSE))</f>
        <v/>
      </c>
      <c r="E787" t="str">
        <f>IF(A787="", "", VLOOKUP(A787, 'ROMANEIO POR ITEM'!#REF!, 5, FALSE))</f>
        <v/>
      </c>
      <c r="F787" t="str">
        <f>IF(A787="", "", VLOOKUP(A787, 'ROMANEIO POR ITEM'!#REF!, 6, FALSE))</f>
        <v/>
      </c>
    </row>
    <row r="788" spans="1:6">
      <c r="A788" t="str">
        <f>IFERROR(_xlfn.SINGLE(INDEX('ROMANEIO POR ITEM'!#REF!, SMALL(IF(_xlfn.SINGLE('ROMANEIO POR ITEM'!#REF!)&lt;&gt;0,_xlfn.SINGLE( ROW('ROMANEIO POR ITEM'!#REF!))-ROW('ROMANEIO POR ITEM'!#REF!)+1), ROW(A787)))), "")</f>
        <v/>
      </c>
      <c r="B788" t="str">
        <f>IF(A788="", "", VLOOKUP(A788, 'ROMANEIO POR ITEM'!#REF!, 2, FALSE))</f>
        <v/>
      </c>
      <c r="C788" t="str">
        <f>IF(A788="", "", VLOOKUP(A788, 'ROMANEIO POR ITEM'!#REF!, 3, FALSE))</f>
        <v/>
      </c>
      <c r="D788" t="str">
        <f>IF(A788="", "", VLOOKUP(A788, 'ROMANEIO POR ITEM'!#REF!, 4, FALSE))</f>
        <v/>
      </c>
      <c r="E788" t="str">
        <f>IF(A788="", "", VLOOKUP(A788, 'ROMANEIO POR ITEM'!#REF!, 5, FALSE))</f>
        <v/>
      </c>
      <c r="F788" t="str">
        <f>IF(A788="", "", VLOOKUP(A788, 'ROMANEIO POR ITEM'!#REF!, 6, FALSE))</f>
        <v/>
      </c>
    </row>
    <row r="789" spans="1:6">
      <c r="A789" t="str">
        <f>IFERROR(_xlfn.SINGLE(INDEX('ROMANEIO POR ITEM'!#REF!, SMALL(IF(_xlfn.SINGLE('ROMANEIO POR ITEM'!#REF!)&lt;&gt;0,_xlfn.SINGLE( ROW('ROMANEIO POR ITEM'!#REF!))-ROW('ROMANEIO POR ITEM'!#REF!)+1), ROW(A788)))), "")</f>
        <v/>
      </c>
      <c r="B789" t="str">
        <f>IF(A789="", "", VLOOKUP(A789, 'ROMANEIO POR ITEM'!#REF!, 2, FALSE))</f>
        <v/>
      </c>
      <c r="C789" t="str">
        <f>IF(A789="", "", VLOOKUP(A789, 'ROMANEIO POR ITEM'!#REF!, 3, FALSE))</f>
        <v/>
      </c>
      <c r="D789" t="str">
        <f>IF(A789="", "", VLOOKUP(A789, 'ROMANEIO POR ITEM'!#REF!, 4, FALSE))</f>
        <v/>
      </c>
      <c r="E789" t="str">
        <f>IF(A789="", "", VLOOKUP(A789, 'ROMANEIO POR ITEM'!#REF!, 5, FALSE))</f>
        <v/>
      </c>
      <c r="F789" t="str">
        <f>IF(A789="", "", VLOOKUP(A789, 'ROMANEIO POR ITEM'!#REF!, 6, FALSE))</f>
        <v/>
      </c>
    </row>
    <row r="790" spans="1:6">
      <c r="A790" t="str">
        <f>IFERROR(_xlfn.SINGLE(INDEX('ROMANEIO POR ITEM'!#REF!, SMALL(IF(_xlfn.SINGLE('ROMANEIO POR ITEM'!#REF!)&lt;&gt;0,_xlfn.SINGLE( ROW('ROMANEIO POR ITEM'!#REF!))-ROW('ROMANEIO POR ITEM'!#REF!)+1), ROW(A789)))), "")</f>
        <v/>
      </c>
      <c r="B790" t="str">
        <f>IF(A790="", "", VLOOKUP(A790, 'ROMANEIO POR ITEM'!#REF!, 2, FALSE))</f>
        <v/>
      </c>
      <c r="C790" t="str">
        <f>IF(A790="", "", VLOOKUP(A790, 'ROMANEIO POR ITEM'!#REF!, 3, FALSE))</f>
        <v/>
      </c>
      <c r="D790" t="str">
        <f>IF(A790="", "", VLOOKUP(A790, 'ROMANEIO POR ITEM'!#REF!, 4, FALSE))</f>
        <v/>
      </c>
      <c r="E790" t="str">
        <f>IF(A790="", "", VLOOKUP(A790, 'ROMANEIO POR ITEM'!#REF!, 5, FALSE))</f>
        <v/>
      </c>
      <c r="F790" t="str">
        <f>IF(A790="", "", VLOOKUP(A790, 'ROMANEIO POR ITEM'!#REF!, 6, FALSE))</f>
        <v/>
      </c>
    </row>
    <row r="791" spans="1:6">
      <c r="A791" t="str">
        <f>IFERROR(_xlfn.SINGLE(INDEX('ROMANEIO POR ITEM'!#REF!, SMALL(IF(_xlfn.SINGLE('ROMANEIO POR ITEM'!#REF!)&lt;&gt;0,_xlfn.SINGLE( ROW('ROMANEIO POR ITEM'!#REF!))-ROW('ROMANEIO POR ITEM'!#REF!)+1), ROW(A790)))), "")</f>
        <v/>
      </c>
      <c r="B791" t="str">
        <f>IF(A791="", "", VLOOKUP(A791, 'ROMANEIO POR ITEM'!#REF!, 2, FALSE))</f>
        <v/>
      </c>
      <c r="C791" t="str">
        <f>IF(A791="", "", VLOOKUP(A791, 'ROMANEIO POR ITEM'!#REF!, 3, FALSE))</f>
        <v/>
      </c>
      <c r="D791" t="str">
        <f>IF(A791="", "", VLOOKUP(A791, 'ROMANEIO POR ITEM'!#REF!, 4, FALSE))</f>
        <v/>
      </c>
      <c r="E791" t="str">
        <f>IF(A791="", "", VLOOKUP(A791, 'ROMANEIO POR ITEM'!#REF!, 5, FALSE))</f>
        <v/>
      </c>
      <c r="F791" t="str">
        <f>IF(A791="", "", VLOOKUP(A791, 'ROMANEIO POR ITEM'!#REF!, 6, FALSE))</f>
        <v/>
      </c>
    </row>
    <row r="792" spans="1:6">
      <c r="A792" t="str">
        <f>IFERROR(_xlfn.SINGLE(INDEX('ROMANEIO POR ITEM'!#REF!, SMALL(IF(_xlfn.SINGLE('ROMANEIO POR ITEM'!#REF!)&lt;&gt;0,_xlfn.SINGLE( ROW('ROMANEIO POR ITEM'!#REF!))-ROW('ROMANEIO POR ITEM'!#REF!)+1), ROW(A791)))), "")</f>
        <v/>
      </c>
      <c r="B792" t="str">
        <f>IF(A792="", "", VLOOKUP(A792, 'ROMANEIO POR ITEM'!#REF!, 2, FALSE))</f>
        <v/>
      </c>
      <c r="C792" t="str">
        <f>IF(A792="", "", VLOOKUP(A792, 'ROMANEIO POR ITEM'!#REF!, 3, FALSE))</f>
        <v/>
      </c>
      <c r="D792" t="str">
        <f>IF(A792="", "", VLOOKUP(A792, 'ROMANEIO POR ITEM'!#REF!, 4, FALSE))</f>
        <v/>
      </c>
      <c r="E792" t="str">
        <f>IF(A792="", "", VLOOKUP(A792, 'ROMANEIO POR ITEM'!#REF!, 5, FALSE))</f>
        <v/>
      </c>
      <c r="F792" t="str">
        <f>IF(A792="", "", VLOOKUP(A792, 'ROMANEIO POR ITEM'!#REF!, 6, FALSE))</f>
        <v/>
      </c>
    </row>
    <row r="793" spans="1:6">
      <c r="A793" t="str">
        <f>IFERROR(_xlfn.SINGLE(INDEX('ROMANEIO POR ITEM'!#REF!, SMALL(IF(_xlfn.SINGLE('ROMANEIO POR ITEM'!#REF!)&lt;&gt;0,_xlfn.SINGLE( ROW('ROMANEIO POR ITEM'!#REF!))-ROW('ROMANEIO POR ITEM'!#REF!)+1), ROW(A792)))), "")</f>
        <v/>
      </c>
      <c r="B793" t="str">
        <f>IF(A793="", "", VLOOKUP(A793, 'ROMANEIO POR ITEM'!#REF!, 2, FALSE))</f>
        <v/>
      </c>
      <c r="C793" t="str">
        <f>IF(A793="", "", VLOOKUP(A793, 'ROMANEIO POR ITEM'!#REF!, 3, FALSE))</f>
        <v/>
      </c>
      <c r="D793" t="str">
        <f>IF(A793="", "", VLOOKUP(A793, 'ROMANEIO POR ITEM'!#REF!, 4, FALSE))</f>
        <v/>
      </c>
      <c r="E793" t="str">
        <f>IF(A793="", "", VLOOKUP(A793, 'ROMANEIO POR ITEM'!#REF!, 5, FALSE))</f>
        <v/>
      </c>
      <c r="F793" t="str">
        <f>IF(A793="", "", VLOOKUP(A793, 'ROMANEIO POR ITEM'!#REF!, 6, FALSE))</f>
        <v/>
      </c>
    </row>
    <row r="794" spans="1:6">
      <c r="A794" t="str">
        <f>IFERROR(_xlfn.SINGLE(INDEX('ROMANEIO POR ITEM'!#REF!, SMALL(IF(_xlfn.SINGLE('ROMANEIO POR ITEM'!#REF!)&lt;&gt;0,_xlfn.SINGLE( ROW('ROMANEIO POR ITEM'!#REF!))-ROW('ROMANEIO POR ITEM'!#REF!)+1), ROW(A793)))), "")</f>
        <v/>
      </c>
      <c r="B794" t="str">
        <f>IF(A794="", "", VLOOKUP(A794, 'ROMANEIO POR ITEM'!#REF!, 2, FALSE))</f>
        <v/>
      </c>
      <c r="C794" t="str">
        <f>IF(A794="", "", VLOOKUP(A794, 'ROMANEIO POR ITEM'!#REF!, 3, FALSE))</f>
        <v/>
      </c>
      <c r="D794" t="str">
        <f>IF(A794="", "", VLOOKUP(A794, 'ROMANEIO POR ITEM'!#REF!, 4, FALSE))</f>
        <v/>
      </c>
      <c r="E794" t="str">
        <f>IF(A794="", "", VLOOKUP(A794, 'ROMANEIO POR ITEM'!#REF!, 5, FALSE))</f>
        <v/>
      </c>
      <c r="F794" t="str">
        <f>IF(A794="", "", VLOOKUP(A794, 'ROMANEIO POR ITEM'!#REF!, 6, FALSE))</f>
        <v/>
      </c>
    </row>
    <row r="795" spans="1:6">
      <c r="A795" t="str">
        <f>IFERROR(_xlfn.SINGLE(INDEX('ROMANEIO POR ITEM'!#REF!, SMALL(IF(_xlfn.SINGLE('ROMANEIO POR ITEM'!#REF!)&lt;&gt;0,_xlfn.SINGLE( ROW('ROMANEIO POR ITEM'!#REF!))-ROW('ROMANEIO POR ITEM'!#REF!)+1), ROW(A794)))), "")</f>
        <v/>
      </c>
      <c r="B795" t="str">
        <f>IF(A795="", "", VLOOKUP(A795, 'ROMANEIO POR ITEM'!#REF!, 2, FALSE))</f>
        <v/>
      </c>
      <c r="C795" t="str">
        <f>IF(A795="", "", VLOOKUP(A795, 'ROMANEIO POR ITEM'!#REF!, 3, FALSE))</f>
        <v/>
      </c>
      <c r="D795" t="str">
        <f>IF(A795="", "", VLOOKUP(A795, 'ROMANEIO POR ITEM'!#REF!, 4, FALSE))</f>
        <v/>
      </c>
      <c r="E795" t="str">
        <f>IF(A795="", "", VLOOKUP(A795, 'ROMANEIO POR ITEM'!#REF!, 5, FALSE))</f>
        <v/>
      </c>
      <c r="F795" t="str">
        <f>IF(A795="", "", VLOOKUP(A795, 'ROMANEIO POR ITEM'!#REF!, 6, FALSE))</f>
        <v/>
      </c>
    </row>
    <row r="796" spans="1:6">
      <c r="A796" t="str">
        <f>IFERROR(_xlfn.SINGLE(INDEX('ROMANEIO POR ITEM'!#REF!, SMALL(IF(_xlfn.SINGLE('ROMANEIO POR ITEM'!#REF!)&lt;&gt;0,_xlfn.SINGLE( ROW('ROMANEIO POR ITEM'!#REF!))-ROW('ROMANEIO POR ITEM'!#REF!)+1), ROW(A795)))), "")</f>
        <v/>
      </c>
      <c r="B796" t="str">
        <f>IF(A796="", "", VLOOKUP(A796, 'ROMANEIO POR ITEM'!#REF!, 2, FALSE))</f>
        <v/>
      </c>
      <c r="C796" t="str">
        <f>IF(A796="", "", VLOOKUP(A796, 'ROMANEIO POR ITEM'!#REF!, 3, FALSE))</f>
        <v/>
      </c>
      <c r="D796" t="str">
        <f>IF(A796="", "", VLOOKUP(A796, 'ROMANEIO POR ITEM'!#REF!, 4, FALSE))</f>
        <v/>
      </c>
      <c r="E796" t="str">
        <f>IF(A796="", "", VLOOKUP(A796, 'ROMANEIO POR ITEM'!#REF!, 5, FALSE))</f>
        <v/>
      </c>
      <c r="F796" t="str">
        <f>IF(A796="", "", VLOOKUP(A796, 'ROMANEIO POR ITEM'!#REF!, 6, FALSE))</f>
        <v/>
      </c>
    </row>
    <row r="797" spans="1:6">
      <c r="A797" t="str">
        <f>IFERROR(_xlfn.SINGLE(INDEX('ROMANEIO POR ITEM'!#REF!, SMALL(IF(_xlfn.SINGLE('ROMANEIO POR ITEM'!#REF!)&lt;&gt;0,_xlfn.SINGLE( ROW('ROMANEIO POR ITEM'!#REF!))-ROW('ROMANEIO POR ITEM'!#REF!)+1), ROW(A796)))), "")</f>
        <v/>
      </c>
      <c r="B797" t="str">
        <f>IF(A797="", "", VLOOKUP(A797, 'ROMANEIO POR ITEM'!#REF!, 2, FALSE))</f>
        <v/>
      </c>
      <c r="C797" t="str">
        <f>IF(A797="", "", VLOOKUP(A797, 'ROMANEIO POR ITEM'!#REF!, 3, FALSE))</f>
        <v/>
      </c>
      <c r="D797" t="str">
        <f>IF(A797="", "", VLOOKUP(A797, 'ROMANEIO POR ITEM'!#REF!, 4, FALSE))</f>
        <v/>
      </c>
      <c r="E797" t="str">
        <f>IF(A797="", "", VLOOKUP(A797, 'ROMANEIO POR ITEM'!#REF!, 5, FALSE))</f>
        <v/>
      </c>
      <c r="F797" t="str">
        <f>IF(A797="", "", VLOOKUP(A797, 'ROMANEIO POR ITEM'!#REF!, 6, FALSE))</f>
        <v/>
      </c>
    </row>
    <row r="798" spans="1:6">
      <c r="A798" t="str">
        <f>IFERROR(_xlfn.SINGLE(INDEX('ROMANEIO POR ITEM'!#REF!, SMALL(IF(_xlfn.SINGLE('ROMANEIO POR ITEM'!#REF!)&lt;&gt;0,_xlfn.SINGLE( ROW('ROMANEIO POR ITEM'!#REF!))-ROW('ROMANEIO POR ITEM'!#REF!)+1), ROW(A797)))), "")</f>
        <v/>
      </c>
      <c r="B798" t="str">
        <f>IF(A798="", "", VLOOKUP(A798, 'ROMANEIO POR ITEM'!#REF!, 2, FALSE))</f>
        <v/>
      </c>
      <c r="C798" t="str">
        <f>IF(A798="", "", VLOOKUP(A798, 'ROMANEIO POR ITEM'!#REF!, 3, FALSE))</f>
        <v/>
      </c>
      <c r="D798" t="str">
        <f>IF(A798="", "", VLOOKUP(A798, 'ROMANEIO POR ITEM'!#REF!, 4, FALSE))</f>
        <v/>
      </c>
      <c r="E798" t="str">
        <f>IF(A798="", "", VLOOKUP(A798, 'ROMANEIO POR ITEM'!#REF!, 5, FALSE))</f>
        <v/>
      </c>
      <c r="F798" t="str">
        <f>IF(A798="", "", VLOOKUP(A798, 'ROMANEIO POR ITEM'!#REF!, 6, FALSE))</f>
        <v/>
      </c>
    </row>
    <row r="799" spans="1:6">
      <c r="A799" t="str">
        <f>IFERROR(_xlfn.SINGLE(INDEX('ROMANEIO POR ITEM'!#REF!, SMALL(IF(_xlfn.SINGLE('ROMANEIO POR ITEM'!#REF!)&lt;&gt;0,_xlfn.SINGLE( ROW('ROMANEIO POR ITEM'!#REF!))-ROW('ROMANEIO POR ITEM'!#REF!)+1), ROW(A798)))), "")</f>
        <v/>
      </c>
      <c r="B799" t="str">
        <f>IF(A799="", "", VLOOKUP(A799, 'ROMANEIO POR ITEM'!#REF!, 2, FALSE))</f>
        <v/>
      </c>
      <c r="C799" t="str">
        <f>IF(A799="", "", VLOOKUP(A799, 'ROMANEIO POR ITEM'!#REF!, 3, FALSE))</f>
        <v/>
      </c>
      <c r="D799" t="str">
        <f>IF(A799="", "", VLOOKUP(A799, 'ROMANEIO POR ITEM'!#REF!, 4, FALSE))</f>
        <v/>
      </c>
      <c r="E799" t="str">
        <f>IF(A799="", "", VLOOKUP(A799, 'ROMANEIO POR ITEM'!#REF!, 5, FALSE))</f>
        <v/>
      </c>
      <c r="F799" t="str">
        <f>IF(A799="", "", VLOOKUP(A799, 'ROMANEIO POR ITEM'!#REF!, 6, FALSE))</f>
        <v/>
      </c>
    </row>
    <row r="800" spans="1:6">
      <c r="A800" t="str">
        <f>IFERROR(_xlfn.SINGLE(INDEX('ROMANEIO POR ITEM'!#REF!, SMALL(IF(_xlfn.SINGLE('ROMANEIO POR ITEM'!#REF!)&lt;&gt;0,_xlfn.SINGLE( ROW('ROMANEIO POR ITEM'!#REF!))-ROW('ROMANEIO POR ITEM'!#REF!)+1), ROW(A799)))), "")</f>
        <v/>
      </c>
      <c r="B800" t="str">
        <f>IF(A800="", "", VLOOKUP(A800, 'ROMANEIO POR ITEM'!#REF!, 2, FALSE))</f>
        <v/>
      </c>
      <c r="C800" t="str">
        <f>IF(A800="", "", VLOOKUP(A800, 'ROMANEIO POR ITEM'!#REF!, 3, FALSE))</f>
        <v/>
      </c>
      <c r="D800" t="str">
        <f>IF(A800="", "", VLOOKUP(A800, 'ROMANEIO POR ITEM'!#REF!, 4, FALSE))</f>
        <v/>
      </c>
      <c r="E800" t="str">
        <f>IF(A800="", "", VLOOKUP(A800, 'ROMANEIO POR ITEM'!#REF!, 5, FALSE))</f>
        <v/>
      </c>
      <c r="F800" t="str">
        <f>IF(A800="", "", VLOOKUP(A800, 'ROMANEIO POR ITEM'!#REF!, 6, FALSE))</f>
        <v/>
      </c>
    </row>
    <row r="801" spans="1:6">
      <c r="A801" t="str">
        <f>IFERROR(_xlfn.SINGLE(INDEX('ROMANEIO POR ITEM'!#REF!, SMALL(IF(_xlfn.SINGLE('ROMANEIO POR ITEM'!#REF!)&lt;&gt;0,_xlfn.SINGLE( ROW('ROMANEIO POR ITEM'!#REF!))-ROW('ROMANEIO POR ITEM'!#REF!)+1), ROW(A800)))), "")</f>
        <v/>
      </c>
      <c r="B801" t="str">
        <f>IF(A801="", "", VLOOKUP(A801, 'ROMANEIO POR ITEM'!#REF!, 2, FALSE))</f>
        <v/>
      </c>
      <c r="C801" t="str">
        <f>IF(A801="", "", VLOOKUP(A801, 'ROMANEIO POR ITEM'!#REF!, 3, FALSE))</f>
        <v/>
      </c>
      <c r="D801" t="str">
        <f>IF(A801="", "", VLOOKUP(A801, 'ROMANEIO POR ITEM'!#REF!, 4, FALSE))</f>
        <v/>
      </c>
      <c r="E801" t="str">
        <f>IF(A801="", "", VLOOKUP(A801, 'ROMANEIO POR ITEM'!#REF!, 5, FALSE))</f>
        <v/>
      </c>
      <c r="F801" t="str">
        <f>IF(A801="", "", VLOOKUP(A801, 'ROMANEIO POR ITEM'!#REF!, 6, FALSE))</f>
        <v/>
      </c>
    </row>
    <row r="802" spans="1:6">
      <c r="A802" t="str">
        <f>IFERROR(_xlfn.SINGLE(INDEX('ROMANEIO POR ITEM'!#REF!, SMALL(IF(_xlfn.SINGLE('ROMANEIO POR ITEM'!#REF!)&lt;&gt;0,_xlfn.SINGLE( ROW('ROMANEIO POR ITEM'!#REF!))-ROW('ROMANEIO POR ITEM'!#REF!)+1), ROW(A801)))), "")</f>
        <v/>
      </c>
      <c r="B802" t="str">
        <f>IF(A802="", "", VLOOKUP(A802, 'ROMANEIO POR ITEM'!#REF!, 2, FALSE))</f>
        <v/>
      </c>
      <c r="C802" t="str">
        <f>IF(A802="", "", VLOOKUP(A802, 'ROMANEIO POR ITEM'!#REF!, 3, FALSE))</f>
        <v/>
      </c>
      <c r="D802" t="str">
        <f>IF(A802="", "", VLOOKUP(A802, 'ROMANEIO POR ITEM'!#REF!, 4, FALSE))</f>
        <v/>
      </c>
      <c r="E802" t="str">
        <f>IF(A802="", "", VLOOKUP(A802, 'ROMANEIO POR ITEM'!#REF!, 5, FALSE))</f>
        <v/>
      </c>
      <c r="F802" t="str">
        <f>IF(A802="", "", VLOOKUP(A802, 'ROMANEIO POR ITEM'!#REF!, 6, FALSE))</f>
        <v/>
      </c>
    </row>
    <row r="803" spans="1:6">
      <c r="A803" t="str">
        <f>IFERROR(_xlfn.SINGLE(INDEX('ROMANEIO POR ITEM'!#REF!, SMALL(IF(_xlfn.SINGLE('ROMANEIO POR ITEM'!#REF!)&lt;&gt;0,_xlfn.SINGLE( ROW('ROMANEIO POR ITEM'!#REF!))-ROW('ROMANEIO POR ITEM'!#REF!)+1), ROW(A802)))), "")</f>
        <v/>
      </c>
      <c r="B803" t="str">
        <f>IF(A803="", "", VLOOKUP(A803, 'ROMANEIO POR ITEM'!#REF!, 2, FALSE))</f>
        <v/>
      </c>
      <c r="C803" t="str">
        <f>IF(A803="", "", VLOOKUP(A803, 'ROMANEIO POR ITEM'!#REF!, 3, FALSE))</f>
        <v/>
      </c>
      <c r="D803" t="str">
        <f>IF(A803="", "", VLOOKUP(A803, 'ROMANEIO POR ITEM'!#REF!, 4, FALSE))</f>
        <v/>
      </c>
      <c r="E803" t="str">
        <f>IF(A803="", "", VLOOKUP(A803, 'ROMANEIO POR ITEM'!#REF!, 5, FALSE))</f>
        <v/>
      </c>
      <c r="F803" t="str">
        <f>IF(A803="", "", VLOOKUP(A803, 'ROMANEIO POR ITEM'!#REF!, 6, FALSE))</f>
        <v/>
      </c>
    </row>
    <row r="804" spans="1:6">
      <c r="A804" t="str">
        <f>IFERROR(_xlfn.SINGLE(INDEX('ROMANEIO POR ITEM'!#REF!, SMALL(IF(_xlfn.SINGLE('ROMANEIO POR ITEM'!#REF!)&lt;&gt;0,_xlfn.SINGLE( ROW('ROMANEIO POR ITEM'!#REF!))-ROW('ROMANEIO POR ITEM'!#REF!)+1), ROW(A803)))), "")</f>
        <v/>
      </c>
      <c r="B804" t="str">
        <f>IF(A804="", "", VLOOKUP(A804, 'ROMANEIO POR ITEM'!#REF!, 2, FALSE))</f>
        <v/>
      </c>
      <c r="C804" t="str">
        <f>IF(A804="", "", VLOOKUP(A804, 'ROMANEIO POR ITEM'!#REF!, 3, FALSE))</f>
        <v/>
      </c>
      <c r="D804" t="str">
        <f>IF(A804="", "", VLOOKUP(A804, 'ROMANEIO POR ITEM'!#REF!, 4, FALSE))</f>
        <v/>
      </c>
      <c r="E804" t="str">
        <f>IF(A804="", "", VLOOKUP(A804, 'ROMANEIO POR ITEM'!#REF!, 5, FALSE))</f>
        <v/>
      </c>
      <c r="F804" t="str">
        <f>IF(A804="", "", VLOOKUP(A804, 'ROMANEIO POR ITEM'!#REF!, 6, FALSE))</f>
        <v/>
      </c>
    </row>
    <row r="805" spans="1:6">
      <c r="A805" t="str">
        <f>IFERROR(_xlfn.SINGLE(INDEX('ROMANEIO POR ITEM'!#REF!, SMALL(IF(_xlfn.SINGLE('ROMANEIO POR ITEM'!#REF!)&lt;&gt;0,_xlfn.SINGLE( ROW('ROMANEIO POR ITEM'!#REF!))-ROW('ROMANEIO POR ITEM'!#REF!)+1), ROW(A804)))), "")</f>
        <v/>
      </c>
      <c r="B805" t="str">
        <f>IF(A805="", "", VLOOKUP(A805, 'ROMANEIO POR ITEM'!#REF!, 2, FALSE))</f>
        <v/>
      </c>
      <c r="C805" t="str">
        <f>IF(A805="", "", VLOOKUP(A805, 'ROMANEIO POR ITEM'!#REF!, 3, FALSE))</f>
        <v/>
      </c>
      <c r="D805" t="str">
        <f>IF(A805="", "", VLOOKUP(A805, 'ROMANEIO POR ITEM'!#REF!, 4, FALSE))</f>
        <v/>
      </c>
      <c r="E805" t="str">
        <f>IF(A805="", "", VLOOKUP(A805, 'ROMANEIO POR ITEM'!#REF!, 5, FALSE))</f>
        <v/>
      </c>
      <c r="F805" t="str">
        <f>IF(A805="", "", VLOOKUP(A805, 'ROMANEIO POR ITEM'!#REF!, 6, FALSE))</f>
        <v/>
      </c>
    </row>
    <row r="806" spans="1:6">
      <c r="A806" t="str">
        <f>IFERROR(_xlfn.SINGLE(INDEX('ROMANEIO POR ITEM'!#REF!, SMALL(IF(_xlfn.SINGLE('ROMANEIO POR ITEM'!#REF!)&lt;&gt;0,_xlfn.SINGLE( ROW('ROMANEIO POR ITEM'!#REF!))-ROW('ROMANEIO POR ITEM'!#REF!)+1), ROW(A805)))), "")</f>
        <v/>
      </c>
      <c r="B806" t="str">
        <f>IF(A806="", "", VLOOKUP(A806, 'ROMANEIO POR ITEM'!#REF!, 2, FALSE))</f>
        <v/>
      </c>
      <c r="C806" t="str">
        <f>IF(A806="", "", VLOOKUP(A806, 'ROMANEIO POR ITEM'!#REF!, 3, FALSE))</f>
        <v/>
      </c>
      <c r="D806" t="str">
        <f>IF(A806="", "", VLOOKUP(A806, 'ROMANEIO POR ITEM'!#REF!, 4, FALSE))</f>
        <v/>
      </c>
      <c r="E806" t="str">
        <f>IF(A806="", "", VLOOKUP(A806, 'ROMANEIO POR ITEM'!#REF!, 5, FALSE))</f>
        <v/>
      </c>
      <c r="F806" t="str">
        <f>IF(A806="", "", VLOOKUP(A806, 'ROMANEIO POR ITEM'!#REF!, 6, FALSE))</f>
        <v/>
      </c>
    </row>
    <row r="807" spans="1:6">
      <c r="A807" t="str">
        <f>IFERROR(_xlfn.SINGLE(INDEX('ROMANEIO POR ITEM'!#REF!, SMALL(IF(_xlfn.SINGLE('ROMANEIO POR ITEM'!#REF!)&lt;&gt;0,_xlfn.SINGLE( ROW('ROMANEIO POR ITEM'!#REF!))-ROW('ROMANEIO POR ITEM'!#REF!)+1), ROW(A806)))), "")</f>
        <v/>
      </c>
      <c r="B807" t="str">
        <f>IF(A807="", "", VLOOKUP(A807, 'ROMANEIO POR ITEM'!#REF!, 2, FALSE))</f>
        <v/>
      </c>
      <c r="C807" t="str">
        <f>IF(A807="", "", VLOOKUP(A807, 'ROMANEIO POR ITEM'!#REF!, 3, FALSE))</f>
        <v/>
      </c>
      <c r="D807" t="str">
        <f>IF(A807="", "", VLOOKUP(A807, 'ROMANEIO POR ITEM'!#REF!, 4, FALSE))</f>
        <v/>
      </c>
      <c r="E807" t="str">
        <f>IF(A807="", "", VLOOKUP(A807, 'ROMANEIO POR ITEM'!#REF!, 5, FALSE))</f>
        <v/>
      </c>
      <c r="F807" t="str">
        <f>IF(A807="", "", VLOOKUP(A807, 'ROMANEIO POR ITEM'!#REF!, 6, FALSE))</f>
        <v/>
      </c>
    </row>
    <row r="808" spans="1:6">
      <c r="A808" t="str">
        <f>IFERROR(_xlfn.SINGLE(INDEX('ROMANEIO POR ITEM'!#REF!, SMALL(IF(_xlfn.SINGLE('ROMANEIO POR ITEM'!#REF!)&lt;&gt;0,_xlfn.SINGLE( ROW('ROMANEIO POR ITEM'!#REF!))-ROW('ROMANEIO POR ITEM'!#REF!)+1), ROW(A807)))), "")</f>
        <v/>
      </c>
      <c r="B808" t="str">
        <f>IF(A808="", "", VLOOKUP(A808, 'ROMANEIO POR ITEM'!#REF!, 2, FALSE))</f>
        <v/>
      </c>
      <c r="C808" t="str">
        <f>IF(A808="", "", VLOOKUP(A808, 'ROMANEIO POR ITEM'!#REF!, 3, FALSE))</f>
        <v/>
      </c>
      <c r="D808" t="str">
        <f>IF(A808="", "", VLOOKUP(A808, 'ROMANEIO POR ITEM'!#REF!, 4, FALSE))</f>
        <v/>
      </c>
      <c r="E808" t="str">
        <f>IF(A808="", "", VLOOKUP(A808, 'ROMANEIO POR ITEM'!#REF!, 5, FALSE))</f>
        <v/>
      </c>
      <c r="F808" t="str">
        <f>IF(A808="", "", VLOOKUP(A808, 'ROMANEIO POR ITEM'!#REF!, 6, FALSE))</f>
        <v/>
      </c>
    </row>
    <row r="809" spans="1:6">
      <c r="A809" t="str">
        <f>IFERROR(_xlfn.SINGLE(INDEX('ROMANEIO POR ITEM'!#REF!, SMALL(IF(_xlfn.SINGLE('ROMANEIO POR ITEM'!#REF!)&lt;&gt;0,_xlfn.SINGLE( ROW('ROMANEIO POR ITEM'!#REF!))-ROW('ROMANEIO POR ITEM'!#REF!)+1), ROW(A808)))), "")</f>
        <v/>
      </c>
      <c r="B809" t="str">
        <f>IF(A809="", "", VLOOKUP(A809, 'ROMANEIO POR ITEM'!#REF!, 2, FALSE))</f>
        <v/>
      </c>
      <c r="C809" t="str">
        <f>IF(A809="", "", VLOOKUP(A809, 'ROMANEIO POR ITEM'!#REF!, 3, FALSE))</f>
        <v/>
      </c>
      <c r="D809" t="str">
        <f>IF(A809="", "", VLOOKUP(A809, 'ROMANEIO POR ITEM'!#REF!, 4, FALSE))</f>
        <v/>
      </c>
      <c r="E809" t="str">
        <f>IF(A809="", "", VLOOKUP(A809, 'ROMANEIO POR ITEM'!#REF!, 5, FALSE))</f>
        <v/>
      </c>
      <c r="F809" t="str">
        <f>IF(A809="", "", VLOOKUP(A809, 'ROMANEIO POR ITEM'!#REF!, 6, FALSE))</f>
        <v/>
      </c>
    </row>
    <row r="810" spans="1:6">
      <c r="A810" t="str">
        <f>IFERROR(_xlfn.SINGLE(INDEX('ROMANEIO POR ITEM'!#REF!, SMALL(IF(_xlfn.SINGLE('ROMANEIO POR ITEM'!#REF!)&lt;&gt;0,_xlfn.SINGLE( ROW('ROMANEIO POR ITEM'!#REF!))-ROW('ROMANEIO POR ITEM'!#REF!)+1), ROW(A809)))), "")</f>
        <v/>
      </c>
      <c r="B810" t="str">
        <f>IF(A810="", "", VLOOKUP(A810, 'ROMANEIO POR ITEM'!#REF!, 2, FALSE))</f>
        <v/>
      </c>
      <c r="C810" t="str">
        <f>IF(A810="", "", VLOOKUP(A810, 'ROMANEIO POR ITEM'!#REF!, 3, FALSE))</f>
        <v/>
      </c>
      <c r="D810" t="str">
        <f>IF(A810="", "", VLOOKUP(A810, 'ROMANEIO POR ITEM'!#REF!, 4, FALSE))</f>
        <v/>
      </c>
      <c r="E810" t="str">
        <f>IF(A810="", "", VLOOKUP(A810, 'ROMANEIO POR ITEM'!#REF!, 5, FALSE))</f>
        <v/>
      </c>
      <c r="F810" t="str">
        <f>IF(A810="", "", VLOOKUP(A810, 'ROMANEIO POR ITEM'!#REF!, 6, FALSE))</f>
        <v/>
      </c>
    </row>
    <row r="811" spans="1:6">
      <c r="A811" t="str">
        <f>IFERROR(_xlfn.SINGLE(INDEX('ROMANEIO POR ITEM'!#REF!, SMALL(IF(_xlfn.SINGLE('ROMANEIO POR ITEM'!#REF!)&lt;&gt;0,_xlfn.SINGLE( ROW('ROMANEIO POR ITEM'!#REF!))-ROW('ROMANEIO POR ITEM'!#REF!)+1), ROW(A810)))), "")</f>
        <v/>
      </c>
      <c r="B811" t="str">
        <f>IF(A811="", "", VLOOKUP(A811, 'ROMANEIO POR ITEM'!#REF!, 2, FALSE))</f>
        <v/>
      </c>
      <c r="C811" t="str">
        <f>IF(A811="", "", VLOOKUP(A811, 'ROMANEIO POR ITEM'!#REF!, 3, FALSE))</f>
        <v/>
      </c>
      <c r="D811" t="str">
        <f>IF(A811="", "", VLOOKUP(A811, 'ROMANEIO POR ITEM'!#REF!, 4, FALSE))</f>
        <v/>
      </c>
      <c r="E811" t="str">
        <f>IF(A811="", "", VLOOKUP(A811, 'ROMANEIO POR ITEM'!#REF!, 5, FALSE))</f>
        <v/>
      </c>
      <c r="F811" t="str">
        <f>IF(A811="", "", VLOOKUP(A811, 'ROMANEIO POR ITEM'!#REF!, 6, FALSE))</f>
        <v/>
      </c>
    </row>
    <row r="812" spans="1:6">
      <c r="A812" t="str">
        <f>IFERROR(_xlfn.SINGLE(INDEX('ROMANEIO POR ITEM'!#REF!, SMALL(IF(_xlfn.SINGLE('ROMANEIO POR ITEM'!#REF!)&lt;&gt;0,_xlfn.SINGLE( ROW('ROMANEIO POR ITEM'!#REF!))-ROW('ROMANEIO POR ITEM'!#REF!)+1), ROW(A811)))), "")</f>
        <v/>
      </c>
      <c r="B812" t="str">
        <f>IF(A812="", "", VLOOKUP(A812, 'ROMANEIO POR ITEM'!#REF!, 2, FALSE))</f>
        <v/>
      </c>
      <c r="C812" t="str">
        <f>IF(A812="", "", VLOOKUP(A812, 'ROMANEIO POR ITEM'!#REF!, 3, FALSE))</f>
        <v/>
      </c>
      <c r="D812" t="str">
        <f>IF(A812="", "", VLOOKUP(A812, 'ROMANEIO POR ITEM'!#REF!, 4, FALSE))</f>
        <v/>
      </c>
      <c r="E812" t="str">
        <f>IF(A812="", "", VLOOKUP(A812, 'ROMANEIO POR ITEM'!#REF!, 5, FALSE))</f>
        <v/>
      </c>
      <c r="F812" t="str">
        <f>IF(A812="", "", VLOOKUP(A812, 'ROMANEIO POR ITEM'!#REF!, 6, FALSE))</f>
        <v/>
      </c>
    </row>
    <row r="813" spans="1:6">
      <c r="A813" t="str">
        <f>IFERROR(_xlfn.SINGLE(INDEX('ROMANEIO POR ITEM'!#REF!, SMALL(IF(_xlfn.SINGLE('ROMANEIO POR ITEM'!#REF!)&lt;&gt;0,_xlfn.SINGLE( ROW('ROMANEIO POR ITEM'!#REF!))-ROW('ROMANEIO POR ITEM'!#REF!)+1), ROW(A812)))), "")</f>
        <v/>
      </c>
      <c r="B813" t="str">
        <f>IF(A813="", "", VLOOKUP(A813, 'ROMANEIO POR ITEM'!#REF!, 2, FALSE))</f>
        <v/>
      </c>
      <c r="C813" t="str">
        <f>IF(A813="", "", VLOOKUP(A813, 'ROMANEIO POR ITEM'!#REF!, 3, FALSE))</f>
        <v/>
      </c>
      <c r="D813" t="str">
        <f>IF(A813="", "", VLOOKUP(A813, 'ROMANEIO POR ITEM'!#REF!, 4, FALSE))</f>
        <v/>
      </c>
      <c r="E813" t="str">
        <f>IF(A813="", "", VLOOKUP(A813, 'ROMANEIO POR ITEM'!#REF!, 5, FALSE))</f>
        <v/>
      </c>
      <c r="F813" t="str">
        <f>IF(A813="", "", VLOOKUP(A813, 'ROMANEIO POR ITEM'!#REF!, 6, FALSE))</f>
        <v/>
      </c>
    </row>
    <row r="814" spans="1:6">
      <c r="A814" t="str">
        <f>IFERROR(_xlfn.SINGLE(INDEX('ROMANEIO POR ITEM'!#REF!, SMALL(IF(_xlfn.SINGLE('ROMANEIO POR ITEM'!#REF!)&lt;&gt;0,_xlfn.SINGLE( ROW('ROMANEIO POR ITEM'!#REF!))-ROW('ROMANEIO POR ITEM'!#REF!)+1), ROW(A813)))), "")</f>
        <v/>
      </c>
      <c r="B814" t="str">
        <f>IF(A814="", "", VLOOKUP(A814, 'ROMANEIO POR ITEM'!#REF!, 2, FALSE))</f>
        <v/>
      </c>
      <c r="C814" t="str">
        <f>IF(A814="", "", VLOOKUP(A814, 'ROMANEIO POR ITEM'!#REF!, 3, FALSE))</f>
        <v/>
      </c>
      <c r="D814" t="str">
        <f>IF(A814="", "", VLOOKUP(A814, 'ROMANEIO POR ITEM'!#REF!, 4, FALSE))</f>
        <v/>
      </c>
      <c r="E814" t="str">
        <f>IF(A814="", "", VLOOKUP(A814, 'ROMANEIO POR ITEM'!#REF!, 5, FALSE))</f>
        <v/>
      </c>
      <c r="F814" t="str">
        <f>IF(A814="", "", VLOOKUP(A814, 'ROMANEIO POR ITEM'!#REF!, 6, FALSE))</f>
        <v/>
      </c>
    </row>
    <row r="815" spans="1:6">
      <c r="A815" t="str">
        <f>IFERROR(_xlfn.SINGLE(INDEX('ROMANEIO POR ITEM'!#REF!, SMALL(IF(_xlfn.SINGLE('ROMANEIO POR ITEM'!#REF!)&lt;&gt;0,_xlfn.SINGLE( ROW('ROMANEIO POR ITEM'!#REF!))-ROW('ROMANEIO POR ITEM'!#REF!)+1), ROW(A814)))), "")</f>
        <v/>
      </c>
      <c r="B815" t="str">
        <f>IF(A815="", "", VLOOKUP(A815, 'ROMANEIO POR ITEM'!#REF!, 2, FALSE))</f>
        <v/>
      </c>
      <c r="C815" t="str">
        <f>IF(A815="", "", VLOOKUP(A815, 'ROMANEIO POR ITEM'!#REF!, 3, FALSE))</f>
        <v/>
      </c>
      <c r="D815" t="str">
        <f>IF(A815="", "", VLOOKUP(A815, 'ROMANEIO POR ITEM'!#REF!, 4, FALSE))</f>
        <v/>
      </c>
      <c r="E815" t="str">
        <f>IF(A815="", "", VLOOKUP(A815, 'ROMANEIO POR ITEM'!#REF!, 5, FALSE))</f>
        <v/>
      </c>
      <c r="F815" t="str">
        <f>IF(A815="", "", VLOOKUP(A815, 'ROMANEIO POR ITEM'!#REF!, 6, FALSE))</f>
        <v/>
      </c>
    </row>
    <row r="816" spans="1:6">
      <c r="A816" t="str">
        <f>IFERROR(_xlfn.SINGLE(INDEX('ROMANEIO POR ITEM'!#REF!, SMALL(IF(_xlfn.SINGLE('ROMANEIO POR ITEM'!#REF!)&lt;&gt;0,_xlfn.SINGLE( ROW('ROMANEIO POR ITEM'!#REF!))-ROW('ROMANEIO POR ITEM'!#REF!)+1), ROW(A815)))), "")</f>
        <v/>
      </c>
      <c r="B816" t="str">
        <f>IF(A816="", "", VLOOKUP(A816, 'ROMANEIO POR ITEM'!#REF!, 2, FALSE))</f>
        <v/>
      </c>
      <c r="C816" t="str">
        <f>IF(A816="", "", VLOOKUP(A816, 'ROMANEIO POR ITEM'!#REF!, 3, FALSE))</f>
        <v/>
      </c>
      <c r="D816" t="str">
        <f>IF(A816="", "", VLOOKUP(A816, 'ROMANEIO POR ITEM'!#REF!, 4, FALSE))</f>
        <v/>
      </c>
      <c r="E816" t="str">
        <f>IF(A816="", "", VLOOKUP(A816, 'ROMANEIO POR ITEM'!#REF!, 5, FALSE))</f>
        <v/>
      </c>
      <c r="F816" t="str">
        <f>IF(A816="", "", VLOOKUP(A816, 'ROMANEIO POR ITEM'!#REF!, 6, FALSE))</f>
        <v/>
      </c>
    </row>
    <row r="817" spans="1:6">
      <c r="A817" t="str">
        <f>IFERROR(_xlfn.SINGLE(INDEX('ROMANEIO POR ITEM'!#REF!, SMALL(IF(_xlfn.SINGLE('ROMANEIO POR ITEM'!#REF!)&lt;&gt;0,_xlfn.SINGLE( ROW('ROMANEIO POR ITEM'!#REF!))-ROW('ROMANEIO POR ITEM'!#REF!)+1), ROW(A816)))), "")</f>
        <v/>
      </c>
      <c r="B817" t="str">
        <f>IF(A817="", "", VLOOKUP(A817, 'ROMANEIO POR ITEM'!#REF!, 2, FALSE))</f>
        <v/>
      </c>
      <c r="C817" t="str">
        <f>IF(A817="", "", VLOOKUP(A817, 'ROMANEIO POR ITEM'!#REF!, 3, FALSE))</f>
        <v/>
      </c>
      <c r="D817" t="str">
        <f>IF(A817="", "", VLOOKUP(A817, 'ROMANEIO POR ITEM'!#REF!, 4, FALSE))</f>
        <v/>
      </c>
      <c r="E817" t="str">
        <f>IF(A817="", "", VLOOKUP(A817, 'ROMANEIO POR ITEM'!#REF!, 5, FALSE))</f>
        <v/>
      </c>
      <c r="F817" t="str">
        <f>IF(A817="", "", VLOOKUP(A817, 'ROMANEIO POR ITEM'!#REF!, 6, FALSE))</f>
        <v/>
      </c>
    </row>
    <row r="818" spans="1:6">
      <c r="A818" t="str">
        <f>IFERROR(_xlfn.SINGLE(INDEX('ROMANEIO POR ITEM'!#REF!, SMALL(IF(_xlfn.SINGLE('ROMANEIO POR ITEM'!#REF!)&lt;&gt;0,_xlfn.SINGLE( ROW('ROMANEIO POR ITEM'!#REF!))-ROW('ROMANEIO POR ITEM'!#REF!)+1), ROW(A817)))), "")</f>
        <v/>
      </c>
      <c r="B818" t="str">
        <f>IF(A818="", "", VLOOKUP(A818, 'ROMANEIO POR ITEM'!#REF!, 2, FALSE))</f>
        <v/>
      </c>
      <c r="C818" t="str">
        <f>IF(A818="", "", VLOOKUP(A818, 'ROMANEIO POR ITEM'!#REF!, 3, FALSE))</f>
        <v/>
      </c>
      <c r="D818" t="str">
        <f>IF(A818="", "", VLOOKUP(A818, 'ROMANEIO POR ITEM'!#REF!, 4, FALSE))</f>
        <v/>
      </c>
      <c r="E818" t="str">
        <f>IF(A818="", "", VLOOKUP(A818, 'ROMANEIO POR ITEM'!#REF!, 5, FALSE))</f>
        <v/>
      </c>
      <c r="F818" t="str">
        <f>IF(A818="", "", VLOOKUP(A818, 'ROMANEIO POR ITEM'!#REF!, 6, FALSE))</f>
        <v/>
      </c>
    </row>
    <row r="819" spans="1:6">
      <c r="A819" t="str">
        <f>IFERROR(_xlfn.SINGLE(INDEX('ROMANEIO POR ITEM'!#REF!, SMALL(IF(_xlfn.SINGLE('ROMANEIO POR ITEM'!#REF!)&lt;&gt;0,_xlfn.SINGLE( ROW('ROMANEIO POR ITEM'!#REF!))-ROW('ROMANEIO POR ITEM'!#REF!)+1), ROW(A818)))), "")</f>
        <v/>
      </c>
      <c r="B819" t="str">
        <f>IF(A819="", "", VLOOKUP(A819, 'ROMANEIO POR ITEM'!#REF!, 2, FALSE))</f>
        <v/>
      </c>
      <c r="C819" t="str">
        <f>IF(A819="", "", VLOOKUP(A819, 'ROMANEIO POR ITEM'!#REF!, 3, FALSE))</f>
        <v/>
      </c>
      <c r="D819" t="str">
        <f>IF(A819="", "", VLOOKUP(A819, 'ROMANEIO POR ITEM'!#REF!, 4, FALSE))</f>
        <v/>
      </c>
      <c r="E819" t="str">
        <f>IF(A819="", "", VLOOKUP(A819, 'ROMANEIO POR ITEM'!#REF!, 5, FALSE))</f>
        <v/>
      </c>
      <c r="F819" t="str">
        <f>IF(A819="", "", VLOOKUP(A819, 'ROMANEIO POR ITEM'!#REF!, 6, FALSE))</f>
        <v/>
      </c>
    </row>
    <row r="820" spans="1:6">
      <c r="A820" t="str">
        <f>IFERROR(_xlfn.SINGLE(INDEX('ROMANEIO POR ITEM'!#REF!, SMALL(IF(_xlfn.SINGLE('ROMANEIO POR ITEM'!#REF!)&lt;&gt;0,_xlfn.SINGLE( ROW('ROMANEIO POR ITEM'!#REF!))-ROW('ROMANEIO POR ITEM'!#REF!)+1), ROW(A819)))), "")</f>
        <v/>
      </c>
      <c r="B820" t="str">
        <f>IF(A820="", "", VLOOKUP(A820, 'ROMANEIO POR ITEM'!#REF!, 2, FALSE))</f>
        <v/>
      </c>
      <c r="C820" t="str">
        <f>IF(A820="", "", VLOOKUP(A820, 'ROMANEIO POR ITEM'!#REF!, 3, FALSE))</f>
        <v/>
      </c>
      <c r="D820" t="str">
        <f>IF(A820="", "", VLOOKUP(A820, 'ROMANEIO POR ITEM'!#REF!, 4, FALSE))</f>
        <v/>
      </c>
      <c r="E820" t="str">
        <f>IF(A820="", "", VLOOKUP(A820, 'ROMANEIO POR ITEM'!#REF!, 5, FALSE))</f>
        <v/>
      </c>
      <c r="F820" t="str">
        <f>IF(A820="", "", VLOOKUP(A820, 'ROMANEIO POR ITEM'!#REF!, 6, FALSE))</f>
        <v/>
      </c>
    </row>
    <row r="821" spans="1:6">
      <c r="A821" t="str">
        <f>IFERROR(_xlfn.SINGLE(INDEX('ROMANEIO POR ITEM'!#REF!, SMALL(IF(_xlfn.SINGLE('ROMANEIO POR ITEM'!#REF!)&lt;&gt;0,_xlfn.SINGLE( ROW('ROMANEIO POR ITEM'!#REF!))-ROW('ROMANEIO POR ITEM'!#REF!)+1), ROW(A820)))), "")</f>
        <v/>
      </c>
      <c r="B821" t="str">
        <f>IF(A821="", "", VLOOKUP(A821, 'ROMANEIO POR ITEM'!#REF!, 2, FALSE))</f>
        <v/>
      </c>
      <c r="C821" t="str">
        <f>IF(A821="", "", VLOOKUP(A821, 'ROMANEIO POR ITEM'!#REF!, 3, FALSE))</f>
        <v/>
      </c>
      <c r="D821" t="str">
        <f>IF(A821="", "", VLOOKUP(A821, 'ROMANEIO POR ITEM'!#REF!, 4, FALSE))</f>
        <v/>
      </c>
      <c r="E821" t="str">
        <f>IF(A821="", "", VLOOKUP(A821, 'ROMANEIO POR ITEM'!#REF!, 5, FALSE))</f>
        <v/>
      </c>
      <c r="F821" t="str">
        <f>IF(A821="", "", VLOOKUP(A821, 'ROMANEIO POR ITEM'!#REF!, 6, FALSE))</f>
        <v/>
      </c>
    </row>
    <row r="822" spans="1:6">
      <c r="A822" t="str">
        <f>IFERROR(_xlfn.SINGLE(INDEX('ROMANEIO POR ITEM'!#REF!, SMALL(IF(_xlfn.SINGLE('ROMANEIO POR ITEM'!#REF!)&lt;&gt;0,_xlfn.SINGLE( ROW('ROMANEIO POR ITEM'!#REF!))-ROW('ROMANEIO POR ITEM'!#REF!)+1), ROW(A821)))), "")</f>
        <v/>
      </c>
      <c r="B822" t="str">
        <f>IF(A822="", "", VLOOKUP(A822, 'ROMANEIO POR ITEM'!#REF!, 2, FALSE))</f>
        <v/>
      </c>
      <c r="C822" t="str">
        <f>IF(A822="", "", VLOOKUP(A822, 'ROMANEIO POR ITEM'!#REF!, 3, FALSE))</f>
        <v/>
      </c>
      <c r="D822" t="str">
        <f>IF(A822="", "", VLOOKUP(A822, 'ROMANEIO POR ITEM'!#REF!, 4, FALSE))</f>
        <v/>
      </c>
      <c r="E822" t="str">
        <f>IF(A822="", "", VLOOKUP(A822, 'ROMANEIO POR ITEM'!#REF!, 5, FALSE))</f>
        <v/>
      </c>
      <c r="F822" t="str">
        <f>IF(A822="", "", VLOOKUP(A822, 'ROMANEIO POR ITEM'!#REF!, 6, FALSE))</f>
        <v/>
      </c>
    </row>
    <row r="823" spans="1:6">
      <c r="A823" t="str">
        <f>IFERROR(_xlfn.SINGLE(INDEX('ROMANEIO POR ITEM'!#REF!, SMALL(IF(_xlfn.SINGLE('ROMANEIO POR ITEM'!#REF!)&lt;&gt;0,_xlfn.SINGLE( ROW('ROMANEIO POR ITEM'!#REF!))-ROW('ROMANEIO POR ITEM'!#REF!)+1), ROW(A822)))), "")</f>
        <v/>
      </c>
      <c r="B823" t="str">
        <f>IF(A823="", "", VLOOKUP(A823, 'ROMANEIO POR ITEM'!#REF!, 2, FALSE))</f>
        <v/>
      </c>
      <c r="C823" t="str">
        <f>IF(A823="", "", VLOOKUP(A823, 'ROMANEIO POR ITEM'!#REF!, 3, FALSE))</f>
        <v/>
      </c>
      <c r="D823" t="str">
        <f>IF(A823="", "", VLOOKUP(A823, 'ROMANEIO POR ITEM'!#REF!, 4, FALSE))</f>
        <v/>
      </c>
      <c r="E823" t="str">
        <f>IF(A823="", "", VLOOKUP(A823, 'ROMANEIO POR ITEM'!#REF!, 5, FALSE))</f>
        <v/>
      </c>
      <c r="F823" t="str">
        <f>IF(A823="", "", VLOOKUP(A823, 'ROMANEIO POR ITEM'!#REF!, 6, FALSE))</f>
        <v/>
      </c>
    </row>
    <row r="824" spans="1:6">
      <c r="A824" t="str">
        <f>IFERROR(_xlfn.SINGLE(INDEX('ROMANEIO POR ITEM'!#REF!, SMALL(IF(_xlfn.SINGLE('ROMANEIO POR ITEM'!#REF!)&lt;&gt;0,_xlfn.SINGLE( ROW('ROMANEIO POR ITEM'!#REF!))-ROW('ROMANEIO POR ITEM'!#REF!)+1), ROW(A823)))), "")</f>
        <v/>
      </c>
      <c r="B824" t="str">
        <f>IF(A824="", "", VLOOKUP(A824, 'ROMANEIO POR ITEM'!#REF!, 2, FALSE))</f>
        <v/>
      </c>
      <c r="C824" t="str">
        <f>IF(A824="", "", VLOOKUP(A824, 'ROMANEIO POR ITEM'!#REF!, 3, FALSE))</f>
        <v/>
      </c>
      <c r="D824" t="str">
        <f>IF(A824="", "", VLOOKUP(A824, 'ROMANEIO POR ITEM'!#REF!, 4, FALSE))</f>
        <v/>
      </c>
      <c r="E824" t="str">
        <f>IF(A824="", "", VLOOKUP(A824, 'ROMANEIO POR ITEM'!#REF!, 5, FALSE))</f>
        <v/>
      </c>
      <c r="F824" t="str">
        <f>IF(A824="", "", VLOOKUP(A824, 'ROMANEIO POR ITEM'!#REF!, 6, FALSE))</f>
        <v/>
      </c>
    </row>
    <row r="825" spans="1:6">
      <c r="A825" t="str">
        <f>IFERROR(_xlfn.SINGLE(INDEX('ROMANEIO POR ITEM'!#REF!, SMALL(IF(_xlfn.SINGLE('ROMANEIO POR ITEM'!#REF!)&lt;&gt;0,_xlfn.SINGLE( ROW('ROMANEIO POR ITEM'!#REF!))-ROW('ROMANEIO POR ITEM'!#REF!)+1), ROW(A824)))), "")</f>
        <v/>
      </c>
      <c r="B825" t="str">
        <f>IF(A825="", "", VLOOKUP(A825, 'ROMANEIO POR ITEM'!#REF!, 2, FALSE))</f>
        <v/>
      </c>
      <c r="C825" t="str">
        <f>IF(A825="", "", VLOOKUP(A825, 'ROMANEIO POR ITEM'!#REF!, 3, FALSE))</f>
        <v/>
      </c>
      <c r="D825" t="str">
        <f>IF(A825="", "", VLOOKUP(A825, 'ROMANEIO POR ITEM'!#REF!, 4, FALSE))</f>
        <v/>
      </c>
      <c r="E825" t="str">
        <f>IF(A825="", "", VLOOKUP(A825, 'ROMANEIO POR ITEM'!#REF!, 5, FALSE))</f>
        <v/>
      </c>
      <c r="F825" t="str">
        <f>IF(A825="", "", VLOOKUP(A825, 'ROMANEIO POR ITEM'!#REF!, 6, FALSE))</f>
        <v/>
      </c>
    </row>
    <row r="826" spans="1:6">
      <c r="A826" t="str">
        <f>IFERROR(_xlfn.SINGLE(INDEX('ROMANEIO POR ITEM'!#REF!, SMALL(IF(_xlfn.SINGLE('ROMANEIO POR ITEM'!#REF!)&lt;&gt;0,_xlfn.SINGLE( ROW('ROMANEIO POR ITEM'!#REF!))-ROW('ROMANEIO POR ITEM'!#REF!)+1), ROW(A825)))), "")</f>
        <v/>
      </c>
      <c r="B826" t="str">
        <f>IF(A826="", "", VLOOKUP(A826, 'ROMANEIO POR ITEM'!#REF!, 2, FALSE))</f>
        <v/>
      </c>
      <c r="C826" t="str">
        <f>IF(A826="", "", VLOOKUP(A826, 'ROMANEIO POR ITEM'!#REF!, 3, FALSE))</f>
        <v/>
      </c>
      <c r="D826" t="str">
        <f>IF(A826="", "", VLOOKUP(A826, 'ROMANEIO POR ITEM'!#REF!, 4, FALSE))</f>
        <v/>
      </c>
      <c r="E826" t="str">
        <f>IF(A826="", "", VLOOKUP(A826, 'ROMANEIO POR ITEM'!#REF!, 5, FALSE))</f>
        <v/>
      </c>
      <c r="F826" t="str">
        <f>IF(A826="", "", VLOOKUP(A826, 'ROMANEIO POR ITEM'!#REF!, 6, FALSE))</f>
        <v/>
      </c>
    </row>
    <row r="827" spans="1:6">
      <c r="A827" t="str">
        <f>IFERROR(_xlfn.SINGLE(INDEX('ROMANEIO POR ITEM'!#REF!, SMALL(IF(_xlfn.SINGLE('ROMANEIO POR ITEM'!#REF!)&lt;&gt;0,_xlfn.SINGLE( ROW('ROMANEIO POR ITEM'!#REF!))-ROW('ROMANEIO POR ITEM'!#REF!)+1), ROW(A826)))), "")</f>
        <v/>
      </c>
      <c r="B827" t="str">
        <f>IF(A827="", "", VLOOKUP(A827, 'ROMANEIO POR ITEM'!#REF!, 2, FALSE))</f>
        <v/>
      </c>
      <c r="C827" t="str">
        <f>IF(A827="", "", VLOOKUP(A827, 'ROMANEIO POR ITEM'!#REF!, 3, FALSE))</f>
        <v/>
      </c>
      <c r="D827" t="str">
        <f>IF(A827="", "", VLOOKUP(A827, 'ROMANEIO POR ITEM'!#REF!, 4, FALSE))</f>
        <v/>
      </c>
      <c r="E827" t="str">
        <f>IF(A827="", "", VLOOKUP(A827, 'ROMANEIO POR ITEM'!#REF!, 5, FALSE))</f>
        <v/>
      </c>
      <c r="F827" t="str">
        <f>IF(A827="", "", VLOOKUP(A827, 'ROMANEIO POR ITEM'!#REF!, 6, FALSE))</f>
        <v/>
      </c>
    </row>
    <row r="828" spans="1:6">
      <c r="A828" t="str">
        <f>IFERROR(_xlfn.SINGLE(INDEX('ROMANEIO POR ITEM'!#REF!, SMALL(IF(_xlfn.SINGLE('ROMANEIO POR ITEM'!#REF!)&lt;&gt;0,_xlfn.SINGLE( ROW('ROMANEIO POR ITEM'!#REF!))-ROW('ROMANEIO POR ITEM'!#REF!)+1), ROW(A827)))), "")</f>
        <v/>
      </c>
      <c r="B828" t="str">
        <f>IF(A828="", "", VLOOKUP(A828, 'ROMANEIO POR ITEM'!#REF!, 2, FALSE))</f>
        <v/>
      </c>
      <c r="C828" t="str">
        <f>IF(A828="", "", VLOOKUP(A828, 'ROMANEIO POR ITEM'!#REF!, 3, FALSE))</f>
        <v/>
      </c>
      <c r="D828" t="str">
        <f>IF(A828="", "", VLOOKUP(A828, 'ROMANEIO POR ITEM'!#REF!, 4, FALSE))</f>
        <v/>
      </c>
      <c r="E828" t="str">
        <f>IF(A828="", "", VLOOKUP(A828, 'ROMANEIO POR ITEM'!#REF!, 5, FALSE))</f>
        <v/>
      </c>
      <c r="F828" t="str">
        <f>IF(A828="", "", VLOOKUP(A828, 'ROMANEIO POR ITEM'!#REF!, 6, FALSE))</f>
        <v/>
      </c>
    </row>
    <row r="829" spans="1:6">
      <c r="A829" t="str">
        <f>IFERROR(_xlfn.SINGLE(INDEX('ROMANEIO POR ITEM'!#REF!, SMALL(IF(_xlfn.SINGLE('ROMANEIO POR ITEM'!#REF!)&lt;&gt;0,_xlfn.SINGLE( ROW('ROMANEIO POR ITEM'!#REF!))-ROW('ROMANEIO POR ITEM'!#REF!)+1), ROW(A828)))), "")</f>
        <v/>
      </c>
      <c r="B829" t="str">
        <f>IF(A829="", "", VLOOKUP(A829, 'ROMANEIO POR ITEM'!#REF!, 2, FALSE))</f>
        <v/>
      </c>
      <c r="C829" t="str">
        <f>IF(A829="", "", VLOOKUP(A829, 'ROMANEIO POR ITEM'!#REF!, 3, FALSE))</f>
        <v/>
      </c>
      <c r="D829" t="str">
        <f>IF(A829="", "", VLOOKUP(A829, 'ROMANEIO POR ITEM'!#REF!, 4, FALSE))</f>
        <v/>
      </c>
      <c r="E829" t="str">
        <f>IF(A829="", "", VLOOKUP(A829, 'ROMANEIO POR ITEM'!#REF!, 5, FALSE))</f>
        <v/>
      </c>
      <c r="F829" t="str">
        <f>IF(A829="", "", VLOOKUP(A829, 'ROMANEIO POR ITEM'!#REF!, 6, FALSE))</f>
        <v/>
      </c>
    </row>
    <row r="830" spans="1:6">
      <c r="A830" t="str">
        <f>IFERROR(_xlfn.SINGLE(INDEX('ROMANEIO POR ITEM'!#REF!, SMALL(IF(_xlfn.SINGLE('ROMANEIO POR ITEM'!#REF!)&lt;&gt;0,_xlfn.SINGLE( ROW('ROMANEIO POR ITEM'!#REF!))-ROW('ROMANEIO POR ITEM'!#REF!)+1), ROW(A829)))), "")</f>
        <v/>
      </c>
      <c r="B830" t="str">
        <f>IF(A830="", "", VLOOKUP(A830, 'ROMANEIO POR ITEM'!#REF!, 2, FALSE))</f>
        <v/>
      </c>
      <c r="C830" t="str">
        <f>IF(A830="", "", VLOOKUP(A830, 'ROMANEIO POR ITEM'!#REF!, 3, FALSE))</f>
        <v/>
      </c>
      <c r="D830" t="str">
        <f>IF(A830="", "", VLOOKUP(A830, 'ROMANEIO POR ITEM'!#REF!, 4, FALSE))</f>
        <v/>
      </c>
      <c r="E830" t="str">
        <f>IF(A830="", "", VLOOKUP(A830, 'ROMANEIO POR ITEM'!#REF!, 5, FALSE))</f>
        <v/>
      </c>
      <c r="F830" t="str">
        <f>IF(A830="", "", VLOOKUP(A830, 'ROMANEIO POR ITEM'!#REF!, 6, FALSE))</f>
        <v/>
      </c>
    </row>
    <row r="831" spans="1:6">
      <c r="A831" t="str">
        <f>IFERROR(_xlfn.SINGLE(INDEX('ROMANEIO POR ITEM'!#REF!, SMALL(IF(_xlfn.SINGLE('ROMANEIO POR ITEM'!#REF!)&lt;&gt;0,_xlfn.SINGLE( ROW('ROMANEIO POR ITEM'!#REF!))-ROW('ROMANEIO POR ITEM'!#REF!)+1), ROW(A830)))), "")</f>
        <v/>
      </c>
      <c r="B831" t="str">
        <f>IF(A831="", "", VLOOKUP(A831, 'ROMANEIO POR ITEM'!#REF!, 2, FALSE))</f>
        <v/>
      </c>
      <c r="C831" t="str">
        <f>IF(A831="", "", VLOOKUP(A831, 'ROMANEIO POR ITEM'!#REF!, 3, FALSE))</f>
        <v/>
      </c>
      <c r="D831" t="str">
        <f>IF(A831="", "", VLOOKUP(A831, 'ROMANEIO POR ITEM'!#REF!, 4, FALSE))</f>
        <v/>
      </c>
      <c r="E831" t="str">
        <f>IF(A831="", "", VLOOKUP(A831, 'ROMANEIO POR ITEM'!#REF!, 5, FALSE))</f>
        <v/>
      </c>
      <c r="F831" t="str">
        <f>IF(A831="", "", VLOOKUP(A831, 'ROMANEIO POR ITEM'!#REF!, 6, FALSE))</f>
        <v/>
      </c>
    </row>
    <row r="832" spans="1:6">
      <c r="A832" t="str">
        <f>IFERROR(_xlfn.SINGLE(INDEX('ROMANEIO POR ITEM'!#REF!, SMALL(IF(_xlfn.SINGLE('ROMANEIO POR ITEM'!#REF!)&lt;&gt;0,_xlfn.SINGLE( ROW('ROMANEIO POR ITEM'!#REF!))-ROW('ROMANEIO POR ITEM'!#REF!)+1), ROW(A831)))), "")</f>
        <v/>
      </c>
      <c r="B832" t="str">
        <f>IF(A832="", "", VLOOKUP(A832, 'ROMANEIO POR ITEM'!#REF!, 2, FALSE))</f>
        <v/>
      </c>
      <c r="C832" t="str">
        <f>IF(A832="", "", VLOOKUP(A832, 'ROMANEIO POR ITEM'!#REF!, 3, FALSE))</f>
        <v/>
      </c>
      <c r="D832" t="str">
        <f>IF(A832="", "", VLOOKUP(A832, 'ROMANEIO POR ITEM'!#REF!, 4, FALSE))</f>
        <v/>
      </c>
      <c r="E832" t="str">
        <f>IF(A832="", "", VLOOKUP(A832, 'ROMANEIO POR ITEM'!#REF!, 5, FALSE))</f>
        <v/>
      </c>
      <c r="F832" t="str">
        <f>IF(A832="", "", VLOOKUP(A832, 'ROMANEIO POR ITEM'!#REF!, 6, FALSE))</f>
        <v/>
      </c>
    </row>
    <row r="833" spans="1:6">
      <c r="A833" t="str">
        <f>IFERROR(_xlfn.SINGLE(INDEX('ROMANEIO POR ITEM'!#REF!, SMALL(IF(_xlfn.SINGLE('ROMANEIO POR ITEM'!#REF!)&lt;&gt;0,_xlfn.SINGLE( ROW('ROMANEIO POR ITEM'!#REF!))-ROW('ROMANEIO POR ITEM'!#REF!)+1), ROW(A832)))), "")</f>
        <v/>
      </c>
      <c r="B833" t="str">
        <f>IF(A833="", "", VLOOKUP(A833, 'ROMANEIO POR ITEM'!#REF!, 2, FALSE))</f>
        <v/>
      </c>
      <c r="C833" t="str">
        <f>IF(A833="", "", VLOOKUP(A833, 'ROMANEIO POR ITEM'!#REF!, 3, FALSE))</f>
        <v/>
      </c>
      <c r="D833" t="str">
        <f>IF(A833="", "", VLOOKUP(A833, 'ROMANEIO POR ITEM'!#REF!, 4, FALSE))</f>
        <v/>
      </c>
      <c r="E833" t="str">
        <f>IF(A833="", "", VLOOKUP(A833, 'ROMANEIO POR ITEM'!#REF!, 5, FALSE))</f>
        <v/>
      </c>
      <c r="F833" t="str">
        <f>IF(A833="", "", VLOOKUP(A833, 'ROMANEIO POR ITEM'!#REF!, 6, FALSE))</f>
        <v/>
      </c>
    </row>
    <row r="834" spans="1:6">
      <c r="A834" t="str">
        <f>IFERROR(_xlfn.SINGLE(INDEX('ROMANEIO POR ITEM'!#REF!, SMALL(IF(_xlfn.SINGLE('ROMANEIO POR ITEM'!#REF!)&lt;&gt;0,_xlfn.SINGLE( ROW('ROMANEIO POR ITEM'!#REF!))-ROW('ROMANEIO POR ITEM'!#REF!)+1), ROW(A833)))), "")</f>
        <v/>
      </c>
      <c r="B834" t="str">
        <f>IF(A834="", "", VLOOKUP(A834, 'ROMANEIO POR ITEM'!#REF!, 2, FALSE))</f>
        <v/>
      </c>
      <c r="C834" t="str">
        <f>IF(A834="", "", VLOOKUP(A834, 'ROMANEIO POR ITEM'!#REF!, 3, FALSE))</f>
        <v/>
      </c>
      <c r="D834" t="str">
        <f>IF(A834="", "", VLOOKUP(A834, 'ROMANEIO POR ITEM'!#REF!, 4, FALSE))</f>
        <v/>
      </c>
      <c r="E834" t="str">
        <f>IF(A834="", "", VLOOKUP(A834, 'ROMANEIO POR ITEM'!#REF!, 5, FALSE))</f>
        <v/>
      </c>
      <c r="F834" t="str">
        <f>IF(A834="", "", VLOOKUP(A834, 'ROMANEIO POR ITEM'!#REF!, 6, FALSE))</f>
        <v/>
      </c>
    </row>
    <row r="835" spans="1:6">
      <c r="A835" t="str">
        <f>IFERROR(_xlfn.SINGLE(INDEX('ROMANEIO POR ITEM'!#REF!, SMALL(IF(_xlfn.SINGLE('ROMANEIO POR ITEM'!#REF!)&lt;&gt;0,_xlfn.SINGLE( ROW('ROMANEIO POR ITEM'!#REF!))-ROW('ROMANEIO POR ITEM'!#REF!)+1), ROW(A834)))), "")</f>
        <v/>
      </c>
      <c r="B835" t="str">
        <f>IF(A835="", "", VLOOKUP(A835, 'ROMANEIO POR ITEM'!#REF!, 2, FALSE))</f>
        <v/>
      </c>
      <c r="C835" t="str">
        <f>IF(A835="", "", VLOOKUP(A835, 'ROMANEIO POR ITEM'!#REF!, 3, FALSE))</f>
        <v/>
      </c>
      <c r="D835" t="str">
        <f>IF(A835="", "", VLOOKUP(A835, 'ROMANEIO POR ITEM'!#REF!, 4, FALSE))</f>
        <v/>
      </c>
      <c r="E835" t="str">
        <f>IF(A835="", "", VLOOKUP(A835, 'ROMANEIO POR ITEM'!#REF!, 5, FALSE))</f>
        <v/>
      </c>
      <c r="F835" t="str">
        <f>IF(A835="", "", VLOOKUP(A835, 'ROMANEIO POR ITEM'!#REF!, 6, FALSE))</f>
        <v/>
      </c>
    </row>
    <row r="836" spans="1:6">
      <c r="A836" t="str">
        <f>IFERROR(_xlfn.SINGLE(INDEX('ROMANEIO POR ITEM'!#REF!, SMALL(IF(_xlfn.SINGLE('ROMANEIO POR ITEM'!#REF!)&lt;&gt;0,_xlfn.SINGLE( ROW('ROMANEIO POR ITEM'!#REF!))-ROW('ROMANEIO POR ITEM'!#REF!)+1), ROW(A835)))), "")</f>
        <v/>
      </c>
      <c r="B836" t="str">
        <f>IF(A836="", "", VLOOKUP(A836, 'ROMANEIO POR ITEM'!#REF!, 2, FALSE))</f>
        <v/>
      </c>
      <c r="C836" t="str">
        <f>IF(A836="", "", VLOOKUP(A836, 'ROMANEIO POR ITEM'!#REF!, 3, FALSE))</f>
        <v/>
      </c>
      <c r="D836" t="str">
        <f>IF(A836="", "", VLOOKUP(A836, 'ROMANEIO POR ITEM'!#REF!, 4, FALSE))</f>
        <v/>
      </c>
      <c r="E836" t="str">
        <f>IF(A836="", "", VLOOKUP(A836, 'ROMANEIO POR ITEM'!#REF!, 5, FALSE))</f>
        <v/>
      </c>
      <c r="F836" t="str">
        <f>IF(A836="", "", VLOOKUP(A836, 'ROMANEIO POR ITEM'!#REF!, 6, FALSE))</f>
        <v/>
      </c>
    </row>
    <row r="837" spans="1:6">
      <c r="A837" t="str">
        <f>IFERROR(_xlfn.SINGLE(INDEX('ROMANEIO POR ITEM'!#REF!, SMALL(IF(_xlfn.SINGLE('ROMANEIO POR ITEM'!#REF!)&lt;&gt;0,_xlfn.SINGLE( ROW('ROMANEIO POR ITEM'!#REF!))-ROW('ROMANEIO POR ITEM'!#REF!)+1), ROW(A836)))), "")</f>
        <v/>
      </c>
      <c r="B837" t="str">
        <f>IF(A837="", "", VLOOKUP(A837, 'ROMANEIO POR ITEM'!#REF!, 2, FALSE))</f>
        <v/>
      </c>
      <c r="C837" t="str">
        <f>IF(A837="", "", VLOOKUP(A837, 'ROMANEIO POR ITEM'!#REF!, 3, FALSE))</f>
        <v/>
      </c>
      <c r="D837" t="str">
        <f>IF(A837="", "", VLOOKUP(A837, 'ROMANEIO POR ITEM'!#REF!, 4, FALSE))</f>
        <v/>
      </c>
      <c r="E837" t="str">
        <f>IF(A837="", "", VLOOKUP(A837, 'ROMANEIO POR ITEM'!#REF!, 5, FALSE))</f>
        <v/>
      </c>
      <c r="F837" t="str">
        <f>IF(A837="", "", VLOOKUP(A837, 'ROMANEIO POR ITEM'!#REF!, 6, FALSE))</f>
        <v/>
      </c>
    </row>
    <row r="838" spans="1:6">
      <c r="A838" t="str">
        <f>IFERROR(_xlfn.SINGLE(INDEX('ROMANEIO POR ITEM'!#REF!, SMALL(IF(_xlfn.SINGLE('ROMANEIO POR ITEM'!#REF!)&lt;&gt;0,_xlfn.SINGLE( ROW('ROMANEIO POR ITEM'!#REF!))-ROW('ROMANEIO POR ITEM'!#REF!)+1), ROW(A837)))), "")</f>
        <v/>
      </c>
      <c r="B838" t="str">
        <f>IF(A838="", "", VLOOKUP(A838, 'ROMANEIO POR ITEM'!#REF!, 2, FALSE))</f>
        <v/>
      </c>
      <c r="C838" t="str">
        <f>IF(A838="", "", VLOOKUP(A838, 'ROMANEIO POR ITEM'!#REF!, 3, FALSE))</f>
        <v/>
      </c>
      <c r="D838" t="str">
        <f>IF(A838="", "", VLOOKUP(A838, 'ROMANEIO POR ITEM'!#REF!, 4, FALSE))</f>
        <v/>
      </c>
      <c r="E838" t="str">
        <f>IF(A838="", "", VLOOKUP(A838, 'ROMANEIO POR ITEM'!#REF!, 5, FALSE))</f>
        <v/>
      </c>
      <c r="F838" t="str">
        <f>IF(A838="", "", VLOOKUP(A838, 'ROMANEIO POR ITEM'!#REF!, 6, FALSE))</f>
        <v/>
      </c>
    </row>
    <row r="839" spans="1:6">
      <c r="A839" t="str">
        <f>IFERROR(_xlfn.SINGLE(INDEX('ROMANEIO POR ITEM'!#REF!, SMALL(IF(_xlfn.SINGLE('ROMANEIO POR ITEM'!#REF!)&lt;&gt;0,_xlfn.SINGLE( ROW('ROMANEIO POR ITEM'!#REF!))-ROW('ROMANEIO POR ITEM'!#REF!)+1), ROW(A838)))), "")</f>
        <v/>
      </c>
      <c r="B839" t="str">
        <f>IF(A839="", "", VLOOKUP(A839, 'ROMANEIO POR ITEM'!#REF!, 2, FALSE))</f>
        <v/>
      </c>
      <c r="C839" t="str">
        <f>IF(A839="", "", VLOOKUP(A839, 'ROMANEIO POR ITEM'!#REF!, 3, FALSE))</f>
        <v/>
      </c>
      <c r="D839" t="str">
        <f>IF(A839="", "", VLOOKUP(A839, 'ROMANEIO POR ITEM'!#REF!, 4, FALSE))</f>
        <v/>
      </c>
      <c r="E839" t="str">
        <f>IF(A839="", "", VLOOKUP(A839, 'ROMANEIO POR ITEM'!#REF!, 5, FALSE))</f>
        <v/>
      </c>
      <c r="F839" t="str">
        <f>IF(A839="", "", VLOOKUP(A839, 'ROMANEIO POR ITEM'!#REF!, 6, FALSE))</f>
        <v/>
      </c>
    </row>
    <row r="840" spans="1:6">
      <c r="A840" t="str">
        <f>IFERROR(_xlfn.SINGLE(INDEX('ROMANEIO POR ITEM'!#REF!, SMALL(IF(_xlfn.SINGLE('ROMANEIO POR ITEM'!#REF!)&lt;&gt;0,_xlfn.SINGLE( ROW('ROMANEIO POR ITEM'!#REF!))-ROW('ROMANEIO POR ITEM'!#REF!)+1), ROW(A839)))), "")</f>
        <v/>
      </c>
      <c r="B840" t="str">
        <f>IF(A840="", "", VLOOKUP(A840, 'ROMANEIO POR ITEM'!#REF!, 2, FALSE))</f>
        <v/>
      </c>
      <c r="C840" t="str">
        <f>IF(A840="", "", VLOOKUP(A840, 'ROMANEIO POR ITEM'!#REF!, 3, FALSE))</f>
        <v/>
      </c>
      <c r="D840" t="str">
        <f>IF(A840="", "", VLOOKUP(A840, 'ROMANEIO POR ITEM'!#REF!, 4, FALSE))</f>
        <v/>
      </c>
      <c r="E840" t="str">
        <f>IF(A840="", "", VLOOKUP(A840, 'ROMANEIO POR ITEM'!#REF!, 5, FALSE))</f>
        <v/>
      </c>
      <c r="F840" t="str">
        <f>IF(A840="", "", VLOOKUP(A840, 'ROMANEIO POR ITEM'!#REF!, 6, FALSE))</f>
        <v/>
      </c>
    </row>
    <row r="841" spans="1:6">
      <c r="A841" t="str">
        <f>IFERROR(_xlfn.SINGLE(INDEX('ROMANEIO POR ITEM'!#REF!, SMALL(IF(_xlfn.SINGLE('ROMANEIO POR ITEM'!#REF!)&lt;&gt;0,_xlfn.SINGLE( ROW('ROMANEIO POR ITEM'!#REF!))-ROW('ROMANEIO POR ITEM'!#REF!)+1), ROW(A840)))), "")</f>
        <v/>
      </c>
      <c r="B841" t="str">
        <f>IF(A841="", "", VLOOKUP(A841, 'ROMANEIO POR ITEM'!#REF!, 2, FALSE))</f>
        <v/>
      </c>
      <c r="C841" t="str">
        <f>IF(A841="", "", VLOOKUP(A841, 'ROMANEIO POR ITEM'!#REF!, 3, FALSE))</f>
        <v/>
      </c>
      <c r="D841" t="str">
        <f>IF(A841="", "", VLOOKUP(A841, 'ROMANEIO POR ITEM'!#REF!, 4, FALSE))</f>
        <v/>
      </c>
      <c r="E841" t="str">
        <f>IF(A841="", "", VLOOKUP(A841, 'ROMANEIO POR ITEM'!#REF!, 5, FALSE))</f>
        <v/>
      </c>
      <c r="F841" t="str">
        <f>IF(A841="", "", VLOOKUP(A841, 'ROMANEIO POR ITEM'!#REF!, 6, FALSE))</f>
        <v/>
      </c>
    </row>
    <row r="842" spans="1:6">
      <c r="A842" t="str">
        <f>IFERROR(_xlfn.SINGLE(INDEX('ROMANEIO POR ITEM'!#REF!, SMALL(IF(_xlfn.SINGLE('ROMANEIO POR ITEM'!#REF!)&lt;&gt;0,_xlfn.SINGLE( ROW('ROMANEIO POR ITEM'!#REF!))-ROW('ROMANEIO POR ITEM'!#REF!)+1), ROW(A841)))), "")</f>
        <v/>
      </c>
      <c r="B842" t="str">
        <f>IF(A842="", "", VLOOKUP(A842, 'ROMANEIO POR ITEM'!#REF!, 2, FALSE))</f>
        <v/>
      </c>
      <c r="C842" t="str">
        <f>IF(A842="", "", VLOOKUP(A842, 'ROMANEIO POR ITEM'!#REF!, 3, FALSE))</f>
        <v/>
      </c>
      <c r="D842" t="str">
        <f>IF(A842="", "", VLOOKUP(A842, 'ROMANEIO POR ITEM'!#REF!, 4, FALSE))</f>
        <v/>
      </c>
      <c r="E842" t="str">
        <f>IF(A842="", "", VLOOKUP(A842, 'ROMANEIO POR ITEM'!#REF!, 5, FALSE))</f>
        <v/>
      </c>
      <c r="F842" t="str">
        <f>IF(A842="", "", VLOOKUP(A842, 'ROMANEIO POR ITEM'!#REF!, 6, FALSE))</f>
        <v/>
      </c>
    </row>
    <row r="843" spans="1:6">
      <c r="A843" t="str">
        <f>IFERROR(_xlfn.SINGLE(INDEX('ROMANEIO POR ITEM'!#REF!, SMALL(IF(_xlfn.SINGLE('ROMANEIO POR ITEM'!#REF!)&lt;&gt;0,_xlfn.SINGLE( ROW('ROMANEIO POR ITEM'!#REF!))-ROW('ROMANEIO POR ITEM'!#REF!)+1), ROW(A842)))), "")</f>
        <v/>
      </c>
      <c r="B843" t="str">
        <f>IF(A843="", "", VLOOKUP(A843, 'ROMANEIO POR ITEM'!#REF!, 2, FALSE))</f>
        <v/>
      </c>
      <c r="C843" t="str">
        <f>IF(A843="", "", VLOOKUP(A843, 'ROMANEIO POR ITEM'!#REF!, 3, FALSE))</f>
        <v/>
      </c>
      <c r="D843" t="str">
        <f>IF(A843="", "", VLOOKUP(A843, 'ROMANEIO POR ITEM'!#REF!, 4, FALSE))</f>
        <v/>
      </c>
      <c r="E843" t="str">
        <f>IF(A843="", "", VLOOKUP(A843, 'ROMANEIO POR ITEM'!#REF!, 5, FALSE))</f>
        <v/>
      </c>
      <c r="F843" t="str">
        <f>IF(A843="", "", VLOOKUP(A843, 'ROMANEIO POR ITEM'!#REF!, 6, FALSE))</f>
        <v/>
      </c>
    </row>
    <row r="844" spans="1:6">
      <c r="A844" t="str">
        <f>IFERROR(_xlfn.SINGLE(INDEX('ROMANEIO POR ITEM'!#REF!, SMALL(IF(_xlfn.SINGLE('ROMANEIO POR ITEM'!#REF!)&lt;&gt;0,_xlfn.SINGLE( ROW('ROMANEIO POR ITEM'!#REF!))-ROW('ROMANEIO POR ITEM'!#REF!)+1), ROW(A843)))), "")</f>
        <v/>
      </c>
      <c r="B844" t="str">
        <f>IF(A844="", "", VLOOKUP(A844, 'ROMANEIO POR ITEM'!#REF!, 2, FALSE))</f>
        <v/>
      </c>
      <c r="C844" t="str">
        <f>IF(A844="", "", VLOOKUP(A844, 'ROMANEIO POR ITEM'!#REF!, 3, FALSE))</f>
        <v/>
      </c>
      <c r="D844" t="str">
        <f>IF(A844="", "", VLOOKUP(A844, 'ROMANEIO POR ITEM'!#REF!, 4, FALSE))</f>
        <v/>
      </c>
      <c r="E844" t="str">
        <f>IF(A844="", "", VLOOKUP(A844, 'ROMANEIO POR ITEM'!#REF!, 5, FALSE))</f>
        <v/>
      </c>
      <c r="F844" t="str">
        <f>IF(A844="", "", VLOOKUP(A844, 'ROMANEIO POR ITEM'!#REF!, 6, FALSE))</f>
        <v/>
      </c>
    </row>
    <row r="845" spans="1:6">
      <c r="A845" t="str">
        <f>IFERROR(_xlfn.SINGLE(INDEX('ROMANEIO POR ITEM'!#REF!, SMALL(IF(_xlfn.SINGLE('ROMANEIO POR ITEM'!#REF!)&lt;&gt;0,_xlfn.SINGLE( ROW('ROMANEIO POR ITEM'!#REF!))-ROW('ROMANEIO POR ITEM'!#REF!)+1), ROW(A844)))), "")</f>
        <v/>
      </c>
      <c r="B845" t="str">
        <f>IF(A845="", "", VLOOKUP(A845, 'ROMANEIO POR ITEM'!#REF!, 2, FALSE))</f>
        <v/>
      </c>
      <c r="C845" t="str">
        <f>IF(A845="", "", VLOOKUP(A845, 'ROMANEIO POR ITEM'!#REF!, 3, FALSE))</f>
        <v/>
      </c>
      <c r="D845" t="str">
        <f>IF(A845="", "", VLOOKUP(A845, 'ROMANEIO POR ITEM'!#REF!, 4, FALSE))</f>
        <v/>
      </c>
      <c r="E845" t="str">
        <f>IF(A845="", "", VLOOKUP(A845, 'ROMANEIO POR ITEM'!#REF!, 5, FALSE))</f>
        <v/>
      </c>
      <c r="F845" t="str">
        <f>IF(A845="", "", VLOOKUP(A845, 'ROMANEIO POR ITEM'!#REF!, 6, FALSE))</f>
        <v/>
      </c>
    </row>
    <row r="846" spans="1:6">
      <c r="A846" t="str">
        <f>IFERROR(_xlfn.SINGLE(INDEX('ROMANEIO POR ITEM'!#REF!, SMALL(IF(_xlfn.SINGLE('ROMANEIO POR ITEM'!#REF!)&lt;&gt;0,_xlfn.SINGLE( ROW('ROMANEIO POR ITEM'!#REF!))-ROW('ROMANEIO POR ITEM'!#REF!)+1), ROW(A845)))), "")</f>
        <v/>
      </c>
      <c r="B846" t="str">
        <f>IF(A846="", "", VLOOKUP(A846, 'ROMANEIO POR ITEM'!#REF!, 2, FALSE))</f>
        <v/>
      </c>
      <c r="C846" t="str">
        <f>IF(A846="", "", VLOOKUP(A846, 'ROMANEIO POR ITEM'!#REF!, 3, FALSE))</f>
        <v/>
      </c>
      <c r="D846" t="str">
        <f>IF(A846="", "", VLOOKUP(A846, 'ROMANEIO POR ITEM'!#REF!, 4, FALSE))</f>
        <v/>
      </c>
      <c r="E846" t="str">
        <f>IF(A846="", "", VLOOKUP(A846, 'ROMANEIO POR ITEM'!#REF!, 5, FALSE))</f>
        <v/>
      </c>
      <c r="F846" t="str">
        <f>IF(A846="", "", VLOOKUP(A846, 'ROMANEIO POR ITEM'!#REF!, 6, FALSE))</f>
        <v/>
      </c>
    </row>
    <row r="847" spans="1:6">
      <c r="A847" t="str">
        <f>IFERROR(_xlfn.SINGLE(INDEX('ROMANEIO POR ITEM'!#REF!, SMALL(IF(_xlfn.SINGLE('ROMANEIO POR ITEM'!#REF!)&lt;&gt;0,_xlfn.SINGLE( ROW('ROMANEIO POR ITEM'!#REF!))-ROW('ROMANEIO POR ITEM'!#REF!)+1), ROW(A846)))), "")</f>
        <v/>
      </c>
      <c r="B847" t="str">
        <f>IF(A847="", "", VLOOKUP(A847, 'ROMANEIO POR ITEM'!#REF!, 2, FALSE))</f>
        <v/>
      </c>
      <c r="C847" t="str">
        <f>IF(A847="", "", VLOOKUP(A847, 'ROMANEIO POR ITEM'!#REF!, 3, FALSE))</f>
        <v/>
      </c>
      <c r="D847" t="str">
        <f>IF(A847="", "", VLOOKUP(A847, 'ROMANEIO POR ITEM'!#REF!, 4, FALSE))</f>
        <v/>
      </c>
      <c r="E847" t="str">
        <f>IF(A847="", "", VLOOKUP(A847, 'ROMANEIO POR ITEM'!#REF!, 5, FALSE))</f>
        <v/>
      </c>
      <c r="F847" t="str">
        <f>IF(A847="", "", VLOOKUP(A847, 'ROMANEIO POR ITEM'!#REF!, 6, FALSE))</f>
        <v/>
      </c>
    </row>
    <row r="848" spans="1:6">
      <c r="A848" t="str">
        <f>IFERROR(_xlfn.SINGLE(INDEX('ROMANEIO POR ITEM'!#REF!, SMALL(IF(_xlfn.SINGLE('ROMANEIO POR ITEM'!#REF!)&lt;&gt;0,_xlfn.SINGLE( ROW('ROMANEIO POR ITEM'!#REF!))-ROW('ROMANEIO POR ITEM'!#REF!)+1), ROW(A847)))), "")</f>
        <v/>
      </c>
      <c r="B848" t="str">
        <f>IF(A848="", "", VLOOKUP(A848, 'ROMANEIO POR ITEM'!#REF!, 2, FALSE))</f>
        <v/>
      </c>
      <c r="C848" t="str">
        <f>IF(A848="", "", VLOOKUP(A848, 'ROMANEIO POR ITEM'!#REF!, 3, FALSE))</f>
        <v/>
      </c>
      <c r="D848" t="str">
        <f>IF(A848="", "", VLOOKUP(A848, 'ROMANEIO POR ITEM'!#REF!, 4, FALSE))</f>
        <v/>
      </c>
      <c r="E848" t="str">
        <f>IF(A848="", "", VLOOKUP(A848, 'ROMANEIO POR ITEM'!#REF!, 5, FALSE))</f>
        <v/>
      </c>
      <c r="F848" t="str">
        <f>IF(A848="", "", VLOOKUP(A848, 'ROMANEIO POR ITEM'!#REF!, 6, FALSE))</f>
        <v/>
      </c>
    </row>
    <row r="849" spans="1:6">
      <c r="A849" t="str">
        <f>IFERROR(_xlfn.SINGLE(INDEX('ROMANEIO POR ITEM'!#REF!, SMALL(IF(_xlfn.SINGLE('ROMANEIO POR ITEM'!#REF!)&lt;&gt;0,_xlfn.SINGLE( ROW('ROMANEIO POR ITEM'!#REF!))-ROW('ROMANEIO POR ITEM'!#REF!)+1), ROW(A848)))), "")</f>
        <v/>
      </c>
      <c r="B849" t="str">
        <f>IF(A849="", "", VLOOKUP(A849, 'ROMANEIO POR ITEM'!#REF!, 2, FALSE))</f>
        <v/>
      </c>
      <c r="C849" t="str">
        <f>IF(A849="", "", VLOOKUP(A849, 'ROMANEIO POR ITEM'!#REF!, 3, FALSE))</f>
        <v/>
      </c>
      <c r="D849" t="str">
        <f>IF(A849="", "", VLOOKUP(A849, 'ROMANEIO POR ITEM'!#REF!, 4, FALSE))</f>
        <v/>
      </c>
      <c r="E849" t="str">
        <f>IF(A849="", "", VLOOKUP(A849, 'ROMANEIO POR ITEM'!#REF!, 5, FALSE))</f>
        <v/>
      </c>
      <c r="F849" t="str">
        <f>IF(A849="", "", VLOOKUP(A849, 'ROMANEIO POR ITEM'!#REF!, 6, FALSE))</f>
        <v/>
      </c>
    </row>
    <row r="850" spans="1:6">
      <c r="A850" t="str">
        <f>IFERROR(_xlfn.SINGLE(INDEX('ROMANEIO POR ITEM'!#REF!, SMALL(IF(_xlfn.SINGLE('ROMANEIO POR ITEM'!#REF!)&lt;&gt;0,_xlfn.SINGLE( ROW('ROMANEIO POR ITEM'!#REF!))-ROW('ROMANEIO POR ITEM'!#REF!)+1), ROW(A849)))), "")</f>
        <v/>
      </c>
      <c r="B850" t="str">
        <f>IF(A850="", "", VLOOKUP(A850, 'ROMANEIO POR ITEM'!#REF!, 2, FALSE))</f>
        <v/>
      </c>
      <c r="C850" t="str">
        <f>IF(A850="", "", VLOOKUP(A850, 'ROMANEIO POR ITEM'!#REF!, 3, FALSE))</f>
        <v/>
      </c>
      <c r="D850" t="str">
        <f>IF(A850="", "", VLOOKUP(A850, 'ROMANEIO POR ITEM'!#REF!, 4, FALSE))</f>
        <v/>
      </c>
      <c r="E850" t="str">
        <f>IF(A850="", "", VLOOKUP(A850, 'ROMANEIO POR ITEM'!#REF!, 5, FALSE))</f>
        <v/>
      </c>
      <c r="F850" t="str">
        <f>IF(A850="", "", VLOOKUP(A850, 'ROMANEIO POR ITEM'!#REF!, 6, FALSE))</f>
        <v/>
      </c>
    </row>
    <row r="851" spans="1:6">
      <c r="A851" t="str">
        <f>IFERROR(_xlfn.SINGLE(INDEX('ROMANEIO POR ITEM'!#REF!, SMALL(IF(_xlfn.SINGLE('ROMANEIO POR ITEM'!#REF!)&lt;&gt;0,_xlfn.SINGLE( ROW('ROMANEIO POR ITEM'!#REF!))-ROW('ROMANEIO POR ITEM'!#REF!)+1), ROW(A850)))), "")</f>
        <v/>
      </c>
      <c r="B851" t="str">
        <f>IF(A851="", "", VLOOKUP(A851, 'ROMANEIO POR ITEM'!#REF!, 2, FALSE))</f>
        <v/>
      </c>
      <c r="C851" t="str">
        <f>IF(A851="", "", VLOOKUP(A851, 'ROMANEIO POR ITEM'!#REF!, 3, FALSE))</f>
        <v/>
      </c>
      <c r="D851" t="str">
        <f>IF(A851="", "", VLOOKUP(A851, 'ROMANEIO POR ITEM'!#REF!, 4, FALSE))</f>
        <v/>
      </c>
      <c r="E851" t="str">
        <f>IF(A851="", "", VLOOKUP(A851, 'ROMANEIO POR ITEM'!#REF!, 5, FALSE))</f>
        <v/>
      </c>
      <c r="F851" t="str">
        <f>IF(A851="", "", VLOOKUP(A851, 'ROMANEIO POR ITEM'!#REF!, 6, FALSE))</f>
        <v/>
      </c>
    </row>
    <row r="852" spans="1:6">
      <c r="A852" t="str">
        <f>IFERROR(_xlfn.SINGLE(INDEX('ROMANEIO POR ITEM'!#REF!, SMALL(IF(_xlfn.SINGLE('ROMANEIO POR ITEM'!#REF!)&lt;&gt;0,_xlfn.SINGLE( ROW('ROMANEIO POR ITEM'!#REF!))-ROW('ROMANEIO POR ITEM'!#REF!)+1), ROW(A851)))), "")</f>
        <v/>
      </c>
      <c r="B852" t="str">
        <f>IF(A852="", "", VLOOKUP(A852, 'ROMANEIO POR ITEM'!#REF!, 2, FALSE))</f>
        <v/>
      </c>
      <c r="C852" t="str">
        <f>IF(A852="", "", VLOOKUP(A852, 'ROMANEIO POR ITEM'!#REF!, 3, FALSE))</f>
        <v/>
      </c>
      <c r="D852" t="str">
        <f>IF(A852="", "", VLOOKUP(A852, 'ROMANEIO POR ITEM'!#REF!, 4, FALSE))</f>
        <v/>
      </c>
      <c r="E852" t="str">
        <f>IF(A852="", "", VLOOKUP(A852, 'ROMANEIO POR ITEM'!#REF!, 5, FALSE))</f>
        <v/>
      </c>
      <c r="F852" t="str">
        <f>IF(A852="", "", VLOOKUP(A852, 'ROMANEIO POR ITEM'!#REF!, 6, FALSE))</f>
        <v/>
      </c>
    </row>
    <row r="853" spans="1:6">
      <c r="A853" t="str">
        <f>IFERROR(_xlfn.SINGLE(INDEX('ROMANEIO POR ITEM'!#REF!, SMALL(IF(_xlfn.SINGLE('ROMANEIO POR ITEM'!#REF!)&lt;&gt;0,_xlfn.SINGLE( ROW('ROMANEIO POR ITEM'!#REF!))-ROW('ROMANEIO POR ITEM'!#REF!)+1), ROW(A852)))), "")</f>
        <v/>
      </c>
      <c r="B853" t="str">
        <f>IF(A853="", "", VLOOKUP(A853, 'ROMANEIO POR ITEM'!#REF!, 2, FALSE))</f>
        <v/>
      </c>
      <c r="C853" t="str">
        <f>IF(A853="", "", VLOOKUP(A853, 'ROMANEIO POR ITEM'!#REF!, 3, FALSE))</f>
        <v/>
      </c>
      <c r="D853" t="str">
        <f>IF(A853="", "", VLOOKUP(A853, 'ROMANEIO POR ITEM'!#REF!, 4, FALSE))</f>
        <v/>
      </c>
      <c r="E853" t="str">
        <f>IF(A853="", "", VLOOKUP(A853, 'ROMANEIO POR ITEM'!#REF!, 5, FALSE))</f>
        <v/>
      </c>
      <c r="F853" t="str">
        <f>IF(A853="", "", VLOOKUP(A853, 'ROMANEIO POR ITEM'!#REF!, 6, FALSE))</f>
        <v/>
      </c>
    </row>
    <row r="854" spans="1:6">
      <c r="A854" t="str">
        <f>IFERROR(_xlfn.SINGLE(INDEX('ROMANEIO POR ITEM'!#REF!, SMALL(IF(_xlfn.SINGLE('ROMANEIO POR ITEM'!#REF!)&lt;&gt;0,_xlfn.SINGLE( ROW('ROMANEIO POR ITEM'!#REF!))-ROW('ROMANEIO POR ITEM'!#REF!)+1), ROW(A853)))), "")</f>
        <v/>
      </c>
      <c r="B854" t="str">
        <f>IF(A854="", "", VLOOKUP(A854, 'ROMANEIO POR ITEM'!#REF!, 2, FALSE))</f>
        <v/>
      </c>
      <c r="C854" t="str">
        <f>IF(A854="", "", VLOOKUP(A854, 'ROMANEIO POR ITEM'!#REF!, 3, FALSE))</f>
        <v/>
      </c>
      <c r="D854" t="str">
        <f>IF(A854="", "", VLOOKUP(A854, 'ROMANEIO POR ITEM'!#REF!, 4, FALSE))</f>
        <v/>
      </c>
      <c r="E854" t="str">
        <f>IF(A854="", "", VLOOKUP(A854, 'ROMANEIO POR ITEM'!#REF!, 5, FALSE))</f>
        <v/>
      </c>
      <c r="F854" t="str">
        <f>IF(A854="", "", VLOOKUP(A854, 'ROMANEIO POR ITEM'!#REF!, 6, FALSE))</f>
        <v/>
      </c>
    </row>
    <row r="855" spans="1:6">
      <c r="A855" t="str">
        <f>IFERROR(_xlfn.SINGLE(INDEX('ROMANEIO POR ITEM'!#REF!, SMALL(IF(_xlfn.SINGLE('ROMANEIO POR ITEM'!#REF!)&lt;&gt;0,_xlfn.SINGLE( ROW('ROMANEIO POR ITEM'!#REF!))-ROW('ROMANEIO POR ITEM'!#REF!)+1), ROW(A854)))), "")</f>
        <v/>
      </c>
      <c r="B855" t="str">
        <f>IF(A855="", "", VLOOKUP(A855, 'ROMANEIO POR ITEM'!#REF!, 2, FALSE))</f>
        <v/>
      </c>
      <c r="C855" t="str">
        <f>IF(A855="", "", VLOOKUP(A855, 'ROMANEIO POR ITEM'!#REF!, 3, FALSE))</f>
        <v/>
      </c>
      <c r="D855" t="str">
        <f>IF(A855="", "", VLOOKUP(A855, 'ROMANEIO POR ITEM'!#REF!, 4, FALSE))</f>
        <v/>
      </c>
      <c r="E855" t="str">
        <f>IF(A855="", "", VLOOKUP(A855, 'ROMANEIO POR ITEM'!#REF!, 5, FALSE))</f>
        <v/>
      </c>
      <c r="F855" t="str">
        <f>IF(A855="", "", VLOOKUP(A855, 'ROMANEIO POR ITEM'!#REF!, 6, FALSE))</f>
        <v/>
      </c>
    </row>
    <row r="856" spans="1:6">
      <c r="A856" t="str">
        <f>IFERROR(_xlfn.SINGLE(INDEX('ROMANEIO POR ITEM'!#REF!, SMALL(IF(_xlfn.SINGLE('ROMANEIO POR ITEM'!#REF!)&lt;&gt;0,_xlfn.SINGLE( ROW('ROMANEIO POR ITEM'!#REF!))-ROW('ROMANEIO POR ITEM'!#REF!)+1), ROW(A855)))), "")</f>
        <v/>
      </c>
      <c r="B856" t="str">
        <f>IF(A856="", "", VLOOKUP(A856, 'ROMANEIO POR ITEM'!#REF!, 2, FALSE))</f>
        <v/>
      </c>
      <c r="C856" t="str">
        <f>IF(A856="", "", VLOOKUP(A856, 'ROMANEIO POR ITEM'!#REF!, 3, FALSE))</f>
        <v/>
      </c>
      <c r="D856" t="str">
        <f>IF(A856="", "", VLOOKUP(A856, 'ROMANEIO POR ITEM'!#REF!, 4, FALSE))</f>
        <v/>
      </c>
      <c r="E856" t="str">
        <f>IF(A856="", "", VLOOKUP(A856, 'ROMANEIO POR ITEM'!#REF!, 5, FALSE))</f>
        <v/>
      </c>
      <c r="F856" t="str">
        <f>IF(A856="", "", VLOOKUP(A856, 'ROMANEIO POR ITEM'!#REF!, 6, FALSE))</f>
        <v/>
      </c>
    </row>
    <row r="857" spans="1:6">
      <c r="A857" t="str">
        <f>IFERROR(_xlfn.SINGLE(INDEX('ROMANEIO POR ITEM'!#REF!, SMALL(IF(_xlfn.SINGLE('ROMANEIO POR ITEM'!#REF!)&lt;&gt;0,_xlfn.SINGLE( ROW('ROMANEIO POR ITEM'!#REF!))-ROW('ROMANEIO POR ITEM'!#REF!)+1), ROW(A856)))), "")</f>
        <v/>
      </c>
      <c r="B857" t="str">
        <f>IF(A857="", "", VLOOKUP(A857, 'ROMANEIO POR ITEM'!#REF!, 2, FALSE))</f>
        <v/>
      </c>
      <c r="C857" t="str">
        <f>IF(A857="", "", VLOOKUP(A857, 'ROMANEIO POR ITEM'!#REF!, 3, FALSE))</f>
        <v/>
      </c>
      <c r="D857" t="str">
        <f>IF(A857="", "", VLOOKUP(A857, 'ROMANEIO POR ITEM'!#REF!, 4, FALSE))</f>
        <v/>
      </c>
      <c r="E857" t="str">
        <f>IF(A857="", "", VLOOKUP(A857, 'ROMANEIO POR ITEM'!#REF!, 5, FALSE))</f>
        <v/>
      </c>
      <c r="F857" t="str">
        <f>IF(A857="", "", VLOOKUP(A857, 'ROMANEIO POR ITEM'!#REF!, 6, FALSE))</f>
        <v/>
      </c>
    </row>
    <row r="858" spans="1:6">
      <c r="A858" t="str">
        <f>IFERROR(_xlfn.SINGLE(INDEX('ROMANEIO POR ITEM'!#REF!, SMALL(IF(_xlfn.SINGLE('ROMANEIO POR ITEM'!#REF!)&lt;&gt;0,_xlfn.SINGLE( ROW('ROMANEIO POR ITEM'!#REF!))-ROW('ROMANEIO POR ITEM'!#REF!)+1), ROW(A857)))), "")</f>
        <v/>
      </c>
      <c r="B858" t="str">
        <f>IF(A858="", "", VLOOKUP(A858, 'ROMANEIO POR ITEM'!#REF!, 2, FALSE))</f>
        <v/>
      </c>
      <c r="C858" t="str">
        <f>IF(A858="", "", VLOOKUP(A858, 'ROMANEIO POR ITEM'!#REF!, 3, FALSE))</f>
        <v/>
      </c>
      <c r="D858" t="str">
        <f>IF(A858="", "", VLOOKUP(A858, 'ROMANEIO POR ITEM'!#REF!, 4, FALSE))</f>
        <v/>
      </c>
      <c r="E858" t="str">
        <f>IF(A858="", "", VLOOKUP(A858, 'ROMANEIO POR ITEM'!#REF!, 5, FALSE))</f>
        <v/>
      </c>
      <c r="F858" t="str">
        <f>IF(A858="", "", VLOOKUP(A858, 'ROMANEIO POR ITEM'!#REF!, 6, FALSE))</f>
        <v/>
      </c>
    </row>
    <row r="859" spans="1:6">
      <c r="A859" t="str">
        <f>IFERROR(_xlfn.SINGLE(INDEX('ROMANEIO POR ITEM'!#REF!, SMALL(IF(_xlfn.SINGLE('ROMANEIO POR ITEM'!#REF!)&lt;&gt;0,_xlfn.SINGLE( ROW('ROMANEIO POR ITEM'!#REF!))-ROW('ROMANEIO POR ITEM'!#REF!)+1), ROW(A858)))), "")</f>
        <v/>
      </c>
      <c r="B859" t="str">
        <f>IF(A859="", "", VLOOKUP(A859, 'ROMANEIO POR ITEM'!#REF!, 2, FALSE))</f>
        <v/>
      </c>
      <c r="C859" t="str">
        <f>IF(A859="", "", VLOOKUP(A859, 'ROMANEIO POR ITEM'!#REF!, 3, FALSE))</f>
        <v/>
      </c>
      <c r="D859" t="str">
        <f>IF(A859="", "", VLOOKUP(A859, 'ROMANEIO POR ITEM'!#REF!, 4, FALSE))</f>
        <v/>
      </c>
      <c r="E859" t="str">
        <f>IF(A859="", "", VLOOKUP(A859, 'ROMANEIO POR ITEM'!#REF!, 5, FALSE))</f>
        <v/>
      </c>
      <c r="F859" t="str">
        <f>IF(A859="", "", VLOOKUP(A859, 'ROMANEIO POR ITEM'!#REF!, 6, FALSE))</f>
        <v/>
      </c>
    </row>
    <row r="860" spans="1:6">
      <c r="A860" t="str">
        <f>IFERROR(_xlfn.SINGLE(INDEX('ROMANEIO POR ITEM'!#REF!, SMALL(IF(_xlfn.SINGLE('ROMANEIO POR ITEM'!#REF!)&lt;&gt;0,_xlfn.SINGLE( ROW('ROMANEIO POR ITEM'!#REF!))-ROW('ROMANEIO POR ITEM'!#REF!)+1), ROW(A859)))), "")</f>
        <v/>
      </c>
      <c r="B860" t="str">
        <f>IF(A860="", "", VLOOKUP(A860, 'ROMANEIO POR ITEM'!#REF!, 2, FALSE))</f>
        <v/>
      </c>
      <c r="C860" t="str">
        <f>IF(A860="", "", VLOOKUP(A860, 'ROMANEIO POR ITEM'!#REF!, 3, FALSE))</f>
        <v/>
      </c>
      <c r="D860" t="str">
        <f>IF(A860="", "", VLOOKUP(A860, 'ROMANEIO POR ITEM'!#REF!, 4, FALSE))</f>
        <v/>
      </c>
      <c r="E860" t="str">
        <f>IF(A860="", "", VLOOKUP(A860, 'ROMANEIO POR ITEM'!#REF!, 5, FALSE))</f>
        <v/>
      </c>
      <c r="F860" t="str">
        <f>IF(A860="", "", VLOOKUP(A860, 'ROMANEIO POR ITEM'!#REF!, 6, FALSE))</f>
        <v/>
      </c>
    </row>
    <row r="861" spans="1:6">
      <c r="A861" t="str">
        <f>IFERROR(_xlfn.SINGLE(INDEX('ROMANEIO POR ITEM'!#REF!, SMALL(IF(_xlfn.SINGLE('ROMANEIO POR ITEM'!#REF!)&lt;&gt;0,_xlfn.SINGLE( ROW('ROMANEIO POR ITEM'!#REF!))-ROW('ROMANEIO POR ITEM'!#REF!)+1), ROW(A860)))), "")</f>
        <v/>
      </c>
      <c r="B861" t="str">
        <f>IF(A861="", "", VLOOKUP(A861, 'ROMANEIO POR ITEM'!#REF!, 2, FALSE))</f>
        <v/>
      </c>
      <c r="C861" t="str">
        <f>IF(A861="", "", VLOOKUP(A861, 'ROMANEIO POR ITEM'!#REF!, 3, FALSE))</f>
        <v/>
      </c>
      <c r="D861" t="str">
        <f>IF(A861="", "", VLOOKUP(A861, 'ROMANEIO POR ITEM'!#REF!, 4, FALSE))</f>
        <v/>
      </c>
      <c r="E861" t="str">
        <f>IF(A861="", "", VLOOKUP(A861, 'ROMANEIO POR ITEM'!#REF!, 5, FALSE))</f>
        <v/>
      </c>
      <c r="F861" t="str">
        <f>IF(A861="", "", VLOOKUP(A861, 'ROMANEIO POR ITEM'!#REF!, 6, FALSE))</f>
        <v/>
      </c>
    </row>
    <row r="862" spans="1:6">
      <c r="A862" t="str">
        <f>IFERROR(_xlfn.SINGLE(INDEX('ROMANEIO POR ITEM'!#REF!, SMALL(IF(_xlfn.SINGLE('ROMANEIO POR ITEM'!#REF!)&lt;&gt;0,_xlfn.SINGLE( ROW('ROMANEIO POR ITEM'!#REF!))-ROW('ROMANEIO POR ITEM'!#REF!)+1), ROW(A861)))), "")</f>
        <v/>
      </c>
      <c r="B862" t="str">
        <f>IF(A862="", "", VLOOKUP(A862, 'ROMANEIO POR ITEM'!#REF!, 2, FALSE))</f>
        <v/>
      </c>
      <c r="C862" t="str">
        <f>IF(A862="", "", VLOOKUP(A862, 'ROMANEIO POR ITEM'!#REF!, 3, FALSE))</f>
        <v/>
      </c>
      <c r="D862" t="str">
        <f>IF(A862="", "", VLOOKUP(A862, 'ROMANEIO POR ITEM'!#REF!, 4, FALSE))</f>
        <v/>
      </c>
      <c r="E862" t="str">
        <f>IF(A862="", "", VLOOKUP(A862, 'ROMANEIO POR ITEM'!#REF!, 5, FALSE))</f>
        <v/>
      </c>
      <c r="F862" t="str">
        <f>IF(A862="", "", VLOOKUP(A862, 'ROMANEIO POR ITEM'!#REF!, 6, FALSE))</f>
        <v/>
      </c>
    </row>
    <row r="863" spans="1:6">
      <c r="A863" t="str">
        <f>IFERROR(_xlfn.SINGLE(INDEX('ROMANEIO POR ITEM'!#REF!, SMALL(IF(_xlfn.SINGLE('ROMANEIO POR ITEM'!#REF!)&lt;&gt;0,_xlfn.SINGLE( ROW('ROMANEIO POR ITEM'!#REF!))-ROW('ROMANEIO POR ITEM'!#REF!)+1), ROW(A862)))), "")</f>
        <v/>
      </c>
      <c r="B863" t="str">
        <f>IF(A863="", "", VLOOKUP(A863, 'ROMANEIO POR ITEM'!#REF!, 2, FALSE))</f>
        <v/>
      </c>
      <c r="C863" t="str">
        <f>IF(A863="", "", VLOOKUP(A863, 'ROMANEIO POR ITEM'!#REF!, 3, FALSE))</f>
        <v/>
      </c>
      <c r="D863" t="str">
        <f>IF(A863="", "", VLOOKUP(A863, 'ROMANEIO POR ITEM'!#REF!, 4, FALSE))</f>
        <v/>
      </c>
      <c r="E863" t="str">
        <f>IF(A863="", "", VLOOKUP(A863, 'ROMANEIO POR ITEM'!#REF!, 5, FALSE))</f>
        <v/>
      </c>
      <c r="F863" t="str">
        <f>IF(A863="", "", VLOOKUP(A863, 'ROMANEIO POR ITEM'!#REF!, 6, FALSE))</f>
        <v/>
      </c>
    </row>
    <row r="864" spans="1:6">
      <c r="A864" t="str">
        <f>IFERROR(_xlfn.SINGLE(INDEX('ROMANEIO POR ITEM'!#REF!, SMALL(IF(_xlfn.SINGLE('ROMANEIO POR ITEM'!#REF!)&lt;&gt;0,_xlfn.SINGLE( ROW('ROMANEIO POR ITEM'!#REF!))-ROW('ROMANEIO POR ITEM'!#REF!)+1), ROW(A863)))), "")</f>
        <v/>
      </c>
      <c r="B864" t="str">
        <f>IF(A864="", "", VLOOKUP(A864, 'ROMANEIO POR ITEM'!#REF!, 2, FALSE))</f>
        <v/>
      </c>
      <c r="C864" t="str">
        <f>IF(A864="", "", VLOOKUP(A864, 'ROMANEIO POR ITEM'!#REF!, 3, FALSE))</f>
        <v/>
      </c>
      <c r="D864" t="str">
        <f>IF(A864="", "", VLOOKUP(A864, 'ROMANEIO POR ITEM'!#REF!, 4, FALSE))</f>
        <v/>
      </c>
      <c r="E864" t="str">
        <f>IF(A864="", "", VLOOKUP(A864, 'ROMANEIO POR ITEM'!#REF!, 5, FALSE))</f>
        <v/>
      </c>
      <c r="F864" t="str">
        <f>IF(A864="", "", VLOOKUP(A864, 'ROMANEIO POR ITEM'!#REF!, 6, FALSE))</f>
        <v/>
      </c>
    </row>
    <row r="865" spans="1:6">
      <c r="A865" t="str">
        <f>IFERROR(_xlfn.SINGLE(INDEX('ROMANEIO POR ITEM'!#REF!, SMALL(IF(_xlfn.SINGLE('ROMANEIO POR ITEM'!#REF!)&lt;&gt;0,_xlfn.SINGLE( ROW('ROMANEIO POR ITEM'!#REF!))-ROW('ROMANEIO POR ITEM'!#REF!)+1), ROW(A864)))), "")</f>
        <v/>
      </c>
      <c r="B865" t="str">
        <f>IF(A865="", "", VLOOKUP(A865, 'ROMANEIO POR ITEM'!#REF!, 2, FALSE))</f>
        <v/>
      </c>
      <c r="C865" t="str">
        <f>IF(A865="", "", VLOOKUP(A865, 'ROMANEIO POR ITEM'!#REF!, 3, FALSE))</f>
        <v/>
      </c>
      <c r="D865" t="str">
        <f>IF(A865="", "", VLOOKUP(A865, 'ROMANEIO POR ITEM'!#REF!, 4, FALSE))</f>
        <v/>
      </c>
      <c r="E865" t="str">
        <f>IF(A865="", "", VLOOKUP(A865, 'ROMANEIO POR ITEM'!#REF!, 5, FALSE))</f>
        <v/>
      </c>
      <c r="F865" t="str">
        <f>IF(A865="", "", VLOOKUP(A865, 'ROMANEIO POR ITEM'!#REF!, 6, FALSE))</f>
        <v/>
      </c>
    </row>
    <row r="866" spans="1:6">
      <c r="A866" t="str">
        <f>IFERROR(_xlfn.SINGLE(INDEX('ROMANEIO POR ITEM'!#REF!, SMALL(IF(_xlfn.SINGLE('ROMANEIO POR ITEM'!#REF!)&lt;&gt;0,_xlfn.SINGLE( ROW('ROMANEIO POR ITEM'!#REF!))-ROW('ROMANEIO POR ITEM'!#REF!)+1), ROW(A865)))), "")</f>
        <v/>
      </c>
      <c r="B866" t="str">
        <f>IF(A866="", "", VLOOKUP(A866, 'ROMANEIO POR ITEM'!#REF!, 2, FALSE))</f>
        <v/>
      </c>
      <c r="C866" t="str">
        <f>IF(A866="", "", VLOOKUP(A866, 'ROMANEIO POR ITEM'!#REF!, 3, FALSE))</f>
        <v/>
      </c>
      <c r="D866" t="str">
        <f>IF(A866="", "", VLOOKUP(A866, 'ROMANEIO POR ITEM'!#REF!, 4, FALSE))</f>
        <v/>
      </c>
      <c r="E866" t="str">
        <f>IF(A866="", "", VLOOKUP(A866, 'ROMANEIO POR ITEM'!#REF!, 5, FALSE))</f>
        <v/>
      </c>
      <c r="F866" t="str">
        <f>IF(A866="", "", VLOOKUP(A866, 'ROMANEIO POR ITEM'!#REF!, 6, FALSE))</f>
        <v/>
      </c>
    </row>
    <row r="867" spans="1:6">
      <c r="A867" t="str">
        <f>IFERROR(_xlfn.SINGLE(INDEX('ROMANEIO POR ITEM'!#REF!, SMALL(IF(_xlfn.SINGLE('ROMANEIO POR ITEM'!#REF!)&lt;&gt;0,_xlfn.SINGLE( ROW('ROMANEIO POR ITEM'!#REF!))-ROW('ROMANEIO POR ITEM'!#REF!)+1), ROW(A866)))), "")</f>
        <v/>
      </c>
      <c r="B867" t="str">
        <f>IF(A867="", "", VLOOKUP(A867, 'ROMANEIO POR ITEM'!#REF!, 2, FALSE))</f>
        <v/>
      </c>
      <c r="C867" t="str">
        <f>IF(A867="", "", VLOOKUP(A867, 'ROMANEIO POR ITEM'!#REF!, 3, FALSE))</f>
        <v/>
      </c>
      <c r="D867" t="str">
        <f>IF(A867="", "", VLOOKUP(A867, 'ROMANEIO POR ITEM'!#REF!, 4, FALSE))</f>
        <v/>
      </c>
      <c r="E867" t="str">
        <f>IF(A867="", "", VLOOKUP(A867, 'ROMANEIO POR ITEM'!#REF!, 5, FALSE))</f>
        <v/>
      </c>
      <c r="F867" t="str">
        <f>IF(A867="", "", VLOOKUP(A867, 'ROMANEIO POR ITEM'!#REF!, 6, FALSE))</f>
        <v/>
      </c>
    </row>
    <row r="868" spans="1:6">
      <c r="A868" t="str">
        <f>IFERROR(_xlfn.SINGLE(INDEX('ROMANEIO POR ITEM'!#REF!, SMALL(IF(_xlfn.SINGLE('ROMANEIO POR ITEM'!#REF!)&lt;&gt;0,_xlfn.SINGLE( ROW('ROMANEIO POR ITEM'!#REF!))-ROW('ROMANEIO POR ITEM'!#REF!)+1), ROW(A867)))), "")</f>
        <v/>
      </c>
      <c r="B868" t="str">
        <f>IF(A868="", "", VLOOKUP(A868, 'ROMANEIO POR ITEM'!#REF!, 2, FALSE))</f>
        <v/>
      </c>
      <c r="C868" t="str">
        <f>IF(A868="", "", VLOOKUP(A868, 'ROMANEIO POR ITEM'!#REF!, 3, FALSE))</f>
        <v/>
      </c>
      <c r="D868" t="str">
        <f>IF(A868="", "", VLOOKUP(A868, 'ROMANEIO POR ITEM'!#REF!, 4, FALSE))</f>
        <v/>
      </c>
      <c r="E868" t="str">
        <f>IF(A868="", "", VLOOKUP(A868, 'ROMANEIO POR ITEM'!#REF!, 5, FALSE))</f>
        <v/>
      </c>
      <c r="F868" t="str">
        <f>IF(A868="", "", VLOOKUP(A868, 'ROMANEIO POR ITEM'!#REF!, 6, FALSE))</f>
        <v/>
      </c>
    </row>
    <row r="869" spans="1:6">
      <c r="A869" t="str">
        <f>IFERROR(_xlfn.SINGLE(INDEX('ROMANEIO POR ITEM'!#REF!, SMALL(IF(_xlfn.SINGLE('ROMANEIO POR ITEM'!#REF!)&lt;&gt;0,_xlfn.SINGLE( ROW('ROMANEIO POR ITEM'!#REF!))-ROW('ROMANEIO POR ITEM'!#REF!)+1), ROW(A868)))), "")</f>
        <v/>
      </c>
      <c r="B869" t="str">
        <f>IF(A869="", "", VLOOKUP(A869, 'ROMANEIO POR ITEM'!#REF!, 2, FALSE))</f>
        <v/>
      </c>
      <c r="C869" t="str">
        <f>IF(A869="", "", VLOOKUP(A869, 'ROMANEIO POR ITEM'!#REF!, 3, FALSE))</f>
        <v/>
      </c>
      <c r="D869" t="str">
        <f>IF(A869="", "", VLOOKUP(A869, 'ROMANEIO POR ITEM'!#REF!, 4, FALSE))</f>
        <v/>
      </c>
      <c r="E869" t="str">
        <f>IF(A869="", "", VLOOKUP(A869, 'ROMANEIO POR ITEM'!#REF!, 5, FALSE))</f>
        <v/>
      </c>
      <c r="F869" t="str">
        <f>IF(A869="", "", VLOOKUP(A869, 'ROMANEIO POR ITEM'!#REF!, 6, FALSE))</f>
        <v/>
      </c>
    </row>
    <row r="870" spans="1:6">
      <c r="A870" t="str">
        <f>IFERROR(_xlfn.SINGLE(INDEX('ROMANEIO POR ITEM'!#REF!, SMALL(IF(_xlfn.SINGLE('ROMANEIO POR ITEM'!#REF!)&lt;&gt;0,_xlfn.SINGLE( ROW('ROMANEIO POR ITEM'!#REF!))-ROW('ROMANEIO POR ITEM'!#REF!)+1), ROW(A869)))), "")</f>
        <v/>
      </c>
      <c r="B870" t="str">
        <f>IF(A870="", "", VLOOKUP(A870, 'ROMANEIO POR ITEM'!#REF!, 2, FALSE))</f>
        <v/>
      </c>
      <c r="C870" t="str">
        <f>IF(A870="", "", VLOOKUP(A870, 'ROMANEIO POR ITEM'!#REF!, 3, FALSE))</f>
        <v/>
      </c>
      <c r="D870" t="str">
        <f>IF(A870="", "", VLOOKUP(A870, 'ROMANEIO POR ITEM'!#REF!, 4, FALSE))</f>
        <v/>
      </c>
      <c r="E870" t="str">
        <f>IF(A870="", "", VLOOKUP(A870, 'ROMANEIO POR ITEM'!#REF!, 5, FALSE))</f>
        <v/>
      </c>
      <c r="F870" t="str">
        <f>IF(A870="", "", VLOOKUP(A870, 'ROMANEIO POR ITEM'!#REF!, 6, FALSE))</f>
        <v/>
      </c>
    </row>
    <row r="871" spans="1:6">
      <c r="A871" t="str">
        <f>IFERROR(_xlfn.SINGLE(INDEX('ROMANEIO POR ITEM'!#REF!, SMALL(IF(_xlfn.SINGLE('ROMANEIO POR ITEM'!#REF!)&lt;&gt;0,_xlfn.SINGLE( ROW('ROMANEIO POR ITEM'!#REF!))-ROW('ROMANEIO POR ITEM'!#REF!)+1), ROW(A870)))), "")</f>
        <v/>
      </c>
      <c r="B871" t="str">
        <f>IF(A871="", "", VLOOKUP(A871, 'ROMANEIO POR ITEM'!#REF!, 2, FALSE))</f>
        <v/>
      </c>
      <c r="C871" t="str">
        <f>IF(A871="", "", VLOOKUP(A871, 'ROMANEIO POR ITEM'!#REF!, 3, FALSE))</f>
        <v/>
      </c>
      <c r="D871" t="str">
        <f>IF(A871="", "", VLOOKUP(A871, 'ROMANEIO POR ITEM'!#REF!, 4, FALSE))</f>
        <v/>
      </c>
      <c r="E871" t="str">
        <f>IF(A871="", "", VLOOKUP(A871, 'ROMANEIO POR ITEM'!#REF!, 5, FALSE))</f>
        <v/>
      </c>
      <c r="F871" t="str">
        <f>IF(A871="", "", VLOOKUP(A871, 'ROMANEIO POR ITEM'!#REF!, 6, FALSE))</f>
        <v/>
      </c>
    </row>
    <row r="872" spans="1:6">
      <c r="A872" t="str">
        <f>IFERROR(_xlfn.SINGLE(INDEX('ROMANEIO POR ITEM'!#REF!, SMALL(IF(_xlfn.SINGLE('ROMANEIO POR ITEM'!#REF!)&lt;&gt;0,_xlfn.SINGLE( ROW('ROMANEIO POR ITEM'!#REF!))-ROW('ROMANEIO POR ITEM'!#REF!)+1), ROW(A871)))), "")</f>
        <v/>
      </c>
      <c r="B872" t="str">
        <f>IF(A872="", "", VLOOKUP(A872, 'ROMANEIO POR ITEM'!#REF!, 2, FALSE))</f>
        <v/>
      </c>
      <c r="C872" t="str">
        <f>IF(A872="", "", VLOOKUP(A872, 'ROMANEIO POR ITEM'!#REF!, 3, FALSE))</f>
        <v/>
      </c>
      <c r="D872" t="str">
        <f>IF(A872="", "", VLOOKUP(A872, 'ROMANEIO POR ITEM'!#REF!, 4, FALSE))</f>
        <v/>
      </c>
      <c r="E872" t="str">
        <f>IF(A872="", "", VLOOKUP(A872, 'ROMANEIO POR ITEM'!#REF!, 5, FALSE))</f>
        <v/>
      </c>
      <c r="F872" t="str">
        <f>IF(A872="", "", VLOOKUP(A872, 'ROMANEIO POR ITEM'!#REF!, 6, FALSE))</f>
        <v/>
      </c>
    </row>
    <row r="873" spans="1:6">
      <c r="A873" t="str">
        <f>IFERROR(_xlfn.SINGLE(INDEX('ROMANEIO POR ITEM'!#REF!, SMALL(IF(_xlfn.SINGLE('ROMANEIO POR ITEM'!#REF!)&lt;&gt;0,_xlfn.SINGLE( ROW('ROMANEIO POR ITEM'!#REF!))-ROW('ROMANEIO POR ITEM'!#REF!)+1), ROW(A872)))), "")</f>
        <v/>
      </c>
      <c r="B873" t="str">
        <f>IF(A873="", "", VLOOKUP(A873, 'ROMANEIO POR ITEM'!#REF!, 2, FALSE))</f>
        <v/>
      </c>
      <c r="C873" t="str">
        <f>IF(A873="", "", VLOOKUP(A873, 'ROMANEIO POR ITEM'!#REF!, 3, FALSE))</f>
        <v/>
      </c>
      <c r="D873" t="str">
        <f>IF(A873="", "", VLOOKUP(A873, 'ROMANEIO POR ITEM'!#REF!, 4, FALSE))</f>
        <v/>
      </c>
      <c r="E873" t="str">
        <f>IF(A873="", "", VLOOKUP(A873, 'ROMANEIO POR ITEM'!#REF!, 5, FALSE))</f>
        <v/>
      </c>
      <c r="F873" t="str">
        <f>IF(A873="", "", VLOOKUP(A873, 'ROMANEIO POR ITEM'!#REF!, 6, FALSE))</f>
        <v/>
      </c>
    </row>
    <row r="874" spans="1:6">
      <c r="A874" t="str">
        <f>IFERROR(_xlfn.SINGLE(INDEX('ROMANEIO POR ITEM'!#REF!, SMALL(IF(_xlfn.SINGLE('ROMANEIO POR ITEM'!#REF!)&lt;&gt;0,_xlfn.SINGLE( ROW('ROMANEIO POR ITEM'!#REF!))-ROW('ROMANEIO POR ITEM'!#REF!)+1), ROW(A873)))), "")</f>
        <v/>
      </c>
      <c r="B874" t="str">
        <f>IF(A874="", "", VLOOKUP(A874, 'ROMANEIO POR ITEM'!#REF!, 2, FALSE))</f>
        <v/>
      </c>
      <c r="C874" t="str">
        <f>IF(A874="", "", VLOOKUP(A874, 'ROMANEIO POR ITEM'!#REF!, 3, FALSE))</f>
        <v/>
      </c>
      <c r="D874" t="str">
        <f>IF(A874="", "", VLOOKUP(A874, 'ROMANEIO POR ITEM'!#REF!, 4, FALSE))</f>
        <v/>
      </c>
      <c r="E874" t="str">
        <f>IF(A874="", "", VLOOKUP(A874, 'ROMANEIO POR ITEM'!#REF!, 5, FALSE))</f>
        <v/>
      </c>
      <c r="F874" t="str">
        <f>IF(A874="", "", VLOOKUP(A874, 'ROMANEIO POR ITEM'!#REF!, 6, FALSE))</f>
        <v/>
      </c>
    </row>
    <row r="875" spans="1:6">
      <c r="A875" t="str">
        <f>IFERROR(_xlfn.SINGLE(INDEX('ROMANEIO POR ITEM'!#REF!, SMALL(IF(_xlfn.SINGLE('ROMANEIO POR ITEM'!#REF!)&lt;&gt;0,_xlfn.SINGLE( ROW('ROMANEIO POR ITEM'!#REF!))-ROW('ROMANEIO POR ITEM'!#REF!)+1), ROW(A874)))), "")</f>
        <v/>
      </c>
      <c r="B875" t="str">
        <f>IF(A875="", "", VLOOKUP(A875, 'ROMANEIO POR ITEM'!#REF!, 2, FALSE))</f>
        <v/>
      </c>
      <c r="C875" t="str">
        <f>IF(A875="", "", VLOOKUP(A875, 'ROMANEIO POR ITEM'!#REF!, 3, FALSE))</f>
        <v/>
      </c>
      <c r="D875" t="str">
        <f>IF(A875="", "", VLOOKUP(A875, 'ROMANEIO POR ITEM'!#REF!, 4, FALSE))</f>
        <v/>
      </c>
      <c r="E875" t="str">
        <f>IF(A875="", "", VLOOKUP(A875, 'ROMANEIO POR ITEM'!#REF!, 5, FALSE))</f>
        <v/>
      </c>
      <c r="F875" t="str">
        <f>IF(A875="", "", VLOOKUP(A875, 'ROMANEIO POR ITEM'!#REF!, 6, FALSE))</f>
        <v/>
      </c>
    </row>
    <row r="876" spans="1:6">
      <c r="A876" t="str">
        <f>IFERROR(_xlfn.SINGLE(INDEX('ROMANEIO POR ITEM'!#REF!, SMALL(IF(_xlfn.SINGLE('ROMANEIO POR ITEM'!#REF!)&lt;&gt;0,_xlfn.SINGLE( ROW('ROMANEIO POR ITEM'!#REF!))-ROW('ROMANEIO POR ITEM'!#REF!)+1), ROW(A875)))), "")</f>
        <v/>
      </c>
      <c r="B876" t="str">
        <f>IF(A876="", "", VLOOKUP(A876, 'ROMANEIO POR ITEM'!#REF!, 2, FALSE))</f>
        <v/>
      </c>
      <c r="C876" t="str">
        <f>IF(A876="", "", VLOOKUP(A876, 'ROMANEIO POR ITEM'!#REF!, 3, FALSE))</f>
        <v/>
      </c>
      <c r="D876" t="str">
        <f>IF(A876="", "", VLOOKUP(A876, 'ROMANEIO POR ITEM'!#REF!, 4, FALSE))</f>
        <v/>
      </c>
      <c r="E876" t="str">
        <f>IF(A876="", "", VLOOKUP(A876, 'ROMANEIO POR ITEM'!#REF!, 5, FALSE))</f>
        <v/>
      </c>
      <c r="F876" t="str">
        <f>IF(A876="", "", VLOOKUP(A876, 'ROMANEIO POR ITEM'!#REF!, 6, FALSE))</f>
        <v/>
      </c>
    </row>
    <row r="877" spans="1:6">
      <c r="A877" t="str">
        <f>IFERROR(_xlfn.SINGLE(INDEX('ROMANEIO POR ITEM'!#REF!, SMALL(IF(_xlfn.SINGLE('ROMANEIO POR ITEM'!#REF!)&lt;&gt;0,_xlfn.SINGLE( ROW('ROMANEIO POR ITEM'!#REF!))-ROW('ROMANEIO POR ITEM'!#REF!)+1), ROW(A876)))), "")</f>
        <v/>
      </c>
      <c r="B877" t="str">
        <f>IF(A877="", "", VLOOKUP(A877, 'ROMANEIO POR ITEM'!#REF!, 2, FALSE))</f>
        <v/>
      </c>
      <c r="C877" t="str">
        <f>IF(A877="", "", VLOOKUP(A877, 'ROMANEIO POR ITEM'!#REF!, 3, FALSE))</f>
        <v/>
      </c>
      <c r="D877" t="str">
        <f>IF(A877="", "", VLOOKUP(A877, 'ROMANEIO POR ITEM'!#REF!, 4, FALSE))</f>
        <v/>
      </c>
      <c r="E877" t="str">
        <f>IF(A877="", "", VLOOKUP(A877, 'ROMANEIO POR ITEM'!#REF!, 5, FALSE))</f>
        <v/>
      </c>
      <c r="F877" t="str">
        <f>IF(A877="", "", VLOOKUP(A877, 'ROMANEIO POR ITEM'!#REF!, 6, FALSE))</f>
        <v/>
      </c>
    </row>
    <row r="878" spans="1:6">
      <c r="A878" t="str">
        <f>IFERROR(_xlfn.SINGLE(INDEX('ROMANEIO POR ITEM'!#REF!, SMALL(IF(_xlfn.SINGLE('ROMANEIO POR ITEM'!#REF!)&lt;&gt;0,_xlfn.SINGLE( ROW('ROMANEIO POR ITEM'!#REF!))-ROW('ROMANEIO POR ITEM'!#REF!)+1), ROW(A877)))), "")</f>
        <v/>
      </c>
      <c r="B878" t="str">
        <f>IF(A878="", "", VLOOKUP(A878, 'ROMANEIO POR ITEM'!#REF!, 2, FALSE))</f>
        <v/>
      </c>
      <c r="C878" t="str">
        <f>IF(A878="", "", VLOOKUP(A878, 'ROMANEIO POR ITEM'!#REF!, 3, FALSE))</f>
        <v/>
      </c>
      <c r="D878" t="str">
        <f>IF(A878="", "", VLOOKUP(A878, 'ROMANEIO POR ITEM'!#REF!, 4, FALSE))</f>
        <v/>
      </c>
      <c r="E878" t="str">
        <f>IF(A878="", "", VLOOKUP(A878, 'ROMANEIO POR ITEM'!#REF!, 5, FALSE))</f>
        <v/>
      </c>
      <c r="F878" t="str">
        <f>IF(A878="", "", VLOOKUP(A878, 'ROMANEIO POR ITEM'!#REF!, 6, FALSE))</f>
        <v/>
      </c>
    </row>
    <row r="879" spans="1:6">
      <c r="A879" t="str">
        <f>IFERROR(_xlfn.SINGLE(INDEX('ROMANEIO POR ITEM'!#REF!, SMALL(IF(_xlfn.SINGLE('ROMANEIO POR ITEM'!#REF!)&lt;&gt;0,_xlfn.SINGLE( ROW('ROMANEIO POR ITEM'!#REF!))-ROW('ROMANEIO POR ITEM'!#REF!)+1), ROW(A878)))), "")</f>
        <v/>
      </c>
      <c r="B879" t="str">
        <f>IF(A879="", "", VLOOKUP(A879, 'ROMANEIO POR ITEM'!#REF!, 2, FALSE))</f>
        <v/>
      </c>
      <c r="C879" t="str">
        <f>IF(A879="", "", VLOOKUP(A879, 'ROMANEIO POR ITEM'!#REF!, 3, FALSE))</f>
        <v/>
      </c>
      <c r="D879" t="str">
        <f>IF(A879="", "", VLOOKUP(A879, 'ROMANEIO POR ITEM'!#REF!, 4, FALSE))</f>
        <v/>
      </c>
      <c r="E879" t="str">
        <f>IF(A879="", "", VLOOKUP(A879, 'ROMANEIO POR ITEM'!#REF!, 5, FALSE))</f>
        <v/>
      </c>
      <c r="F879" t="str">
        <f>IF(A879="", "", VLOOKUP(A879, 'ROMANEIO POR ITEM'!#REF!, 6, FALSE))</f>
        <v/>
      </c>
    </row>
    <row r="880" spans="1:6">
      <c r="A880" t="str">
        <f>IFERROR(_xlfn.SINGLE(INDEX('ROMANEIO POR ITEM'!#REF!, SMALL(IF(_xlfn.SINGLE('ROMANEIO POR ITEM'!#REF!)&lt;&gt;0,_xlfn.SINGLE( ROW('ROMANEIO POR ITEM'!#REF!))-ROW('ROMANEIO POR ITEM'!#REF!)+1), ROW(A879)))), "")</f>
        <v/>
      </c>
      <c r="B880" t="str">
        <f>IF(A880="", "", VLOOKUP(A880, 'ROMANEIO POR ITEM'!#REF!, 2, FALSE))</f>
        <v/>
      </c>
      <c r="C880" t="str">
        <f>IF(A880="", "", VLOOKUP(A880, 'ROMANEIO POR ITEM'!#REF!, 3, FALSE))</f>
        <v/>
      </c>
      <c r="D880" t="str">
        <f>IF(A880="", "", VLOOKUP(A880, 'ROMANEIO POR ITEM'!#REF!, 4, FALSE))</f>
        <v/>
      </c>
      <c r="E880" t="str">
        <f>IF(A880="", "", VLOOKUP(A880, 'ROMANEIO POR ITEM'!#REF!, 5, FALSE))</f>
        <v/>
      </c>
      <c r="F880" t="str">
        <f>IF(A880="", "", VLOOKUP(A880, 'ROMANEIO POR ITEM'!#REF!, 6, FALSE))</f>
        <v/>
      </c>
    </row>
    <row r="881" spans="1:6">
      <c r="A881" t="str">
        <f>IFERROR(_xlfn.SINGLE(INDEX('ROMANEIO POR ITEM'!#REF!, SMALL(IF(_xlfn.SINGLE('ROMANEIO POR ITEM'!#REF!)&lt;&gt;0,_xlfn.SINGLE( ROW('ROMANEIO POR ITEM'!#REF!))-ROW('ROMANEIO POR ITEM'!#REF!)+1), ROW(A880)))), "")</f>
        <v/>
      </c>
      <c r="B881" t="str">
        <f>IF(A881="", "", VLOOKUP(A881, 'ROMANEIO POR ITEM'!#REF!, 2, FALSE))</f>
        <v/>
      </c>
      <c r="C881" t="str">
        <f>IF(A881="", "", VLOOKUP(A881, 'ROMANEIO POR ITEM'!#REF!, 3, FALSE))</f>
        <v/>
      </c>
      <c r="D881" t="str">
        <f>IF(A881="", "", VLOOKUP(A881, 'ROMANEIO POR ITEM'!#REF!, 4, FALSE))</f>
        <v/>
      </c>
      <c r="E881" t="str">
        <f>IF(A881="", "", VLOOKUP(A881, 'ROMANEIO POR ITEM'!#REF!, 5, FALSE))</f>
        <v/>
      </c>
      <c r="F881" t="str">
        <f>IF(A881="", "", VLOOKUP(A881, 'ROMANEIO POR ITEM'!#REF!, 6, FALSE))</f>
        <v/>
      </c>
    </row>
    <row r="882" spans="1:6">
      <c r="A882" t="str">
        <f>IFERROR(_xlfn.SINGLE(INDEX('ROMANEIO POR ITEM'!#REF!, SMALL(IF(_xlfn.SINGLE('ROMANEIO POR ITEM'!#REF!)&lt;&gt;0,_xlfn.SINGLE( ROW('ROMANEIO POR ITEM'!#REF!))-ROW('ROMANEIO POR ITEM'!#REF!)+1), ROW(A881)))), "")</f>
        <v/>
      </c>
      <c r="B882" t="str">
        <f>IF(A882="", "", VLOOKUP(A882, 'ROMANEIO POR ITEM'!#REF!, 2, FALSE))</f>
        <v/>
      </c>
      <c r="C882" t="str">
        <f>IF(A882="", "", VLOOKUP(A882, 'ROMANEIO POR ITEM'!#REF!, 3, FALSE))</f>
        <v/>
      </c>
      <c r="D882" t="str">
        <f>IF(A882="", "", VLOOKUP(A882, 'ROMANEIO POR ITEM'!#REF!, 4, FALSE))</f>
        <v/>
      </c>
      <c r="E882" t="str">
        <f>IF(A882="", "", VLOOKUP(A882, 'ROMANEIO POR ITEM'!#REF!, 5, FALSE))</f>
        <v/>
      </c>
      <c r="F882" t="str">
        <f>IF(A882="", "", VLOOKUP(A882, 'ROMANEIO POR ITEM'!#REF!, 6, FALSE))</f>
        <v/>
      </c>
    </row>
    <row r="883" spans="1:6">
      <c r="A883" t="str">
        <f>IFERROR(_xlfn.SINGLE(INDEX('ROMANEIO POR ITEM'!#REF!, SMALL(IF(_xlfn.SINGLE('ROMANEIO POR ITEM'!#REF!)&lt;&gt;0,_xlfn.SINGLE( ROW('ROMANEIO POR ITEM'!#REF!))-ROW('ROMANEIO POR ITEM'!#REF!)+1), ROW(A882)))), "")</f>
        <v/>
      </c>
      <c r="B883" t="str">
        <f>IF(A883="", "", VLOOKUP(A883, 'ROMANEIO POR ITEM'!#REF!, 2, FALSE))</f>
        <v/>
      </c>
      <c r="C883" t="str">
        <f>IF(A883="", "", VLOOKUP(A883, 'ROMANEIO POR ITEM'!#REF!, 3, FALSE))</f>
        <v/>
      </c>
      <c r="D883" t="str">
        <f>IF(A883="", "", VLOOKUP(A883, 'ROMANEIO POR ITEM'!#REF!, 4, FALSE))</f>
        <v/>
      </c>
      <c r="E883" t="str">
        <f>IF(A883="", "", VLOOKUP(A883, 'ROMANEIO POR ITEM'!#REF!, 5, FALSE))</f>
        <v/>
      </c>
      <c r="F883" t="str">
        <f>IF(A883="", "", VLOOKUP(A883, 'ROMANEIO POR ITEM'!#REF!, 6, FALSE))</f>
        <v/>
      </c>
    </row>
    <row r="884" spans="1:6">
      <c r="A884" t="str">
        <f>IFERROR(_xlfn.SINGLE(INDEX('ROMANEIO POR ITEM'!#REF!, SMALL(IF(_xlfn.SINGLE('ROMANEIO POR ITEM'!#REF!)&lt;&gt;0,_xlfn.SINGLE( ROW('ROMANEIO POR ITEM'!#REF!))-ROW('ROMANEIO POR ITEM'!#REF!)+1), ROW(A883)))), "")</f>
        <v/>
      </c>
      <c r="B884" t="str">
        <f>IF(A884="", "", VLOOKUP(A884, 'ROMANEIO POR ITEM'!#REF!, 2, FALSE))</f>
        <v/>
      </c>
      <c r="C884" t="str">
        <f>IF(A884="", "", VLOOKUP(A884, 'ROMANEIO POR ITEM'!#REF!, 3, FALSE))</f>
        <v/>
      </c>
      <c r="D884" t="str">
        <f>IF(A884="", "", VLOOKUP(A884, 'ROMANEIO POR ITEM'!#REF!, 4, FALSE))</f>
        <v/>
      </c>
      <c r="E884" t="str">
        <f>IF(A884="", "", VLOOKUP(A884, 'ROMANEIO POR ITEM'!#REF!, 5, FALSE))</f>
        <v/>
      </c>
      <c r="F884" t="str">
        <f>IF(A884="", "", VLOOKUP(A884, 'ROMANEIO POR ITEM'!#REF!, 6, FALSE))</f>
        <v/>
      </c>
    </row>
    <row r="885" spans="1:6">
      <c r="A885" t="str">
        <f>IFERROR(_xlfn.SINGLE(INDEX('ROMANEIO POR ITEM'!#REF!, SMALL(IF(_xlfn.SINGLE('ROMANEIO POR ITEM'!#REF!)&lt;&gt;0,_xlfn.SINGLE( ROW('ROMANEIO POR ITEM'!#REF!))-ROW('ROMANEIO POR ITEM'!#REF!)+1), ROW(A884)))), "")</f>
        <v/>
      </c>
      <c r="B885" t="str">
        <f>IF(A885="", "", VLOOKUP(A885, 'ROMANEIO POR ITEM'!#REF!, 2, FALSE))</f>
        <v/>
      </c>
      <c r="C885" t="str">
        <f>IF(A885="", "", VLOOKUP(A885, 'ROMANEIO POR ITEM'!#REF!, 3, FALSE))</f>
        <v/>
      </c>
      <c r="D885" t="str">
        <f>IF(A885="", "", VLOOKUP(A885, 'ROMANEIO POR ITEM'!#REF!, 4, FALSE))</f>
        <v/>
      </c>
      <c r="E885" t="str">
        <f>IF(A885="", "", VLOOKUP(A885, 'ROMANEIO POR ITEM'!#REF!, 5, FALSE))</f>
        <v/>
      </c>
      <c r="F885" t="str">
        <f>IF(A885="", "", VLOOKUP(A885, 'ROMANEIO POR ITEM'!#REF!, 6, FALSE))</f>
        <v/>
      </c>
    </row>
    <row r="886" spans="1:6">
      <c r="A886" t="str">
        <f>IFERROR(_xlfn.SINGLE(INDEX('ROMANEIO POR ITEM'!#REF!, SMALL(IF(_xlfn.SINGLE('ROMANEIO POR ITEM'!#REF!)&lt;&gt;0,_xlfn.SINGLE( ROW('ROMANEIO POR ITEM'!#REF!))-ROW('ROMANEIO POR ITEM'!#REF!)+1), ROW(A885)))), "")</f>
        <v/>
      </c>
      <c r="B886" t="str">
        <f>IF(A886="", "", VLOOKUP(A886, 'ROMANEIO POR ITEM'!#REF!, 2, FALSE))</f>
        <v/>
      </c>
      <c r="C886" t="str">
        <f>IF(A886="", "", VLOOKUP(A886, 'ROMANEIO POR ITEM'!#REF!, 3, FALSE))</f>
        <v/>
      </c>
      <c r="D886" t="str">
        <f>IF(A886="", "", VLOOKUP(A886, 'ROMANEIO POR ITEM'!#REF!, 4, FALSE))</f>
        <v/>
      </c>
      <c r="E886" t="str">
        <f>IF(A886="", "", VLOOKUP(A886, 'ROMANEIO POR ITEM'!#REF!, 5, FALSE))</f>
        <v/>
      </c>
      <c r="F886" t="str">
        <f>IF(A886="", "", VLOOKUP(A886, 'ROMANEIO POR ITEM'!#REF!, 6, FALSE))</f>
        <v/>
      </c>
    </row>
    <row r="887" spans="1:6">
      <c r="A887" t="str">
        <f>IFERROR(_xlfn.SINGLE(INDEX('ROMANEIO POR ITEM'!#REF!, SMALL(IF(_xlfn.SINGLE('ROMANEIO POR ITEM'!#REF!)&lt;&gt;0,_xlfn.SINGLE( ROW('ROMANEIO POR ITEM'!#REF!))-ROW('ROMANEIO POR ITEM'!#REF!)+1), ROW(A886)))), "")</f>
        <v/>
      </c>
      <c r="B887" t="str">
        <f>IF(A887="", "", VLOOKUP(A887, 'ROMANEIO POR ITEM'!#REF!, 2, FALSE))</f>
        <v/>
      </c>
      <c r="C887" t="str">
        <f>IF(A887="", "", VLOOKUP(A887, 'ROMANEIO POR ITEM'!#REF!, 3, FALSE))</f>
        <v/>
      </c>
      <c r="D887" t="str">
        <f>IF(A887="", "", VLOOKUP(A887, 'ROMANEIO POR ITEM'!#REF!, 4, FALSE))</f>
        <v/>
      </c>
      <c r="E887" t="str">
        <f>IF(A887="", "", VLOOKUP(A887, 'ROMANEIO POR ITEM'!#REF!, 5, FALSE))</f>
        <v/>
      </c>
      <c r="F887" t="str">
        <f>IF(A887="", "", VLOOKUP(A887, 'ROMANEIO POR ITEM'!#REF!, 6, FALSE))</f>
        <v/>
      </c>
    </row>
    <row r="888" spans="1:6">
      <c r="A888" t="str">
        <f>IFERROR(_xlfn.SINGLE(INDEX('ROMANEIO POR ITEM'!#REF!, SMALL(IF(_xlfn.SINGLE('ROMANEIO POR ITEM'!#REF!)&lt;&gt;0,_xlfn.SINGLE( ROW('ROMANEIO POR ITEM'!#REF!))-ROW('ROMANEIO POR ITEM'!#REF!)+1), ROW(A887)))), "")</f>
        <v/>
      </c>
      <c r="B888" t="str">
        <f>IF(A888="", "", VLOOKUP(A888, 'ROMANEIO POR ITEM'!#REF!, 2, FALSE))</f>
        <v/>
      </c>
      <c r="C888" t="str">
        <f>IF(A888="", "", VLOOKUP(A888, 'ROMANEIO POR ITEM'!#REF!, 3, FALSE))</f>
        <v/>
      </c>
      <c r="D888" t="str">
        <f>IF(A888="", "", VLOOKUP(A888, 'ROMANEIO POR ITEM'!#REF!, 4, FALSE))</f>
        <v/>
      </c>
      <c r="E888" t="str">
        <f>IF(A888="", "", VLOOKUP(A888, 'ROMANEIO POR ITEM'!#REF!, 5, FALSE))</f>
        <v/>
      </c>
      <c r="F888" t="str">
        <f>IF(A888="", "", VLOOKUP(A888, 'ROMANEIO POR ITEM'!#REF!, 6, FALSE))</f>
        <v/>
      </c>
    </row>
    <row r="889" spans="1:6">
      <c r="A889" t="str">
        <f>IFERROR(_xlfn.SINGLE(INDEX('ROMANEIO POR ITEM'!#REF!, SMALL(IF(_xlfn.SINGLE('ROMANEIO POR ITEM'!#REF!)&lt;&gt;0,_xlfn.SINGLE( ROW('ROMANEIO POR ITEM'!#REF!))-ROW('ROMANEIO POR ITEM'!#REF!)+1), ROW(A888)))), "")</f>
        <v/>
      </c>
      <c r="B889" t="str">
        <f>IF(A889="", "", VLOOKUP(A889, 'ROMANEIO POR ITEM'!#REF!, 2, FALSE))</f>
        <v/>
      </c>
      <c r="C889" t="str">
        <f>IF(A889="", "", VLOOKUP(A889, 'ROMANEIO POR ITEM'!#REF!, 3, FALSE))</f>
        <v/>
      </c>
      <c r="D889" t="str">
        <f>IF(A889="", "", VLOOKUP(A889, 'ROMANEIO POR ITEM'!#REF!, 4, FALSE))</f>
        <v/>
      </c>
      <c r="E889" t="str">
        <f>IF(A889="", "", VLOOKUP(A889, 'ROMANEIO POR ITEM'!#REF!, 5, FALSE))</f>
        <v/>
      </c>
      <c r="F889" t="str">
        <f>IF(A889="", "", VLOOKUP(A889, 'ROMANEIO POR ITEM'!#REF!, 6, FALSE))</f>
        <v/>
      </c>
    </row>
    <row r="890" spans="1:6">
      <c r="A890" t="str">
        <f>IFERROR(_xlfn.SINGLE(INDEX('ROMANEIO POR ITEM'!#REF!, SMALL(IF(_xlfn.SINGLE('ROMANEIO POR ITEM'!#REF!)&lt;&gt;0,_xlfn.SINGLE( ROW('ROMANEIO POR ITEM'!#REF!))-ROW('ROMANEIO POR ITEM'!#REF!)+1), ROW(A889)))), "")</f>
        <v/>
      </c>
      <c r="B890" t="str">
        <f>IF(A890="", "", VLOOKUP(A890, 'ROMANEIO POR ITEM'!#REF!, 2, FALSE))</f>
        <v/>
      </c>
      <c r="C890" t="str">
        <f>IF(A890="", "", VLOOKUP(A890, 'ROMANEIO POR ITEM'!#REF!, 3, FALSE))</f>
        <v/>
      </c>
      <c r="D890" t="str">
        <f>IF(A890="", "", VLOOKUP(A890, 'ROMANEIO POR ITEM'!#REF!, 4, FALSE))</f>
        <v/>
      </c>
      <c r="E890" t="str">
        <f>IF(A890="", "", VLOOKUP(A890, 'ROMANEIO POR ITEM'!#REF!, 5, FALSE))</f>
        <v/>
      </c>
      <c r="F890" t="str">
        <f>IF(A890="", "", VLOOKUP(A890, 'ROMANEIO POR ITEM'!#REF!, 6, FALSE))</f>
        <v/>
      </c>
    </row>
    <row r="891" spans="1:6">
      <c r="A891" t="str">
        <f>IFERROR(_xlfn.SINGLE(INDEX('ROMANEIO POR ITEM'!#REF!, SMALL(IF(_xlfn.SINGLE('ROMANEIO POR ITEM'!#REF!)&lt;&gt;0,_xlfn.SINGLE( ROW('ROMANEIO POR ITEM'!#REF!))-ROW('ROMANEIO POR ITEM'!#REF!)+1), ROW(A890)))), "")</f>
        <v/>
      </c>
      <c r="B891" t="str">
        <f>IF(A891="", "", VLOOKUP(A891, 'ROMANEIO POR ITEM'!#REF!, 2, FALSE))</f>
        <v/>
      </c>
      <c r="C891" t="str">
        <f>IF(A891="", "", VLOOKUP(A891, 'ROMANEIO POR ITEM'!#REF!, 3, FALSE))</f>
        <v/>
      </c>
      <c r="D891" t="str">
        <f>IF(A891="", "", VLOOKUP(A891, 'ROMANEIO POR ITEM'!#REF!, 4, FALSE))</f>
        <v/>
      </c>
      <c r="E891" t="str">
        <f>IF(A891="", "", VLOOKUP(A891, 'ROMANEIO POR ITEM'!#REF!, 5, FALSE))</f>
        <v/>
      </c>
      <c r="F891" t="str">
        <f>IF(A891="", "", VLOOKUP(A891, 'ROMANEIO POR ITEM'!#REF!, 6, FALSE))</f>
        <v/>
      </c>
    </row>
    <row r="892" spans="1:6">
      <c r="A892" t="str">
        <f>IFERROR(_xlfn.SINGLE(INDEX('ROMANEIO POR ITEM'!#REF!, SMALL(IF(_xlfn.SINGLE('ROMANEIO POR ITEM'!#REF!)&lt;&gt;0,_xlfn.SINGLE( ROW('ROMANEIO POR ITEM'!#REF!))-ROW('ROMANEIO POR ITEM'!#REF!)+1), ROW(A891)))), "")</f>
        <v/>
      </c>
      <c r="B892" t="str">
        <f>IF(A892="", "", VLOOKUP(A892, 'ROMANEIO POR ITEM'!#REF!, 2, FALSE))</f>
        <v/>
      </c>
      <c r="C892" t="str">
        <f>IF(A892="", "", VLOOKUP(A892, 'ROMANEIO POR ITEM'!#REF!, 3, FALSE))</f>
        <v/>
      </c>
      <c r="D892" t="str">
        <f>IF(A892="", "", VLOOKUP(A892, 'ROMANEIO POR ITEM'!#REF!, 4, FALSE))</f>
        <v/>
      </c>
      <c r="E892" t="str">
        <f>IF(A892="", "", VLOOKUP(A892, 'ROMANEIO POR ITEM'!#REF!, 5, FALSE))</f>
        <v/>
      </c>
      <c r="F892" t="str">
        <f>IF(A892="", "", VLOOKUP(A892, 'ROMANEIO POR ITEM'!#REF!, 6, FALSE))</f>
        <v/>
      </c>
    </row>
    <row r="893" spans="1:6">
      <c r="A893" t="str">
        <f>IFERROR(_xlfn.SINGLE(INDEX('ROMANEIO POR ITEM'!#REF!, SMALL(IF(_xlfn.SINGLE('ROMANEIO POR ITEM'!#REF!)&lt;&gt;0,_xlfn.SINGLE( ROW('ROMANEIO POR ITEM'!#REF!))-ROW('ROMANEIO POR ITEM'!#REF!)+1), ROW(A892)))), "")</f>
        <v/>
      </c>
      <c r="B893" t="str">
        <f>IF(A893="", "", VLOOKUP(A893, 'ROMANEIO POR ITEM'!#REF!, 2, FALSE))</f>
        <v/>
      </c>
      <c r="C893" t="str">
        <f>IF(A893="", "", VLOOKUP(A893, 'ROMANEIO POR ITEM'!#REF!, 3, FALSE))</f>
        <v/>
      </c>
      <c r="D893" t="str">
        <f>IF(A893="", "", VLOOKUP(A893, 'ROMANEIO POR ITEM'!#REF!, 4, FALSE))</f>
        <v/>
      </c>
      <c r="E893" t="str">
        <f>IF(A893="", "", VLOOKUP(A893, 'ROMANEIO POR ITEM'!#REF!, 5, FALSE))</f>
        <v/>
      </c>
      <c r="F893" t="str">
        <f>IF(A893="", "", VLOOKUP(A893, 'ROMANEIO POR ITEM'!#REF!, 6, FALSE))</f>
        <v/>
      </c>
    </row>
    <row r="894" spans="1:6">
      <c r="A894" t="str">
        <f>IFERROR(_xlfn.SINGLE(INDEX('ROMANEIO POR ITEM'!#REF!, SMALL(IF(_xlfn.SINGLE('ROMANEIO POR ITEM'!#REF!)&lt;&gt;0,_xlfn.SINGLE( ROW('ROMANEIO POR ITEM'!#REF!))-ROW('ROMANEIO POR ITEM'!#REF!)+1), ROW(A893)))), "")</f>
        <v/>
      </c>
      <c r="B894" t="str">
        <f>IF(A894="", "", VLOOKUP(A894, 'ROMANEIO POR ITEM'!#REF!, 2, FALSE))</f>
        <v/>
      </c>
      <c r="C894" t="str">
        <f>IF(A894="", "", VLOOKUP(A894, 'ROMANEIO POR ITEM'!#REF!, 3, FALSE))</f>
        <v/>
      </c>
      <c r="D894" t="str">
        <f>IF(A894="", "", VLOOKUP(A894, 'ROMANEIO POR ITEM'!#REF!, 4, FALSE))</f>
        <v/>
      </c>
      <c r="E894" t="str">
        <f>IF(A894="", "", VLOOKUP(A894, 'ROMANEIO POR ITEM'!#REF!, 5, FALSE))</f>
        <v/>
      </c>
      <c r="F894" t="str">
        <f>IF(A894="", "", VLOOKUP(A894, 'ROMANEIO POR ITEM'!#REF!, 6, FALSE))</f>
        <v/>
      </c>
    </row>
    <row r="895" spans="1:6">
      <c r="A895" t="str">
        <f>IFERROR(_xlfn.SINGLE(INDEX('ROMANEIO POR ITEM'!#REF!, SMALL(IF(_xlfn.SINGLE('ROMANEIO POR ITEM'!#REF!)&lt;&gt;0,_xlfn.SINGLE( ROW('ROMANEIO POR ITEM'!#REF!))-ROW('ROMANEIO POR ITEM'!#REF!)+1), ROW(A894)))), "")</f>
        <v/>
      </c>
      <c r="B895" t="str">
        <f>IF(A895="", "", VLOOKUP(A895, 'ROMANEIO POR ITEM'!#REF!, 2, FALSE))</f>
        <v/>
      </c>
      <c r="C895" t="str">
        <f>IF(A895="", "", VLOOKUP(A895, 'ROMANEIO POR ITEM'!#REF!, 3, FALSE))</f>
        <v/>
      </c>
      <c r="D895" t="str">
        <f>IF(A895="", "", VLOOKUP(A895, 'ROMANEIO POR ITEM'!#REF!, 4, FALSE))</f>
        <v/>
      </c>
      <c r="E895" t="str">
        <f>IF(A895="", "", VLOOKUP(A895, 'ROMANEIO POR ITEM'!#REF!, 5, FALSE))</f>
        <v/>
      </c>
      <c r="F895" t="str">
        <f>IF(A895="", "", VLOOKUP(A895, 'ROMANEIO POR ITEM'!#REF!, 6, FALSE))</f>
        <v/>
      </c>
    </row>
    <row r="896" spans="1:6">
      <c r="A896" t="str">
        <f>IFERROR(_xlfn.SINGLE(INDEX('ROMANEIO POR ITEM'!#REF!, SMALL(IF(_xlfn.SINGLE('ROMANEIO POR ITEM'!#REF!)&lt;&gt;0,_xlfn.SINGLE( ROW('ROMANEIO POR ITEM'!#REF!))-ROW('ROMANEIO POR ITEM'!#REF!)+1), ROW(A895)))), "")</f>
        <v/>
      </c>
      <c r="B896" t="str">
        <f>IF(A896="", "", VLOOKUP(A896, 'ROMANEIO POR ITEM'!#REF!, 2, FALSE))</f>
        <v/>
      </c>
      <c r="C896" t="str">
        <f>IF(A896="", "", VLOOKUP(A896, 'ROMANEIO POR ITEM'!#REF!, 3, FALSE))</f>
        <v/>
      </c>
      <c r="D896" t="str">
        <f>IF(A896="", "", VLOOKUP(A896, 'ROMANEIO POR ITEM'!#REF!, 4, FALSE))</f>
        <v/>
      </c>
      <c r="E896" t="str">
        <f>IF(A896="", "", VLOOKUP(A896, 'ROMANEIO POR ITEM'!#REF!, 5, FALSE))</f>
        <v/>
      </c>
      <c r="F896" t="str">
        <f>IF(A896="", "", VLOOKUP(A896, 'ROMANEIO POR ITEM'!#REF!, 6, FALSE))</f>
        <v/>
      </c>
    </row>
    <row r="897" spans="1:6">
      <c r="A897" t="str">
        <f>IFERROR(_xlfn.SINGLE(INDEX('ROMANEIO POR ITEM'!#REF!, SMALL(IF(_xlfn.SINGLE('ROMANEIO POR ITEM'!#REF!)&lt;&gt;0,_xlfn.SINGLE( ROW('ROMANEIO POR ITEM'!#REF!))-ROW('ROMANEIO POR ITEM'!#REF!)+1), ROW(A896)))), "")</f>
        <v/>
      </c>
      <c r="B897" t="str">
        <f>IF(A897="", "", VLOOKUP(A897, 'ROMANEIO POR ITEM'!#REF!, 2, FALSE))</f>
        <v/>
      </c>
      <c r="C897" t="str">
        <f>IF(A897="", "", VLOOKUP(A897, 'ROMANEIO POR ITEM'!#REF!, 3, FALSE))</f>
        <v/>
      </c>
      <c r="D897" t="str">
        <f>IF(A897="", "", VLOOKUP(A897, 'ROMANEIO POR ITEM'!#REF!, 4, FALSE))</f>
        <v/>
      </c>
      <c r="E897" t="str">
        <f>IF(A897="", "", VLOOKUP(A897, 'ROMANEIO POR ITEM'!#REF!, 5, FALSE))</f>
        <v/>
      </c>
      <c r="F897" t="str">
        <f>IF(A897="", "", VLOOKUP(A897, 'ROMANEIO POR ITEM'!#REF!, 6, FALSE))</f>
        <v/>
      </c>
    </row>
    <row r="898" spans="1:6">
      <c r="A898" t="str">
        <f>IFERROR(_xlfn.SINGLE(INDEX('ROMANEIO POR ITEM'!#REF!, SMALL(IF(_xlfn.SINGLE('ROMANEIO POR ITEM'!#REF!)&lt;&gt;0,_xlfn.SINGLE( ROW('ROMANEIO POR ITEM'!#REF!))-ROW('ROMANEIO POR ITEM'!#REF!)+1), ROW(A897)))), "")</f>
        <v/>
      </c>
      <c r="B898" t="str">
        <f>IF(A898="", "", VLOOKUP(A898, 'ROMANEIO POR ITEM'!#REF!, 2, FALSE))</f>
        <v/>
      </c>
      <c r="C898" t="str">
        <f>IF(A898="", "", VLOOKUP(A898, 'ROMANEIO POR ITEM'!#REF!, 3, FALSE))</f>
        <v/>
      </c>
      <c r="D898" t="str">
        <f>IF(A898="", "", VLOOKUP(A898, 'ROMANEIO POR ITEM'!#REF!, 4, FALSE))</f>
        <v/>
      </c>
      <c r="E898" t="str">
        <f>IF(A898="", "", VLOOKUP(A898, 'ROMANEIO POR ITEM'!#REF!, 5, FALSE))</f>
        <v/>
      </c>
      <c r="F898" t="str">
        <f>IF(A898="", "", VLOOKUP(A898, 'ROMANEIO POR ITEM'!#REF!, 6, FALSE))</f>
        <v/>
      </c>
    </row>
    <row r="899" spans="1:6">
      <c r="A899" t="str">
        <f>IFERROR(_xlfn.SINGLE(INDEX('ROMANEIO POR ITEM'!#REF!, SMALL(IF(_xlfn.SINGLE('ROMANEIO POR ITEM'!#REF!)&lt;&gt;0,_xlfn.SINGLE( ROW('ROMANEIO POR ITEM'!#REF!))-ROW('ROMANEIO POR ITEM'!#REF!)+1), ROW(A898)))), "")</f>
        <v/>
      </c>
      <c r="B899" t="str">
        <f>IF(A899="", "", VLOOKUP(A899, 'ROMANEIO POR ITEM'!#REF!, 2, FALSE))</f>
        <v/>
      </c>
      <c r="C899" t="str">
        <f>IF(A899="", "", VLOOKUP(A899, 'ROMANEIO POR ITEM'!#REF!, 3, FALSE))</f>
        <v/>
      </c>
      <c r="D899" t="str">
        <f>IF(A899="", "", VLOOKUP(A899, 'ROMANEIO POR ITEM'!#REF!, 4, FALSE))</f>
        <v/>
      </c>
      <c r="E899" t="str">
        <f>IF(A899="", "", VLOOKUP(A899, 'ROMANEIO POR ITEM'!#REF!, 5, FALSE))</f>
        <v/>
      </c>
      <c r="F899" t="str">
        <f>IF(A899="", "", VLOOKUP(A899, 'ROMANEIO POR ITEM'!#REF!, 6, FALSE))</f>
        <v/>
      </c>
    </row>
    <row r="900" spans="1:6">
      <c r="A900" t="str">
        <f>IFERROR(_xlfn.SINGLE(INDEX('ROMANEIO POR ITEM'!#REF!, SMALL(IF(_xlfn.SINGLE('ROMANEIO POR ITEM'!#REF!)&lt;&gt;0,_xlfn.SINGLE( ROW('ROMANEIO POR ITEM'!#REF!))-ROW('ROMANEIO POR ITEM'!#REF!)+1), ROW(A899)))), "")</f>
        <v/>
      </c>
      <c r="B900" t="str">
        <f>IF(A900="", "", VLOOKUP(A900, 'ROMANEIO POR ITEM'!#REF!, 2, FALSE))</f>
        <v/>
      </c>
      <c r="C900" t="str">
        <f>IF(A900="", "", VLOOKUP(A900, 'ROMANEIO POR ITEM'!#REF!, 3, FALSE))</f>
        <v/>
      </c>
      <c r="D900" t="str">
        <f>IF(A900="", "", VLOOKUP(A900, 'ROMANEIO POR ITEM'!#REF!, 4, FALSE))</f>
        <v/>
      </c>
      <c r="E900" t="str">
        <f>IF(A900="", "", VLOOKUP(A900, 'ROMANEIO POR ITEM'!#REF!, 5, FALSE))</f>
        <v/>
      </c>
      <c r="F900" t="str">
        <f>IF(A900="", "", VLOOKUP(A900, 'ROMANEIO POR ITEM'!#REF!, 6, FALSE))</f>
        <v/>
      </c>
    </row>
    <row r="901" spans="1:6">
      <c r="A901" t="str">
        <f>IFERROR(_xlfn.SINGLE(INDEX('ROMANEIO POR ITEM'!#REF!, SMALL(IF(_xlfn.SINGLE('ROMANEIO POR ITEM'!#REF!)&lt;&gt;0,_xlfn.SINGLE( ROW('ROMANEIO POR ITEM'!#REF!))-ROW('ROMANEIO POR ITEM'!#REF!)+1), ROW(A900)))), "")</f>
        <v/>
      </c>
      <c r="B901" t="str">
        <f>IF(A901="", "", VLOOKUP(A901, 'ROMANEIO POR ITEM'!#REF!, 2, FALSE))</f>
        <v/>
      </c>
      <c r="C901" t="str">
        <f>IF(A901="", "", VLOOKUP(A901, 'ROMANEIO POR ITEM'!#REF!, 3, FALSE))</f>
        <v/>
      </c>
      <c r="D901" t="str">
        <f>IF(A901="", "", VLOOKUP(A901, 'ROMANEIO POR ITEM'!#REF!, 4, FALSE))</f>
        <v/>
      </c>
      <c r="E901" t="str">
        <f>IF(A901="", "", VLOOKUP(A901, 'ROMANEIO POR ITEM'!#REF!, 5, FALSE))</f>
        <v/>
      </c>
      <c r="F901" t="str">
        <f>IF(A901="", "", VLOOKUP(A901, 'ROMANEIO POR ITEM'!#REF!, 6, FALSE))</f>
        <v/>
      </c>
    </row>
    <row r="902" spans="1:6">
      <c r="A902" t="str">
        <f>IFERROR(_xlfn.SINGLE(INDEX('ROMANEIO POR ITEM'!#REF!, SMALL(IF(_xlfn.SINGLE('ROMANEIO POR ITEM'!#REF!)&lt;&gt;0,_xlfn.SINGLE( ROW('ROMANEIO POR ITEM'!#REF!))-ROW('ROMANEIO POR ITEM'!#REF!)+1), ROW(A901)))), "")</f>
        <v/>
      </c>
      <c r="B902" t="str">
        <f>IF(A902="", "", VLOOKUP(A902, 'ROMANEIO POR ITEM'!#REF!, 2, FALSE))</f>
        <v/>
      </c>
      <c r="C902" t="str">
        <f>IF(A902="", "", VLOOKUP(A902, 'ROMANEIO POR ITEM'!#REF!, 3, FALSE))</f>
        <v/>
      </c>
      <c r="D902" t="str">
        <f>IF(A902="", "", VLOOKUP(A902, 'ROMANEIO POR ITEM'!#REF!, 4, FALSE))</f>
        <v/>
      </c>
      <c r="E902" t="str">
        <f>IF(A902="", "", VLOOKUP(A902, 'ROMANEIO POR ITEM'!#REF!, 5, FALSE))</f>
        <v/>
      </c>
      <c r="F902" t="str">
        <f>IF(A902="", "", VLOOKUP(A902, 'ROMANEIO POR ITEM'!#REF!, 6, FALSE))</f>
        <v/>
      </c>
    </row>
    <row r="903" spans="1:6">
      <c r="A903" t="str">
        <f>IFERROR(_xlfn.SINGLE(INDEX('ROMANEIO POR ITEM'!#REF!, SMALL(IF(_xlfn.SINGLE('ROMANEIO POR ITEM'!#REF!)&lt;&gt;0,_xlfn.SINGLE( ROW('ROMANEIO POR ITEM'!#REF!))-ROW('ROMANEIO POR ITEM'!#REF!)+1), ROW(A902)))), "")</f>
        <v/>
      </c>
      <c r="B903" t="str">
        <f>IF(A903="", "", VLOOKUP(A903, 'ROMANEIO POR ITEM'!#REF!, 2, FALSE))</f>
        <v/>
      </c>
      <c r="C903" t="str">
        <f>IF(A903="", "", VLOOKUP(A903, 'ROMANEIO POR ITEM'!#REF!, 3, FALSE))</f>
        <v/>
      </c>
      <c r="D903" t="str">
        <f>IF(A903="", "", VLOOKUP(A903, 'ROMANEIO POR ITEM'!#REF!, 4, FALSE))</f>
        <v/>
      </c>
      <c r="E903" t="str">
        <f>IF(A903="", "", VLOOKUP(A903, 'ROMANEIO POR ITEM'!#REF!, 5, FALSE))</f>
        <v/>
      </c>
      <c r="F903" t="str">
        <f>IF(A903="", "", VLOOKUP(A903, 'ROMANEIO POR ITEM'!#REF!, 6, FALSE))</f>
        <v/>
      </c>
    </row>
    <row r="904" spans="1:6">
      <c r="A904" t="str">
        <f>IFERROR(_xlfn.SINGLE(INDEX('ROMANEIO POR ITEM'!#REF!, SMALL(IF(_xlfn.SINGLE('ROMANEIO POR ITEM'!#REF!)&lt;&gt;0,_xlfn.SINGLE( ROW('ROMANEIO POR ITEM'!#REF!))-ROW('ROMANEIO POR ITEM'!#REF!)+1), ROW(A903)))), "")</f>
        <v/>
      </c>
      <c r="B904" t="str">
        <f>IF(A904="", "", VLOOKUP(A904, 'ROMANEIO POR ITEM'!#REF!, 2, FALSE))</f>
        <v/>
      </c>
      <c r="C904" t="str">
        <f>IF(A904="", "", VLOOKUP(A904, 'ROMANEIO POR ITEM'!#REF!, 3, FALSE))</f>
        <v/>
      </c>
      <c r="D904" t="str">
        <f>IF(A904="", "", VLOOKUP(A904, 'ROMANEIO POR ITEM'!#REF!, 4, FALSE))</f>
        <v/>
      </c>
      <c r="E904" t="str">
        <f>IF(A904="", "", VLOOKUP(A904, 'ROMANEIO POR ITEM'!#REF!, 5, FALSE))</f>
        <v/>
      </c>
      <c r="F904" t="str">
        <f>IF(A904="", "", VLOOKUP(A904, 'ROMANEIO POR ITEM'!#REF!, 6, FALSE))</f>
        <v/>
      </c>
    </row>
    <row r="905" spans="1:6">
      <c r="A905" t="str">
        <f>IFERROR(_xlfn.SINGLE(INDEX('ROMANEIO POR ITEM'!#REF!, SMALL(IF(_xlfn.SINGLE('ROMANEIO POR ITEM'!#REF!)&lt;&gt;0,_xlfn.SINGLE( ROW('ROMANEIO POR ITEM'!#REF!))-ROW('ROMANEIO POR ITEM'!#REF!)+1), ROW(A904)))), "")</f>
        <v/>
      </c>
      <c r="B905" t="str">
        <f>IF(A905="", "", VLOOKUP(A905, 'ROMANEIO POR ITEM'!#REF!, 2, FALSE))</f>
        <v/>
      </c>
      <c r="C905" t="str">
        <f>IF(A905="", "", VLOOKUP(A905, 'ROMANEIO POR ITEM'!#REF!, 3, FALSE))</f>
        <v/>
      </c>
      <c r="D905" t="str">
        <f>IF(A905="", "", VLOOKUP(A905, 'ROMANEIO POR ITEM'!#REF!, 4, FALSE))</f>
        <v/>
      </c>
      <c r="E905" t="str">
        <f>IF(A905="", "", VLOOKUP(A905, 'ROMANEIO POR ITEM'!#REF!, 5, FALSE))</f>
        <v/>
      </c>
      <c r="F905" t="str">
        <f>IF(A905="", "", VLOOKUP(A905, 'ROMANEIO POR ITEM'!#REF!, 6, FALSE))</f>
        <v/>
      </c>
    </row>
    <row r="906" spans="1:6">
      <c r="A906" t="str">
        <f>IFERROR(_xlfn.SINGLE(INDEX('ROMANEIO POR ITEM'!#REF!, SMALL(IF(_xlfn.SINGLE('ROMANEIO POR ITEM'!#REF!)&lt;&gt;0,_xlfn.SINGLE( ROW('ROMANEIO POR ITEM'!#REF!))-ROW('ROMANEIO POR ITEM'!#REF!)+1), ROW(A905)))), "")</f>
        <v/>
      </c>
      <c r="B906" t="str">
        <f>IF(A906="", "", VLOOKUP(A906, 'ROMANEIO POR ITEM'!#REF!, 2, FALSE))</f>
        <v/>
      </c>
      <c r="C906" t="str">
        <f>IF(A906="", "", VLOOKUP(A906, 'ROMANEIO POR ITEM'!#REF!, 3, FALSE))</f>
        <v/>
      </c>
      <c r="D906" t="str">
        <f>IF(A906="", "", VLOOKUP(A906, 'ROMANEIO POR ITEM'!#REF!, 4, FALSE))</f>
        <v/>
      </c>
      <c r="E906" t="str">
        <f>IF(A906="", "", VLOOKUP(A906, 'ROMANEIO POR ITEM'!#REF!, 5, FALSE))</f>
        <v/>
      </c>
      <c r="F906" t="str">
        <f>IF(A906="", "", VLOOKUP(A906, 'ROMANEIO POR ITEM'!#REF!, 6, FALSE))</f>
        <v/>
      </c>
    </row>
    <row r="907" spans="1:6">
      <c r="A907" t="str">
        <f>IFERROR(_xlfn.SINGLE(INDEX('ROMANEIO POR ITEM'!#REF!, SMALL(IF(_xlfn.SINGLE('ROMANEIO POR ITEM'!#REF!)&lt;&gt;0,_xlfn.SINGLE( ROW('ROMANEIO POR ITEM'!#REF!))-ROW('ROMANEIO POR ITEM'!#REF!)+1), ROW(A906)))), "")</f>
        <v/>
      </c>
      <c r="B907" t="str">
        <f>IF(A907="", "", VLOOKUP(A907, 'ROMANEIO POR ITEM'!#REF!, 2, FALSE))</f>
        <v/>
      </c>
      <c r="C907" t="str">
        <f>IF(A907="", "", VLOOKUP(A907, 'ROMANEIO POR ITEM'!#REF!, 3, FALSE))</f>
        <v/>
      </c>
      <c r="D907" t="str">
        <f>IF(A907="", "", VLOOKUP(A907, 'ROMANEIO POR ITEM'!#REF!, 4, FALSE))</f>
        <v/>
      </c>
      <c r="E907" t="str">
        <f>IF(A907="", "", VLOOKUP(A907, 'ROMANEIO POR ITEM'!#REF!, 5, FALSE))</f>
        <v/>
      </c>
      <c r="F907" t="str">
        <f>IF(A907="", "", VLOOKUP(A907, 'ROMANEIO POR ITEM'!#REF!, 6, FALSE))</f>
        <v/>
      </c>
    </row>
    <row r="908" spans="1:6">
      <c r="A908" t="str">
        <f>IFERROR(_xlfn.SINGLE(INDEX('ROMANEIO POR ITEM'!#REF!, SMALL(IF(_xlfn.SINGLE('ROMANEIO POR ITEM'!#REF!)&lt;&gt;0,_xlfn.SINGLE( ROW('ROMANEIO POR ITEM'!#REF!))-ROW('ROMANEIO POR ITEM'!#REF!)+1), ROW(A907)))), "")</f>
        <v/>
      </c>
      <c r="B908" t="str">
        <f>IF(A908="", "", VLOOKUP(A908, 'ROMANEIO POR ITEM'!#REF!, 2, FALSE))</f>
        <v/>
      </c>
      <c r="C908" t="str">
        <f>IF(A908="", "", VLOOKUP(A908, 'ROMANEIO POR ITEM'!#REF!, 3, FALSE))</f>
        <v/>
      </c>
      <c r="D908" t="str">
        <f>IF(A908="", "", VLOOKUP(A908, 'ROMANEIO POR ITEM'!#REF!, 4, FALSE))</f>
        <v/>
      </c>
      <c r="E908" t="str">
        <f>IF(A908="", "", VLOOKUP(A908, 'ROMANEIO POR ITEM'!#REF!, 5, FALSE))</f>
        <v/>
      </c>
      <c r="F908" t="str">
        <f>IF(A908="", "", VLOOKUP(A908, 'ROMANEIO POR ITEM'!#REF!, 6, FALSE))</f>
        <v/>
      </c>
    </row>
    <row r="909" spans="1:6">
      <c r="A909" t="str">
        <f>IFERROR(_xlfn.SINGLE(INDEX('ROMANEIO POR ITEM'!#REF!, SMALL(IF(_xlfn.SINGLE('ROMANEIO POR ITEM'!#REF!)&lt;&gt;0,_xlfn.SINGLE( ROW('ROMANEIO POR ITEM'!#REF!))-ROW('ROMANEIO POR ITEM'!#REF!)+1), ROW(A908)))), "")</f>
        <v/>
      </c>
      <c r="B909" t="str">
        <f>IF(A909="", "", VLOOKUP(A909, 'ROMANEIO POR ITEM'!#REF!, 2, FALSE))</f>
        <v/>
      </c>
      <c r="C909" t="str">
        <f>IF(A909="", "", VLOOKUP(A909, 'ROMANEIO POR ITEM'!#REF!, 3, FALSE))</f>
        <v/>
      </c>
      <c r="D909" t="str">
        <f>IF(A909="", "", VLOOKUP(A909, 'ROMANEIO POR ITEM'!#REF!, 4, FALSE))</f>
        <v/>
      </c>
      <c r="E909" t="str">
        <f>IF(A909="", "", VLOOKUP(A909, 'ROMANEIO POR ITEM'!#REF!, 5, FALSE))</f>
        <v/>
      </c>
      <c r="F909" t="str">
        <f>IF(A909="", "", VLOOKUP(A909, 'ROMANEIO POR ITEM'!#REF!, 6, FALSE))</f>
        <v/>
      </c>
    </row>
    <row r="910" spans="1:6">
      <c r="A910" t="str">
        <f>IFERROR(_xlfn.SINGLE(INDEX('ROMANEIO POR ITEM'!#REF!, SMALL(IF(_xlfn.SINGLE('ROMANEIO POR ITEM'!#REF!)&lt;&gt;0,_xlfn.SINGLE( ROW('ROMANEIO POR ITEM'!#REF!))-ROW('ROMANEIO POR ITEM'!#REF!)+1), ROW(A909)))), "")</f>
        <v/>
      </c>
      <c r="B910" t="str">
        <f>IF(A910="", "", VLOOKUP(A910, 'ROMANEIO POR ITEM'!#REF!, 2, FALSE))</f>
        <v/>
      </c>
      <c r="C910" t="str">
        <f>IF(A910="", "", VLOOKUP(A910, 'ROMANEIO POR ITEM'!#REF!, 3, FALSE))</f>
        <v/>
      </c>
      <c r="D910" t="str">
        <f>IF(A910="", "", VLOOKUP(A910, 'ROMANEIO POR ITEM'!#REF!, 4, FALSE))</f>
        <v/>
      </c>
      <c r="E910" t="str">
        <f>IF(A910="", "", VLOOKUP(A910, 'ROMANEIO POR ITEM'!#REF!, 5, FALSE))</f>
        <v/>
      </c>
      <c r="F910" t="str">
        <f>IF(A910="", "", VLOOKUP(A910, 'ROMANEIO POR ITEM'!#REF!, 6, FALSE))</f>
        <v/>
      </c>
    </row>
    <row r="911" spans="1:6">
      <c r="A911" t="str">
        <f>IFERROR(_xlfn.SINGLE(INDEX('ROMANEIO POR ITEM'!#REF!, SMALL(IF(_xlfn.SINGLE('ROMANEIO POR ITEM'!#REF!)&lt;&gt;0,_xlfn.SINGLE( ROW('ROMANEIO POR ITEM'!#REF!))-ROW('ROMANEIO POR ITEM'!#REF!)+1), ROW(A910)))), "")</f>
        <v/>
      </c>
      <c r="B911" t="str">
        <f>IF(A911="", "", VLOOKUP(A911, 'ROMANEIO POR ITEM'!#REF!, 2, FALSE))</f>
        <v/>
      </c>
      <c r="C911" t="str">
        <f>IF(A911="", "", VLOOKUP(A911, 'ROMANEIO POR ITEM'!#REF!, 3, FALSE))</f>
        <v/>
      </c>
      <c r="D911" t="str">
        <f>IF(A911="", "", VLOOKUP(A911, 'ROMANEIO POR ITEM'!#REF!, 4, FALSE))</f>
        <v/>
      </c>
      <c r="E911" t="str">
        <f>IF(A911="", "", VLOOKUP(A911, 'ROMANEIO POR ITEM'!#REF!, 5, FALSE))</f>
        <v/>
      </c>
      <c r="F911" t="str">
        <f>IF(A911="", "", VLOOKUP(A911, 'ROMANEIO POR ITEM'!#REF!, 6, FALSE))</f>
        <v/>
      </c>
    </row>
    <row r="912" spans="1:6">
      <c r="A912" t="str">
        <f>IFERROR(_xlfn.SINGLE(INDEX('ROMANEIO POR ITEM'!#REF!, SMALL(IF(_xlfn.SINGLE('ROMANEIO POR ITEM'!#REF!)&lt;&gt;0,_xlfn.SINGLE( ROW('ROMANEIO POR ITEM'!#REF!))-ROW('ROMANEIO POR ITEM'!#REF!)+1), ROW(A911)))), "")</f>
        <v/>
      </c>
      <c r="B912" t="str">
        <f>IF(A912="", "", VLOOKUP(A912, 'ROMANEIO POR ITEM'!#REF!, 2, FALSE))</f>
        <v/>
      </c>
      <c r="C912" t="str">
        <f>IF(A912="", "", VLOOKUP(A912, 'ROMANEIO POR ITEM'!#REF!, 3, FALSE))</f>
        <v/>
      </c>
      <c r="D912" t="str">
        <f>IF(A912="", "", VLOOKUP(A912, 'ROMANEIO POR ITEM'!#REF!, 4, FALSE))</f>
        <v/>
      </c>
      <c r="E912" t="str">
        <f>IF(A912="", "", VLOOKUP(A912, 'ROMANEIO POR ITEM'!#REF!, 5, FALSE))</f>
        <v/>
      </c>
      <c r="F912" t="str">
        <f>IF(A912="", "", VLOOKUP(A912, 'ROMANEIO POR ITEM'!#REF!, 6, FALSE))</f>
        <v/>
      </c>
    </row>
    <row r="913" spans="1:6">
      <c r="A913" t="str">
        <f>IFERROR(_xlfn.SINGLE(INDEX('ROMANEIO POR ITEM'!#REF!, SMALL(IF(_xlfn.SINGLE('ROMANEIO POR ITEM'!#REF!)&lt;&gt;0,_xlfn.SINGLE( ROW('ROMANEIO POR ITEM'!#REF!))-ROW('ROMANEIO POR ITEM'!#REF!)+1), ROW(A912)))), "")</f>
        <v/>
      </c>
      <c r="B913" t="str">
        <f>IF(A913="", "", VLOOKUP(A913, 'ROMANEIO POR ITEM'!#REF!, 2, FALSE))</f>
        <v/>
      </c>
      <c r="C913" t="str">
        <f>IF(A913="", "", VLOOKUP(A913, 'ROMANEIO POR ITEM'!#REF!, 3, FALSE))</f>
        <v/>
      </c>
      <c r="D913" t="str">
        <f>IF(A913="", "", VLOOKUP(A913, 'ROMANEIO POR ITEM'!#REF!, 4, FALSE))</f>
        <v/>
      </c>
      <c r="E913" t="str">
        <f>IF(A913="", "", VLOOKUP(A913, 'ROMANEIO POR ITEM'!#REF!, 5, FALSE))</f>
        <v/>
      </c>
      <c r="F913" t="str">
        <f>IF(A913="", "", VLOOKUP(A913, 'ROMANEIO POR ITEM'!#REF!, 6, FALSE))</f>
        <v/>
      </c>
    </row>
    <row r="914" spans="1:6">
      <c r="A914" t="str">
        <f>IFERROR(_xlfn.SINGLE(INDEX('ROMANEIO POR ITEM'!#REF!, SMALL(IF(_xlfn.SINGLE('ROMANEIO POR ITEM'!#REF!)&lt;&gt;0,_xlfn.SINGLE( ROW('ROMANEIO POR ITEM'!#REF!))-ROW('ROMANEIO POR ITEM'!#REF!)+1), ROW(A913)))), "")</f>
        <v/>
      </c>
      <c r="B914" t="str">
        <f>IF(A914="", "", VLOOKUP(A914, 'ROMANEIO POR ITEM'!#REF!, 2, FALSE))</f>
        <v/>
      </c>
      <c r="C914" t="str">
        <f>IF(A914="", "", VLOOKUP(A914, 'ROMANEIO POR ITEM'!#REF!, 3, FALSE))</f>
        <v/>
      </c>
      <c r="D914" t="str">
        <f>IF(A914="", "", VLOOKUP(A914, 'ROMANEIO POR ITEM'!#REF!, 4, FALSE))</f>
        <v/>
      </c>
      <c r="E914" t="str">
        <f>IF(A914="", "", VLOOKUP(A914, 'ROMANEIO POR ITEM'!#REF!, 5, FALSE))</f>
        <v/>
      </c>
      <c r="F914" t="str">
        <f>IF(A914="", "", VLOOKUP(A914, 'ROMANEIO POR ITEM'!#REF!, 6, FALSE))</f>
        <v/>
      </c>
    </row>
    <row r="915" spans="1:6">
      <c r="A915" t="str">
        <f>IFERROR(_xlfn.SINGLE(INDEX('ROMANEIO POR ITEM'!#REF!, SMALL(IF(_xlfn.SINGLE('ROMANEIO POR ITEM'!#REF!)&lt;&gt;0,_xlfn.SINGLE( ROW('ROMANEIO POR ITEM'!#REF!))-ROW('ROMANEIO POR ITEM'!#REF!)+1), ROW(A914)))), "")</f>
        <v/>
      </c>
      <c r="B915" t="str">
        <f>IF(A915="", "", VLOOKUP(A915, 'ROMANEIO POR ITEM'!#REF!, 2, FALSE))</f>
        <v/>
      </c>
      <c r="C915" t="str">
        <f>IF(A915="", "", VLOOKUP(A915, 'ROMANEIO POR ITEM'!#REF!, 3, FALSE))</f>
        <v/>
      </c>
      <c r="D915" t="str">
        <f>IF(A915="", "", VLOOKUP(A915, 'ROMANEIO POR ITEM'!#REF!, 4, FALSE))</f>
        <v/>
      </c>
      <c r="E915" t="str">
        <f>IF(A915="", "", VLOOKUP(A915, 'ROMANEIO POR ITEM'!#REF!, 5, FALSE))</f>
        <v/>
      </c>
      <c r="F915" t="str">
        <f>IF(A915="", "", VLOOKUP(A915, 'ROMANEIO POR ITEM'!#REF!, 6, FALSE))</f>
        <v/>
      </c>
    </row>
    <row r="916" spans="1:6">
      <c r="A916" t="str">
        <f>IFERROR(_xlfn.SINGLE(INDEX('ROMANEIO POR ITEM'!#REF!, SMALL(IF(_xlfn.SINGLE('ROMANEIO POR ITEM'!#REF!)&lt;&gt;0,_xlfn.SINGLE( ROW('ROMANEIO POR ITEM'!#REF!))-ROW('ROMANEIO POR ITEM'!#REF!)+1), ROW(A915)))), "")</f>
        <v/>
      </c>
      <c r="B916" t="str">
        <f>IF(A916="", "", VLOOKUP(A916, 'ROMANEIO POR ITEM'!#REF!, 2, FALSE))</f>
        <v/>
      </c>
      <c r="C916" t="str">
        <f>IF(A916="", "", VLOOKUP(A916, 'ROMANEIO POR ITEM'!#REF!, 3, FALSE))</f>
        <v/>
      </c>
      <c r="D916" t="str">
        <f>IF(A916="", "", VLOOKUP(A916, 'ROMANEIO POR ITEM'!#REF!, 4, FALSE))</f>
        <v/>
      </c>
      <c r="E916" t="str">
        <f>IF(A916="", "", VLOOKUP(A916, 'ROMANEIO POR ITEM'!#REF!, 5, FALSE))</f>
        <v/>
      </c>
      <c r="F916" t="str">
        <f>IF(A916="", "", VLOOKUP(A916, 'ROMANEIO POR ITEM'!#REF!, 6, FALSE))</f>
        <v/>
      </c>
    </row>
    <row r="917" spans="1:6">
      <c r="A917" t="str">
        <f>IFERROR(_xlfn.SINGLE(INDEX('ROMANEIO POR ITEM'!#REF!, SMALL(IF(_xlfn.SINGLE('ROMANEIO POR ITEM'!#REF!)&lt;&gt;0,_xlfn.SINGLE( ROW('ROMANEIO POR ITEM'!#REF!))-ROW('ROMANEIO POR ITEM'!#REF!)+1), ROW(A916)))), "")</f>
        <v/>
      </c>
      <c r="B917" t="str">
        <f>IF(A917="", "", VLOOKUP(A917, 'ROMANEIO POR ITEM'!#REF!, 2, FALSE))</f>
        <v/>
      </c>
      <c r="C917" t="str">
        <f>IF(A917="", "", VLOOKUP(A917, 'ROMANEIO POR ITEM'!#REF!, 3, FALSE))</f>
        <v/>
      </c>
      <c r="D917" t="str">
        <f>IF(A917="", "", VLOOKUP(A917, 'ROMANEIO POR ITEM'!#REF!, 4, FALSE))</f>
        <v/>
      </c>
      <c r="E917" t="str">
        <f>IF(A917="", "", VLOOKUP(A917, 'ROMANEIO POR ITEM'!#REF!, 5, FALSE))</f>
        <v/>
      </c>
      <c r="F917" t="str">
        <f>IF(A917="", "", VLOOKUP(A917, 'ROMANEIO POR ITEM'!#REF!, 6, FALSE))</f>
        <v/>
      </c>
    </row>
    <row r="918" spans="1:6">
      <c r="A918" t="str">
        <f>IFERROR(_xlfn.SINGLE(INDEX('ROMANEIO POR ITEM'!#REF!, SMALL(IF(_xlfn.SINGLE('ROMANEIO POR ITEM'!#REF!)&lt;&gt;0,_xlfn.SINGLE( ROW('ROMANEIO POR ITEM'!#REF!))-ROW('ROMANEIO POR ITEM'!#REF!)+1), ROW(A917)))), "")</f>
        <v/>
      </c>
      <c r="B918" t="str">
        <f>IF(A918="", "", VLOOKUP(A918, 'ROMANEIO POR ITEM'!#REF!, 2, FALSE))</f>
        <v/>
      </c>
      <c r="C918" t="str">
        <f>IF(A918="", "", VLOOKUP(A918, 'ROMANEIO POR ITEM'!#REF!, 3, FALSE))</f>
        <v/>
      </c>
      <c r="D918" t="str">
        <f>IF(A918="", "", VLOOKUP(A918, 'ROMANEIO POR ITEM'!#REF!, 4, FALSE))</f>
        <v/>
      </c>
      <c r="E918" t="str">
        <f>IF(A918="", "", VLOOKUP(A918, 'ROMANEIO POR ITEM'!#REF!, 5, FALSE))</f>
        <v/>
      </c>
      <c r="F918" t="str">
        <f>IF(A918="", "", VLOOKUP(A918, 'ROMANEIO POR ITEM'!#REF!, 6, FALSE))</f>
        <v/>
      </c>
    </row>
    <row r="919" spans="1:6">
      <c r="A919" t="str">
        <f>IFERROR(_xlfn.SINGLE(INDEX('ROMANEIO POR ITEM'!#REF!, SMALL(IF(_xlfn.SINGLE('ROMANEIO POR ITEM'!#REF!)&lt;&gt;0,_xlfn.SINGLE( ROW('ROMANEIO POR ITEM'!#REF!))-ROW('ROMANEIO POR ITEM'!#REF!)+1), ROW(A918)))), "")</f>
        <v/>
      </c>
      <c r="B919" t="str">
        <f>IF(A919="", "", VLOOKUP(A919, 'ROMANEIO POR ITEM'!#REF!, 2, FALSE))</f>
        <v/>
      </c>
      <c r="C919" t="str">
        <f>IF(A919="", "", VLOOKUP(A919, 'ROMANEIO POR ITEM'!#REF!, 3, FALSE))</f>
        <v/>
      </c>
      <c r="D919" t="str">
        <f>IF(A919="", "", VLOOKUP(A919, 'ROMANEIO POR ITEM'!#REF!, 4, FALSE))</f>
        <v/>
      </c>
      <c r="E919" t="str">
        <f>IF(A919="", "", VLOOKUP(A919, 'ROMANEIO POR ITEM'!#REF!, 5, FALSE))</f>
        <v/>
      </c>
      <c r="F919" t="str">
        <f>IF(A919="", "", VLOOKUP(A919, 'ROMANEIO POR ITEM'!#REF!, 6, FALSE))</f>
        <v/>
      </c>
    </row>
    <row r="920" spans="1:6">
      <c r="A920" t="str">
        <f>IFERROR(_xlfn.SINGLE(INDEX('ROMANEIO POR ITEM'!#REF!, SMALL(IF(_xlfn.SINGLE('ROMANEIO POR ITEM'!#REF!)&lt;&gt;0,_xlfn.SINGLE( ROW('ROMANEIO POR ITEM'!#REF!))-ROW('ROMANEIO POR ITEM'!#REF!)+1), ROW(A919)))), "")</f>
        <v/>
      </c>
      <c r="B920" t="str">
        <f>IF(A920="", "", VLOOKUP(A920, 'ROMANEIO POR ITEM'!#REF!, 2, FALSE))</f>
        <v/>
      </c>
      <c r="C920" t="str">
        <f>IF(A920="", "", VLOOKUP(A920, 'ROMANEIO POR ITEM'!#REF!, 3, FALSE))</f>
        <v/>
      </c>
      <c r="D920" t="str">
        <f>IF(A920="", "", VLOOKUP(A920, 'ROMANEIO POR ITEM'!#REF!, 4, FALSE))</f>
        <v/>
      </c>
      <c r="E920" t="str">
        <f>IF(A920="", "", VLOOKUP(A920, 'ROMANEIO POR ITEM'!#REF!, 5, FALSE))</f>
        <v/>
      </c>
      <c r="F920" t="str">
        <f>IF(A920="", "", VLOOKUP(A920, 'ROMANEIO POR ITEM'!#REF!, 6, FALSE))</f>
        <v/>
      </c>
    </row>
    <row r="921" spans="1:6">
      <c r="A921" t="str">
        <f>IFERROR(_xlfn.SINGLE(INDEX('ROMANEIO POR ITEM'!#REF!, SMALL(IF(_xlfn.SINGLE('ROMANEIO POR ITEM'!#REF!)&lt;&gt;0,_xlfn.SINGLE( ROW('ROMANEIO POR ITEM'!#REF!))-ROW('ROMANEIO POR ITEM'!#REF!)+1), ROW(A920)))), "")</f>
        <v/>
      </c>
      <c r="B921" t="str">
        <f>IF(A921="", "", VLOOKUP(A921, 'ROMANEIO POR ITEM'!#REF!, 2, FALSE))</f>
        <v/>
      </c>
      <c r="C921" t="str">
        <f>IF(A921="", "", VLOOKUP(A921, 'ROMANEIO POR ITEM'!#REF!, 3, FALSE))</f>
        <v/>
      </c>
      <c r="D921" t="str">
        <f>IF(A921="", "", VLOOKUP(A921, 'ROMANEIO POR ITEM'!#REF!, 4, FALSE))</f>
        <v/>
      </c>
      <c r="E921" t="str">
        <f>IF(A921="", "", VLOOKUP(A921, 'ROMANEIO POR ITEM'!#REF!, 5, FALSE))</f>
        <v/>
      </c>
      <c r="F921" t="str">
        <f>IF(A921="", "", VLOOKUP(A921, 'ROMANEIO POR ITEM'!#REF!, 6, FALSE))</f>
        <v/>
      </c>
    </row>
    <row r="922" spans="1:6">
      <c r="A922" t="str">
        <f>IFERROR(_xlfn.SINGLE(INDEX('ROMANEIO POR ITEM'!#REF!, SMALL(IF(_xlfn.SINGLE('ROMANEIO POR ITEM'!#REF!)&lt;&gt;0,_xlfn.SINGLE( ROW('ROMANEIO POR ITEM'!#REF!))-ROW('ROMANEIO POR ITEM'!#REF!)+1), ROW(A921)))), "")</f>
        <v/>
      </c>
      <c r="B922" t="str">
        <f>IF(A922="", "", VLOOKUP(A922, 'ROMANEIO POR ITEM'!#REF!, 2, FALSE))</f>
        <v/>
      </c>
      <c r="C922" t="str">
        <f>IF(A922="", "", VLOOKUP(A922, 'ROMANEIO POR ITEM'!#REF!, 3, FALSE))</f>
        <v/>
      </c>
      <c r="D922" t="str">
        <f>IF(A922="", "", VLOOKUP(A922, 'ROMANEIO POR ITEM'!#REF!, 4, FALSE))</f>
        <v/>
      </c>
      <c r="E922" t="str">
        <f>IF(A922="", "", VLOOKUP(A922, 'ROMANEIO POR ITEM'!#REF!, 5, FALSE))</f>
        <v/>
      </c>
      <c r="F922" t="str">
        <f>IF(A922="", "", VLOOKUP(A922, 'ROMANEIO POR ITEM'!#REF!, 6, FALSE))</f>
        <v/>
      </c>
    </row>
    <row r="923" spans="1:6">
      <c r="A923" t="str">
        <f>IFERROR(_xlfn.SINGLE(INDEX('ROMANEIO POR ITEM'!#REF!, SMALL(IF(_xlfn.SINGLE('ROMANEIO POR ITEM'!#REF!)&lt;&gt;0,_xlfn.SINGLE( ROW('ROMANEIO POR ITEM'!#REF!))-ROW('ROMANEIO POR ITEM'!#REF!)+1), ROW(A922)))), "")</f>
        <v/>
      </c>
      <c r="B923" t="str">
        <f>IF(A923="", "", VLOOKUP(A923, 'ROMANEIO POR ITEM'!#REF!, 2, FALSE))</f>
        <v/>
      </c>
      <c r="C923" t="str">
        <f>IF(A923="", "", VLOOKUP(A923, 'ROMANEIO POR ITEM'!#REF!, 3, FALSE))</f>
        <v/>
      </c>
      <c r="D923" t="str">
        <f>IF(A923="", "", VLOOKUP(A923, 'ROMANEIO POR ITEM'!#REF!, 4, FALSE))</f>
        <v/>
      </c>
      <c r="E923" t="str">
        <f>IF(A923="", "", VLOOKUP(A923, 'ROMANEIO POR ITEM'!#REF!, 5, FALSE))</f>
        <v/>
      </c>
      <c r="F923" t="str">
        <f>IF(A923="", "", VLOOKUP(A923, 'ROMANEIO POR ITEM'!#REF!, 6, FALSE))</f>
        <v/>
      </c>
    </row>
    <row r="924" spans="1:6">
      <c r="A924" t="str">
        <f>IFERROR(_xlfn.SINGLE(INDEX('ROMANEIO POR ITEM'!#REF!, SMALL(IF(_xlfn.SINGLE('ROMANEIO POR ITEM'!#REF!)&lt;&gt;0,_xlfn.SINGLE( ROW('ROMANEIO POR ITEM'!#REF!))-ROW('ROMANEIO POR ITEM'!#REF!)+1), ROW(A923)))), "")</f>
        <v/>
      </c>
      <c r="B924" t="str">
        <f>IF(A924="", "", VLOOKUP(A924, 'ROMANEIO POR ITEM'!#REF!, 2, FALSE))</f>
        <v/>
      </c>
      <c r="C924" t="str">
        <f>IF(A924="", "", VLOOKUP(A924, 'ROMANEIO POR ITEM'!#REF!, 3, FALSE))</f>
        <v/>
      </c>
      <c r="D924" t="str">
        <f>IF(A924="", "", VLOOKUP(A924, 'ROMANEIO POR ITEM'!#REF!, 4, FALSE))</f>
        <v/>
      </c>
      <c r="E924" t="str">
        <f>IF(A924="", "", VLOOKUP(A924, 'ROMANEIO POR ITEM'!#REF!, 5, FALSE))</f>
        <v/>
      </c>
      <c r="F924" t="str">
        <f>IF(A924="", "", VLOOKUP(A924, 'ROMANEIO POR ITEM'!#REF!, 6, FALSE))</f>
        <v/>
      </c>
    </row>
    <row r="925" spans="1:6">
      <c r="A925" t="str">
        <f>IFERROR(_xlfn.SINGLE(INDEX('ROMANEIO POR ITEM'!#REF!, SMALL(IF(_xlfn.SINGLE('ROMANEIO POR ITEM'!#REF!)&lt;&gt;0,_xlfn.SINGLE( ROW('ROMANEIO POR ITEM'!#REF!))-ROW('ROMANEIO POR ITEM'!#REF!)+1), ROW(A924)))), "")</f>
        <v/>
      </c>
      <c r="B925" t="str">
        <f>IF(A925="", "", VLOOKUP(A925, 'ROMANEIO POR ITEM'!#REF!, 2, FALSE))</f>
        <v/>
      </c>
      <c r="C925" t="str">
        <f>IF(A925="", "", VLOOKUP(A925, 'ROMANEIO POR ITEM'!#REF!, 3, FALSE))</f>
        <v/>
      </c>
      <c r="D925" t="str">
        <f>IF(A925="", "", VLOOKUP(A925, 'ROMANEIO POR ITEM'!#REF!, 4, FALSE))</f>
        <v/>
      </c>
      <c r="E925" t="str">
        <f>IF(A925="", "", VLOOKUP(A925, 'ROMANEIO POR ITEM'!#REF!, 5, FALSE))</f>
        <v/>
      </c>
      <c r="F925" t="str">
        <f>IF(A925="", "", VLOOKUP(A925, 'ROMANEIO POR ITEM'!#REF!, 6, FALSE))</f>
        <v/>
      </c>
    </row>
    <row r="926" spans="1:6">
      <c r="A926" t="str">
        <f>IFERROR(_xlfn.SINGLE(INDEX('ROMANEIO POR ITEM'!#REF!, SMALL(IF(_xlfn.SINGLE('ROMANEIO POR ITEM'!#REF!)&lt;&gt;0,_xlfn.SINGLE( ROW('ROMANEIO POR ITEM'!#REF!))-ROW('ROMANEIO POR ITEM'!#REF!)+1), ROW(A925)))), "")</f>
        <v/>
      </c>
      <c r="B926" t="str">
        <f>IF(A926="", "", VLOOKUP(A926, 'ROMANEIO POR ITEM'!#REF!, 2, FALSE))</f>
        <v/>
      </c>
      <c r="C926" t="str">
        <f>IF(A926="", "", VLOOKUP(A926, 'ROMANEIO POR ITEM'!#REF!, 3, FALSE))</f>
        <v/>
      </c>
      <c r="D926" t="str">
        <f>IF(A926="", "", VLOOKUP(A926, 'ROMANEIO POR ITEM'!#REF!, 4, FALSE))</f>
        <v/>
      </c>
      <c r="E926" t="str">
        <f>IF(A926="", "", VLOOKUP(A926, 'ROMANEIO POR ITEM'!#REF!, 5, FALSE))</f>
        <v/>
      </c>
      <c r="F926" t="str">
        <f>IF(A926="", "", VLOOKUP(A926, 'ROMANEIO POR ITEM'!#REF!, 6, FALSE))</f>
        <v/>
      </c>
    </row>
    <row r="927" spans="1:6">
      <c r="A927" t="str">
        <f>IFERROR(_xlfn.SINGLE(INDEX('ROMANEIO POR ITEM'!#REF!, SMALL(IF(_xlfn.SINGLE('ROMANEIO POR ITEM'!#REF!)&lt;&gt;0,_xlfn.SINGLE( ROW('ROMANEIO POR ITEM'!#REF!))-ROW('ROMANEIO POR ITEM'!#REF!)+1), ROW(A926)))), "")</f>
        <v/>
      </c>
      <c r="B927" t="str">
        <f>IF(A927="", "", VLOOKUP(A927, 'ROMANEIO POR ITEM'!#REF!, 2, FALSE))</f>
        <v/>
      </c>
      <c r="C927" t="str">
        <f>IF(A927="", "", VLOOKUP(A927, 'ROMANEIO POR ITEM'!#REF!, 3, FALSE))</f>
        <v/>
      </c>
      <c r="D927" t="str">
        <f>IF(A927="", "", VLOOKUP(A927, 'ROMANEIO POR ITEM'!#REF!, 4, FALSE))</f>
        <v/>
      </c>
      <c r="E927" t="str">
        <f>IF(A927="", "", VLOOKUP(A927, 'ROMANEIO POR ITEM'!#REF!, 5, FALSE))</f>
        <v/>
      </c>
      <c r="F927" t="str">
        <f>IF(A927="", "", VLOOKUP(A927, 'ROMANEIO POR ITEM'!#REF!, 6, FALSE))</f>
        <v/>
      </c>
    </row>
    <row r="928" spans="1:6">
      <c r="A928" t="str">
        <f>IFERROR(_xlfn.SINGLE(INDEX('ROMANEIO POR ITEM'!#REF!, SMALL(IF(_xlfn.SINGLE('ROMANEIO POR ITEM'!#REF!)&lt;&gt;0,_xlfn.SINGLE( ROW('ROMANEIO POR ITEM'!#REF!))-ROW('ROMANEIO POR ITEM'!#REF!)+1), ROW(A927)))), "")</f>
        <v/>
      </c>
      <c r="B928" t="str">
        <f>IF(A928="", "", VLOOKUP(A928, 'ROMANEIO POR ITEM'!#REF!, 2, FALSE))</f>
        <v/>
      </c>
      <c r="C928" t="str">
        <f>IF(A928="", "", VLOOKUP(A928, 'ROMANEIO POR ITEM'!#REF!, 3, FALSE))</f>
        <v/>
      </c>
      <c r="D928" t="str">
        <f>IF(A928="", "", VLOOKUP(A928, 'ROMANEIO POR ITEM'!#REF!, 4, FALSE))</f>
        <v/>
      </c>
      <c r="E928" t="str">
        <f>IF(A928="", "", VLOOKUP(A928, 'ROMANEIO POR ITEM'!#REF!, 5, FALSE))</f>
        <v/>
      </c>
      <c r="F928" t="str">
        <f>IF(A928="", "", VLOOKUP(A928, 'ROMANEIO POR ITEM'!#REF!, 6, FALSE))</f>
        <v/>
      </c>
    </row>
    <row r="929" spans="1:6">
      <c r="A929" t="str">
        <f>IFERROR(_xlfn.SINGLE(INDEX('ROMANEIO POR ITEM'!#REF!, SMALL(IF(_xlfn.SINGLE('ROMANEIO POR ITEM'!#REF!)&lt;&gt;0,_xlfn.SINGLE( ROW('ROMANEIO POR ITEM'!#REF!))-ROW('ROMANEIO POR ITEM'!#REF!)+1), ROW(A928)))), "")</f>
        <v/>
      </c>
      <c r="B929" t="str">
        <f>IF(A929="", "", VLOOKUP(A929, 'ROMANEIO POR ITEM'!#REF!, 2, FALSE))</f>
        <v/>
      </c>
      <c r="C929" t="str">
        <f>IF(A929="", "", VLOOKUP(A929, 'ROMANEIO POR ITEM'!#REF!, 3, FALSE))</f>
        <v/>
      </c>
      <c r="D929" t="str">
        <f>IF(A929="", "", VLOOKUP(A929, 'ROMANEIO POR ITEM'!#REF!, 4, FALSE))</f>
        <v/>
      </c>
      <c r="E929" t="str">
        <f>IF(A929="", "", VLOOKUP(A929, 'ROMANEIO POR ITEM'!#REF!, 5, FALSE))</f>
        <v/>
      </c>
      <c r="F929" t="str">
        <f>IF(A929="", "", VLOOKUP(A929, 'ROMANEIO POR ITEM'!#REF!, 6, FALSE))</f>
        <v/>
      </c>
    </row>
    <row r="930" spans="1:6">
      <c r="A930" t="str">
        <f>IFERROR(_xlfn.SINGLE(INDEX('ROMANEIO POR ITEM'!#REF!, SMALL(IF(_xlfn.SINGLE('ROMANEIO POR ITEM'!#REF!)&lt;&gt;0,_xlfn.SINGLE( ROW('ROMANEIO POR ITEM'!#REF!))-ROW('ROMANEIO POR ITEM'!#REF!)+1), ROW(A929)))), "")</f>
        <v/>
      </c>
      <c r="B930" t="str">
        <f>IF(A930="", "", VLOOKUP(A930, 'ROMANEIO POR ITEM'!#REF!, 2, FALSE))</f>
        <v/>
      </c>
      <c r="C930" t="str">
        <f>IF(A930="", "", VLOOKUP(A930, 'ROMANEIO POR ITEM'!#REF!, 3, FALSE))</f>
        <v/>
      </c>
      <c r="D930" t="str">
        <f>IF(A930="", "", VLOOKUP(A930, 'ROMANEIO POR ITEM'!#REF!, 4, FALSE))</f>
        <v/>
      </c>
      <c r="E930" t="str">
        <f>IF(A930="", "", VLOOKUP(A930, 'ROMANEIO POR ITEM'!#REF!, 5, FALSE))</f>
        <v/>
      </c>
      <c r="F930" t="str">
        <f>IF(A930="", "", VLOOKUP(A930, 'ROMANEIO POR ITEM'!#REF!, 6, FALSE))</f>
        <v/>
      </c>
    </row>
    <row r="931" spans="1:6">
      <c r="A931" t="str">
        <f>IFERROR(_xlfn.SINGLE(INDEX('ROMANEIO POR ITEM'!#REF!, SMALL(IF(_xlfn.SINGLE('ROMANEIO POR ITEM'!#REF!)&lt;&gt;0,_xlfn.SINGLE( ROW('ROMANEIO POR ITEM'!#REF!))-ROW('ROMANEIO POR ITEM'!#REF!)+1), ROW(A930)))), "")</f>
        <v/>
      </c>
      <c r="B931" t="str">
        <f>IF(A931="", "", VLOOKUP(A931, 'ROMANEIO POR ITEM'!#REF!, 2, FALSE))</f>
        <v/>
      </c>
      <c r="C931" t="str">
        <f>IF(A931="", "", VLOOKUP(A931, 'ROMANEIO POR ITEM'!#REF!, 3, FALSE))</f>
        <v/>
      </c>
      <c r="D931" t="str">
        <f>IF(A931="", "", VLOOKUP(A931, 'ROMANEIO POR ITEM'!#REF!, 4, FALSE))</f>
        <v/>
      </c>
      <c r="E931" t="str">
        <f>IF(A931="", "", VLOOKUP(A931, 'ROMANEIO POR ITEM'!#REF!, 5, FALSE))</f>
        <v/>
      </c>
      <c r="F931" t="str">
        <f>IF(A931="", "", VLOOKUP(A931, 'ROMANEIO POR ITEM'!#REF!, 6, FALSE))</f>
        <v/>
      </c>
    </row>
    <row r="932" spans="1:6">
      <c r="A932" t="str">
        <f>IFERROR(_xlfn.SINGLE(INDEX('ROMANEIO POR ITEM'!#REF!, SMALL(IF(_xlfn.SINGLE('ROMANEIO POR ITEM'!#REF!)&lt;&gt;0,_xlfn.SINGLE( ROW('ROMANEIO POR ITEM'!#REF!))-ROW('ROMANEIO POR ITEM'!#REF!)+1), ROW(A931)))), "")</f>
        <v/>
      </c>
      <c r="B932" t="str">
        <f>IF(A932="", "", VLOOKUP(A932, 'ROMANEIO POR ITEM'!#REF!, 2, FALSE))</f>
        <v/>
      </c>
      <c r="C932" t="str">
        <f>IF(A932="", "", VLOOKUP(A932, 'ROMANEIO POR ITEM'!#REF!, 3, FALSE))</f>
        <v/>
      </c>
      <c r="D932" t="str">
        <f>IF(A932="", "", VLOOKUP(A932, 'ROMANEIO POR ITEM'!#REF!, 4, FALSE))</f>
        <v/>
      </c>
      <c r="E932" t="str">
        <f>IF(A932="", "", VLOOKUP(A932, 'ROMANEIO POR ITEM'!#REF!, 5, FALSE))</f>
        <v/>
      </c>
      <c r="F932" t="str">
        <f>IF(A932="", "", VLOOKUP(A932, 'ROMANEIO POR ITEM'!#REF!, 6, FALSE))</f>
        <v/>
      </c>
    </row>
    <row r="933" spans="1:6">
      <c r="A933" t="str">
        <f>IFERROR(_xlfn.SINGLE(INDEX('ROMANEIO POR ITEM'!#REF!, SMALL(IF(_xlfn.SINGLE('ROMANEIO POR ITEM'!#REF!)&lt;&gt;0,_xlfn.SINGLE( ROW('ROMANEIO POR ITEM'!#REF!))-ROW('ROMANEIO POR ITEM'!#REF!)+1), ROW(A932)))), "")</f>
        <v/>
      </c>
      <c r="B933" t="str">
        <f>IF(A933="", "", VLOOKUP(A933, 'ROMANEIO POR ITEM'!#REF!, 2, FALSE))</f>
        <v/>
      </c>
      <c r="C933" t="str">
        <f>IF(A933="", "", VLOOKUP(A933, 'ROMANEIO POR ITEM'!#REF!, 3, FALSE))</f>
        <v/>
      </c>
      <c r="D933" t="str">
        <f>IF(A933="", "", VLOOKUP(A933, 'ROMANEIO POR ITEM'!#REF!, 4, FALSE))</f>
        <v/>
      </c>
      <c r="E933" t="str">
        <f>IF(A933="", "", VLOOKUP(A933, 'ROMANEIO POR ITEM'!#REF!, 5, FALSE))</f>
        <v/>
      </c>
      <c r="F933" t="str">
        <f>IF(A933="", "", VLOOKUP(A933, 'ROMANEIO POR ITEM'!#REF!, 6, FALSE))</f>
        <v/>
      </c>
    </row>
    <row r="934" spans="1:6">
      <c r="A934" t="str">
        <f>IFERROR(_xlfn.SINGLE(INDEX('ROMANEIO POR ITEM'!#REF!, SMALL(IF(_xlfn.SINGLE('ROMANEIO POR ITEM'!#REF!)&lt;&gt;0,_xlfn.SINGLE( ROW('ROMANEIO POR ITEM'!#REF!))-ROW('ROMANEIO POR ITEM'!#REF!)+1), ROW(A933)))), "")</f>
        <v/>
      </c>
      <c r="B934" t="str">
        <f>IF(A934="", "", VLOOKUP(A934, 'ROMANEIO POR ITEM'!#REF!, 2, FALSE))</f>
        <v/>
      </c>
      <c r="C934" t="str">
        <f>IF(A934="", "", VLOOKUP(A934, 'ROMANEIO POR ITEM'!#REF!, 3, FALSE))</f>
        <v/>
      </c>
      <c r="D934" t="str">
        <f>IF(A934="", "", VLOOKUP(A934, 'ROMANEIO POR ITEM'!#REF!, 4, FALSE))</f>
        <v/>
      </c>
      <c r="E934" t="str">
        <f>IF(A934="", "", VLOOKUP(A934, 'ROMANEIO POR ITEM'!#REF!, 5, FALSE))</f>
        <v/>
      </c>
      <c r="F934" t="str">
        <f>IF(A934="", "", VLOOKUP(A934, 'ROMANEIO POR ITEM'!#REF!, 6, FALSE))</f>
        <v/>
      </c>
    </row>
    <row r="935" spans="1:6">
      <c r="A935" t="str">
        <f>IFERROR(_xlfn.SINGLE(INDEX('ROMANEIO POR ITEM'!#REF!, SMALL(IF(_xlfn.SINGLE('ROMANEIO POR ITEM'!#REF!)&lt;&gt;0,_xlfn.SINGLE( ROW('ROMANEIO POR ITEM'!#REF!))-ROW('ROMANEIO POR ITEM'!#REF!)+1), ROW(A934)))), "")</f>
        <v/>
      </c>
      <c r="B935" t="str">
        <f>IF(A935="", "", VLOOKUP(A935, 'ROMANEIO POR ITEM'!#REF!, 2, FALSE))</f>
        <v/>
      </c>
      <c r="C935" t="str">
        <f>IF(A935="", "", VLOOKUP(A935, 'ROMANEIO POR ITEM'!#REF!, 3, FALSE))</f>
        <v/>
      </c>
      <c r="D935" t="str">
        <f>IF(A935="", "", VLOOKUP(A935, 'ROMANEIO POR ITEM'!#REF!, 4, FALSE))</f>
        <v/>
      </c>
      <c r="E935" t="str">
        <f>IF(A935="", "", VLOOKUP(A935, 'ROMANEIO POR ITEM'!#REF!, 5, FALSE))</f>
        <v/>
      </c>
      <c r="F935" t="str">
        <f>IF(A935="", "", VLOOKUP(A935, 'ROMANEIO POR ITEM'!#REF!, 6, FALSE))</f>
        <v/>
      </c>
    </row>
    <row r="936" spans="1:6">
      <c r="A936" t="str">
        <f>IFERROR(_xlfn.SINGLE(INDEX('ROMANEIO POR ITEM'!#REF!, SMALL(IF(_xlfn.SINGLE('ROMANEIO POR ITEM'!#REF!)&lt;&gt;0,_xlfn.SINGLE( ROW('ROMANEIO POR ITEM'!#REF!))-ROW('ROMANEIO POR ITEM'!#REF!)+1), ROW(A935)))), "")</f>
        <v/>
      </c>
      <c r="B936" t="str">
        <f>IF(A936="", "", VLOOKUP(A936, 'ROMANEIO POR ITEM'!#REF!, 2, FALSE))</f>
        <v/>
      </c>
      <c r="C936" t="str">
        <f>IF(A936="", "", VLOOKUP(A936, 'ROMANEIO POR ITEM'!#REF!, 3, FALSE))</f>
        <v/>
      </c>
      <c r="D936" t="str">
        <f>IF(A936="", "", VLOOKUP(A936, 'ROMANEIO POR ITEM'!#REF!, 4, FALSE))</f>
        <v/>
      </c>
      <c r="E936" t="str">
        <f>IF(A936="", "", VLOOKUP(A936, 'ROMANEIO POR ITEM'!#REF!, 5, FALSE))</f>
        <v/>
      </c>
      <c r="F936" t="str">
        <f>IF(A936="", "", VLOOKUP(A936, 'ROMANEIO POR ITEM'!#REF!, 6, FALSE))</f>
        <v/>
      </c>
    </row>
    <row r="937" spans="1:6">
      <c r="A937" t="str">
        <f>IFERROR(_xlfn.SINGLE(INDEX('ROMANEIO POR ITEM'!#REF!, SMALL(IF(_xlfn.SINGLE('ROMANEIO POR ITEM'!#REF!)&lt;&gt;0,_xlfn.SINGLE( ROW('ROMANEIO POR ITEM'!#REF!))-ROW('ROMANEIO POR ITEM'!#REF!)+1), ROW(A936)))), "")</f>
        <v/>
      </c>
      <c r="B937" t="str">
        <f>IF(A937="", "", VLOOKUP(A937, 'ROMANEIO POR ITEM'!#REF!, 2, FALSE))</f>
        <v/>
      </c>
      <c r="C937" t="str">
        <f>IF(A937="", "", VLOOKUP(A937, 'ROMANEIO POR ITEM'!#REF!, 3, FALSE))</f>
        <v/>
      </c>
      <c r="D937" t="str">
        <f>IF(A937="", "", VLOOKUP(A937, 'ROMANEIO POR ITEM'!#REF!, 4, FALSE))</f>
        <v/>
      </c>
      <c r="E937" t="str">
        <f>IF(A937="", "", VLOOKUP(A937, 'ROMANEIO POR ITEM'!#REF!, 5, FALSE))</f>
        <v/>
      </c>
      <c r="F937" t="str">
        <f>IF(A937="", "", VLOOKUP(A937, 'ROMANEIO POR ITEM'!#REF!, 6, FALSE))</f>
        <v/>
      </c>
    </row>
    <row r="938" spans="1:6">
      <c r="A938" t="str">
        <f>IFERROR(_xlfn.SINGLE(INDEX('ROMANEIO POR ITEM'!#REF!, SMALL(IF(_xlfn.SINGLE('ROMANEIO POR ITEM'!#REF!)&lt;&gt;0,_xlfn.SINGLE( ROW('ROMANEIO POR ITEM'!#REF!))-ROW('ROMANEIO POR ITEM'!#REF!)+1), ROW(A937)))), "")</f>
        <v/>
      </c>
      <c r="B938" t="str">
        <f>IF(A938="", "", VLOOKUP(A938, 'ROMANEIO POR ITEM'!#REF!, 2, FALSE))</f>
        <v/>
      </c>
      <c r="C938" t="str">
        <f>IF(A938="", "", VLOOKUP(A938, 'ROMANEIO POR ITEM'!#REF!, 3, FALSE))</f>
        <v/>
      </c>
      <c r="D938" t="str">
        <f>IF(A938="", "", VLOOKUP(A938, 'ROMANEIO POR ITEM'!#REF!, 4, FALSE))</f>
        <v/>
      </c>
      <c r="E938" t="str">
        <f>IF(A938="", "", VLOOKUP(A938, 'ROMANEIO POR ITEM'!#REF!, 5, FALSE))</f>
        <v/>
      </c>
      <c r="F938" t="str">
        <f>IF(A938="", "", VLOOKUP(A938, 'ROMANEIO POR ITEM'!#REF!, 6, FALSE))</f>
        <v/>
      </c>
    </row>
    <row r="939" spans="1:6">
      <c r="A939" t="str">
        <f>IFERROR(_xlfn.SINGLE(INDEX('ROMANEIO POR ITEM'!#REF!, SMALL(IF(_xlfn.SINGLE('ROMANEIO POR ITEM'!#REF!)&lt;&gt;0,_xlfn.SINGLE( ROW('ROMANEIO POR ITEM'!#REF!))-ROW('ROMANEIO POR ITEM'!#REF!)+1), ROW(A938)))), "")</f>
        <v/>
      </c>
      <c r="B939" t="str">
        <f>IF(A939="", "", VLOOKUP(A939, 'ROMANEIO POR ITEM'!#REF!, 2, FALSE))</f>
        <v/>
      </c>
      <c r="C939" t="str">
        <f>IF(A939="", "", VLOOKUP(A939, 'ROMANEIO POR ITEM'!#REF!, 3, FALSE))</f>
        <v/>
      </c>
      <c r="D939" t="str">
        <f>IF(A939="", "", VLOOKUP(A939, 'ROMANEIO POR ITEM'!#REF!, 4, FALSE))</f>
        <v/>
      </c>
      <c r="E939" t="str">
        <f>IF(A939="", "", VLOOKUP(A939, 'ROMANEIO POR ITEM'!#REF!, 5, FALSE))</f>
        <v/>
      </c>
      <c r="F939" t="str">
        <f>IF(A939="", "", VLOOKUP(A939, 'ROMANEIO POR ITEM'!#REF!, 6, FALSE))</f>
        <v/>
      </c>
    </row>
    <row r="940" spans="1:6">
      <c r="A940" t="str">
        <f>IFERROR(_xlfn.SINGLE(INDEX('ROMANEIO POR ITEM'!#REF!, SMALL(IF(_xlfn.SINGLE('ROMANEIO POR ITEM'!#REF!)&lt;&gt;0,_xlfn.SINGLE( ROW('ROMANEIO POR ITEM'!#REF!))-ROW('ROMANEIO POR ITEM'!#REF!)+1), ROW(A939)))), "")</f>
        <v/>
      </c>
      <c r="B940" t="str">
        <f>IF(A940="", "", VLOOKUP(A940, 'ROMANEIO POR ITEM'!#REF!, 2, FALSE))</f>
        <v/>
      </c>
      <c r="C940" t="str">
        <f>IF(A940="", "", VLOOKUP(A940, 'ROMANEIO POR ITEM'!#REF!, 3, FALSE))</f>
        <v/>
      </c>
      <c r="D940" t="str">
        <f>IF(A940="", "", VLOOKUP(A940, 'ROMANEIO POR ITEM'!#REF!, 4, FALSE))</f>
        <v/>
      </c>
      <c r="E940" t="str">
        <f>IF(A940="", "", VLOOKUP(A940, 'ROMANEIO POR ITEM'!#REF!, 5, FALSE))</f>
        <v/>
      </c>
      <c r="F940" t="str">
        <f>IF(A940="", "", VLOOKUP(A940, 'ROMANEIO POR ITEM'!#REF!, 6, FALSE))</f>
        <v/>
      </c>
    </row>
    <row r="941" spans="1:6">
      <c r="A941" t="str">
        <f>IFERROR(_xlfn.SINGLE(INDEX('ROMANEIO POR ITEM'!#REF!, SMALL(IF(_xlfn.SINGLE('ROMANEIO POR ITEM'!#REF!)&lt;&gt;0,_xlfn.SINGLE( ROW('ROMANEIO POR ITEM'!#REF!))-ROW('ROMANEIO POR ITEM'!#REF!)+1), ROW(A940)))), "")</f>
        <v/>
      </c>
      <c r="B941" t="str">
        <f>IF(A941="", "", VLOOKUP(A941, 'ROMANEIO POR ITEM'!#REF!, 2, FALSE))</f>
        <v/>
      </c>
      <c r="C941" t="str">
        <f>IF(A941="", "", VLOOKUP(A941, 'ROMANEIO POR ITEM'!#REF!, 3, FALSE))</f>
        <v/>
      </c>
      <c r="D941" t="str">
        <f>IF(A941="", "", VLOOKUP(A941, 'ROMANEIO POR ITEM'!#REF!, 4, FALSE))</f>
        <v/>
      </c>
      <c r="E941" t="str">
        <f>IF(A941="", "", VLOOKUP(A941, 'ROMANEIO POR ITEM'!#REF!, 5, FALSE))</f>
        <v/>
      </c>
      <c r="F941" t="str">
        <f>IF(A941="", "", VLOOKUP(A941, 'ROMANEIO POR ITEM'!#REF!, 6, FALSE))</f>
        <v/>
      </c>
    </row>
    <row r="942" spans="1:6">
      <c r="A942" t="str">
        <f>IFERROR(_xlfn.SINGLE(INDEX('ROMANEIO POR ITEM'!#REF!, SMALL(IF(_xlfn.SINGLE('ROMANEIO POR ITEM'!#REF!)&lt;&gt;0,_xlfn.SINGLE( ROW('ROMANEIO POR ITEM'!#REF!))-ROW('ROMANEIO POR ITEM'!#REF!)+1), ROW(A941)))), "")</f>
        <v/>
      </c>
      <c r="B942" t="str">
        <f>IF(A942="", "", VLOOKUP(A942, 'ROMANEIO POR ITEM'!#REF!, 2, FALSE))</f>
        <v/>
      </c>
      <c r="C942" t="str">
        <f>IF(A942="", "", VLOOKUP(A942, 'ROMANEIO POR ITEM'!#REF!, 3, FALSE))</f>
        <v/>
      </c>
      <c r="D942" t="str">
        <f>IF(A942="", "", VLOOKUP(A942, 'ROMANEIO POR ITEM'!#REF!, 4, FALSE))</f>
        <v/>
      </c>
      <c r="E942" t="str">
        <f>IF(A942="", "", VLOOKUP(A942, 'ROMANEIO POR ITEM'!#REF!, 5, FALSE))</f>
        <v/>
      </c>
      <c r="F942" t="str">
        <f>IF(A942="", "", VLOOKUP(A942, 'ROMANEIO POR ITEM'!#REF!, 6, FALSE))</f>
        <v/>
      </c>
    </row>
    <row r="943" spans="1:6">
      <c r="A943" t="str">
        <f>IFERROR(_xlfn.SINGLE(INDEX('ROMANEIO POR ITEM'!#REF!, SMALL(IF(_xlfn.SINGLE('ROMANEIO POR ITEM'!#REF!)&lt;&gt;0,_xlfn.SINGLE( ROW('ROMANEIO POR ITEM'!#REF!))-ROW('ROMANEIO POR ITEM'!#REF!)+1), ROW(A942)))), "")</f>
        <v/>
      </c>
      <c r="B943" t="str">
        <f>IF(A943="", "", VLOOKUP(A943, 'ROMANEIO POR ITEM'!#REF!, 2, FALSE))</f>
        <v/>
      </c>
      <c r="C943" t="str">
        <f>IF(A943="", "", VLOOKUP(A943, 'ROMANEIO POR ITEM'!#REF!, 3, FALSE))</f>
        <v/>
      </c>
      <c r="D943" t="str">
        <f>IF(A943="", "", VLOOKUP(A943, 'ROMANEIO POR ITEM'!#REF!, 4, FALSE))</f>
        <v/>
      </c>
      <c r="E943" t="str">
        <f>IF(A943="", "", VLOOKUP(A943, 'ROMANEIO POR ITEM'!#REF!, 5, FALSE))</f>
        <v/>
      </c>
      <c r="F943" t="str">
        <f>IF(A943="", "", VLOOKUP(A943, 'ROMANEIO POR ITEM'!#REF!, 6, FALSE))</f>
        <v/>
      </c>
    </row>
    <row r="944" spans="1:6">
      <c r="A944" t="str">
        <f>IFERROR(_xlfn.SINGLE(INDEX('ROMANEIO POR ITEM'!#REF!, SMALL(IF(_xlfn.SINGLE('ROMANEIO POR ITEM'!#REF!)&lt;&gt;0,_xlfn.SINGLE( ROW('ROMANEIO POR ITEM'!#REF!))-ROW('ROMANEIO POR ITEM'!#REF!)+1), ROW(A943)))), "")</f>
        <v/>
      </c>
      <c r="B944" t="str">
        <f>IF(A944="", "", VLOOKUP(A944, 'ROMANEIO POR ITEM'!#REF!, 2, FALSE))</f>
        <v/>
      </c>
      <c r="C944" t="str">
        <f>IF(A944="", "", VLOOKUP(A944, 'ROMANEIO POR ITEM'!#REF!, 3, FALSE))</f>
        <v/>
      </c>
      <c r="D944" t="str">
        <f>IF(A944="", "", VLOOKUP(A944, 'ROMANEIO POR ITEM'!#REF!, 4, FALSE))</f>
        <v/>
      </c>
      <c r="E944" t="str">
        <f>IF(A944="", "", VLOOKUP(A944, 'ROMANEIO POR ITEM'!#REF!, 5, FALSE))</f>
        <v/>
      </c>
      <c r="F944" t="str">
        <f>IF(A944="", "", VLOOKUP(A944, 'ROMANEIO POR ITEM'!#REF!, 6, FALSE))</f>
        <v/>
      </c>
    </row>
    <row r="945" spans="1:6">
      <c r="A945" t="str">
        <f>IFERROR(_xlfn.SINGLE(INDEX('ROMANEIO POR ITEM'!#REF!, SMALL(IF(_xlfn.SINGLE('ROMANEIO POR ITEM'!#REF!)&lt;&gt;0,_xlfn.SINGLE( ROW('ROMANEIO POR ITEM'!#REF!))-ROW('ROMANEIO POR ITEM'!#REF!)+1), ROW(A944)))), "")</f>
        <v/>
      </c>
      <c r="B945" t="str">
        <f>IF(A945="", "", VLOOKUP(A945, 'ROMANEIO POR ITEM'!#REF!, 2, FALSE))</f>
        <v/>
      </c>
      <c r="C945" t="str">
        <f>IF(A945="", "", VLOOKUP(A945, 'ROMANEIO POR ITEM'!#REF!, 3, FALSE))</f>
        <v/>
      </c>
      <c r="D945" t="str">
        <f>IF(A945="", "", VLOOKUP(A945, 'ROMANEIO POR ITEM'!#REF!, 4, FALSE))</f>
        <v/>
      </c>
      <c r="E945" t="str">
        <f>IF(A945="", "", VLOOKUP(A945, 'ROMANEIO POR ITEM'!#REF!, 5, FALSE))</f>
        <v/>
      </c>
      <c r="F945" t="str">
        <f>IF(A945="", "", VLOOKUP(A945, 'ROMANEIO POR ITEM'!#REF!, 6, FALSE))</f>
        <v/>
      </c>
    </row>
    <row r="946" spans="1:6">
      <c r="A946" t="str">
        <f>IFERROR(_xlfn.SINGLE(INDEX('ROMANEIO POR ITEM'!#REF!, SMALL(IF(_xlfn.SINGLE('ROMANEIO POR ITEM'!#REF!)&lt;&gt;0,_xlfn.SINGLE( ROW('ROMANEIO POR ITEM'!#REF!))-ROW('ROMANEIO POR ITEM'!#REF!)+1), ROW(A945)))), "")</f>
        <v/>
      </c>
      <c r="B946" t="str">
        <f>IF(A946="", "", VLOOKUP(A946, 'ROMANEIO POR ITEM'!#REF!, 2, FALSE))</f>
        <v/>
      </c>
      <c r="C946" t="str">
        <f>IF(A946="", "", VLOOKUP(A946, 'ROMANEIO POR ITEM'!#REF!, 3, FALSE))</f>
        <v/>
      </c>
      <c r="D946" t="str">
        <f>IF(A946="", "", VLOOKUP(A946, 'ROMANEIO POR ITEM'!#REF!, 4, FALSE))</f>
        <v/>
      </c>
      <c r="E946" t="str">
        <f>IF(A946="", "", VLOOKUP(A946, 'ROMANEIO POR ITEM'!#REF!, 5, FALSE))</f>
        <v/>
      </c>
      <c r="F946" t="str">
        <f>IF(A946="", "", VLOOKUP(A946, 'ROMANEIO POR ITEM'!#REF!, 6, FALSE))</f>
        <v/>
      </c>
    </row>
    <row r="947" spans="1:6">
      <c r="A947" t="str">
        <f>IFERROR(_xlfn.SINGLE(INDEX('ROMANEIO POR ITEM'!#REF!, SMALL(IF(_xlfn.SINGLE('ROMANEIO POR ITEM'!#REF!)&lt;&gt;0,_xlfn.SINGLE( ROW('ROMANEIO POR ITEM'!#REF!))-ROW('ROMANEIO POR ITEM'!#REF!)+1), ROW(A946)))), "")</f>
        <v/>
      </c>
      <c r="B947" t="str">
        <f>IF(A947="", "", VLOOKUP(A947, 'ROMANEIO POR ITEM'!#REF!, 2, FALSE))</f>
        <v/>
      </c>
      <c r="C947" t="str">
        <f>IF(A947="", "", VLOOKUP(A947, 'ROMANEIO POR ITEM'!#REF!, 3, FALSE))</f>
        <v/>
      </c>
      <c r="D947" t="str">
        <f>IF(A947="", "", VLOOKUP(A947, 'ROMANEIO POR ITEM'!#REF!, 4, FALSE))</f>
        <v/>
      </c>
      <c r="E947" t="str">
        <f>IF(A947="", "", VLOOKUP(A947, 'ROMANEIO POR ITEM'!#REF!, 5, FALSE))</f>
        <v/>
      </c>
      <c r="F947" t="str">
        <f>IF(A947="", "", VLOOKUP(A947, 'ROMANEIO POR ITEM'!#REF!, 6, FALSE))</f>
        <v/>
      </c>
    </row>
    <row r="948" spans="1:6">
      <c r="A948" t="str">
        <f>IFERROR(_xlfn.SINGLE(INDEX('ROMANEIO POR ITEM'!#REF!, SMALL(IF(_xlfn.SINGLE('ROMANEIO POR ITEM'!#REF!)&lt;&gt;0,_xlfn.SINGLE( ROW('ROMANEIO POR ITEM'!#REF!))-ROW('ROMANEIO POR ITEM'!#REF!)+1), ROW(A947)))), "")</f>
        <v/>
      </c>
      <c r="B948" t="str">
        <f>IF(A948="", "", VLOOKUP(A948, 'ROMANEIO POR ITEM'!#REF!, 2, FALSE))</f>
        <v/>
      </c>
      <c r="C948" t="str">
        <f>IF(A948="", "", VLOOKUP(A948, 'ROMANEIO POR ITEM'!#REF!, 3, FALSE))</f>
        <v/>
      </c>
      <c r="D948" t="str">
        <f>IF(A948="", "", VLOOKUP(A948, 'ROMANEIO POR ITEM'!#REF!, 4, FALSE))</f>
        <v/>
      </c>
      <c r="E948" t="str">
        <f>IF(A948="", "", VLOOKUP(A948, 'ROMANEIO POR ITEM'!#REF!, 5, FALSE))</f>
        <v/>
      </c>
      <c r="F948" t="str">
        <f>IF(A948="", "", VLOOKUP(A948, 'ROMANEIO POR ITEM'!#REF!, 6, FALSE))</f>
        <v/>
      </c>
    </row>
    <row r="949" spans="1:6">
      <c r="A949" t="str">
        <f>IFERROR(_xlfn.SINGLE(INDEX('ROMANEIO POR ITEM'!#REF!, SMALL(IF(_xlfn.SINGLE('ROMANEIO POR ITEM'!#REF!)&lt;&gt;0,_xlfn.SINGLE( ROW('ROMANEIO POR ITEM'!#REF!))-ROW('ROMANEIO POR ITEM'!#REF!)+1), ROW(A948)))), "")</f>
        <v/>
      </c>
      <c r="B949" t="str">
        <f>IF(A949="", "", VLOOKUP(A949, 'ROMANEIO POR ITEM'!#REF!, 2, FALSE))</f>
        <v/>
      </c>
      <c r="C949" t="str">
        <f>IF(A949="", "", VLOOKUP(A949, 'ROMANEIO POR ITEM'!#REF!, 3, FALSE))</f>
        <v/>
      </c>
      <c r="D949" t="str">
        <f>IF(A949="", "", VLOOKUP(A949, 'ROMANEIO POR ITEM'!#REF!, 4, FALSE))</f>
        <v/>
      </c>
      <c r="E949" t="str">
        <f>IF(A949="", "", VLOOKUP(A949, 'ROMANEIO POR ITEM'!#REF!, 5, FALSE))</f>
        <v/>
      </c>
      <c r="F949" t="str">
        <f>IF(A949="", "", VLOOKUP(A949, 'ROMANEIO POR ITEM'!#REF!, 6, FALSE))</f>
        <v/>
      </c>
    </row>
    <row r="950" spans="1:6">
      <c r="A950" t="str">
        <f>IFERROR(_xlfn.SINGLE(INDEX('ROMANEIO POR ITEM'!#REF!, SMALL(IF(_xlfn.SINGLE('ROMANEIO POR ITEM'!#REF!)&lt;&gt;0,_xlfn.SINGLE( ROW('ROMANEIO POR ITEM'!#REF!))-ROW('ROMANEIO POR ITEM'!#REF!)+1), ROW(A949)))), "")</f>
        <v/>
      </c>
      <c r="B950" t="str">
        <f>IF(A950="", "", VLOOKUP(A950, 'ROMANEIO POR ITEM'!#REF!, 2, FALSE))</f>
        <v/>
      </c>
      <c r="C950" t="str">
        <f>IF(A950="", "", VLOOKUP(A950, 'ROMANEIO POR ITEM'!#REF!, 3, FALSE))</f>
        <v/>
      </c>
      <c r="D950" t="str">
        <f>IF(A950="", "", VLOOKUP(A950, 'ROMANEIO POR ITEM'!#REF!, 4, FALSE))</f>
        <v/>
      </c>
      <c r="E950" t="str">
        <f>IF(A950="", "", VLOOKUP(A950, 'ROMANEIO POR ITEM'!#REF!, 5, FALSE))</f>
        <v/>
      </c>
      <c r="F950" t="str">
        <f>IF(A950="", "", VLOOKUP(A950, 'ROMANEIO POR ITEM'!#REF!, 6, FALSE))</f>
        <v/>
      </c>
    </row>
    <row r="951" spans="1:6">
      <c r="A951" t="str">
        <f>IFERROR(_xlfn.SINGLE(INDEX('ROMANEIO POR ITEM'!#REF!, SMALL(IF(_xlfn.SINGLE('ROMANEIO POR ITEM'!#REF!)&lt;&gt;0,_xlfn.SINGLE( ROW('ROMANEIO POR ITEM'!#REF!))-ROW('ROMANEIO POR ITEM'!#REF!)+1), ROW(A950)))), "")</f>
        <v/>
      </c>
      <c r="B951" t="str">
        <f>IF(A951="", "", VLOOKUP(A951, 'ROMANEIO POR ITEM'!#REF!, 2, FALSE))</f>
        <v/>
      </c>
      <c r="C951" t="str">
        <f>IF(A951="", "", VLOOKUP(A951, 'ROMANEIO POR ITEM'!#REF!, 3, FALSE))</f>
        <v/>
      </c>
      <c r="D951" t="str">
        <f>IF(A951="", "", VLOOKUP(A951, 'ROMANEIO POR ITEM'!#REF!, 4, FALSE))</f>
        <v/>
      </c>
      <c r="E951" t="str">
        <f>IF(A951="", "", VLOOKUP(A951, 'ROMANEIO POR ITEM'!#REF!, 5, FALSE))</f>
        <v/>
      </c>
      <c r="F951" t="str">
        <f>IF(A951="", "", VLOOKUP(A951, 'ROMANEIO POR ITEM'!#REF!, 6, FALSE))</f>
        <v/>
      </c>
    </row>
    <row r="952" spans="1:6">
      <c r="A952" t="str">
        <f>IFERROR(_xlfn.SINGLE(INDEX('ROMANEIO POR ITEM'!#REF!, SMALL(IF(_xlfn.SINGLE('ROMANEIO POR ITEM'!#REF!)&lt;&gt;0,_xlfn.SINGLE( ROW('ROMANEIO POR ITEM'!#REF!))-ROW('ROMANEIO POR ITEM'!#REF!)+1), ROW(A951)))), "")</f>
        <v/>
      </c>
      <c r="B952" t="str">
        <f>IF(A952="", "", VLOOKUP(A952, 'ROMANEIO POR ITEM'!#REF!, 2, FALSE))</f>
        <v/>
      </c>
      <c r="C952" t="str">
        <f>IF(A952="", "", VLOOKUP(A952, 'ROMANEIO POR ITEM'!#REF!, 3, FALSE))</f>
        <v/>
      </c>
      <c r="D952" t="str">
        <f>IF(A952="", "", VLOOKUP(A952, 'ROMANEIO POR ITEM'!#REF!, 4, FALSE))</f>
        <v/>
      </c>
      <c r="E952" t="str">
        <f>IF(A952="", "", VLOOKUP(A952, 'ROMANEIO POR ITEM'!#REF!, 5, FALSE))</f>
        <v/>
      </c>
      <c r="F952" t="str">
        <f>IF(A952="", "", VLOOKUP(A952, 'ROMANEIO POR ITEM'!#REF!, 6, FALSE))</f>
        <v/>
      </c>
    </row>
    <row r="953" spans="1:6">
      <c r="A953" t="str">
        <f>IFERROR(_xlfn.SINGLE(INDEX('ROMANEIO POR ITEM'!#REF!, SMALL(IF(_xlfn.SINGLE('ROMANEIO POR ITEM'!#REF!)&lt;&gt;0,_xlfn.SINGLE( ROW('ROMANEIO POR ITEM'!#REF!))-ROW('ROMANEIO POR ITEM'!#REF!)+1), ROW(A952)))), "")</f>
        <v/>
      </c>
      <c r="B953" t="str">
        <f>IF(A953="", "", VLOOKUP(A953, 'ROMANEIO POR ITEM'!#REF!, 2, FALSE))</f>
        <v/>
      </c>
      <c r="C953" t="str">
        <f>IF(A953="", "", VLOOKUP(A953, 'ROMANEIO POR ITEM'!#REF!, 3, FALSE))</f>
        <v/>
      </c>
      <c r="D953" t="str">
        <f>IF(A953="", "", VLOOKUP(A953, 'ROMANEIO POR ITEM'!#REF!, 4, FALSE))</f>
        <v/>
      </c>
      <c r="E953" t="str">
        <f>IF(A953="", "", VLOOKUP(A953, 'ROMANEIO POR ITEM'!#REF!, 5, FALSE))</f>
        <v/>
      </c>
      <c r="F953" t="str">
        <f>IF(A953="", "", VLOOKUP(A953, 'ROMANEIO POR ITEM'!#REF!, 6, FALSE))</f>
        <v/>
      </c>
    </row>
    <row r="954" spans="1:6">
      <c r="A954" t="str">
        <f>IFERROR(_xlfn.SINGLE(INDEX('ROMANEIO POR ITEM'!#REF!, SMALL(IF(_xlfn.SINGLE('ROMANEIO POR ITEM'!#REF!)&lt;&gt;0,_xlfn.SINGLE( ROW('ROMANEIO POR ITEM'!#REF!))-ROW('ROMANEIO POR ITEM'!#REF!)+1), ROW(A953)))), "")</f>
        <v/>
      </c>
      <c r="B954" t="str">
        <f>IF(A954="", "", VLOOKUP(A954, 'ROMANEIO POR ITEM'!#REF!, 2, FALSE))</f>
        <v/>
      </c>
      <c r="C954" t="str">
        <f>IF(A954="", "", VLOOKUP(A954, 'ROMANEIO POR ITEM'!#REF!, 3, FALSE))</f>
        <v/>
      </c>
      <c r="D954" t="str">
        <f>IF(A954="", "", VLOOKUP(A954, 'ROMANEIO POR ITEM'!#REF!, 4, FALSE))</f>
        <v/>
      </c>
      <c r="E954" t="str">
        <f>IF(A954="", "", VLOOKUP(A954, 'ROMANEIO POR ITEM'!#REF!, 5, FALSE))</f>
        <v/>
      </c>
      <c r="F954" t="str">
        <f>IF(A954="", "", VLOOKUP(A954, 'ROMANEIO POR ITEM'!#REF!, 6, FALSE))</f>
        <v/>
      </c>
    </row>
    <row r="955" spans="1:6">
      <c r="A955" t="str">
        <f>IFERROR(_xlfn.SINGLE(INDEX('ROMANEIO POR ITEM'!#REF!, SMALL(IF(_xlfn.SINGLE('ROMANEIO POR ITEM'!#REF!)&lt;&gt;0,_xlfn.SINGLE( ROW('ROMANEIO POR ITEM'!#REF!))-ROW('ROMANEIO POR ITEM'!#REF!)+1), ROW(A954)))), "")</f>
        <v/>
      </c>
      <c r="B955" t="str">
        <f>IF(A955="", "", VLOOKUP(A955, 'ROMANEIO POR ITEM'!#REF!, 2, FALSE))</f>
        <v/>
      </c>
      <c r="C955" t="str">
        <f>IF(A955="", "", VLOOKUP(A955, 'ROMANEIO POR ITEM'!#REF!, 3, FALSE))</f>
        <v/>
      </c>
      <c r="D955" t="str">
        <f>IF(A955="", "", VLOOKUP(A955, 'ROMANEIO POR ITEM'!#REF!, 4, FALSE))</f>
        <v/>
      </c>
      <c r="E955" t="str">
        <f>IF(A955="", "", VLOOKUP(A955, 'ROMANEIO POR ITEM'!#REF!, 5, FALSE))</f>
        <v/>
      </c>
      <c r="F955" t="str">
        <f>IF(A955="", "", VLOOKUP(A955, 'ROMANEIO POR ITEM'!#REF!, 6, FALSE))</f>
        <v/>
      </c>
    </row>
    <row r="956" spans="1:6">
      <c r="A956" t="str">
        <f>IFERROR(_xlfn.SINGLE(INDEX('ROMANEIO POR ITEM'!#REF!, SMALL(IF(_xlfn.SINGLE('ROMANEIO POR ITEM'!#REF!)&lt;&gt;0,_xlfn.SINGLE( ROW('ROMANEIO POR ITEM'!#REF!))-ROW('ROMANEIO POR ITEM'!#REF!)+1), ROW(A955)))), "")</f>
        <v/>
      </c>
      <c r="B956" t="str">
        <f>IF(A956="", "", VLOOKUP(A956, 'ROMANEIO POR ITEM'!#REF!, 2, FALSE))</f>
        <v/>
      </c>
      <c r="C956" t="str">
        <f>IF(A956="", "", VLOOKUP(A956, 'ROMANEIO POR ITEM'!#REF!, 3, FALSE))</f>
        <v/>
      </c>
      <c r="D956" t="str">
        <f>IF(A956="", "", VLOOKUP(A956, 'ROMANEIO POR ITEM'!#REF!, 4, FALSE))</f>
        <v/>
      </c>
      <c r="E956" t="str">
        <f>IF(A956="", "", VLOOKUP(A956, 'ROMANEIO POR ITEM'!#REF!, 5, FALSE))</f>
        <v/>
      </c>
      <c r="F956" t="str">
        <f>IF(A956="", "", VLOOKUP(A956, 'ROMANEIO POR ITEM'!#REF!, 6, FALSE))</f>
        <v/>
      </c>
    </row>
    <row r="957" spans="1:6">
      <c r="A957" t="str">
        <f>IFERROR(_xlfn.SINGLE(INDEX('ROMANEIO POR ITEM'!#REF!, SMALL(IF(_xlfn.SINGLE('ROMANEIO POR ITEM'!#REF!)&lt;&gt;0,_xlfn.SINGLE( ROW('ROMANEIO POR ITEM'!#REF!))-ROW('ROMANEIO POR ITEM'!#REF!)+1), ROW(A956)))), "")</f>
        <v/>
      </c>
      <c r="B957" t="str">
        <f>IF(A957="", "", VLOOKUP(A957, 'ROMANEIO POR ITEM'!#REF!, 2, FALSE))</f>
        <v/>
      </c>
      <c r="C957" t="str">
        <f>IF(A957="", "", VLOOKUP(A957, 'ROMANEIO POR ITEM'!#REF!, 3, FALSE))</f>
        <v/>
      </c>
      <c r="D957" t="str">
        <f>IF(A957="", "", VLOOKUP(A957, 'ROMANEIO POR ITEM'!#REF!, 4, FALSE))</f>
        <v/>
      </c>
      <c r="E957" t="str">
        <f>IF(A957="", "", VLOOKUP(A957, 'ROMANEIO POR ITEM'!#REF!, 5, FALSE))</f>
        <v/>
      </c>
      <c r="F957" t="str">
        <f>IF(A957="", "", VLOOKUP(A957, 'ROMANEIO POR ITEM'!#REF!, 6, FALSE))</f>
        <v/>
      </c>
    </row>
    <row r="958" spans="1:6">
      <c r="A958" t="str">
        <f>IFERROR(_xlfn.SINGLE(INDEX('ROMANEIO POR ITEM'!#REF!, SMALL(IF(_xlfn.SINGLE('ROMANEIO POR ITEM'!#REF!)&lt;&gt;0,_xlfn.SINGLE( ROW('ROMANEIO POR ITEM'!#REF!))-ROW('ROMANEIO POR ITEM'!#REF!)+1), ROW(A957)))), "")</f>
        <v/>
      </c>
      <c r="B958" t="str">
        <f>IF(A958="", "", VLOOKUP(A958, 'ROMANEIO POR ITEM'!#REF!, 2, FALSE))</f>
        <v/>
      </c>
      <c r="C958" t="str">
        <f>IF(A958="", "", VLOOKUP(A958, 'ROMANEIO POR ITEM'!#REF!, 3, FALSE))</f>
        <v/>
      </c>
      <c r="D958" t="str">
        <f>IF(A958="", "", VLOOKUP(A958, 'ROMANEIO POR ITEM'!#REF!, 4, FALSE))</f>
        <v/>
      </c>
      <c r="E958" t="str">
        <f>IF(A958="", "", VLOOKUP(A958, 'ROMANEIO POR ITEM'!#REF!, 5, FALSE))</f>
        <v/>
      </c>
      <c r="F958" t="str">
        <f>IF(A958="", "", VLOOKUP(A958, 'ROMANEIO POR ITEM'!#REF!, 6, FALSE))</f>
        <v/>
      </c>
    </row>
    <row r="959" spans="1:6">
      <c r="A959" t="str">
        <f>IFERROR(_xlfn.SINGLE(INDEX('ROMANEIO POR ITEM'!#REF!, SMALL(IF(_xlfn.SINGLE('ROMANEIO POR ITEM'!#REF!)&lt;&gt;0,_xlfn.SINGLE( ROW('ROMANEIO POR ITEM'!#REF!))-ROW('ROMANEIO POR ITEM'!#REF!)+1), ROW(A958)))), "")</f>
        <v/>
      </c>
      <c r="B959" t="str">
        <f>IF(A959="", "", VLOOKUP(A959, 'ROMANEIO POR ITEM'!#REF!, 2, FALSE))</f>
        <v/>
      </c>
      <c r="C959" t="str">
        <f>IF(A959="", "", VLOOKUP(A959, 'ROMANEIO POR ITEM'!#REF!, 3, FALSE))</f>
        <v/>
      </c>
      <c r="D959" t="str">
        <f>IF(A959="", "", VLOOKUP(A959, 'ROMANEIO POR ITEM'!#REF!, 4, FALSE))</f>
        <v/>
      </c>
      <c r="E959" t="str">
        <f>IF(A959="", "", VLOOKUP(A959, 'ROMANEIO POR ITEM'!#REF!, 5, FALSE))</f>
        <v/>
      </c>
      <c r="F959" t="str">
        <f>IF(A959="", "", VLOOKUP(A959, 'ROMANEIO POR ITEM'!#REF!, 6, FALSE))</f>
        <v/>
      </c>
    </row>
    <row r="960" spans="1:6">
      <c r="A960" t="str">
        <f>IFERROR(_xlfn.SINGLE(INDEX('ROMANEIO POR ITEM'!#REF!, SMALL(IF(_xlfn.SINGLE('ROMANEIO POR ITEM'!#REF!)&lt;&gt;0,_xlfn.SINGLE( ROW('ROMANEIO POR ITEM'!#REF!))-ROW('ROMANEIO POR ITEM'!#REF!)+1), ROW(A959)))), "")</f>
        <v/>
      </c>
      <c r="B960" t="str">
        <f>IF(A960="", "", VLOOKUP(A960, 'ROMANEIO POR ITEM'!#REF!, 2, FALSE))</f>
        <v/>
      </c>
      <c r="C960" t="str">
        <f>IF(A960="", "", VLOOKUP(A960, 'ROMANEIO POR ITEM'!#REF!, 3, FALSE))</f>
        <v/>
      </c>
      <c r="D960" t="str">
        <f>IF(A960="", "", VLOOKUP(A960, 'ROMANEIO POR ITEM'!#REF!, 4, FALSE))</f>
        <v/>
      </c>
      <c r="E960" t="str">
        <f>IF(A960="", "", VLOOKUP(A960, 'ROMANEIO POR ITEM'!#REF!, 5, FALSE))</f>
        <v/>
      </c>
      <c r="F960" t="str">
        <f>IF(A960="", "", VLOOKUP(A960, 'ROMANEIO POR ITEM'!#REF!, 6, FALSE))</f>
        <v/>
      </c>
    </row>
    <row r="961" spans="1:6">
      <c r="A961" t="str">
        <f>IFERROR(_xlfn.SINGLE(INDEX('ROMANEIO POR ITEM'!#REF!, SMALL(IF(_xlfn.SINGLE('ROMANEIO POR ITEM'!#REF!)&lt;&gt;0,_xlfn.SINGLE( ROW('ROMANEIO POR ITEM'!#REF!))-ROW('ROMANEIO POR ITEM'!#REF!)+1), ROW(A960)))), "")</f>
        <v/>
      </c>
      <c r="B961" t="str">
        <f>IF(A961="", "", VLOOKUP(A961, 'ROMANEIO POR ITEM'!#REF!, 2, FALSE))</f>
        <v/>
      </c>
      <c r="C961" t="str">
        <f>IF(A961="", "", VLOOKUP(A961, 'ROMANEIO POR ITEM'!#REF!, 3, FALSE))</f>
        <v/>
      </c>
      <c r="D961" t="str">
        <f>IF(A961="", "", VLOOKUP(A961, 'ROMANEIO POR ITEM'!#REF!, 4, FALSE))</f>
        <v/>
      </c>
      <c r="E961" t="str">
        <f>IF(A961="", "", VLOOKUP(A961, 'ROMANEIO POR ITEM'!#REF!, 5, FALSE))</f>
        <v/>
      </c>
      <c r="F961" t="str">
        <f>IF(A961="", "", VLOOKUP(A961, 'ROMANEIO POR ITEM'!#REF!, 6, FALSE))</f>
        <v/>
      </c>
    </row>
    <row r="962" spans="1:6">
      <c r="A962" t="str">
        <f>IFERROR(_xlfn.SINGLE(INDEX('ROMANEIO POR ITEM'!#REF!, SMALL(IF(_xlfn.SINGLE('ROMANEIO POR ITEM'!#REF!)&lt;&gt;0,_xlfn.SINGLE( ROW('ROMANEIO POR ITEM'!#REF!))-ROW('ROMANEIO POR ITEM'!#REF!)+1), ROW(A961)))), "")</f>
        <v/>
      </c>
      <c r="B962" t="str">
        <f>IF(A962="", "", VLOOKUP(A962, 'ROMANEIO POR ITEM'!#REF!, 2, FALSE))</f>
        <v/>
      </c>
      <c r="C962" t="str">
        <f>IF(A962="", "", VLOOKUP(A962, 'ROMANEIO POR ITEM'!#REF!, 3, FALSE))</f>
        <v/>
      </c>
      <c r="D962" t="str">
        <f>IF(A962="", "", VLOOKUP(A962, 'ROMANEIO POR ITEM'!#REF!, 4, FALSE))</f>
        <v/>
      </c>
      <c r="E962" t="str">
        <f>IF(A962="", "", VLOOKUP(A962, 'ROMANEIO POR ITEM'!#REF!, 5, FALSE))</f>
        <v/>
      </c>
      <c r="F962" t="str">
        <f>IF(A962="", "", VLOOKUP(A962, 'ROMANEIO POR ITEM'!#REF!, 6, FALSE))</f>
        <v/>
      </c>
    </row>
    <row r="963" spans="1:6">
      <c r="A963" t="str">
        <f>IFERROR(_xlfn.SINGLE(INDEX('ROMANEIO POR ITEM'!#REF!, SMALL(IF(_xlfn.SINGLE('ROMANEIO POR ITEM'!#REF!)&lt;&gt;0,_xlfn.SINGLE( ROW('ROMANEIO POR ITEM'!#REF!))-ROW('ROMANEIO POR ITEM'!#REF!)+1), ROW(A962)))), "")</f>
        <v/>
      </c>
      <c r="B963" t="str">
        <f>IF(A963="", "", VLOOKUP(A963, 'ROMANEIO POR ITEM'!#REF!, 2, FALSE))</f>
        <v/>
      </c>
      <c r="C963" t="str">
        <f>IF(A963="", "", VLOOKUP(A963, 'ROMANEIO POR ITEM'!#REF!, 3, FALSE))</f>
        <v/>
      </c>
      <c r="D963" t="str">
        <f>IF(A963="", "", VLOOKUP(A963, 'ROMANEIO POR ITEM'!#REF!, 4, FALSE))</f>
        <v/>
      </c>
      <c r="E963" t="str">
        <f>IF(A963="", "", VLOOKUP(A963, 'ROMANEIO POR ITEM'!#REF!, 5, FALSE))</f>
        <v/>
      </c>
      <c r="F963" t="str">
        <f>IF(A963="", "", VLOOKUP(A963, 'ROMANEIO POR ITEM'!#REF!, 6, FALSE))</f>
        <v/>
      </c>
    </row>
    <row r="964" spans="1:6">
      <c r="A964" t="str">
        <f>IFERROR(_xlfn.SINGLE(INDEX('ROMANEIO POR ITEM'!#REF!, SMALL(IF(_xlfn.SINGLE('ROMANEIO POR ITEM'!#REF!)&lt;&gt;0,_xlfn.SINGLE( ROW('ROMANEIO POR ITEM'!#REF!))-ROW('ROMANEIO POR ITEM'!#REF!)+1), ROW(A963)))), "")</f>
        <v/>
      </c>
      <c r="B964" t="str">
        <f>IF(A964="", "", VLOOKUP(A964, 'ROMANEIO POR ITEM'!#REF!, 2, FALSE))</f>
        <v/>
      </c>
      <c r="C964" t="str">
        <f>IF(A964="", "", VLOOKUP(A964, 'ROMANEIO POR ITEM'!#REF!, 3, FALSE))</f>
        <v/>
      </c>
      <c r="D964" t="str">
        <f>IF(A964="", "", VLOOKUP(A964, 'ROMANEIO POR ITEM'!#REF!, 4, FALSE))</f>
        <v/>
      </c>
      <c r="E964" t="str">
        <f>IF(A964="", "", VLOOKUP(A964, 'ROMANEIO POR ITEM'!#REF!, 5, FALSE))</f>
        <v/>
      </c>
      <c r="F964" t="str">
        <f>IF(A964="", "", VLOOKUP(A964, 'ROMANEIO POR ITEM'!#REF!, 6, FALSE))</f>
        <v/>
      </c>
    </row>
    <row r="965" spans="1:6">
      <c r="A965" t="str">
        <f>IFERROR(_xlfn.SINGLE(INDEX('ROMANEIO POR ITEM'!#REF!, SMALL(IF(_xlfn.SINGLE('ROMANEIO POR ITEM'!#REF!)&lt;&gt;0,_xlfn.SINGLE( ROW('ROMANEIO POR ITEM'!#REF!))-ROW('ROMANEIO POR ITEM'!#REF!)+1), ROW(A964)))), "")</f>
        <v/>
      </c>
      <c r="B965" t="str">
        <f>IF(A965="", "", VLOOKUP(A965, 'ROMANEIO POR ITEM'!#REF!, 2, FALSE))</f>
        <v/>
      </c>
      <c r="C965" t="str">
        <f>IF(A965="", "", VLOOKUP(A965, 'ROMANEIO POR ITEM'!#REF!, 3, FALSE))</f>
        <v/>
      </c>
      <c r="D965" t="str">
        <f>IF(A965="", "", VLOOKUP(A965, 'ROMANEIO POR ITEM'!#REF!, 4, FALSE))</f>
        <v/>
      </c>
      <c r="E965" t="str">
        <f>IF(A965="", "", VLOOKUP(A965, 'ROMANEIO POR ITEM'!#REF!, 5, FALSE))</f>
        <v/>
      </c>
      <c r="F965" t="str">
        <f>IF(A965="", "", VLOOKUP(A965, 'ROMANEIO POR ITEM'!#REF!, 6, FALSE))</f>
        <v/>
      </c>
    </row>
    <row r="966" spans="1:6">
      <c r="A966" t="str">
        <f>IFERROR(_xlfn.SINGLE(INDEX('ROMANEIO POR ITEM'!#REF!, SMALL(IF(_xlfn.SINGLE('ROMANEIO POR ITEM'!#REF!)&lt;&gt;0,_xlfn.SINGLE( ROW('ROMANEIO POR ITEM'!#REF!))-ROW('ROMANEIO POR ITEM'!#REF!)+1), ROW(A965)))), "")</f>
        <v/>
      </c>
      <c r="B966" t="str">
        <f>IF(A966="", "", VLOOKUP(A966, 'ROMANEIO POR ITEM'!#REF!, 2, FALSE))</f>
        <v/>
      </c>
      <c r="C966" t="str">
        <f>IF(A966="", "", VLOOKUP(A966, 'ROMANEIO POR ITEM'!#REF!, 3, FALSE))</f>
        <v/>
      </c>
      <c r="D966" t="str">
        <f>IF(A966="", "", VLOOKUP(A966, 'ROMANEIO POR ITEM'!#REF!, 4, FALSE))</f>
        <v/>
      </c>
      <c r="E966" t="str">
        <f>IF(A966="", "", VLOOKUP(A966, 'ROMANEIO POR ITEM'!#REF!, 5, FALSE))</f>
        <v/>
      </c>
      <c r="F966" t="str">
        <f>IF(A966="", "", VLOOKUP(A966, 'ROMANEIO POR ITEM'!#REF!, 6, FALSE))</f>
        <v/>
      </c>
    </row>
    <row r="967" spans="1:6">
      <c r="A967" t="str">
        <f>IFERROR(_xlfn.SINGLE(INDEX('ROMANEIO POR ITEM'!#REF!, SMALL(IF(_xlfn.SINGLE('ROMANEIO POR ITEM'!#REF!)&lt;&gt;0,_xlfn.SINGLE( ROW('ROMANEIO POR ITEM'!#REF!))-ROW('ROMANEIO POR ITEM'!#REF!)+1), ROW(A966)))), "")</f>
        <v/>
      </c>
      <c r="B967" t="str">
        <f>IF(A967="", "", VLOOKUP(A967, 'ROMANEIO POR ITEM'!#REF!, 2, FALSE))</f>
        <v/>
      </c>
      <c r="C967" t="str">
        <f>IF(A967="", "", VLOOKUP(A967, 'ROMANEIO POR ITEM'!#REF!, 3, FALSE))</f>
        <v/>
      </c>
      <c r="D967" t="str">
        <f>IF(A967="", "", VLOOKUP(A967, 'ROMANEIO POR ITEM'!#REF!, 4, FALSE))</f>
        <v/>
      </c>
      <c r="E967" t="str">
        <f>IF(A967="", "", VLOOKUP(A967, 'ROMANEIO POR ITEM'!#REF!, 5, FALSE))</f>
        <v/>
      </c>
      <c r="F967" t="str">
        <f>IF(A967="", "", VLOOKUP(A967, 'ROMANEIO POR ITEM'!#REF!, 6, FALSE))</f>
        <v/>
      </c>
    </row>
    <row r="968" spans="1:6">
      <c r="A968" t="str">
        <f>IFERROR(_xlfn.SINGLE(INDEX('ROMANEIO POR ITEM'!#REF!, SMALL(IF(_xlfn.SINGLE('ROMANEIO POR ITEM'!#REF!)&lt;&gt;0,_xlfn.SINGLE( ROW('ROMANEIO POR ITEM'!#REF!))-ROW('ROMANEIO POR ITEM'!#REF!)+1), ROW(A967)))), "")</f>
        <v/>
      </c>
      <c r="B968" t="str">
        <f>IF(A968="", "", VLOOKUP(A968, 'ROMANEIO POR ITEM'!#REF!, 2, FALSE))</f>
        <v/>
      </c>
      <c r="C968" t="str">
        <f>IF(A968="", "", VLOOKUP(A968, 'ROMANEIO POR ITEM'!#REF!, 3, FALSE))</f>
        <v/>
      </c>
      <c r="D968" t="str">
        <f>IF(A968="", "", VLOOKUP(A968, 'ROMANEIO POR ITEM'!#REF!, 4, FALSE))</f>
        <v/>
      </c>
      <c r="E968" t="str">
        <f>IF(A968="", "", VLOOKUP(A968, 'ROMANEIO POR ITEM'!#REF!, 5, FALSE))</f>
        <v/>
      </c>
      <c r="F968" t="str">
        <f>IF(A968="", "", VLOOKUP(A968, 'ROMANEIO POR ITEM'!#REF!, 6, FALSE))</f>
        <v/>
      </c>
    </row>
    <row r="969" spans="1:6">
      <c r="A969" t="str">
        <f>IFERROR(_xlfn.SINGLE(INDEX('ROMANEIO POR ITEM'!#REF!, SMALL(IF(_xlfn.SINGLE('ROMANEIO POR ITEM'!#REF!)&lt;&gt;0,_xlfn.SINGLE( ROW('ROMANEIO POR ITEM'!#REF!))-ROW('ROMANEIO POR ITEM'!#REF!)+1), ROW(A968)))), "")</f>
        <v/>
      </c>
      <c r="B969" t="str">
        <f>IF(A969="", "", VLOOKUP(A969, 'ROMANEIO POR ITEM'!#REF!, 2, FALSE))</f>
        <v/>
      </c>
      <c r="C969" t="str">
        <f>IF(A969="", "", VLOOKUP(A969, 'ROMANEIO POR ITEM'!#REF!, 3, FALSE))</f>
        <v/>
      </c>
      <c r="D969" t="str">
        <f>IF(A969="", "", VLOOKUP(A969, 'ROMANEIO POR ITEM'!#REF!, 4, FALSE))</f>
        <v/>
      </c>
      <c r="E969" t="str">
        <f>IF(A969="", "", VLOOKUP(A969, 'ROMANEIO POR ITEM'!#REF!, 5, FALSE))</f>
        <v/>
      </c>
      <c r="F969" t="str">
        <f>IF(A969="", "", VLOOKUP(A969, 'ROMANEIO POR ITEM'!#REF!, 6, FALSE))</f>
        <v/>
      </c>
    </row>
    <row r="970" spans="1:6">
      <c r="A970" t="str">
        <f>IFERROR(_xlfn.SINGLE(INDEX('ROMANEIO POR ITEM'!#REF!, SMALL(IF(_xlfn.SINGLE('ROMANEIO POR ITEM'!#REF!)&lt;&gt;0,_xlfn.SINGLE( ROW('ROMANEIO POR ITEM'!#REF!))-ROW('ROMANEIO POR ITEM'!#REF!)+1), ROW(A969)))), "")</f>
        <v/>
      </c>
      <c r="B970" t="str">
        <f>IF(A970="", "", VLOOKUP(A970, 'ROMANEIO POR ITEM'!#REF!, 2, FALSE))</f>
        <v/>
      </c>
      <c r="C970" t="str">
        <f>IF(A970="", "", VLOOKUP(A970, 'ROMANEIO POR ITEM'!#REF!, 3, FALSE))</f>
        <v/>
      </c>
      <c r="D970" t="str">
        <f>IF(A970="", "", VLOOKUP(A970, 'ROMANEIO POR ITEM'!#REF!, 4, FALSE))</f>
        <v/>
      </c>
      <c r="E970" t="str">
        <f>IF(A970="", "", VLOOKUP(A970, 'ROMANEIO POR ITEM'!#REF!, 5, FALSE))</f>
        <v/>
      </c>
      <c r="F970" t="str">
        <f>IF(A970="", "", VLOOKUP(A970, 'ROMANEIO POR ITEM'!#REF!, 6, FALSE))</f>
        <v/>
      </c>
    </row>
    <row r="971" spans="1:6">
      <c r="A971" t="str">
        <f>IFERROR(_xlfn.SINGLE(INDEX('ROMANEIO POR ITEM'!#REF!, SMALL(IF(_xlfn.SINGLE('ROMANEIO POR ITEM'!#REF!)&lt;&gt;0,_xlfn.SINGLE( ROW('ROMANEIO POR ITEM'!#REF!))-ROW('ROMANEIO POR ITEM'!#REF!)+1), ROW(A970)))), "")</f>
        <v/>
      </c>
      <c r="B971" t="str">
        <f>IF(A971="", "", VLOOKUP(A971, 'ROMANEIO POR ITEM'!#REF!, 2, FALSE))</f>
        <v/>
      </c>
      <c r="C971" t="str">
        <f>IF(A971="", "", VLOOKUP(A971, 'ROMANEIO POR ITEM'!#REF!, 3, FALSE))</f>
        <v/>
      </c>
      <c r="D971" t="str">
        <f>IF(A971="", "", VLOOKUP(A971, 'ROMANEIO POR ITEM'!#REF!, 4, FALSE))</f>
        <v/>
      </c>
      <c r="E971" t="str">
        <f>IF(A971="", "", VLOOKUP(A971, 'ROMANEIO POR ITEM'!#REF!, 5, FALSE))</f>
        <v/>
      </c>
      <c r="F971" t="str">
        <f>IF(A971="", "", VLOOKUP(A971, 'ROMANEIO POR ITEM'!#REF!, 6, FALSE))</f>
        <v/>
      </c>
    </row>
    <row r="972" spans="1:6">
      <c r="A972" t="str">
        <f>IFERROR(_xlfn.SINGLE(INDEX('ROMANEIO POR ITEM'!#REF!, SMALL(IF(_xlfn.SINGLE('ROMANEIO POR ITEM'!#REF!)&lt;&gt;0,_xlfn.SINGLE( ROW('ROMANEIO POR ITEM'!#REF!))-ROW('ROMANEIO POR ITEM'!#REF!)+1), ROW(A971)))), "")</f>
        <v/>
      </c>
      <c r="B972" t="str">
        <f>IF(A972="", "", VLOOKUP(A972, 'ROMANEIO POR ITEM'!#REF!, 2, FALSE))</f>
        <v/>
      </c>
      <c r="C972" t="str">
        <f>IF(A972="", "", VLOOKUP(A972, 'ROMANEIO POR ITEM'!#REF!, 3, FALSE))</f>
        <v/>
      </c>
      <c r="D972" t="str">
        <f>IF(A972="", "", VLOOKUP(A972, 'ROMANEIO POR ITEM'!#REF!, 4, FALSE))</f>
        <v/>
      </c>
      <c r="E972" t="str">
        <f>IF(A972="", "", VLOOKUP(A972, 'ROMANEIO POR ITEM'!#REF!, 5, FALSE))</f>
        <v/>
      </c>
      <c r="F972" t="str">
        <f>IF(A972="", "", VLOOKUP(A972, 'ROMANEIO POR ITEM'!#REF!, 6, FALSE))</f>
        <v/>
      </c>
    </row>
    <row r="973" spans="1:6">
      <c r="A973" t="str">
        <f>IFERROR(_xlfn.SINGLE(INDEX('ROMANEIO POR ITEM'!#REF!, SMALL(IF(_xlfn.SINGLE('ROMANEIO POR ITEM'!#REF!)&lt;&gt;0,_xlfn.SINGLE( ROW('ROMANEIO POR ITEM'!#REF!))-ROW('ROMANEIO POR ITEM'!#REF!)+1), ROW(A972)))), "")</f>
        <v/>
      </c>
      <c r="B973" t="str">
        <f>IF(A973="", "", VLOOKUP(A973, 'ROMANEIO POR ITEM'!#REF!, 2, FALSE))</f>
        <v/>
      </c>
      <c r="C973" t="str">
        <f>IF(A973="", "", VLOOKUP(A973, 'ROMANEIO POR ITEM'!#REF!, 3, FALSE))</f>
        <v/>
      </c>
      <c r="D973" t="str">
        <f>IF(A973="", "", VLOOKUP(A973, 'ROMANEIO POR ITEM'!#REF!, 4, FALSE))</f>
        <v/>
      </c>
      <c r="E973" t="str">
        <f>IF(A973="", "", VLOOKUP(A973, 'ROMANEIO POR ITEM'!#REF!, 5, FALSE))</f>
        <v/>
      </c>
      <c r="F973" t="str">
        <f>IF(A973="", "", VLOOKUP(A973, 'ROMANEIO POR ITEM'!#REF!, 6, FALSE))</f>
        <v/>
      </c>
    </row>
    <row r="974" spans="1:6">
      <c r="A974" t="str">
        <f>IFERROR(_xlfn.SINGLE(INDEX('ROMANEIO POR ITEM'!#REF!, SMALL(IF(_xlfn.SINGLE('ROMANEIO POR ITEM'!#REF!)&lt;&gt;0,_xlfn.SINGLE( ROW('ROMANEIO POR ITEM'!#REF!))-ROW('ROMANEIO POR ITEM'!#REF!)+1), ROW(A973)))), "")</f>
        <v/>
      </c>
      <c r="B974" t="str">
        <f>IF(A974="", "", VLOOKUP(A974, 'ROMANEIO POR ITEM'!#REF!, 2, FALSE))</f>
        <v/>
      </c>
      <c r="C974" t="str">
        <f>IF(A974="", "", VLOOKUP(A974, 'ROMANEIO POR ITEM'!#REF!, 3, FALSE))</f>
        <v/>
      </c>
      <c r="D974" t="str">
        <f>IF(A974="", "", VLOOKUP(A974, 'ROMANEIO POR ITEM'!#REF!, 4, FALSE))</f>
        <v/>
      </c>
      <c r="E974" t="str">
        <f>IF(A974="", "", VLOOKUP(A974, 'ROMANEIO POR ITEM'!#REF!, 5, FALSE))</f>
        <v/>
      </c>
      <c r="F974" t="str">
        <f>IF(A974="", "", VLOOKUP(A974, 'ROMANEIO POR ITEM'!#REF!, 6, FALSE))</f>
        <v/>
      </c>
    </row>
    <row r="975" spans="1:6">
      <c r="A975" t="str">
        <f>IFERROR(_xlfn.SINGLE(INDEX('ROMANEIO POR ITEM'!#REF!, SMALL(IF(_xlfn.SINGLE('ROMANEIO POR ITEM'!#REF!)&lt;&gt;0,_xlfn.SINGLE( ROW('ROMANEIO POR ITEM'!#REF!))-ROW('ROMANEIO POR ITEM'!#REF!)+1), ROW(A974)))), "")</f>
        <v/>
      </c>
      <c r="B975" t="str">
        <f>IF(A975="", "", VLOOKUP(A975, 'ROMANEIO POR ITEM'!#REF!, 2, FALSE))</f>
        <v/>
      </c>
      <c r="C975" t="str">
        <f>IF(A975="", "", VLOOKUP(A975, 'ROMANEIO POR ITEM'!#REF!, 3, FALSE))</f>
        <v/>
      </c>
      <c r="D975" t="str">
        <f>IF(A975="", "", VLOOKUP(A975, 'ROMANEIO POR ITEM'!#REF!, 4, FALSE))</f>
        <v/>
      </c>
      <c r="E975" t="str">
        <f>IF(A975="", "", VLOOKUP(A975, 'ROMANEIO POR ITEM'!#REF!, 5, FALSE))</f>
        <v/>
      </c>
      <c r="F975" t="str">
        <f>IF(A975="", "", VLOOKUP(A975, 'ROMANEIO POR ITEM'!#REF!, 6, FALSE))</f>
        <v/>
      </c>
    </row>
    <row r="976" spans="1:6">
      <c r="A976" t="str">
        <f>IFERROR(_xlfn.SINGLE(INDEX('ROMANEIO POR ITEM'!#REF!, SMALL(IF(_xlfn.SINGLE('ROMANEIO POR ITEM'!#REF!)&lt;&gt;0,_xlfn.SINGLE( ROW('ROMANEIO POR ITEM'!#REF!))-ROW('ROMANEIO POR ITEM'!#REF!)+1), ROW(A975)))), "")</f>
        <v/>
      </c>
      <c r="B976" t="str">
        <f>IF(A976="", "", VLOOKUP(A976, 'ROMANEIO POR ITEM'!#REF!, 2, FALSE))</f>
        <v/>
      </c>
      <c r="C976" t="str">
        <f>IF(A976="", "", VLOOKUP(A976, 'ROMANEIO POR ITEM'!#REF!, 3, FALSE))</f>
        <v/>
      </c>
      <c r="D976" t="str">
        <f>IF(A976="", "", VLOOKUP(A976, 'ROMANEIO POR ITEM'!#REF!, 4, FALSE))</f>
        <v/>
      </c>
      <c r="E976" t="str">
        <f>IF(A976="", "", VLOOKUP(A976, 'ROMANEIO POR ITEM'!#REF!, 5, FALSE))</f>
        <v/>
      </c>
      <c r="F976" t="str">
        <f>IF(A976="", "", VLOOKUP(A976, 'ROMANEIO POR ITEM'!#REF!, 6, FALSE))</f>
        <v/>
      </c>
    </row>
    <row r="977" spans="1:6">
      <c r="A977" t="str">
        <f>IFERROR(_xlfn.SINGLE(INDEX('ROMANEIO POR ITEM'!#REF!, SMALL(IF(_xlfn.SINGLE('ROMANEIO POR ITEM'!#REF!)&lt;&gt;0,_xlfn.SINGLE( ROW('ROMANEIO POR ITEM'!#REF!))-ROW('ROMANEIO POR ITEM'!#REF!)+1), ROW(A976)))), "")</f>
        <v/>
      </c>
      <c r="B977" t="str">
        <f>IF(A977="", "", VLOOKUP(A977, 'ROMANEIO POR ITEM'!#REF!, 2, FALSE))</f>
        <v/>
      </c>
      <c r="C977" t="str">
        <f>IF(A977="", "", VLOOKUP(A977, 'ROMANEIO POR ITEM'!#REF!, 3, FALSE))</f>
        <v/>
      </c>
      <c r="D977" t="str">
        <f>IF(A977="", "", VLOOKUP(A977, 'ROMANEIO POR ITEM'!#REF!, 4, FALSE))</f>
        <v/>
      </c>
      <c r="E977" t="str">
        <f>IF(A977="", "", VLOOKUP(A977, 'ROMANEIO POR ITEM'!#REF!, 5, FALSE))</f>
        <v/>
      </c>
      <c r="F977" t="str">
        <f>IF(A977="", "", VLOOKUP(A977, 'ROMANEIO POR ITEM'!#REF!, 6, FALSE))</f>
        <v/>
      </c>
    </row>
    <row r="978" spans="1:6">
      <c r="A978" t="str">
        <f>IFERROR(_xlfn.SINGLE(INDEX('ROMANEIO POR ITEM'!#REF!, SMALL(IF(_xlfn.SINGLE('ROMANEIO POR ITEM'!#REF!)&lt;&gt;0,_xlfn.SINGLE( ROW('ROMANEIO POR ITEM'!#REF!))-ROW('ROMANEIO POR ITEM'!#REF!)+1), ROW(A977)))), "")</f>
        <v/>
      </c>
      <c r="B978" t="str">
        <f>IF(A978="", "", VLOOKUP(A978, 'ROMANEIO POR ITEM'!#REF!, 2, FALSE))</f>
        <v/>
      </c>
      <c r="C978" t="str">
        <f>IF(A978="", "", VLOOKUP(A978, 'ROMANEIO POR ITEM'!#REF!, 3, FALSE))</f>
        <v/>
      </c>
      <c r="D978" t="str">
        <f>IF(A978="", "", VLOOKUP(A978, 'ROMANEIO POR ITEM'!#REF!, 4, FALSE))</f>
        <v/>
      </c>
      <c r="E978" t="str">
        <f>IF(A978="", "", VLOOKUP(A978, 'ROMANEIO POR ITEM'!#REF!, 5, FALSE))</f>
        <v/>
      </c>
      <c r="F978" t="str">
        <f>IF(A978="", "", VLOOKUP(A978, 'ROMANEIO POR ITEM'!#REF!, 6, FALSE))</f>
        <v/>
      </c>
    </row>
    <row r="979" spans="1:6">
      <c r="A979" t="str">
        <f>IFERROR(_xlfn.SINGLE(INDEX('ROMANEIO POR ITEM'!#REF!, SMALL(IF(_xlfn.SINGLE('ROMANEIO POR ITEM'!#REF!)&lt;&gt;0,_xlfn.SINGLE( ROW('ROMANEIO POR ITEM'!#REF!))-ROW('ROMANEIO POR ITEM'!#REF!)+1), ROW(A978)))), "")</f>
        <v/>
      </c>
      <c r="B979" t="str">
        <f>IF(A979="", "", VLOOKUP(A979, 'ROMANEIO POR ITEM'!#REF!, 2, FALSE))</f>
        <v/>
      </c>
      <c r="C979" t="str">
        <f>IF(A979="", "", VLOOKUP(A979, 'ROMANEIO POR ITEM'!#REF!, 3, FALSE))</f>
        <v/>
      </c>
      <c r="D979" t="str">
        <f>IF(A979="", "", VLOOKUP(A979, 'ROMANEIO POR ITEM'!#REF!, 4, FALSE))</f>
        <v/>
      </c>
      <c r="E979" t="str">
        <f>IF(A979="", "", VLOOKUP(A979, 'ROMANEIO POR ITEM'!#REF!, 5, FALSE))</f>
        <v/>
      </c>
      <c r="F979" t="str">
        <f>IF(A979="", "", VLOOKUP(A979, 'ROMANEIO POR ITEM'!#REF!, 6, FALSE))</f>
        <v/>
      </c>
    </row>
    <row r="980" spans="1:6">
      <c r="A980" t="str">
        <f>IFERROR(_xlfn.SINGLE(INDEX('ROMANEIO POR ITEM'!#REF!, SMALL(IF(_xlfn.SINGLE('ROMANEIO POR ITEM'!#REF!)&lt;&gt;0,_xlfn.SINGLE( ROW('ROMANEIO POR ITEM'!#REF!))-ROW('ROMANEIO POR ITEM'!#REF!)+1), ROW(A979)))), "")</f>
        <v/>
      </c>
      <c r="B980" t="str">
        <f>IF(A980="", "", VLOOKUP(A980, 'ROMANEIO POR ITEM'!#REF!, 2, FALSE))</f>
        <v/>
      </c>
      <c r="C980" t="str">
        <f>IF(A980="", "", VLOOKUP(A980, 'ROMANEIO POR ITEM'!#REF!, 3, FALSE))</f>
        <v/>
      </c>
      <c r="D980" t="str">
        <f>IF(A980="", "", VLOOKUP(A980, 'ROMANEIO POR ITEM'!#REF!, 4, FALSE))</f>
        <v/>
      </c>
      <c r="E980" t="str">
        <f>IF(A980="", "", VLOOKUP(A980, 'ROMANEIO POR ITEM'!#REF!, 5, FALSE))</f>
        <v/>
      </c>
      <c r="F980" t="str">
        <f>IF(A980="", "", VLOOKUP(A980, 'ROMANEIO POR ITEM'!#REF!, 6, FALSE))</f>
        <v/>
      </c>
    </row>
    <row r="981" spans="1:6">
      <c r="A981" t="str">
        <f>IFERROR(_xlfn.SINGLE(INDEX('ROMANEIO POR ITEM'!#REF!, SMALL(IF(_xlfn.SINGLE('ROMANEIO POR ITEM'!#REF!)&lt;&gt;0,_xlfn.SINGLE( ROW('ROMANEIO POR ITEM'!#REF!))-ROW('ROMANEIO POR ITEM'!#REF!)+1), ROW(A980)))), "")</f>
        <v/>
      </c>
      <c r="B981" t="str">
        <f>IF(A981="", "", VLOOKUP(A981, 'ROMANEIO POR ITEM'!#REF!, 2, FALSE))</f>
        <v/>
      </c>
      <c r="C981" t="str">
        <f>IF(A981="", "", VLOOKUP(A981, 'ROMANEIO POR ITEM'!#REF!, 3, FALSE))</f>
        <v/>
      </c>
      <c r="D981" t="str">
        <f>IF(A981="", "", VLOOKUP(A981, 'ROMANEIO POR ITEM'!#REF!, 4, FALSE))</f>
        <v/>
      </c>
      <c r="E981" t="str">
        <f>IF(A981="", "", VLOOKUP(A981, 'ROMANEIO POR ITEM'!#REF!, 5, FALSE))</f>
        <v/>
      </c>
      <c r="F981" t="str">
        <f>IF(A981="", "", VLOOKUP(A981, 'ROMANEIO POR ITEM'!#REF!, 6, FALSE))</f>
        <v/>
      </c>
    </row>
    <row r="982" spans="1:6">
      <c r="A982" t="str">
        <f>IFERROR(_xlfn.SINGLE(INDEX('ROMANEIO POR ITEM'!#REF!, SMALL(IF(_xlfn.SINGLE('ROMANEIO POR ITEM'!#REF!)&lt;&gt;0,_xlfn.SINGLE( ROW('ROMANEIO POR ITEM'!#REF!))-ROW('ROMANEIO POR ITEM'!#REF!)+1), ROW(A981)))), "")</f>
        <v/>
      </c>
      <c r="B982" t="str">
        <f>IF(A982="", "", VLOOKUP(A982, 'ROMANEIO POR ITEM'!#REF!, 2, FALSE))</f>
        <v/>
      </c>
      <c r="C982" t="str">
        <f>IF(A982="", "", VLOOKUP(A982, 'ROMANEIO POR ITEM'!#REF!, 3, FALSE))</f>
        <v/>
      </c>
      <c r="D982" t="str">
        <f>IF(A982="", "", VLOOKUP(A982, 'ROMANEIO POR ITEM'!#REF!, 4, FALSE))</f>
        <v/>
      </c>
      <c r="E982" t="str">
        <f>IF(A982="", "", VLOOKUP(A982, 'ROMANEIO POR ITEM'!#REF!, 5, FALSE))</f>
        <v/>
      </c>
      <c r="F982" t="str">
        <f>IF(A982="", "", VLOOKUP(A982, 'ROMANEIO POR ITEM'!#REF!, 6, FALSE))</f>
        <v/>
      </c>
    </row>
    <row r="983" spans="1:6">
      <c r="A983" t="str">
        <f>IFERROR(_xlfn.SINGLE(INDEX('ROMANEIO POR ITEM'!#REF!, SMALL(IF(_xlfn.SINGLE('ROMANEIO POR ITEM'!#REF!)&lt;&gt;0,_xlfn.SINGLE( ROW('ROMANEIO POR ITEM'!#REF!))-ROW('ROMANEIO POR ITEM'!#REF!)+1), ROW(A982)))), "")</f>
        <v/>
      </c>
      <c r="B983" t="str">
        <f>IF(A983="", "", VLOOKUP(A983, 'ROMANEIO POR ITEM'!#REF!, 2, FALSE))</f>
        <v/>
      </c>
      <c r="C983" t="str">
        <f>IF(A983="", "", VLOOKUP(A983, 'ROMANEIO POR ITEM'!#REF!, 3, FALSE))</f>
        <v/>
      </c>
      <c r="D983" t="str">
        <f>IF(A983="", "", VLOOKUP(A983, 'ROMANEIO POR ITEM'!#REF!, 4, FALSE))</f>
        <v/>
      </c>
      <c r="E983" t="str">
        <f>IF(A983="", "", VLOOKUP(A983, 'ROMANEIO POR ITEM'!#REF!, 5, FALSE))</f>
        <v/>
      </c>
      <c r="F983" t="str">
        <f>IF(A983="", "", VLOOKUP(A983, 'ROMANEIO POR ITEM'!#REF!, 6, FALSE))</f>
        <v/>
      </c>
    </row>
    <row r="984" spans="1:6">
      <c r="A984" t="str">
        <f>IFERROR(_xlfn.SINGLE(INDEX('ROMANEIO POR ITEM'!#REF!, SMALL(IF(_xlfn.SINGLE('ROMANEIO POR ITEM'!#REF!)&lt;&gt;0,_xlfn.SINGLE( ROW('ROMANEIO POR ITEM'!#REF!))-ROW('ROMANEIO POR ITEM'!#REF!)+1), ROW(A983)))), "")</f>
        <v/>
      </c>
      <c r="B984" t="str">
        <f>IF(A984="", "", VLOOKUP(A984, 'ROMANEIO POR ITEM'!#REF!, 2, FALSE))</f>
        <v/>
      </c>
      <c r="C984" t="str">
        <f>IF(A984="", "", VLOOKUP(A984, 'ROMANEIO POR ITEM'!#REF!, 3, FALSE))</f>
        <v/>
      </c>
      <c r="D984" t="str">
        <f>IF(A984="", "", VLOOKUP(A984, 'ROMANEIO POR ITEM'!#REF!, 4, FALSE))</f>
        <v/>
      </c>
      <c r="E984" t="str">
        <f>IF(A984="", "", VLOOKUP(A984, 'ROMANEIO POR ITEM'!#REF!, 5, FALSE))</f>
        <v/>
      </c>
      <c r="F984" t="str">
        <f>IF(A984="", "", VLOOKUP(A984, 'ROMANEIO POR ITEM'!#REF!, 6, FALSE))</f>
        <v/>
      </c>
    </row>
    <row r="985" spans="1:6">
      <c r="A985" t="str">
        <f>IFERROR(_xlfn.SINGLE(INDEX('ROMANEIO POR ITEM'!#REF!, SMALL(IF(_xlfn.SINGLE('ROMANEIO POR ITEM'!#REF!)&lt;&gt;0,_xlfn.SINGLE( ROW('ROMANEIO POR ITEM'!#REF!))-ROW('ROMANEIO POR ITEM'!#REF!)+1), ROW(A984)))), "")</f>
        <v/>
      </c>
      <c r="B985" t="str">
        <f>IF(A985="", "", VLOOKUP(A985, 'ROMANEIO POR ITEM'!#REF!, 2, FALSE))</f>
        <v/>
      </c>
      <c r="C985" t="str">
        <f>IF(A985="", "", VLOOKUP(A985, 'ROMANEIO POR ITEM'!#REF!, 3, FALSE))</f>
        <v/>
      </c>
      <c r="D985" t="str">
        <f>IF(A985="", "", VLOOKUP(A985, 'ROMANEIO POR ITEM'!#REF!, 4, FALSE))</f>
        <v/>
      </c>
      <c r="E985" t="str">
        <f>IF(A985="", "", VLOOKUP(A985, 'ROMANEIO POR ITEM'!#REF!, 5, FALSE))</f>
        <v/>
      </c>
      <c r="F985" t="str">
        <f>IF(A985="", "", VLOOKUP(A985, 'ROMANEIO POR ITEM'!#REF!, 6, FALSE))</f>
        <v/>
      </c>
    </row>
    <row r="986" spans="1:6">
      <c r="A986" t="str">
        <f>IFERROR(_xlfn.SINGLE(INDEX('ROMANEIO POR ITEM'!#REF!, SMALL(IF(_xlfn.SINGLE('ROMANEIO POR ITEM'!#REF!)&lt;&gt;0,_xlfn.SINGLE( ROW('ROMANEIO POR ITEM'!#REF!))-ROW('ROMANEIO POR ITEM'!#REF!)+1), ROW(A985)))), "")</f>
        <v/>
      </c>
      <c r="B986" t="str">
        <f>IF(A986="", "", VLOOKUP(A986, 'ROMANEIO POR ITEM'!#REF!, 2, FALSE))</f>
        <v/>
      </c>
      <c r="C986" t="str">
        <f>IF(A986="", "", VLOOKUP(A986, 'ROMANEIO POR ITEM'!#REF!, 3, FALSE))</f>
        <v/>
      </c>
      <c r="D986" t="str">
        <f>IF(A986="", "", VLOOKUP(A986, 'ROMANEIO POR ITEM'!#REF!, 4, FALSE))</f>
        <v/>
      </c>
      <c r="E986" t="str">
        <f>IF(A986="", "", VLOOKUP(A986, 'ROMANEIO POR ITEM'!#REF!, 5, FALSE))</f>
        <v/>
      </c>
      <c r="F986" t="str">
        <f>IF(A986="", "", VLOOKUP(A986, 'ROMANEIO POR ITEM'!#REF!, 6, FALSE))</f>
        <v/>
      </c>
    </row>
    <row r="987" spans="1:6">
      <c r="A987" t="str">
        <f>IFERROR(_xlfn.SINGLE(INDEX('ROMANEIO POR ITEM'!#REF!, SMALL(IF(_xlfn.SINGLE('ROMANEIO POR ITEM'!#REF!)&lt;&gt;0,_xlfn.SINGLE( ROW('ROMANEIO POR ITEM'!#REF!))-ROW('ROMANEIO POR ITEM'!#REF!)+1), ROW(A986)))), "")</f>
        <v/>
      </c>
      <c r="B987" t="str">
        <f>IF(A987="", "", VLOOKUP(A987, 'ROMANEIO POR ITEM'!#REF!, 2, FALSE))</f>
        <v/>
      </c>
      <c r="C987" t="str">
        <f>IF(A987="", "", VLOOKUP(A987, 'ROMANEIO POR ITEM'!#REF!, 3, FALSE))</f>
        <v/>
      </c>
      <c r="D987" t="str">
        <f>IF(A987="", "", VLOOKUP(A987, 'ROMANEIO POR ITEM'!#REF!, 4, FALSE))</f>
        <v/>
      </c>
      <c r="E987" t="str">
        <f>IF(A987="", "", VLOOKUP(A987, 'ROMANEIO POR ITEM'!#REF!, 5, FALSE))</f>
        <v/>
      </c>
      <c r="F987" t="str">
        <f>IF(A987="", "", VLOOKUP(A987, 'ROMANEIO POR ITEM'!#REF!, 6, FALSE))</f>
        <v/>
      </c>
    </row>
    <row r="988" spans="1:6">
      <c r="A988" t="str">
        <f>IFERROR(_xlfn.SINGLE(INDEX('ROMANEIO POR ITEM'!#REF!, SMALL(IF(_xlfn.SINGLE('ROMANEIO POR ITEM'!#REF!)&lt;&gt;0,_xlfn.SINGLE( ROW('ROMANEIO POR ITEM'!#REF!))-ROW('ROMANEIO POR ITEM'!#REF!)+1), ROW(A987)))), "")</f>
        <v/>
      </c>
      <c r="B988" t="str">
        <f>IF(A988="", "", VLOOKUP(A988, 'ROMANEIO POR ITEM'!#REF!, 2, FALSE))</f>
        <v/>
      </c>
      <c r="C988" t="str">
        <f>IF(A988="", "", VLOOKUP(A988, 'ROMANEIO POR ITEM'!#REF!, 3, FALSE))</f>
        <v/>
      </c>
      <c r="D988" t="str">
        <f>IF(A988="", "", VLOOKUP(A988, 'ROMANEIO POR ITEM'!#REF!, 4, FALSE))</f>
        <v/>
      </c>
      <c r="E988" t="str">
        <f>IF(A988="", "", VLOOKUP(A988, 'ROMANEIO POR ITEM'!#REF!, 5, FALSE))</f>
        <v/>
      </c>
      <c r="F988" t="str">
        <f>IF(A988="", "", VLOOKUP(A988, 'ROMANEIO POR ITEM'!#REF!, 6, FALSE))</f>
        <v/>
      </c>
    </row>
    <row r="989" spans="1:6">
      <c r="A989" t="str">
        <f>IFERROR(_xlfn.SINGLE(INDEX('ROMANEIO POR ITEM'!#REF!, SMALL(IF(_xlfn.SINGLE('ROMANEIO POR ITEM'!#REF!)&lt;&gt;0,_xlfn.SINGLE( ROW('ROMANEIO POR ITEM'!#REF!))-ROW('ROMANEIO POR ITEM'!#REF!)+1), ROW(A988)))), "")</f>
        <v/>
      </c>
      <c r="B989" t="str">
        <f>IF(A989="", "", VLOOKUP(A989, 'ROMANEIO POR ITEM'!#REF!, 2, FALSE))</f>
        <v/>
      </c>
      <c r="C989" t="str">
        <f>IF(A989="", "", VLOOKUP(A989, 'ROMANEIO POR ITEM'!#REF!, 3, FALSE))</f>
        <v/>
      </c>
      <c r="D989" t="str">
        <f>IF(A989="", "", VLOOKUP(A989, 'ROMANEIO POR ITEM'!#REF!, 4, FALSE))</f>
        <v/>
      </c>
      <c r="E989" t="str">
        <f>IF(A989="", "", VLOOKUP(A989, 'ROMANEIO POR ITEM'!#REF!, 5, FALSE))</f>
        <v/>
      </c>
      <c r="F989" t="str">
        <f>IF(A989="", "", VLOOKUP(A989, 'ROMANEIO POR ITEM'!#REF!, 6, FALSE))</f>
        <v/>
      </c>
    </row>
    <row r="990" spans="1:6">
      <c r="A990" t="str">
        <f>IFERROR(_xlfn.SINGLE(INDEX('ROMANEIO POR ITEM'!#REF!, SMALL(IF(_xlfn.SINGLE('ROMANEIO POR ITEM'!#REF!)&lt;&gt;0,_xlfn.SINGLE( ROW('ROMANEIO POR ITEM'!#REF!))-ROW('ROMANEIO POR ITEM'!#REF!)+1), ROW(A989)))), "")</f>
        <v/>
      </c>
      <c r="B990" t="str">
        <f>IF(A990="", "", VLOOKUP(A990, 'ROMANEIO POR ITEM'!#REF!, 2, FALSE))</f>
        <v/>
      </c>
      <c r="C990" t="str">
        <f>IF(A990="", "", VLOOKUP(A990, 'ROMANEIO POR ITEM'!#REF!, 3, FALSE))</f>
        <v/>
      </c>
      <c r="D990" t="str">
        <f>IF(A990="", "", VLOOKUP(A990, 'ROMANEIO POR ITEM'!#REF!, 4, FALSE))</f>
        <v/>
      </c>
      <c r="E990" t="str">
        <f>IF(A990="", "", VLOOKUP(A990, 'ROMANEIO POR ITEM'!#REF!, 5, FALSE))</f>
        <v/>
      </c>
      <c r="F990" t="str">
        <f>IF(A990="", "", VLOOKUP(A990, 'ROMANEIO POR ITEM'!#REF!, 6, FALSE))</f>
        <v/>
      </c>
    </row>
    <row r="991" spans="1:6">
      <c r="A991" t="str">
        <f>IFERROR(_xlfn.SINGLE(INDEX('ROMANEIO POR ITEM'!#REF!, SMALL(IF(_xlfn.SINGLE('ROMANEIO POR ITEM'!#REF!)&lt;&gt;0,_xlfn.SINGLE( ROW('ROMANEIO POR ITEM'!#REF!))-ROW('ROMANEIO POR ITEM'!#REF!)+1), ROW(A990)))), "")</f>
        <v/>
      </c>
      <c r="B991" t="str">
        <f>IF(A991="", "", VLOOKUP(A991, 'ROMANEIO POR ITEM'!#REF!, 2, FALSE))</f>
        <v/>
      </c>
      <c r="C991" t="str">
        <f>IF(A991="", "", VLOOKUP(A991, 'ROMANEIO POR ITEM'!#REF!, 3, FALSE))</f>
        <v/>
      </c>
      <c r="D991" t="str">
        <f>IF(A991="", "", VLOOKUP(A991, 'ROMANEIO POR ITEM'!#REF!, 4, FALSE))</f>
        <v/>
      </c>
      <c r="E991" t="str">
        <f>IF(A991="", "", VLOOKUP(A991, 'ROMANEIO POR ITEM'!#REF!, 5, FALSE))</f>
        <v/>
      </c>
      <c r="F991" t="str">
        <f>IF(A991="", "", VLOOKUP(A991, 'ROMANEIO POR ITEM'!#REF!, 6, FALSE))</f>
        <v/>
      </c>
    </row>
    <row r="992" spans="1:6">
      <c r="A992" t="str">
        <f>IFERROR(_xlfn.SINGLE(INDEX('ROMANEIO POR ITEM'!#REF!, SMALL(IF(_xlfn.SINGLE('ROMANEIO POR ITEM'!#REF!)&lt;&gt;0,_xlfn.SINGLE( ROW('ROMANEIO POR ITEM'!#REF!))-ROW('ROMANEIO POR ITEM'!#REF!)+1), ROW(A991)))), "")</f>
        <v/>
      </c>
      <c r="B992" t="str">
        <f>IF(A992="", "", VLOOKUP(A992, 'ROMANEIO POR ITEM'!#REF!, 2, FALSE))</f>
        <v/>
      </c>
      <c r="C992" t="str">
        <f>IF(A992="", "", VLOOKUP(A992, 'ROMANEIO POR ITEM'!#REF!, 3, FALSE))</f>
        <v/>
      </c>
      <c r="D992" t="str">
        <f>IF(A992="", "", VLOOKUP(A992, 'ROMANEIO POR ITEM'!#REF!, 4, FALSE))</f>
        <v/>
      </c>
      <c r="E992" t="str">
        <f>IF(A992="", "", VLOOKUP(A992, 'ROMANEIO POR ITEM'!#REF!, 5, FALSE))</f>
        <v/>
      </c>
      <c r="F992" t="str">
        <f>IF(A992="", "", VLOOKUP(A992, 'ROMANEIO POR ITEM'!#REF!, 6, FALSE))</f>
        <v/>
      </c>
    </row>
    <row r="993" spans="1:6">
      <c r="A993" t="str">
        <f>IFERROR(_xlfn.SINGLE(INDEX('ROMANEIO POR ITEM'!#REF!, SMALL(IF(_xlfn.SINGLE('ROMANEIO POR ITEM'!#REF!)&lt;&gt;0,_xlfn.SINGLE( ROW('ROMANEIO POR ITEM'!#REF!))-ROW('ROMANEIO POR ITEM'!#REF!)+1), ROW(A992)))), "")</f>
        <v/>
      </c>
      <c r="B993" t="str">
        <f>IF(A993="", "", VLOOKUP(A993, 'ROMANEIO POR ITEM'!#REF!, 2, FALSE))</f>
        <v/>
      </c>
      <c r="C993" t="str">
        <f>IF(A993="", "", VLOOKUP(A993, 'ROMANEIO POR ITEM'!#REF!, 3, FALSE))</f>
        <v/>
      </c>
      <c r="D993" t="str">
        <f>IF(A993="", "", VLOOKUP(A993, 'ROMANEIO POR ITEM'!#REF!, 4, FALSE))</f>
        <v/>
      </c>
      <c r="E993" t="str">
        <f>IF(A993="", "", VLOOKUP(A993, 'ROMANEIO POR ITEM'!#REF!, 5, FALSE))</f>
        <v/>
      </c>
      <c r="F993" t="str">
        <f>IF(A993="", "", VLOOKUP(A993, 'ROMANEIO POR ITEM'!#REF!, 6, FALSE))</f>
        <v/>
      </c>
    </row>
    <row r="994" spans="1:6">
      <c r="A994" t="str">
        <f>IFERROR(_xlfn.SINGLE(INDEX('ROMANEIO POR ITEM'!#REF!, SMALL(IF(_xlfn.SINGLE('ROMANEIO POR ITEM'!#REF!)&lt;&gt;0,_xlfn.SINGLE( ROW('ROMANEIO POR ITEM'!#REF!))-ROW('ROMANEIO POR ITEM'!#REF!)+1), ROW(A993)))), "")</f>
        <v/>
      </c>
      <c r="B994" t="str">
        <f>IF(A994="", "", VLOOKUP(A994, 'ROMANEIO POR ITEM'!#REF!, 2, FALSE))</f>
        <v/>
      </c>
      <c r="C994" t="str">
        <f>IF(A994="", "", VLOOKUP(A994, 'ROMANEIO POR ITEM'!#REF!, 3, FALSE))</f>
        <v/>
      </c>
      <c r="D994" t="str">
        <f>IF(A994="", "", VLOOKUP(A994, 'ROMANEIO POR ITEM'!#REF!, 4, FALSE))</f>
        <v/>
      </c>
      <c r="E994" t="str">
        <f>IF(A994="", "", VLOOKUP(A994, 'ROMANEIO POR ITEM'!#REF!, 5, FALSE))</f>
        <v/>
      </c>
      <c r="F994" t="str">
        <f>IF(A994="", "", VLOOKUP(A994, 'ROMANEIO POR ITEM'!#REF!, 6, FALSE))</f>
        <v/>
      </c>
    </row>
    <row r="995" spans="1:6">
      <c r="A995" t="str">
        <f>IFERROR(_xlfn.SINGLE(INDEX('ROMANEIO POR ITEM'!#REF!, SMALL(IF(_xlfn.SINGLE('ROMANEIO POR ITEM'!#REF!)&lt;&gt;0,_xlfn.SINGLE( ROW('ROMANEIO POR ITEM'!#REF!))-ROW('ROMANEIO POR ITEM'!#REF!)+1), ROW(A994)))), "")</f>
        <v/>
      </c>
      <c r="B995" t="str">
        <f>IF(A995="", "", VLOOKUP(A995, 'ROMANEIO POR ITEM'!#REF!, 2, FALSE))</f>
        <v/>
      </c>
      <c r="C995" t="str">
        <f>IF(A995="", "", VLOOKUP(A995, 'ROMANEIO POR ITEM'!#REF!, 3, FALSE))</f>
        <v/>
      </c>
      <c r="D995" t="str">
        <f>IF(A995="", "", VLOOKUP(A995, 'ROMANEIO POR ITEM'!#REF!, 4, FALSE))</f>
        <v/>
      </c>
      <c r="E995" t="str">
        <f>IF(A995="", "", VLOOKUP(A995, 'ROMANEIO POR ITEM'!#REF!, 5, FALSE))</f>
        <v/>
      </c>
      <c r="F995" t="str">
        <f>IF(A995="", "", VLOOKUP(A995, 'ROMANEIO POR ITEM'!#REF!, 6, FALSE))</f>
        <v/>
      </c>
    </row>
    <row r="996" spans="1:6">
      <c r="A996" t="str">
        <f>IFERROR(_xlfn.SINGLE(INDEX('ROMANEIO POR ITEM'!#REF!, SMALL(IF(_xlfn.SINGLE('ROMANEIO POR ITEM'!#REF!)&lt;&gt;0,_xlfn.SINGLE( ROW('ROMANEIO POR ITEM'!#REF!))-ROW('ROMANEIO POR ITEM'!#REF!)+1), ROW(A995)))), "")</f>
        <v/>
      </c>
      <c r="B996" t="str">
        <f>IF(A996="", "", VLOOKUP(A996, 'ROMANEIO POR ITEM'!#REF!, 2, FALSE))</f>
        <v/>
      </c>
      <c r="C996" t="str">
        <f>IF(A996="", "", VLOOKUP(A996, 'ROMANEIO POR ITEM'!#REF!, 3, FALSE))</f>
        <v/>
      </c>
      <c r="D996" t="str">
        <f>IF(A996="", "", VLOOKUP(A996, 'ROMANEIO POR ITEM'!#REF!, 4, FALSE))</f>
        <v/>
      </c>
      <c r="E996" t="str">
        <f>IF(A996="", "", VLOOKUP(A996, 'ROMANEIO POR ITEM'!#REF!, 5, FALSE))</f>
        <v/>
      </c>
      <c r="F996" t="str">
        <f>IF(A996="", "", VLOOKUP(A996, 'ROMANEIO POR ITEM'!#REF!, 6, FALSE))</f>
        <v/>
      </c>
    </row>
    <row r="997" spans="1:6">
      <c r="A997" t="str">
        <f>IFERROR(_xlfn.SINGLE(INDEX('ROMANEIO POR ITEM'!#REF!, SMALL(IF(_xlfn.SINGLE('ROMANEIO POR ITEM'!#REF!)&lt;&gt;0,_xlfn.SINGLE( ROW('ROMANEIO POR ITEM'!#REF!))-ROW('ROMANEIO POR ITEM'!#REF!)+1), ROW(A996)))), "")</f>
        <v/>
      </c>
      <c r="B997" t="str">
        <f>IF(A997="", "", VLOOKUP(A997, 'ROMANEIO POR ITEM'!#REF!, 2, FALSE))</f>
        <v/>
      </c>
      <c r="C997" t="str">
        <f>IF(A997="", "", VLOOKUP(A997, 'ROMANEIO POR ITEM'!#REF!, 3, FALSE))</f>
        <v/>
      </c>
      <c r="D997" t="str">
        <f>IF(A997="", "", VLOOKUP(A997, 'ROMANEIO POR ITEM'!#REF!, 4, FALSE))</f>
        <v/>
      </c>
      <c r="E997" t="str">
        <f>IF(A997="", "", VLOOKUP(A997, 'ROMANEIO POR ITEM'!#REF!, 5, FALSE))</f>
        <v/>
      </c>
      <c r="F997" t="str">
        <f>IF(A997="", "", VLOOKUP(A997, 'ROMANEIO POR ITEM'!#REF!, 6, FALSE))</f>
        <v/>
      </c>
    </row>
    <row r="998" spans="1:6">
      <c r="A998" t="str">
        <f>IFERROR(_xlfn.SINGLE(INDEX('ROMANEIO POR ITEM'!#REF!, SMALL(IF(_xlfn.SINGLE('ROMANEIO POR ITEM'!#REF!)&lt;&gt;0,_xlfn.SINGLE( ROW('ROMANEIO POR ITEM'!#REF!))-ROW('ROMANEIO POR ITEM'!#REF!)+1), ROW(A997)))), "")</f>
        <v/>
      </c>
      <c r="B998" t="str">
        <f>IF(A998="", "", VLOOKUP(A998, 'ROMANEIO POR ITEM'!#REF!, 2, FALSE))</f>
        <v/>
      </c>
      <c r="C998" t="str">
        <f>IF(A998="", "", VLOOKUP(A998, 'ROMANEIO POR ITEM'!#REF!, 3, FALSE))</f>
        <v/>
      </c>
      <c r="D998" t="str">
        <f>IF(A998="", "", VLOOKUP(A998, 'ROMANEIO POR ITEM'!#REF!, 4, FALSE))</f>
        <v/>
      </c>
      <c r="E998" t="str">
        <f>IF(A998="", "", VLOOKUP(A998, 'ROMANEIO POR ITEM'!#REF!, 5, FALSE))</f>
        <v/>
      </c>
      <c r="F998" t="str">
        <f>IF(A998="", "", VLOOKUP(A998, 'ROMANEIO POR ITEM'!#REF!, 6, FALSE))</f>
        <v/>
      </c>
    </row>
    <row r="999" spans="1:6">
      <c r="A999" t="str">
        <f>IFERROR(_xlfn.SINGLE(INDEX('ROMANEIO POR ITEM'!#REF!, SMALL(IF(_xlfn.SINGLE('ROMANEIO POR ITEM'!#REF!)&lt;&gt;0,_xlfn.SINGLE( ROW('ROMANEIO POR ITEM'!#REF!))-ROW('ROMANEIO POR ITEM'!#REF!)+1), ROW(A998)))), "")</f>
        <v/>
      </c>
      <c r="B999" t="str">
        <f>IF(A999="", "", VLOOKUP(A999, 'ROMANEIO POR ITEM'!#REF!, 2, FALSE))</f>
        <v/>
      </c>
      <c r="C999" t="str">
        <f>IF(A999="", "", VLOOKUP(A999, 'ROMANEIO POR ITEM'!#REF!, 3, FALSE))</f>
        <v/>
      </c>
      <c r="D999" t="str">
        <f>IF(A999="", "", VLOOKUP(A999, 'ROMANEIO POR ITEM'!#REF!, 4, FALSE))</f>
        <v/>
      </c>
      <c r="E999" t="str">
        <f>IF(A999="", "", VLOOKUP(A999, 'ROMANEIO POR ITEM'!#REF!, 5, FALSE))</f>
        <v/>
      </c>
      <c r="F999" t="str">
        <f>IF(A999="", "", VLOOKUP(A999, 'ROMANEIO POR ITEM'!#REF!, 6, FALSE))</f>
        <v/>
      </c>
    </row>
    <row r="1000" spans="1:6">
      <c r="A1000" t="str">
        <f>IFERROR(_xlfn.SINGLE(INDEX('ROMANEIO POR ITEM'!#REF!, SMALL(IF(_xlfn.SINGLE('ROMANEIO POR ITEM'!#REF!)&lt;&gt;0,_xlfn.SINGLE( ROW('ROMANEIO POR ITEM'!#REF!))-ROW('ROMANEIO POR ITEM'!#REF!)+1), ROW(A999)))), "")</f>
        <v/>
      </c>
      <c r="B1000" t="str">
        <f>IF(A1000="", "", VLOOKUP(A1000, 'ROMANEIO POR ITEM'!#REF!, 2, FALSE))</f>
        <v/>
      </c>
      <c r="C1000" t="str">
        <f>IF(A1000="", "", VLOOKUP(A1000, 'ROMANEIO POR ITEM'!#REF!, 3, FALSE))</f>
        <v/>
      </c>
      <c r="D1000" t="str">
        <f>IF(A1000="", "", VLOOKUP(A1000, 'ROMANEIO POR ITEM'!#REF!, 4, FALSE))</f>
        <v/>
      </c>
      <c r="E1000" t="str">
        <f>IF(A1000="", "", VLOOKUP(A1000, 'ROMANEIO POR ITEM'!#REF!, 5, FALSE))</f>
        <v/>
      </c>
      <c r="F1000" t="str">
        <f>IF(A1000="", "", VLOOKUP(A1000, 'ROMANEIO POR ITEM'!#REF!, 6, FALSE))</f>
        <v/>
      </c>
    </row>
  </sheetData>
  <conditionalFormatting sqref="E2:E1000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</vt:lpstr>
      <vt:lpstr>BASE</vt:lpstr>
      <vt:lpstr>CONFERENCIA</vt:lpstr>
      <vt:lpstr>EXTRATO</vt:lpstr>
      <vt:lpstr>COLABORADORES</vt:lpstr>
      <vt:lpstr>ROMANEIO POR ITEM</vt:lpstr>
      <vt:lpstr>TODAS AS PLACAS</vt:lpstr>
      <vt:lpstr>DIVERGÊNCIAS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Diego.isidoro55@hotmail.com</cp:lastModifiedBy>
  <dcterms:created xsi:type="dcterms:W3CDTF">2026-02-16T18:06:11Z</dcterms:created>
  <dcterms:modified xsi:type="dcterms:W3CDTF">2026-02-19T03:27:50Z</dcterms:modified>
</cp:coreProperties>
</file>